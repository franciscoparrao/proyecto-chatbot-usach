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vedrecs" sheetId="1" r:id="rId4"/>
  </sheets>
  <definedNames/>
  <calcPr/>
</workbook>
</file>

<file path=xl/sharedStrings.xml><?xml version="1.0" encoding="utf-8"?>
<sst xmlns="http://schemas.openxmlformats.org/spreadsheetml/2006/main" count="65830" uniqueCount="9192">
  <si>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</si>
  <si>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</si>
  <si>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</si>
  <si>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</si>
  <si>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</si>
  <si>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</si>
  <si>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</si>
  <si>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</si>
  <si>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</si>
  <si>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</si>
  <si>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</si>
  <si>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</si>
  <si>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</si>
  <si>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</si>
  <si>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</si>
  <si>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</si>
  <si>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</si>
  <si>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</si>
  <si>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</si>
  <si>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</si>
  <si>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</si>
  <si>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</si>
  <si>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</si>
  <si>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</si>
  <si>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</si>
  <si>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</si>
  <si>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</si>
  <si>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</si>
  <si>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</si>
  <si>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</si>
  <si>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</si>
  <si>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</si>
  <si>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</si>
  <si>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</si>
  <si>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</si>
  <si>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</si>
  <si>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</si>
  <si>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</si>
  <si>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</si>
  <si>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</si>
  <si>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</si>
  <si>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</si>
  <si>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</si>
  <si>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</si>
  <si>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</si>
  <si>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</si>
  <si>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</si>
  <si>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</si>
  <si>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</si>
  <si>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</si>
  <si>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</si>
  <si>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</si>
  <si>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</si>
  <si>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</si>
  <si>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</si>
  <si>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</si>
  <si>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</si>
  <si>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</si>
  <si>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</si>
  <si>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</si>
  <si>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</si>
  <si>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</si>
  <si>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</si>
  <si>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</si>
  <si>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</si>
  <si>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</si>
  <si>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</si>
  <si>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</si>
  <si>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</si>
  <si>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</si>
  <si>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</si>
  <si>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</si>
  <si>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</si>
  <si>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DIONISIO, J; MAHABADI, HK; ODRISCOLL, KF</t>
  </si>
  <si>
    <t/>
  </si>
  <si>
    <t>HIGH-CONVERSION POLYMERIZATION .4. DEFINITION OF THE ONSET OF THE GEL EFFECT</t>
  </si>
  <si>
    <t>JOURNAL OF POLYMER SCIENCE PART A-POLYMER CHEMISTRY</t>
  </si>
  <si>
    <t>Asilian, Hasan/HTT-1510-2023</t>
  </si>
  <si>
    <t>0887-624X</t>
  </si>
  <si>
    <t>10.1002/pol.1979.170170701</t>
  </si>
  <si>
    <t>WOS:A1979HA72500001</t>
  </si>
  <si>
    <t>Cordova, F; Montt, C; Lagos, N</t>
  </si>
  <si>
    <t>Cordova, F.; Montt, C.; Lagos, N.</t>
  </si>
  <si>
    <t>Model for Analysis and Evaluation of road crashes resulting in fatalities using Business Intelligent Systems Approach</t>
  </si>
  <si>
    <t>INTERNATIONAL JOURNAL OF COMPUTERS COMMUNICATIONS &amp; CONTROL</t>
  </si>
  <si>
    <t>Road traffic accidents are the leading cause of death for young people in today's world. Given the proliferation of pedestrians, cyclists and motorcyclists in the city, it is necessary to find the most frequent causes to prevent these accidents. To resolve this situation problem an exploratory analysis of the databases is carried out to identify the main variables, their attributes and relationships. A Data Model is designed where the most frequent underlying causes of these accidents are identified, paying special attention to the actors involved, such as pedestrians, cyclists and motorcyclists. The integrated database is analyzed with a business intelligence approach to obtain behavioral patterns of the actors and determine the relevance of the variables involved in these events. The results obtained show that the main accidents with causes of death are collisions between vehicles and the crash, by not maintaining the prudent and reasonable distance caused by the physical conditions of the driver, whether fatigue and/or drunkenness. Since most accidents occur in the early morning or late afternoon, the use of illuminated beacons is recommended for cyclists and motorcyclists. Also, accident indicators are identified, and measures are recommended to improve the system. This work explores a method of Business Intelligence, with applications in the subject of study.</t>
  </si>
  <si>
    <t>1841-9836</t>
  </si>
  <si>
    <t>1841-9844</t>
  </si>
  <si>
    <t>APR</t>
  </si>
  <si>
    <t>10.15837/ijccc.2025.2.7017</t>
  </si>
  <si>
    <t>WOS:001455084900003</t>
  </si>
  <si>
    <t>Rojas-Pescio, H; Beishon, L; Panerai, R; Chacón, M</t>
  </si>
  <si>
    <t>Rojas-Pescio, Hector; Beishon, Lucy; Panerai, Ronney; Chacon, Max</t>
  </si>
  <si>
    <t>Statistical Complexity Analysis of Neurovascular Coupling with Cognitive Stimulation in Healthy Participants</t>
  </si>
  <si>
    <t>JOURNAL OF COGNITIVE NEUROSCIENCE</t>
  </si>
  <si>
    <t>Neurovascular coupling (NVC) is the tight relationship between changes in cerebral blood flow and neural activation. NVC can be evaluated non-invasively using transcranial Doppler ultrasound (TCD)-measured changes in brain activation (cerebral blood velocity [CBv]) using different cognitive tasks and stimuli. This study used a novel approach to analyzing CBv changes occurring in response to 20 tasks from the Addenbrooke's Cognitive Examination III in 40 healthy individuals. The novel approach compared various information entropy families (permutation, Tsallis, and R &amp; eacute;nyi entropy) and statistical complexity measures based on disequilibrium. Using this approach, we found the majority of the attention, visuospatial, and memory tasks from the Addenbrooke's Cognitive Examination III that showed lower statistical complexity values when compared with the resting state. On the entropy-complexity (HC) plane, a receiver operating characteristic curve was used to distinguish between baseline and cognitive tasks using the area under the curve. Best area under the curve values were 0.91 +/- 0.04, p = .001, to distinguish between resting and cognitively active states. Our findings show that brain hemodynamic signals captured with TCD can be used to distinguish between resting state (baseline) and cognitive effort (stimulation paradigms) using entropy and statistical complexity as an alternative method to traditional techniques such as coherent averaging of CBv signals. Further work should directly compare these analysis methods to identify the optimal method for analyzing TCD-measured changes in NVC.</t>
  </si>
  <si>
    <t>Rojas-Pescio, Hector/0000-0002-9543-3516</t>
  </si>
  <si>
    <t>0898-929X</t>
  </si>
  <si>
    <t>1530-8898</t>
  </si>
  <si>
    <t>SEP 1</t>
  </si>
  <si>
    <t>10.1162/jocn_a_02200</t>
  </si>
  <si>
    <t>WOS:001293384700002</t>
  </si>
  <si>
    <t>Brito, TP; Butto-Miranda, N; Neira-Carrillo, A; Yáñez, C; Bollo, S; Ruíz-León, D</t>
  </si>
  <si>
    <t>Brito, Tania P.; Butto-Miranda, Nicole; Neira-Carrillo, Andronico; Yanez, Claudia; Bollo, Soledad; Ruiz-Leon, Domingo</t>
  </si>
  <si>
    <t>Size-controlled synthesis of cobalt phosphide (Co2P) nanoparticles and their application in non-enzymatic glucose sensors via a carbon fiber/ Co2P composite</t>
  </si>
  <si>
    <t>SENSORS AND ACTUATORS REPORTS</t>
  </si>
  <si>
    <t>In this study, we synthesized Co2P nanoparticles using a solid-state phosphorization method and evaluated the electrocatalytic response to glucose oxidation reaction (GORs). The influence of synthesis conditions on the particle size, morphology of Co2P species and formation of byproducts is discussed. A lower molar ratio of the phosphorus precursor leads to a decrease in the generation of byproducts. In addition, the calcination temperature and time greatly influence the purity level of the Co2P species and its particle size. Thus, we obtained three pure Co2P nanoparticles with different sizes and morphologies. Significant differences in their electrocatalytic activity against the GOR are observed depending on the size of the particles, being the smaller ones the most efficient. Based on Tafel analysis, a higher catalytic activity was observed for the carbon fibre (CF)/Co2P composite compared to Co2P, which presented a greater onset potential and low response in current density. Tafel slopes close to 120 mV/dec were obtained for both materials, indicating that the mechanism is independent of the type of Co2P-based material used. Finally, the performance of the GCE/CF/Co2P sensor was demonstrated by amperometric measurements, with a sensitivity of 409 mu AmM-1cm-2, a linear range between 39.4 mu M and 150 mu M, and a detection limit of 0.97 mu M, analytical characteristics better than those obtained for other cobalt phosphidebased sensors reported in the literature. In addition, the GCE/CF/Co2P sensor shows excellent selectivity and demonstrated to be competitive compared to other Co-based non-enzymatic glucose sensors.</t>
  </si>
  <si>
    <t>Bollo, Soledad/B-5257-2011; Ruiz, Domingo/H-3818-2011</t>
  </si>
  <si>
    <t>Brito, Tania/0000-0002-9279-835X; Bollo, Soledad/0000-0003-0868-4294; Ruiz Leon, Domingo/0000-0002-0950-6919</t>
  </si>
  <si>
    <t>2666-0539</t>
  </si>
  <si>
    <t>DEC</t>
  </si>
  <si>
    <t>10.1016/j.snr.2024.100235</t>
  </si>
  <si>
    <t>AUG 2024</t>
  </si>
  <si>
    <t>WOS:001301091400001</t>
  </si>
  <si>
    <t>Díaz, C; Gómez, M; Matta, A; Pizarro, J</t>
  </si>
  <si>
    <t>Diaz, Carlos; Gomez, Mauricio; Matta, Alicia; Pizarro, Jaime</t>
  </si>
  <si>
    <t>Electroadsorption of La3+ and Ce3+ from aqueous media with a carbon paste electrode modified with HMS-CMPO</t>
  </si>
  <si>
    <t>MICROPOROUS AND MESOPOROUS MATERIALS</t>
  </si>
  <si>
    <t>This work deals with the electroadsorption of rare earths cerium and lanthanum in aqueous solution by using a carbon paste electrode modified with a silica mesoporous material functionalized with carbamoyl methyl phosphine oxide (CMPO). This functionalization was carried out in a two-step synthesis, the intermediate product was synthesized by attaching N-(2-aminoethyl)-3-aminopropyltrimethoxysilane (APTMS) to the surface of the HMS by a grafting method synthesis, then this intermediate was modified by CMPO, in a further condensation reaction. The final product CMPO obtained was characterized by diffuse reflectance infrared Fourier transform spectroscopy (DRIFTS), thermal gravimetric analysis (TGA) and N2 adsorption/desorption isotherms using BJH and BET models. Showing thermal stability, a surface area higher than 450m2g-1 and mesoporous properties. The CMPO material was used to modify the mixture of the carbon paste electrode producing an enhancement in the interaction between the electrode surface and the lanthanides studied, at the same time it produces and improvement in the electroactive area by over two orders of magnitude. The modified carbon paste electrode (CMPO-CPE) developed in this work shows an increase in the conductivity, observed with the electrochemical impedance spectroscopy studies, and an increase in the electroactive area of 47 % was calculated from cyclic voltammetry experiments. CMPO-CPE was used to extract La3+ and Ce3+ from aqueous solution using NaNO3 as support electrolyte, by using a fixed potential program over time, measuring the obtained current by Chronoamperometric method. The adsorption and desorption results were corroborated with Inductively coupled plasma atomic emission spectroscopy (ICP-OES) demonstrated the capacity of extraction of the electrode were 74 mu g after ten cycles for La3+ at pH 5.0 and 15 mu g after ten cycles for Ce3+ at pH 6.0, using a CMPO modified electrode of small surface (3 mm radius). This electrode was tested for over 50 cycles without losing their electroactive properties under tested electrochemical conditions.</t>
  </si>
  <si>
    <t>Diaz, Carlos/ITT-9959-2023; Diaz, Carlos/R-8646-2018</t>
  </si>
  <si>
    <t>Matta, Alicia/0009-0003-7693-7086; Diaz, Carlos/0000-0002-7250-8829; Gomez Barrena, Mauricio/0000-0003-2010-5910</t>
  </si>
  <si>
    <t>1387-1811</t>
  </si>
  <si>
    <t>1873-3093</t>
  </si>
  <si>
    <t>OCT</t>
  </si>
  <si>
    <t>10.1016/j.micromeso.2024.113248</t>
  </si>
  <si>
    <t>JUL 2024</t>
  </si>
  <si>
    <t>WOS:001271806800001</t>
  </si>
  <si>
    <t>Méndez, T; Fuentes, A; Cofre, D; Moenne, A; Laporte, D</t>
  </si>
  <si>
    <t>Mendez, Tamara; Fuentes, Alejandra; Cofre, Diego; Moenne, Alejandra; Laporte, Daniel</t>
  </si>
  <si>
    <t>Oligo-Carrageenan Kappa Increases Expression of Genes Encoding Proteins Involved in Photosynthesis, C, N, and S Assimilation, and Growth in Arabidopsis thaliana</t>
  </si>
  <si>
    <t>INTERNATIONAL JOURNAL OF MOLECULAR SCIENCES</t>
  </si>
  <si>
    <t>To analyze the effect of oligo-carrageenan (OC) kappa in the stimulation of growth in Arabidopsis thaliana, plants were sprayed on leaves with an aqueous solution of OC kappa at 1 mg mL(-1), 5 times every 2 days and cultivated for 5 or 15 additional days. Plants treated with OC kappa showed an increase in rosette diameter, fresh and dry weight, and primary root length. Plants treated with OC kappa once and cultivated for 0 to 24 h after treatment were subjected to transcriptomic analyses to identify differentially expressed genes, mainly at 12 h after treatment. Transcripts encoding proteins involved in growth and development and photosynthesis were upregulated as well as enzymes involved in primary metabolism. In addition, plants treated with OC kappa once and cultivated for 0 to 96 h showed increased levels of transcripts encoding enzymes involved in C, N, and S assimilation at 6 and 12 h after treatment that remain increased until 96 h. Therefore, OC kappa increased the expression of genes encoding proteins involved in photosynthesis, C, N, and S assimilation, and growth in A. thaliana.</t>
  </si>
  <si>
    <t>Laporte, Daniel/0000-0003-0883-0917; Moenne, Alejandra/0000-0002-7309-9713; Tamara, Mendez/0000-0001-9147-4444</t>
  </si>
  <si>
    <t>1661-6596</t>
  </si>
  <si>
    <t>1422-0067</t>
  </si>
  <si>
    <t>AUG</t>
  </si>
  <si>
    <t>10.3390/ijms241511894</t>
  </si>
  <si>
    <t>WOS:001045662100001</t>
  </si>
  <si>
    <t>Cruz, N; González, E; Jovel, J</t>
  </si>
  <si>
    <t>Cruz, Norman; Gonzalez, Esteban; Jovel, Jose</t>
  </si>
  <si>
    <t>A non-singular early-time viscous cosmological model</t>
  </si>
  <si>
    <t>MODERN PHYSICS LETTERS A</t>
  </si>
  <si>
    <t>In this paper, we study the thermodynamical and mathematical consistencies for a non-singular early-time viscous cosmological model known as soft-Big Bang, which was previously found in [N. Cruz, E. Gonzalez and J. Jovel, Phys. Rev. D 105, 024047 (2022)]. This model represents a flat homogeneous and isotropic universe filled with a dissipative radiation fluid and a cosmological constant Lambda, which is small but not negligible, in the framework of Eckart's theory. In particular, we discuss the capability of the solution in the fulfillment of the three following conditions: (i) the near equilibrium condition, which is assumed in Eckart's theory of non-perfect fluids, (ii) the mathematical stability of the solution under small perturbations, and (iii) the positiveness of the entropy production. We have found that this viscous model can describe the radiation domination era of the Lambda CDM model and, at the same time, fulfill the three conditions mentioned by the fulfillment of a single constraint on the bulk viscous coefficient xi 0, finding also that this non-singular model has a positive energy density in the infinity past which is infinity hotter with a constant entropy.</t>
  </si>
  <si>
    <t>González Banda, Esteban/JFJ-4056-2023</t>
  </si>
  <si>
    <t>Gonzalez Banda, Esteban/0000-0001-6769-5722</t>
  </si>
  <si>
    <t>0217-7323</t>
  </si>
  <si>
    <t>1793-6632</t>
  </si>
  <si>
    <t>JUN 21</t>
  </si>
  <si>
    <t>18N19</t>
  </si>
  <si>
    <t>10.1142/S0217732323500888</t>
  </si>
  <si>
    <t>WOS:001082468000004</t>
  </si>
  <si>
    <t>Dávila, G; Topp, E</t>
  </si>
  <si>
    <t>Davila, Gonzalo; Topp, Erwin</t>
  </si>
  <si>
    <t>The nonlocal inverse problem of Donsker and Varadhan</t>
  </si>
  <si>
    <t>JOURNAL OF FUNCTIONAL ANALYSIS</t>
  </si>
  <si>
    <t>In this paper we prove a version of the celebrated Inverse Problem of Donsker and Varadhan [13] in the setting of nonlocal elliptic operators of the form Lu = LKu + BK(h, u), where LK is a uniformly elliptic nonlocal operator with smooth coefficients, and, for h : RN -&gt; R smooth and bounded, BK (h, u) is the associated bilinear form, which can be regarded as a nonlocal transport term.(c) 2023 Elsevier Inc. All rights reserved.</t>
  </si>
  <si>
    <t>0022-1236</t>
  </si>
  <si>
    <t>1096-0783</t>
  </si>
  <si>
    <t>MAY 1</t>
  </si>
  <si>
    <t>10.1016/j.jfa.2023.109885</t>
  </si>
  <si>
    <t>FEB 2023</t>
  </si>
  <si>
    <t>WOS:000952633600001</t>
  </si>
  <si>
    <t>Brito, TP; Butto-Miranda, N; Neira-Carrillo, A; Bollo, S; Ruíz-León, D</t>
  </si>
  <si>
    <t>Brito, Tania P. P.; Butto-Miranda, Nicole; Neira-Carrillo, Andronico; Bollo, Soledad; Ruiz-Leon, Domingo</t>
  </si>
  <si>
    <t>Synergistic Effect of Composite Nickel Phosphide Nanoparticles and Carbon Fiber on the Enhancement of Salivary Enzyme-Free Glucose Sensing</t>
  </si>
  <si>
    <t>BIOSENSORS-BASEL</t>
  </si>
  <si>
    <t>An electrospinning method was used for the preparation of an in situ composite based on Ni2P nanoparticles and carbon fiber (FC). The material was tested for the first time against direct glucose oxidation reaction. The Ni2P nanoparticles were distributed homogeneously throughout the carbon fibers with a composition determined by thermogravimetric analysis (TGA) of 40 wt% Ni2P and 60 wt% carbon fiber without impurities in the sample. The electrochemical measurement results indicate that the GCE/FC/Ni2P in situ sensor exhibits excellent catalytic activity compared to the GCE/Ni2P and GCE/FC/Ni2P ex situ electrodes. The GCE/FC/Ni2P in situ sensor presents a sensitivity of 1050 mu AmM(-1)cm(-2) in the range of 5-208 mu M and a detection limit of 0.25 mu M. The sensor was applied for glucose detection in artificial saliva, with a low interference observed from normally coexisting electroactive species. In conclusion, our sensor represents a novel and analytical competitive alternative for the development of non-enzymatic glucose sensors in the future.</t>
  </si>
  <si>
    <t>Neira-Carrillo, Andronico/0000-0003-0060-7518; Ruiz Leon, Domingo/0000-0002-0950-6919; Bollo, Soledad/0000-0003-0868-4294; Brito, Tania/0000-0002-9279-835X</t>
  </si>
  <si>
    <t>2079-6374</t>
  </si>
  <si>
    <t>JAN</t>
  </si>
  <si>
    <t>10.3390/bios13010049</t>
  </si>
  <si>
    <t>WOS:000916995600001</t>
  </si>
  <si>
    <t>Toro-Ascuy, D; Cifuentes-Muñoz, N; Avaria, A; Pereira-Montecinos, C; Cruzat, G; Peralta-Arancibia, K; Zorondo-Rodríguez, F; Fuenzalida, LF</t>
  </si>
  <si>
    <t>Toro-Ascuy, Daniela; Cifuentes-Munoz, Nicolas; Avaria, Andrea; Pereira-Montecinos, Camila; Cruzat, Gilena; Peralta-Arancibia, Katherine; Zorondo-Rodriguez, Francisco; Fuenzalida, Loreto F.</t>
  </si>
  <si>
    <t>Factors Influencing the Acceptance of COVID-19 Vaccines in a Country with a High Vaccination Rate</t>
  </si>
  <si>
    <t>VACCINES</t>
  </si>
  <si>
    <t>Control of the COVID-19 pandemic largely depends on the effectiveness of the vaccination process. An understanding of the factors that underlie the willingness to accept vaccination contributes pivotal information to controlling the pandemic. We analyzed the association between the willingness to accept the available COVID-19 vaccines and vaccine determinants amidst the Chilean vaccination process. Individual-level survey data was collected from 744 nationally representative respondents and multivariate regression models were used to estimate the association between outcome and explanatory variables. We found that trust in COVID-19 vaccines, scientists, and medical professionals significantly increased the willingness to: accept the vaccines and booster doses, as well as annual vaccinations and the vaccination of children. Our results are critical to understanding the acceptance of COVID-19 vaccines in the context of a country with one of the world's highest vaccination rates. We provide useful information for decision-making and policy design, in addition to establishing guidelines regarding how to effectively explain vaccination programs to citizens.</t>
  </si>
  <si>
    <t>Zorondo-Rodríguez, Francisco/GWU-8371-2022; Toro-Ascuy, Daniela/JDC-8224-2023; Zorondo-Rodriguez, Francisco/I-8273-2014</t>
  </si>
  <si>
    <t>Peralta Arancibia, Katherine/0009-0008-3050-4994; Toro-Ascuy, Daniela/0000-0002-2563-9711; Fuenzalida, Loreto F/0000-0002-9570-6043; Zorondo-Rodriguez, Francisco/0000-0001-6469-9859</t>
  </si>
  <si>
    <t>2076-393X</t>
  </si>
  <si>
    <t>MAY</t>
  </si>
  <si>
    <t>10.3390/vaccines10050681</t>
  </si>
  <si>
    <t>WOS:000803523400001</t>
  </si>
  <si>
    <t>Rivera-Araya, J; Heine, T; Chávez, R; Schlömann, M; Levicán, G</t>
  </si>
  <si>
    <t>Rivera-Araya, Javier; Heine, Thomas; Chavez, Renato; Schloemann, Michael; Levican, Gloria</t>
  </si>
  <si>
    <t>Transcriptomic analysis of chloride tolerance in Leptospirillum ferriphilum DSM 14647 adapted to NaCl</t>
  </si>
  <si>
    <t>PLOS ONE</t>
  </si>
  <si>
    <t>Chloride ions are toxic for most acidophilic microorganisms. In this study, the chloride tolerance mechanisms in the acidophilic iron-oxidizing bacterium Leptospirillum ferriphilum DSM 14647 adapted to 180 mM NaCl were investigated by a transcriptomic approach. Results showed that 99 genes were differentially expressed in the adapted versus the non-adapted cultures, of which 69 and 30 were significantly up-regulated or down-regulated, respectively. Genes that were up-regulated include carbonic anhydrase, cytochrome c oxidase (ccoN) and sulfide:quinone reductase (sqr), likely involved in intracellular pH regulation. Towards the same end, the cation/proton antiporter CzcA (czcA) was down-regulated. Adapted cells showed a higher oxygen consumption rate (2.2 x 10(-9) ppm O-2 s(-1)cell(-1)) than non-adapted cells (1.2 x 10(-9) ppm O-2 s(-1)cell(-1)). Genes coding for the antioxidants flavohemoprotein and cytochrome c peroxidase were also up-regulated. Measurements of the intracellular reactive oxygen species (ROS) level revealed that adapted cells had a lower level than non-adapted cells, suggesting that detoxification of ROS could be an important strategy to withstand NaCl. In addition, data analysis revealed the up-regulation of genes for Fe-S cluster biosynthesis (iscR), metal reduction (merA) and activation of a cellular response mediated by diffusible signal factors (DSFs) and the second messenger c-di-GMP. Several genes related to the synthesis of lipopolysaccharide and peptidoglycan were consistently down-regulated. Unexpectedly, the genes ectB, ectC and ectD involved in the biosynthesis of the compatible solutes (hydroxy)ectoine were also down-regulated. In line with these findings, although hydroxyectoine reached 20 nmol mg(-1) of wet biomass in non-adapted cells, it was not detected in L. ferriphilum adapted to NaCl, suggesting that this canonical osmotic stress response was dispensable for salt adaptation. Differentially expressed transcripts and experimental validations suggest that adaptation to chloride in acidophilic microorganisms involves a multifactorial response that is different from the response in other bacteria studied.</t>
  </si>
  <si>
    <t>Levican, Gloria/R-5191-2019; Heine, Thomas/CAG-9685-2022</t>
  </si>
  <si>
    <t>Levican, Gloria/0000-0002-1275-7399; Heine, Thomas/0000-0002-7109-2788</t>
  </si>
  <si>
    <t>1932-6203</t>
  </si>
  <si>
    <t>e0267316</t>
  </si>
  <si>
    <t>10.1371/journal.pone.0267316</t>
  </si>
  <si>
    <t>WOS:001143683300006</t>
  </si>
  <si>
    <t>Almeida-Naranjo, CE; Frutos, M; Tejedor, J; Cuestas, J; Valenzuela, F; Rivadeneira, MI; Villamar, CA; Guerrero, VH</t>
  </si>
  <si>
    <t>Almeida-Naranjo, Cristina E.; Frutos, Mayra; Tejedor, Jennifer; Cuestas, Jeniffer; Valenzuela, Fabricio; Ines Rivadeneira, Maria; Villamar, Cristina Alejandra; Guerrero, Victor H.</t>
  </si>
  <si>
    <t>Caffeine adsorptive performance and compatibility characteristics (Eisenia foetida Savigny) of agro-industrial residues potentially suitable for vermifilter beds</t>
  </si>
  <si>
    <t>SCIENCE OF THE TOTAL ENVIRONMENT</t>
  </si>
  <si>
    <t>The caffeine adsorptive performance and compatibility characteristics (Eisenia foetida Savigny) of rice husk, peanut shell, corn cob and coconut fiber were studied, aiming to assess the suitability of these residues for vermifilter beds. For this purpose, the agro-industrial residues were characterized and the E. foetida Savigny compatibility was determined by acute and chronic toxicity tests. Batch adsorption tests were performed using caffeine solutions. Optimal adsorption conditions, kinetic models, isotherm type and the influence of three particle sizes (120-150, 300-600, 800-2000 mu m) in the caffeine removal were determined. Coconut fiber (120-150 mu m) proved to be the most efficient residue for the caffeine removal (94.2%), requiring 4 g/L for 30 min. However, coconut fiber was the less compatible for earthworms (14d-LC50 = 82%). The results obtained allow to define adequate strategies, such as mixing highly adsorptive residues with the more compatible ones, to choose the most effective materials for vermifiltration technologies. (C) 2021 Elsevier B.V. All rights reserved.</t>
  </si>
  <si>
    <t>Guerrero, Victor/AAP-1606-2021; Villamar, Cristina-Alejandra/AAB-4154-2019</t>
  </si>
  <si>
    <t>Tejedor Oyos, Jennifer Lorena/0000-0001-9097-9707; Almeida Naranjo, Cristina Elizabeth/0000-0002-1066-6661; Villamar, Cristina Alejandra/0000-0003-4654-0670</t>
  </si>
  <si>
    <t>0048-9697</t>
  </si>
  <si>
    <t>1879-1026</t>
  </si>
  <si>
    <t>DEC 20</t>
  </si>
  <si>
    <t>10.1016/j.scitotenv.2021.149666</t>
  </si>
  <si>
    <t>AUG 2021</t>
  </si>
  <si>
    <t>WOS:000701899300005</t>
  </si>
  <si>
    <t>Suárez-Reyes, M; Quintiliano-Scarpelli, D; Fernandes, AP; Cofré-Bolados, C; Pizarro, T</t>
  </si>
  <si>
    <t>Suarez-Reyes, Monica; Quintiliano-Scarpelli, Daiana; Fernandes, Anna Pinheiro; Cofre-Bolados, Cristian; Pizarro, Tito</t>
  </si>
  <si>
    <t>Lifestyle Habits and Health Indicators in Migrants and Native Schoolchildren in Chile</t>
  </si>
  <si>
    <t>INTERNATIONAL JOURNAL OF ENVIRONMENTAL RESEARCH AND PUBLIC HEALTH</t>
  </si>
  <si>
    <t>In Chile, the migrant population has increased in the last years. Migrants adopt behaviors of this new culture, which can have an effect on their health. Contradictory results regarding differences between migrant and native children have been reported. The aim of this study was to explore the associations between nationality with health indicator and lifestyle habits among schoolchildren in Chile. A cross-sectional and observational study with a non-probabilistic sample was conducted in 1033 children (86.4% Chilean and 13.6% migrant) from second to fourth grade of seven public schools from low-income municipalities from the Metropolitan Region, Chile. Anthropometric measurements (weight, height, waist circumference, triceps and subscapular folds), handgrip strength, and standing long jump measurements, physical activity, self-esteem and food guidelines accomplishments were determined. Migrant children presented lower body mass index (BMI), Z-BMI, body fat% and waist circumference values; and higher handgrip strength, standing long jump, and more satisfactory compliance with food guidelines than natives (p &lt; 0.05). No significant difference for physical activity and self-esteem was observed. In the adjusted models, migrants presented lower odds for overweight/obesity, risk of abdominal obesity, low handgrip strength and unsatisfactory food guidelines accomplishment in all models (p &lt; 0.05). The nutritional and muscular fitness of migrant children was better than that of the Chilean ones.</t>
  </si>
  <si>
    <t>Dourado, Daiana/AAO-6746-2021; Suárez- Reyes, Mónica/GYE-3153-2022; Pizarro, Tito/AAY-2260-2021; FERNANDES, ANNA/AAS-5661-2021</t>
  </si>
  <si>
    <t>PINHEIRO FERNANDES, ANNA CHRISTINA/0000-0002-5188-2619; Suarez-Reyes, Monica/0000-0002-5663-4673; pizarro, tito/0000-0002-2514-0072; QUINTILIANO SCARPELLI DOURADO, DAIANA/0000-0003-4317-4601</t>
  </si>
  <si>
    <t>1660-4601</t>
  </si>
  <si>
    <t>JUN</t>
  </si>
  <si>
    <t>10.3390/ijerph18115855</t>
  </si>
  <si>
    <t>WOS:000660014900001</t>
  </si>
  <si>
    <t>Triana, JF; Sanz-Vicario, JL</t>
  </si>
  <si>
    <t>Triana, Johan F.; Luis Sanz-Vicario, Jose</t>
  </si>
  <si>
    <t>Polar diatomic molecules in optical cavities: Photon scaling, rotational effects, and comparison with classical fields</t>
  </si>
  <si>
    <t>JOURNAL OF CHEMICAL PHYSICS</t>
  </si>
  <si>
    <t>We address topics related to molecules coupled to quantum radiation. The formalism of light-matter interaction is different for classical and quantum fields, but some analogies remain, such as the formation of light induced crossings. We show that under particular circumstances, the molecular dynamics under quantum or classical fields produce similar results, as long as the radiation is prepared as a Fock state and far from ultra-strong coupling regimes. At this point, the choice of specific initial Fock states is irrelevant since the dynamics scales. However, in realistic multistate molecular systems, radiative scaling may fail due to the presence of simultaneous efficient non-radiative couplings in the dynamics. Polar molecules have permanent dipoles, and within the context of the full quantum Rabi model with a Pauli-Fierz Hamiltonian, they play a crucial role in the polaritonic dynamics since both permanent dipole moments and self-energy terms produce drastic changes on the undressed potential energy surfaces at high coupling strengths. We also gauge the effect of including rotational degrees of freedom in cavity molecular photodynamics. For diatomic molecules, the addition of rotation amounts to transform (both with classical or quantum fields) a light induced crossing into a light induced conical intersection. However, we show that conical intersections due to molecular rotation do not represent the standard properties of well-known efficient intrinsic conical intersections inasmuch they do not enhance the quantum transition rates.</t>
  </si>
  <si>
    <t>; Triana, Johan F./AAU-9985-2021</t>
  </si>
  <si>
    <t>Sanz-Vicario, Jose Luis/0000-0002-6404-792X; Triana, Johan F./0000-0001-9551-3121</t>
  </si>
  <si>
    <t>0021-9606</t>
  </si>
  <si>
    <t>1089-7690</t>
  </si>
  <si>
    <t>MAR 7</t>
  </si>
  <si>
    <t>10.1063/5.0037995</t>
  </si>
  <si>
    <t>WOS:000630524000020</t>
  </si>
  <si>
    <t>Palma, G; Riveros, A</t>
  </si>
  <si>
    <t>Palma, G.; Riveros, A.</t>
  </si>
  <si>
    <t>General method to sample systems in the microcanonical ensemble using Monte Carlo simulations</t>
  </si>
  <si>
    <t>EUROPEAN PHYSICAL JOURNAL B</t>
  </si>
  <si>
    <t>Monte Carlo simulations have boosted the numerical study of several different physical systems and in particular, the canonical ensemble has been especially useful because of the existence of easy and efficient simulation algorithms. Nevertheless, nature does not know about statistical ensembles and therefore it is desirable and a theoretical challenge to show how to perform numerical simulations in the microcanonical ensemble without the use of unphysical degrees of freedom. In this article, we present a straightforward applicable method based on the concepts of a configurational temperature estimator (Rugh Phys Rev Lett 78:772, 1997; Gutierrez et al. J Phys A Math Theor 51:455003, 2018) and on stochastic dynamics, which is independent of the Monte Carlo update strategy, and can be implemented for both local update or cluster algorithms. We illustrate it by performing a numerical simulation of the two-dimensional XY-model, finding the equilibrium temperature of two spin subsystems initially at different temperatures when they are put into thermal contact.Graphic abstract</t>
  </si>
  <si>
    <t>Rodríguez, Alejandro/R-4062-2019</t>
  </si>
  <si>
    <t>Palma, Guillermo/0000-0001-7326-964X; Riveros, Alejandro/0000-0002-4924-663X</t>
  </si>
  <si>
    <t>1434-6028</t>
  </si>
  <si>
    <t>1434-6036</t>
  </si>
  <si>
    <t>JAN 21</t>
  </si>
  <si>
    <t>10.1140/epjb/s10051-020-00022-6</t>
  </si>
  <si>
    <t>WOS:000612853200002</t>
  </si>
  <si>
    <t>B</t>
  </si>
  <si>
    <t>Cornejo, MA</t>
  </si>
  <si>
    <t>Lopez-Calvo, I</t>
  </si>
  <si>
    <t>Alvarado Cornejo, Marina</t>
  </si>
  <si>
    <t>Literature and Literary Markets</t>
  </si>
  <si>
    <t>HISTORY OF CHILEAN LITERATURE</t>
  </si>
  <si>
    <t>978-1-108-48737-5</t>
  </si>
  <si>
    <t>10.1017/9781108766616</t>
  </si>
  <si>
    <t>WOS:001178587400011</t>
  </si>
  <si>
    <t>C</t>
  </si>
  <si>
    <t>Fernández, A; Díaz, M; Rojas, F; Reyes-Chamorro, L; Chávez, H</t>
  </si>
  <si>
    <t>IEEE</t>
  </si>
  <si>
    <t>Fernandez, Alvaro; Diaz, Matias; Rojas, Felix; Reyes-Chamorro, Lorenzo; Chavez, Hector</t>
  </si>
  <si>
    <t>Impact of the Electrical Energy-Tariff and Vehicle-to-Grid in the Total Cost of Ownership of Electromobility Projects</t>
  </si>
  <si>
    <t>2021 IEEE IFAC INTERNATIONAL CONFERENCE ON AUTOMATION/XXIV CONGRESS OF THE CHILEAN ASSOCIATION OF AUTOMATIC CONTROL (IEEE IFAC ICA - ACCA2021)</t>
  </si>
  <si>
    <t>IEEE IFAC International Conference on Automation (ICA) / 24th Congress of the Chilean-Association-of-Automatic-Control (ACCA)</t>
  </si>
  <si>
    <t>MAR 22-26, 2021</t>
  </si>
  <si>
    <t>ELECTR NETWORK</t>
  </si>
  <si>
    <t>IEEE,Int Federat Automat Control,IEEE Consejo Chile,Chilean Assoc Automat Control,IEEE Chilean Chapter Control Syst,IEEE Chilean Chapter SMC,IEEE Chilean Chapter Educat,IEEE Syst Man &amp; Cybernet Soc,IEEE Control Syst Soc,IEEE Educ Soc,Asociac Ind Elect Elect Chile</t>
  </si>
  <si>
    <t>This paper evaluates the impact of the electric power tariff on the total cost of ownership of electric vehicle purchase projects. Projects are analysed comparing electric vehicles with equivalent internal combustion engines vehicles. The annual equilibrium distance, Chilean energy tariffs, government incentives, and vehicle-to-grid utilities are considered in the analyses. Additionally, the current regulation in Chile is compared with special electrical vehicle energy tariffs applied in other countries is analysed to find possible spots to make electric vehicle projects more convenient.</t>
  </si>
  <si>
    <t>Reyes-Chamorro, Lorenzo/T-6686-2019; Rojas, Felix/U-3305-2019; Manzano, Álvaro/K-7822-2014; Diaz, Matias/R-7570-2018</t>
  </si>
  <si>
    <t>Diaz, Matias/0000-0003-4489-9532</t>
  </si>
  <si>
    <t>978-1-6654-0127-2</t>
  </si>
  <si>
    <t>10.1109/ICAACCA51523.2021.9465273</t>
  </si>
  <si>
    <t>WOS:000855764500052</t>
  </si>
  <si>
    <t>Kaschel, H; Ahumada, C</t>
  </si>
  <si>
    <t>Kaschel, Hector; Ahumada, Cristian</t>
  </si>
  <si>
    <t>Design of a microstrip antenna for Breast Cancer Detection</t>
  </si>
  <si>
    <t>2021 IEEE CHILEAN CONFERENCE ON ELECTRICAL, ELECTRONICS ENGINEERING, INFORMATION AND COMMUNICATION TECHNOLOGIES (IEEE CHILECON 2021)</t>
  </si>
  <si>
    <t>IEEE Chilean Conference on Electrical, Electronics Engineering, Information and Communication Technologies (CHILECON)</t>
  </si>
  <si>
    <t>DEC 06-09, 2021</t>
  </si>
  <si>
    <t>IEEE,IEEE Consejo Chile, IEEE Chile Centro,Asociac Chilena Control Automatico,IEEE Chilean Chapter Control Syst,IEEE Chilean Chapter SMC,IEEE Chilean Chapter Educ,Int Federat Automat Control,IEEE Syst, Man &amp; Cybernet Soc,IEEE Control Syst Soc,IEEE Educ Soc,Chilean Assoc Elect &amp; Elect Ind,IEEE Consejo Chile, Chile Sur,Chilean Assoc Engineeres</t>
  </si>
  <si>
    <t>This paper present the design of a microstrip patch antenna at 3.5 GHz band for breast cancer detection for WBAN applications. Wireless Body Area Network (WBAN) applications are very useful for monitoring patient health and transmitting data wireless. WBAN can benefit greatly from wearable antennas. WBAN can benefit greatly from portable antennas. The design of the antenna with a quarter lambda patch and ground plane with a Taconic RF-35 dielectric substrat with a dielectric constant of 3.5. The simulation of the antenna with the breast model with or without tumor to obtain the levels of Return Loss, VSWR, Gain, Radiation pattern, Power Loss Density and the levels of SAR. The evaluation of the maximum SAR levels with breast model and increased antenna distance to analyze results of the sidseign parameters, which are in accordance with the standards currently accepted.</t>
  </si>
  <si>
    <t>Ahumada, Cristian/0000-0002-2647-1383; Kaschel, Hector/0000-0002-0868-7834</t>
  </si>
  <si>
    <t>978-1-6654-0873-8</t>
  </si>
  <si>
    <t>10.1109/CHILECON54041.2021.9703088</t>
  </si>
  <si>
    <t>WOS:000788072700034</t>
  </si>
  <si>
    <t>Núñez, C; Triviño, JJ; Segura, R; Arancibia, V</t>
  </si>
  <si>
    <t>Nunez, Claudia; Jose Trivino, Juan; Segura, Rodrigo; Arancibia, Veronica</t>
  </si>
  <si>
    <t>Development of a fast and sensitive method for the determination of As(III) at trace levels in urine by differential pulse anodic voltammetry using a simple graphene screen-printed electrode</t>
  </si>
  <si>
    <t>MICROCHEMICAL JOURNAL</t>
  </si>
  <si>
    <t>A simple and fast anodic voltammetric method was employed to determine traces of As(III) in urine samples using commercial screen-printed graphene electrodes without subsequent modification. To obtain a sensitive and selective method for As(III) determination, the effects of various parameters such as pH, supporting electrolyte concentration, accumulation potential (E-acc), accumulation time (t(acc)), and potential scan conditions were studied. The optimum experimental conditions were chosen to be as follows: pH of 2.8 (0.01 mol L-1 phosphate buffer), scan increment of 4 mV, pulse width of 80 ms, pulse period of 0.5 s, and pulse amplitude of 200 mV. Differential pulse voltammograms were obtained by scanning from -0.80 V to 0.80 V without applying an accumulation step. Under these conditions, one peak was observed at 0.27 V due to As-0 oxidation. After optimizing the experimental conditions, the anodic peak current for As was found to be linearly related to its concentration up to ca. 5.0 mu g L-1, with detection and quantitation limits (DLs, QLs) of 0.28 mu g L-1 and 0.92 mu g L-1, respectively. The developed method was validated by the determination of As(III) in spiked tap water from our laboratory, which showed an As(III) concentration of 50.64 +/- 0.10 mu g L-1 (spiked with 50.0 mu g L-1); two urine samples (where As was not detected) spiked with As(III) 0.73 mu g L-1 and 0.91 mu g L-1 (in the cell) showed an As(III) concentration of 0.70 mu g L-1 and 0.91 mu g L-1, respectively. The method was successfully applied to the determination of As-total in 16 urine samples obtained from workers occupationally exposed to inorganic arsenic compounds without previous treatment. The results obtained for As-total were compared with measurements made by an external analytical laboratory, which used HG-AAS. To determine As-total, As(V) was reduced in the presence of thiosulfate in an acid medium. The electrode showed good stability and repeatability.</t>
  </si>
  <si>
    <t>Segura, Rodrigo/J-6696-2016</t>
  </si>
  <si>
    <t>Arancibia, Veronica/0000-0001-7493-0460; Nunez, Claudia/0000-0002-5523-6569; Segura, Rodrigo/0000-0001-5747-2357</t>
  </si>
  <si>
    <t>0026-265X</t>
  </si>
  <si>
    <t>1095-9149</t>
  </si>
  <si>
    <t>10.1016/j.microc.2020.105393</t>
  </si>
  <si>
    <t>WOS:000598762000009</t>
  </si>
  <si>
    <t>Barrera, GA; Ponce, HR</t>
  </si>
  <si>
    <t>Barrera, Gustavo A.; Ponce, Hector R.</t>
  </si>
  <si>
    <t>Personality traits influencing young adults' conspicuous consumption</t>
  </si>
  <si>
    <t>INTERNATIONAL JOURNAL OF CONSUMER STUDIES</t>
  </si>
  <si>
    <t>Young consumers contribute significantly to the growth of luxury consumption worldwide, particularly in the new-luxury category. Studies addressing personality conditions that influence the consumption of new-luxury brands are still limited. Based on the 3M Model of Motivation and Personality, this study demonstrates that the competitiveness and need for learning personality traits influence bandwagon and snob consumption of new-luxury brands. The main hypotheses establish that bandwagon and snob consumption are affected positively by the competitiveness personality trait and negatively by the need for learning personality trait. Data were collected through a survey responded by 717 college students, representing young adult group and also distributed in five different Chilean cities. The analysis was carried out using structural equation models. The results confirmed that competitiveness predisposed individuals to conspicuous consumption associated with new-luxury brands in the clothing, perfume and smartphone categories. Regarding the need for learning trait, only a negative relationship was found in the clothing category but not in the perfume and smartphone categories. This study contributes to extend our understanding of luxury consumption, providing empirical evidence of the effects of psychological conditions on the consumption of new-luxury goods by young adults.</t>
  </si>
  <si>
    <t>Ponce, Hector/H-9545-2019; Barrera, Gustavo/ABC-4583-2021</t>
  </si>
  <si>
    <t>Barrera Verdugo, Gustavo/0000-0002-1609-5003; Ponce, Hector R./0000-0002-7984-3945</t>
  </si>
  <si>
    <t>1470-6423</t>
  </si>
  <si>
    <t>1470-6431</t>
  </si>
  <si>
    <t>10.1111/ijcs.12623</t>
  </si>
  <si>
    <t>OCT 2020</t>
  </si>
  <si>
    <t>WOS:000580970500001</t>
  </si>
  <si>
    <t>Aldabaldetrecu, M; Parra, M; Soto, S; Arce, P; Tello, M; Guerrero, J; Modak, B</t>
  </si>
  <si>
    <t>Aldabaldetrecu, Maialen; Parra, Mick; Soto, Sarita; Arce, Pablo; Tello, Mario; Guerrero, Juan; Modak, Brenda</t>
  </si>
  <si>
    <t>New Copper(I) Complex with a Coumarin as Ligand with Antibacterial Activity againstFlavobacterium psychrophilum</t>
  </si>
  <si>
    <t>MOLECULES</t>
  </si>
  <si>
    <t>A new copper (I) complex, [Cu(NN1)(2)](ClO4)(,)was synthesized, where NN(1)was a imine ligand 6-((quinolin-2-ylmethylene)amino)-2H-chromen-2-one obtained by a derivatization of natural compound coumarin. The structural characterization in solution was done by NMR techniques, UV-Vis and cyclic voltammetry. The potential antibacterial effect of [Cu(NN1)(2)](ClO4)(,)was assessed forF. psychrophilumisolated 10094.F. psychrophilumis a Gram-negative bacterium which causes diseases such as bacterial cold-water disease and rainbow trout fry syndrome, causing large economic losses in the freshwater salmonid aquaculture industry. This complex show to have antibacterial activity againstF. psychrophilum10094 at non-cytotoxic concentration in cell line derived from trout (F. psychrophilum10094 IC(50)16.0 +/- 0.9; RT-GUT IC(50)53.0 +/- 3.1 mu g/mL).</t>
  </si>
  <si>
    <t>Tello, Mario/N-4198-2019</t>
  </si>
  <si>
    <t>Modak Canobra, Brenda/0000-0001-5292-0480; Tello, Mario/0000-0003-4573-6460; ArceOrtega, Pablo/0000-0002-4689-3874</t>
  </si>
  <si>
    <t>1420-3049</t>
  </si>
  <si>
    <t>JUL</t>
  </si>
  <si>
    <t>10.3390/molecules25143183</t>
  </si>
  <si>
    <t>WOS:000557071100001</t>
  </si>
  <si>
    <t>Aravena, CR; Muñoz, AS</t>
  </si>
  <si>
    <t>Rivera Aravena, Carla; Salgado Munoz, Alfonso</t>
  </si>
  <si>
    <t>MORE THAN AN IMPROVISATION. CARTOGRAPHY OF THE JOURNALISTIC STRATEGIES OFTHE COMMUNIST PARTY OF CHILE, 1930-1970</t>
  </si>
  <si>
    <t>HISTORIA 396</t>
  </si>
  <si>
    <t>This article examines the journalistic strategies deployed by the Communist Party of Chile through the construction of a cartography of its press system between 1930 and 1970. From the analysis of the evolution of the communist press system, we argue that the party was able to confront the political and sociocultural changes of the period successfully, positioning itself in the public sphere and influencing public opinion, despite the hostility it faced. In this sense, this study challenges the views that tend to view the political press as a device designed only for the militants and, in turn, shows the role of the media in politics, that is, the political game; it does so from a long-term perspective, which becomes necessary to understand the socialization of the communist ideology, its party significance, and its impact on the Chilean popular movement. In addition to being a contribution to the history of the left, this article contributes to communications studies to the extent that it distances itself from the linear scheme that tends to make the political press invisible in terms of the hegemony of the modern massive press.</t>
  </si>
  <si>
    <t>0719-0719</t>
  </si>
  <si>
    <t>0719-7969</t>
  </si>
  <si>
    <t>JUL-DEC</t>
  </si>
  <si>
    <t>WOS:000609453900010</t>
  </si>
  <si>
    <t>Kozlova, O; Noguera-Santaella, J</t>
  </si>
  <si>
    <t>Kozlova, Olesia; Noguera-Santaella, Jose</t>
  </si>
  <si>
    <t>Are Asian Dragons and Tigers catching up?</t>
  </si>
  <si>
    <t>EMPIRICAL ECONOMICS</t>
  </si>
  <si>
    <t>This paper studies the catching up process in per capita income of the so-called Asian Dragons and Tigers. It contributes to the literature in several ways. First, it tests the catching up hypothesis using the longest time span ever considered, from 1870 to 2014. Second, it documents the experiences of these two groups of countries and provides potential explanations for them. Third, the analysis of the paper uses the Kejriwal and Perron (J Time Ser Anal 31:305-328, 2010) algorithm which allows us to endogenously estimate multiple structural breaks in the level and the trend of the series without prior knowledge of their integration level. This surpasses technical concerns of previous empirical studies. Fourth, it inquiries into how the Asian financial crisis affected the catching up process among the Dragons and Tigers economies.</t>
  </si>
  <si>
    <t>0377-7332</t>
  </si>
  <si>
    <t>1435-8921</t>
  </si>
  <si>
    <t>10.1007/s00181-018-1517-5</t>
  </si>
  <si>
    <t>WOS:000475700300009</t>
  </si>
  <si>
    <t>Montenegro-Pohlhammer, N; Urzúa-Leiva, R; Páez-Hernández, D; Cárdenas-Jirón, G</t>
  </si>
  <si>
    <t>Montenegro-Pohlhammer, Nicolas; Urzua-Leiva, Rodrigo; Paez-Hernandez, Dayan; Cardenas-Jiron, Gloria</t>
  </si>
  <si>
    <t>Spin-filter transport and magnetic properties in a binuclear Cu(ii) expanded porphyrin based molecular junction</t>
  </si>
  <si>
    <t>DALTON TRANSACTIONS</t>
  </si>
  <si>
    <t>Although the magnetic and transport properties of molecular junction systems composed of metalled porphyrins or phthalocyanines have been broadly studied in recent years, to date no studies have been devoted to evaluate the aforementioned properties in junction systems featuring metalled expanded porphyrins as active elements. The present work reports a detailed theoretical study of the magnetic and electronic transport properties of the recently synthesized dinuclear Cu(ii)-naphthoisoamethyrin complex (PyCu2). This is the first work on performing these kinds of studies using a magnetically coupled metallic expanded porphyrin as a molecular kernel. DFT and wave function-based methods have been used to determine the nature of the magnetic interaction between the metallic centres, characterized by the exchange coupling constant J, showing that although this was found to be weakly antiferromagnetic, after an exhaustive analysis it turns out that the coupling has a ferromagnetic nature with a value of J = 14.2 cm(-1). Once the magnetic ground state of PyCu2 was rigorously established, the spin resolved transport properties of the device composed of the expanded porphyrin attached to two gold nano-wires were studied by means of the combination of DFT and the nonequilibrium Green's function formalism, in order to explore PyCu2 prospects as a possible spintronic device.</t>
  </si>
  <si>
    <t>cardenas-jiron, gloria/H-9508-2012; Montenegro-Pohlhammer, Nicolas/HJZ-2914-2023; Páez-Hernández, Dayán/AAJ-3317-2020; Urzua-Leiva, Rodrigo/Y-9809-2018</t>
  </si>
  <si>
    <t>Urzua-Leiva, Rodrigo/0000-0002-6953-2721; Montenegro-Pohlhammer, Nicolas/0000-0003-3574-2955; Paez-Hernandez, Dayan/0000-0002-8163-1343; Paez, Dayan/0000-0003-2747-9982</t>
  </si>
  <si>
    <t>1477-9226</t>
  </si>
  <si>
    <t>1477-9234</t>
  </si>
  <si>
    <t>10.1039/c9dt01312a</t>
  </si>
  <si>
    <t>WOS:000472537600043</t>
  </si>
  <si>
    <t>Azócar, MI; Alarcón, R; Castillo, A; Blamey, JM; Walter, M; Paez, M</t>
  </si>
  <si>
    <t>Azocar, Manuel I.; Alarcon, Romina; Castillo, Antonio; Blamey, Jenny M.; Walter, Mariana; Paez, Maritza</t>
  </si>
  <si>
    <t>Capping of silver nanoparticles by anti-inflammatory ligands: Antibacterial activity and superoxide anion generation</t>
  </si>
  <si>
    <t>JOURNAL OF PHOTOCHEMISTRY AND PHOTOBIOLOGY B-BIOLOGY</t>
  </si>
  <si>
    <t>Silver nanoparticles (AgNPs) have been widely recognized as antibacterial agents. However, its stability and activity over time have been poorly studied. In this work, the properties and characteristics of differently stabilized AgNPs were evaluated during a span of time. The surface capping agents were diclofenac (d), and ketorolac (k), which currently are used as anti-inflammatory in human medicine. On evaluating the size variation over time, it was observed that the AgNPs-k are the most stable, unlike the non-capped nanoparticles agglomerate and precipitate. UV-Vis spectroscopy analysis showed that the absorbance during time decreases for the three types of nanoparticles, but the decrease is less marked for the two types of anti-inflammatory-capped AgNPs. The rapid loss of the optical prop- erties of bare AgNPs, is mainly due to oxidation, agglomeration, and precipitation of this nanoparticles. The potential cytotoxicity of the AgNPs, evaluated through the formation of the superoxide anion using XXT, showed that both, AgNPs-k and AgNPs-d, generate the radical anion when the samples are irradiated with UV light at 365 nm. This effect appears associated with the capping agents, since the bare nanoparticles did not promote the formation of the superoxide anion. The antibacterial activity of the AgNPs throughout time, against two microorganisms (Escherichia coli and Staphylococcus aureus), was also evaluated. The results showed that capping agents played a decisive role in the antibacterial ability of AgNPs and also in enhancing the antibacterial activity over time.</t>
  </si>
  <si>
    <t>Paez, Maritza/M-2010-2014; Blamey, Jenny/M-2637-2014; Castillo, Antonio/AAE-6832-2020; Azocar, Manuel/I-1226-2013</t>
  </si>
  <si>
    <t>Castillo, Antonio/0000-0003-0639-6045; Azocar Guzman, Manuel/0000-0003-1098-4659; paez, maritza/0000-0001-5881-884X</t>
  </si>
  <si>
    <t>1011-1344</t>
  </si>
  <si>
    <t>10.1016/j.jphotobiol.2019.02.005</t>
  </si>
  <si>
    <t>WOS:000463982600008</t>
  </si>
  <si>
    <t>Díaz-Núñez, F; Halman, N; Vásquez, OC</t>
  </si>
  <si>
    <t>Diaz-Nunez, Fabian; Halman, Nir; Vasquez, Oscar C.</t>
  </si>
  <si>
    <t>The TV advertisements scheduling problem</t>
  </si>
  <si>
    <t>OPTIMIZATION LETTERS</t>
  </si>
  <si>
    <t>A TV channel has a single advertisement break of duration h and a convex continuous function f[0,h] -&gt; R+ representing the TV rating points within the advertisement break. Given n TV advertisements of different durations pj that sum up to h, and willingness to pay coefficients wj, the objective is to schedule them on the TV break in order to maximize the total revenue of the TV channel Sigma jwjcj-pjcjf(t)dt, where [cj-pj,cj) is the broadcast time interval of TV advertisement j. We show that this problem is NP-hard and propose a fully polynomial time approximation scheme, using a special dominance property of an optimal schedule and the technique of K-approximation sets and functions introduced by Halman et al. (Math Oper Res 34:674-685, 2009).</t>
  </si>
  <si>
    <t>Vasquez, Oscar C./0000-0002-1393-4692</t>
  </si>
  <si>
    <t>1862-4472</t>
  </si>
  <si>
    <t>1862-4480</t>
  </si>
  <si>
    <t>FEB</t>
  </si>
  <si>
    <t>10.1007/s11590-018-1251-0</t>
  </si>
  <si>
    <t>WOS:000456078100007</t>
  </si>
  <si>
    <t>Melo, R; Sanhueza, L; Mendoza, L; Cotoras, M</t>
  </si>
  <si>
    <t>Melo, R.; Sanhueza, L.; Mendoza, L.; Cotoras, M.</t>
  </si>
  <si>
    <t>Characterization of the fungitoxic activity on Botrytis cinerea of the aristolochic acids I and II</t>
  </si>
  <si>
    <t>LETTERS IN APPLIED MICROBIOLOGY</t>
  </si>
  <si>
    <t>The fungitoxic effect of aristolochic acids I and II on mycelial growth and conidial germination of Botrytis cinerea was analysed. Aristolochic acid I had a higher effect on mycelial growth of B. cinerea than aristolochic acid II with IC50 value of 18 center dot 7 and 57 center dot 0 mu g ml(-1), respectively. These compounds did not affect the conidia germination. Also, the effect of both compounds on DNA and plasmatic membrane integrity of B. cinerea was studied. Only aristolochic acid II was able to cause damage to the integrity of the plasmatic membrane. When the fungus was incubated with a mixture of these compounds, degradation of DNA was observed. Finally, biotransformation products were not detected in the culture broth when B. cinerea was incubated in the presence of the aristolochic acids. Studies of structural characteristics that increase the antifungal effect of compounds against B. cinerea will permit to design new molecules to control this phytopathogenic fungus.</t>
  </si>
  <si>
    <t>Melo, Roger/KSL-6485-2024</t>
  </si>
  <si>
    <t>0266-8254</t>
  </si>
  <si>
    <t>1472-765X</t>
  </si>
  <si>
    <t>10.1111/lam.13086</t>
  </si>
  <si>
    <t>WOS:000453016400007</t>
  </si>
  <si>
    <t>Rebolledo, I; Acuna, R; Rivera, M; Chavez, H</t>
  </si>
  <si>
    <t>Rebolledo, Ignacio; Acuna, Rodrigo; Rivera, Marco; Chavez, Hector</t>
  </si>
  <si>
    <t>Towards Distribution Revenue Adequacy in Chile: Lessons Learned from Australia</t>
  </si>
  <si>
    <t>2019 IEEE CHILEAN CONFERENCE ON ELECTRICAL, ELECTRONICS ENGINEERING, INFORMATION AND COMMUNICATION TECHNOLOGIES (CHILECON)</t>
  </si>
  <si>
    <t>IEEE CHILEAN Conference on Electrical, Electronics Engineering, Information and Communication Technologies (CHILECON)</t>
  </si>
  <si>
    <t>OCT 29-31, 2019</t>
  </si>
  <si>
    <t>Valparaiso, CHILE</t>
  </si>
  <si>
    <t>IEEE Consejo Cono Sur,IEEE Consejo Chile,Chilean Assoc Automat Control,IEEE Chilean Chapter ontrol Syst,IEEE Chilean Chapter SMC,Univ Catolica Valparaiso Chile, Escuela Ingn Informatica, Fac Ingn Pontificia,IEEE,IEEE Syst Man &amp; Cybernet Soc,Chilean AssocElect &amp; Elect Ind,IEEE Control Syst Soc</t>
  </si>
  <si>
    <t>The integration of distributed PV has raised several concerns on the distribution financial adequacy. Due to the Chilean's regulation on energy distribution rates, most distribution costumers own traditional meters, which are only capable of measuring energy. As a result, one part of the income obtained is employed on financing the energy generation, and another covers distribution's infrastructure costs. When PV integration occurs at the distribution level, the energy consumed by the distribution's clients decreases, so, correspondingly, both energy and infrastructure collection decrease as well. While the reduction on the energy's collection does not significantly affect the distribution operation, the reduction on the part of the collection set aside for distribution's infrastructure is not related with a significant reduction on investment nor operational costs of the distribution systems. Thus, a financial imbalance may happen, which may discourage PV integration from a public policy perspective. This work describes the financial problem of PV integration and distribution financial adequacy and examines the experience of Australia on the matter.</t>
  </si>
  <si>
    <t>Rivera, Marco/E-9124-2012</t>
  </si>
  <si>
    <t>978-1-7281-3185-6</t>
  </si>
  <si>
    <t>WOS:000542919100139</t>
  </si>
  <si>
    <t>Rodrigues, RN; Pereira, LSB; Massuyama, GA; Soto, I</t>
  </si>
  <si>
    <t>Rodrigues, R. N.; Pereira, L. S. B.; Massuyama, G. A.; Soto, I</t>
  </si>
  <si>
    <t>Development of a phasor measurement unit prototype applied to Brazilian and Chilean electrical systems</t>
  </si>
  <si>
    <t>A reliable and efficient electric distribution network depends on a real-time acquisition system and data transmission. Monitoring the dynamic performance of large areas of the transmission systems is based on Phasor Measurement Units (PMUs). The advantage of using PMUs is a high data acquisition rate and the synchronization of measurements using Global Positioning System (GPS). This paper presents the development of a low-cost PMU prototype, based on IEEE C37.118 standards, using Digital Signal Processor (DSP).</t>
  </si>
  <si>
    <t>Rodrigues, Rafael/AAR-6041-2020</t>
  </si>
  <si>
    <t>Rodrigues, Rafael Nilson/0000-0003-1778-3884; Benitez Pereira, Leonardo Santiago/0000-0001-9429-7308</t>
  </si>
  <si>
    <t>WOS:000542919100112</t>
  </si>
  <si>
    <t>Barraza, JJM</t>
  </si>
  <si>
    <t>Martinez Barraza, Juan Jose</t>
  </si>
  <si>
    <t>Tobacco consumption in Santiago de Chile during the late colonial and early Republican era</t>
  </si>
  <si>
    <t>HISTORIA AGRARIA</t>
  </si>
  <si>
    <t>This article assesses the consumption of tobacco in Santiago de Chile from the last third of the eighteenth century until the first decades of the republican era. Evidence indicates a rather favourable standard of living in Bourbon America, in contrast with the less optimistic view portrayed by Allen, Murphy and Schneider (2012). The methodology employed here consisted of compiling the trading values of the tobacconist profession, including prices and volumes of tobacco sales, in order to visualize the effective consumption of the population through the use of documentary sources from the Chilean general tobacco administration. The results show that tobacco consumption increased in Santiago during this extended period, in line with population growth and despite the rise in the average price of tobacco. In terms of volume, legal consumption of tobacco exceeded 3 pounds per capita per year at the end of the colonial period, while in the early republican decades it dropped to 2 pounds. This evolution can be explained due to the transformation of the consumption pattern in Santiago, where the colonial preference for less elaborated tobacco gave way to a greater assortment of refined products after the revolutionary period that began in 1810. More importantly, access to tobacco would have been universal, since on average it cost only 2.5% of the annual income of the least qualified workers.</t>
  </si>
  <si>
    <t>Martínez, Juan/S-5746-2019</t>
  </si>
  <si>
    <t>1139-1472</t>
  </si>
  <si>
    <t>2340-3659</t>
  </si>
  <si>
    <t>10.26882/histagrar.076e04m</t>
  </si>
  <si>
    <t>WOS:000451362000005</t>
  </si>
  <si>
    <t>Castillo, JI; Celentano, DJ; Cruchaga, MA; García-Herrera, CM</t>
  </si>
  <si>
    <t>Castillo, Javier, I; Celentano, Diego J.; Cruchaga, Marcela A.; Garcia-Herrera, Claudio M.</t>
  </si>
  <si>
    <t>Characterization of strain rate effects in sheet laser forming</t>
  </si>
  <si>
    <t>COMPTES RENDUS MECANIQUE</t>
  </si>
  <si>
    <t>This work presents numerical simulations and experimental validation of sheet laser forming processes using a single-step straight path with different laser beam powers (four levels ranging from 30 W to 120 W) and scanning speeds (four levels ranging from 5 mm/s to 20 mm/s) in graphite-coated AISI 304 stainless steel 0.6-mm-thick sheets. The numerical simulations of these cases are performed via a coupled thermomechanical finite element formulation accounting for large strains, temperature-dependent material properties and convection-radiation phenomena. Firstly, a rate-independent plastic model is used. Although this model adequately predicts the final bending angle for the cases achieving relatively low maximum temperatures, i.e. cases with low laser beam powers and high scanning speeds, it fails in describing the deformation pattern for the cases with higher maximum temperatures, i.e. cases with high laser beam powers and low scanning speeds. Secondly, in order to overcome this drawback, a rate-dependent viscoplastic model including a stress-dependent viscosity law is proposed to simulate the same cases. The final bending angles provided by this model are found to be in good agreement with the experimental measurements for the whole ranges of laser beam power and scanning speed studied in this work. Therefore, the use of this viscoplastic model in the simulation of sheet laser forming allows us to conclude that the strain rate effects, which mainly play a relevant role at high temperatures, can be adequately characterized. (C) 2018 Academie des sciences. Published by Elsevier Masson SAS. All rights reserved.</t>
  </si>
  <si>
    <t>García-Herrera, Claudio/ABE-8991-2020; Celentano, Diego/JQW-5027-2023; Cruchaga, Marcela/M-7522-2014</t>
  </si>
  <si>
    <t>Garcia-Herrera, Claudio/0000-0002-1283-8551; Cruchaga, Marcela/0000-0002-8708-2402</t>
  </si>
  <si>
    <t>1631-0721</t>
  </si>
  <si>
    <t>1873-7234</t>
  </si>
  <si>
    <t>SI</t>
  </si>
  <si>
    <t>10.1016/j.crme.2018.05.001</t>
  </si>
  <si>
    <t>WOS:000438394600014</t>
  </si>
  <si>
    <t>Rodrigues-Bezerra, D; Ramirez-Velez, R; Correa-Bautista, JE; Moreno-Montoya, JD; Tovar, G; Garcia-Hermoso, A</t>
  </si>
  <si>
    <t>Rodrigues-Bezerra, Diogo; Ramirez-Velez, Robinson; Correa-Bautista, Jorge E.; De Jesus Moreno-Montoya, Jose; Tovar, Gustavo; Garcia-Hermoso, Antonio</t>
  </si>
  <si>
    <t>Geographical Distribution, Socioeconomic Status And Health-related Physical Fitness In Adolescents From A Large Population-based Sample From Bogota, Colombia: The Ser Study</t>
  </si>
  <si>
    <t>MEDICINE AND SCIENCE IN SPORTS AND EXERCISE</t>
  </si>
  <si>
    <t>Annual Meeting of the American-College-of-Sports-Medicine (ACSM)</t>
  </si>
  <si>
    <t>MAY 30-JUN 03, 2017</t>
  </si>
  <si>
    <t>Denver, CO</t>
  </si>
  <si>
    <t>Amer Coll Sports Med</t>
  </si>
  <si>
    <t>García-Hermoso, Antonio/ADU-2591-2022; Ramírez-Vélez, Robinson/D-5311-2016; Correa-Bautista, Jorge/N-2741-2015; Garcia-Hermoso, Antonio/P-1857-2017</t>
  </si>
  <si>
    <t>Garcia-Hermoso, Antonio/0000-0002-1397-7182</t>
  </si>
  <si>
    <t>0195-9131</t>
  </si>
  <si>
    <t>1530-0315</t>
  </si>
  <si>
    <t>10.1249/01.mss.0000519495.92617.80</t>
  </si>
  <si>
    <t>WOS:000415216000285</t>
  </si>
  <si>
    <t>Ducassou, B; Nuñez, J; Cruchaga, M; Abadie, S</t>
  </si>
  <si>
    <t>Ducassou, B.; Nunez, J.; Cruchaga, M.; Abadie, S.</t>
  </si>
  <si>
    <t>A fictitious domain approach based on a viscosity penalty method to simulate wave/structure interaction</t>
  </si>
  <si>
    <t>JOURNAL OF HYDRAULIC RESEARCH</t>
  </si>
  <si>
    <t>This work presents an original numerical model for a free surface flow interacting with a spring-block system. The formulation is based on the fictitious domain approach and a penalty method on viscosity to describe the rigid solid motion. The incompressible Navier-Stokes equations are solved in the whole domain and the free surface and the body contour are captured using a volume of fluid method. To describe the rigid body motion, a single degree of freedom model, able to represent translation or rotation, is embedded in the code. The discrete equations are written in a well-known finite volume framework over Cartesian grids. In such a context, the external spring and damping forces are represented as body forces in the solid region. The proposed strategy is tested in a sloshing damping system. The numerical results are compared with experimental data obtained within the present study. Finally, the method is used to simulate a wave energy converter system as an illustration of a rotational case.</t>
  </si>
  <si>
    <t>Abadie, Stephane/ABU-2537-2022; Cruchaga, Marcela/M-7522-2014</t>
  </si>
  <si>
    <t>Cruchaga, Marcela/0000-0002-8708-2402; Nunez, Jonathan/0000-0003-2008-5219</t>
  </si>
  <si>
    <t>0022-1686</t>
  </si>
  <si>
    <t>1814-2079</t>
  </si>
  <si>
    <t>10.1080/00221686.2017.1289257</t>
  </si>
  <si>
    <t>WOS:000423221500009</t>
  </si>
  <si>
    <t>García-Hermoso, A; Marina, R</t>
  </si>
  <si>
    <t>Garcia-Hermoso, Antonio; Marina, Raquel</t>
  </si>
  <si>
    <t>Relationship of weight status, physical activity and screen time with academic achievement in adolescents</t>
  </si>
  <si>
    <t>OBESITY RESEARCH &amp; CLINICAL PRACTICE</t>
  </si>
  <si>
    <t>Objective: The aim of this study was to examine the relationship of weight status, physical activity and screen time with academic achievement in Chilean adolescents. Methods: The present cross-sectional study included 395 adolescents. The International Obesity Task Force cut-off points were used to define the weight status. Physical activity was assessed using the Physical Activity Questionnaire for Adolescents and screen time was assessed using several questions about television, videogame and computer use. Academic achievement was measured using the mean of the grades obtained in mathematics and language subjects. Results: In both genders, adolescents with obesity and excessive screen time earned worse grades compared to their non-obese peers and their peers that complied with screen time recommendations. The logistic regression analysis showed that adolescents with obesity, classified with medium low physical activity and excessive screen time recommendations (excess &gt;= 2 h/day) are less likely to obtain high academic achievement (boys: OR = 0.26; girls: OR = 0.23) compared to their non-obese peers, high levels of physical activity and those who comply with the current screen time recommendations. Similar results were observed in adolescents with obesity and classified with medium low physical activity (boys: OR 0.46; girls: OR = 0.33) or excessive screen time (boys: OR = 0.35; girls: OR = 0.36) compared to adolescents with high levels of physical activity and those who complied with the screen time recommendations, respectively. Conclusion: This study shows that when combined, obesity, low medium levels of physical activity and excessive screen time might be related to poor academic achievement. (C) 2015 Asian Oceanian Association for the Study of Obesity. Published by Elsevier Ltd. All rights reserved.</t>
  </si>
  <si>
    <t>García-Hermoso, Antonio/ADU-2591-2022; Garcia-Hermoso, Antonio/P-1857-2017</t>
  </si>
  <si>
    <t>1871-403X</t>
  </si>
  <si>
    <t>1878-0318</t>
  </si>
  <si>
    <t>JAN-FEB</t>
  </si>
  <si>
    <t>10.1016/j.orcp.2015.07.006</t>
  </si>
  <si>
    <t>WOS:000396400000006</t>
  </si>
  <si>
    <t>Gramsch, E; Reyes, F; Vásquez, Y; Oyola, P; Rubio, MA</t>
  </si>
  <si>
    <t>Gramsch, Ernesto; Reyes, Felipe; Vasquez, Yeanice; Oyola, Pedro; Rubio, Maria A.</t>
  </si>
  <si>
    <t>Prevalence of Freshly Generated Particles during Pollution Episodes in Santiago de Chile</t>
  </si>
  <si>
    <t>AEROSOL AND AIR QUALITY RESEARCH</t>
  </si>
  <si>
    <t>A winter campaign was carried out in Santiago de Chile the year 2012 in two urban sites that can be considered representative for most of the city in order to characterize formation of primary and secondary PM1.0 during episodes. One site is located in the campus of the University of Santiago and measurements were carried out with an Aerosol Chemical Speciation Monitor and a black carbon monitor. Another site is located in a large park, about 2 km south-east of the first site, measurements of CO, NOx, SO2, O-3 were done in this site. A noticeable increase in most of the primary components of PM1.0 (black carbon and organics) and primary gases (CO and NO) was observed during days in which the average PM1.0 concentration was higher than 50 mu g m(-3) (episode). A small increase or no change was observed in the secondary pollutants (NH4, NO3, SO4 and NO2) at night during these episodes. Positive Matrix Factorization was used to extract four components from the ACSM data: hydrocarbon-like organic aerosol (HOA), biomass burning OA (BBOA), low volatility oxygenated OA (LV-OOA) and semi-volatile oxygenated OA (SV-OOA). The freshly generated components (HOA and BBOA) showed a clear increase at night during episodes, while the aged fraction of organic aerosol (LV-OOA and SV-OOA) showed a smaller increase or a decrease at night during episodes. Correlation of HOA and BBOA components with primary pollutants was also high, indicating that freshly created aerosols (HOA, BBOA and BC) are in large part responsible for the increase in pollution at night during episodes in Santiago de Chile.</t>
  </si>
  <si>
    <t>Bajo, Maria/ABF-6991-2020; Gramsch, Ernesto/M-5507-2017</t>
  </si>
  <si>
    <t>Gramsch, Ernesto/0000-0002-6787-7355</t>
  </si>
  <si>
    <t>1680-8584</t>
  </si>
  <si>
    <t>2071-1409</t>
  </si>
  <si>
    <t>SEP</t>
  </si>
  <si>
    <t>10.4209/aaqr.2015.12.0691</t>
  </si>
  <si>
    <t>WOS:000392304100009</t>
  </si>
  <si>
    <t>Córdova, FM; Troncoso, N; Díaz, H; Palominos, F; Canete, L</t>
  </si>
  <si>
    <t>Lee, H; Shi, Y; Lee, J; Cordova, F; Dzitac, I; Kou, G; Li, J</t>
  </si>
  <si>
    <t>Cordova, Felisa M.; Troncoso, Natalia; Diaz, Hernan; Palominos, Fredi; Canete, Lucio</t>
  </si>
  <si>
    <t>Design of a decision-making tool to identify cross-correlation brain dominances</t>
  </si>
  <si>
    <t>PROMOTING BUSINESS ANALYTICS AND QUANTITATIVE MANAGEMENT OF TECHNOLOGY: 4TH INTERNATIONAL CONFERENCE ON INFORMATION TECHNOLOGY AND QUANTITATIVE MANAGEMENT (ITQM 2016)</t>
  </si>
  <si>
    <t>Procedia Computer Science</t>
  </si>
  <si>
    <t>4th International Conference on Information Technology and Quantitative Management (ITQM) - Promoting Business Analytics and Quantitative Management of Technology</t>
  </si>
  <si>
    <t>AUG 16-18, 2016</t>
  </si>
  <si>
    <t>Asan, SOUTH KOREA</t>
  </si>
  <si>
    <t>Hoseo Univ, Acad Informat Technol &amp; Quantitat Management,Korea Adv Inst Sci &amp; Technol,Chinese Acad Sci, Res Ctr Fictitious Economy &amp; Data Sci,Chinese Acad Sci, Key Lab Big Data Mining &amp; Knowledge Management,Univ Chinese Acad Sci, Sch Econ &amp; Management,Chinese Acad Sci, Inst Policy &amp; Management,Univ Nebraska,Beijing Taiji Huabao Tech Co Ltd,Chinese Acad Management</t>
  </si>
  <si>
    <t>The objective of this study is to design a decision-making tool to carry out a sequence of intermediate processing analytic steps in order to render a graphic visualization of significant correlations between pairs of EEG channels. We submitted a set of students to an abbreviated version of a visual intelligent test while we recorded EEG activity covering frontal, temporal, parietal and occipital areas of the brain cortex through the scalp. The graphs generated show correlations between specific ranges of R Spearman values and pairs of electrodes relevant for the particular study needed. We used this tool to make a descriptive classification of subjects according to the inter-channels correlation maps generated by our decision-making tool. We called correlation dominances to the areas defined for a high concentration of significant correlations. This term has been used previously as a way to classify styles of people's thinking-acting in relation to four descriptive referential brain areas. We contrasted our correlation dominances results with this psychological-questionnaire tool in search of consistencies. To design the brain connectivity module, we used Rapid Application Development (RAD) methodology. The tool has been developed in Matlab to analyze signal data ranges delta, theta, alpha, beta, and gamma; all these obtained from the EEG cleaned off artifacts, pre-processed and separated into bands using EEGLAB. Pearson correlation is utilized to detect synchronic connectivity dominances (correlations) through the brain areas. The results are presented in terms of cross-correlation maps, or correlation matrices, between the 14 channels of EEG signal for different EEG frequency bands. (C) 2016 The Authors. Published by Elsevier B.V.</t>
  </si>
  <si>
    <t>Palominos, Fredi/U-4690-2019; CORDOVA, FELISA/S-1093-2019; Arratia, Lucio/AAV-6112-2020</t>
  </si>
  <si>
    <t>Canete Arratia, Lucio/0000-0002-1191-8728; Palominos, Fredi/0000-0002-6119-4991; CORDOVA, FELISA/0000-0002-5557-8569</t>
  </si>
  <si>
    <t>1877-0509</t>
  </si>
  <si>
    <t>10.1016/j.procs.2016.07.042</t>
  </si>
  <si>
    <t>WOS:000387683300007</t>
  </si>
  <si>
    <t>Lacoste, P; Aranda, M</t>
  </si>
  <si>
    <t>Lacoste, Pablo; Aranda, Marcela</t>
  </si>
  <si>
    <t>AFRICAN AMERICANS AS CO-FOUNDERS OF THE VITICULTURE OF ARGENTINA AND CHILE</t>
  </si>
  <si>
    <t>ESTUDIOS ATACAMENOS</t>
  </si>
  <si>
    <t>The paper examines the role of Africans and their descendants in the wine industry in Argentina and Chile since the mid 17TH century until the beginning of the 19th. It is detected that this group played a relevant contribution to this activity by collaborating with the cultivation of the vine, the production of wine and brandy, packing, transportation and marketing. They also stressed in innovation, particularly in the diversification of the regional wine-growing heritage, and the production of typical products, such as the first Chilean pisco. The paper compares the work of these groups in the vineyards of Chile and Argentina with the role that fit them into other American territories, especially Peru. The study is based on unpublished original documents of notarial and judicial funds of Mendoza, San Juan, La Serena, Santiago, San Felipe, San Fernando and Cauquenes, together with records of the Jesuits.</t>
  </si>
  <si>
    <t>0718-1043</t>
  </si>
  <si>
    <t>WOS:000397596600003</t>
  </si>
  <si>
    <t>Azurdia-Meza, CA; Arraño, HF; Estevez, C; Soto, I</t>
  </si>
  <si>
    <t>Azurdia-Meza, Cesar A.; Arrano, Hernan F.; Estevez, Claudio; Soto, Ismael</t>
  </si>
  <si>
    <t>Performance Enhancement of OFDM-Based Systems Using Improved Parametric Linear Combination Pulses</t>
  </si>
  <si>
    <t>WIRELESS PERSONAL COMMUNICATIONS</t>
  </si>
  <si>
    <t>As the demand for better performance increases in next-generation networks, such as 5G technologies, more efficient modulation techniques are required. In this work, we evaluate the performance of the improved parametric linear combination pulses (IPLCP) in orthogonal frequency division multiplexing (OFDM) based systems. OFDM-based systems are very sensitive to frequency offset errors, and are characterized by producing high peak-to-average power ratio (PAPR) values. The IPLCP is evaluated in terms of average inter-carrier interference power, average signal to interference power, PAPR, and bit error rate. Theoretical and numerical simulations show that the IPLCP pulse performs well in OFDM-based systems in comparison to other existing pulses.</t>
  </si>
  <si>
    <t>Meza, Cesar/D-6948-2014; Estevez, Claudio/I-1741-2013</t>
  </si>
  <si>
    <t>Soto, Ismael/0000-0002-5501-5651; Arrano Scharager, Felipe/0000-0002-2465-1612</t>
  </si>
  <si>
    <t>0929-6212</t>
  </si>
  <si>
    <t>1572-834X</t>
  </si>
  <si>
    <t>10.1007/s11277-015-2810-7</t>
  </si>
  <si>
    <t>WOS:000365217200014</t>
  </si>
  <si>
    <t>Muñoz, R; Sandoval, FA; Wilson, CAM; Melo, F</t>
  </si>
  <si>
    <t>Munoz, Romina; Aguilar Sandoval, Felipe; Wilson, Christian A. M.; Melo, Francisco</t>
  </si>
  <si>
    <t>Pulling on super paramagnetic beads with micro cantilevers: single molecule mechanical assay application</t>
  </si>
  <si>
    <t>PHYSICAL BIOLOGY</t>
  </si>
  <si>
    <t>This paper demonstrates that it is possible to trap and release a super paramagnetic micro bead by fixing three super paramagnetic micro beads in a triangular array at the sensitive end of a micro cantilever, and by simply switching on/off an external magnetic field. To provide evidence of this principle we trap a micro bead that is attached to the free end of single DNA molecule and that has been previously fixed at the other end to a glass surface, using the standard sample preparation protocol of magnetic tweezers assays. The switching process is reversible which preserves the integrity of the tethered molecule, and a local force applied over the tethered bead excludes the neighbouring beads from the magnetic trap. We have developed a quadrature phase interferometer which is able to perform under fluid environments to accurately measure small deflections, which permits the exploration of DNA elasticity. Our results agree with measurements from magnetic tweezer assays performed under similar conditions. Furthermore, compared to the magnetic tweezer methodology, the combination of the magnetic trap with a suitable measurement system for cantilever deflection, allows for the exploration of a wide range of forces using a local method that has an improved temporal resolution.</t>
  </si>
  <si>
    <t>Melo, Francisco/M-3923-2014; Aguilar Sandoval, Felipe/G-7545-2015; Wilson, Christian A.M./L-5124-2016</t>
  </si>
  <si>
    <t>Aguilar Sandoval, Felipe/0000-0001-5146-7856; Melo, Francisco Esteban/0000-0001-6818-5476; Wilson, Christian A.M./0000-0002-6499-6957</t>
  </si>
  <si>
    <t>1478-3967</t>
  </si>
  <si>
    <t>1478-3975</t>
  </si>
  <si>
    <t>10.1088/1478-3975/12/4/046011</t>
  </si>
  <si>
    <t>WOS:000361837200019</t>
  </si>
  <si>
    <t>Rodriguez, A; Gutierrez, A; Rivera, L; Ramirez, L</t>
  </si>
  <si>
    <t>Sulaiman, HA; Othman, MA; Othman, MFI; AbdRahim, Y; Pee, NC</t>
  </si>
  <si>
    <t>Rodriguez, Arturo; Gutierrez, Antonio; Rivera, Luis; Ramirez, Leonardo</t>
  </si>
  <si>
    <t>RWA: Comparison of Genetic Algorithms and Simulated Annealing in Dynamic Traffic</t>
  </si>
  <si>
    <t>ADVANCED COMPUTER AND COMMUNICATION ENGINEERING TECHNOLOGY</t>
  </si>
  <si>
    <t>Lecture Notes in Electrical Engineering</t>
  </si>
  <si>
    <t>1st International Conference on Communication and Computer Engineering (ICOCOE)</t>
  </si>
  <si>
    <t>MAY 20-21, 2014</t>
  </si>
  <si>
    <t>Malacca, MALAYSIA</t>
  </si>
  <si>
    <t>Modern telecommunications are supporting every day a progressive demand for services, which in turn generates greater requirements from the attention capacity in photonic transport networks. This phenomenon forces us to improve the routing systems, to minimize the blocking probability and minimize the use of the network, among other indicators, in order to attend current demand and to have the capacity to attend future demand. This paper compares four studies on routing and wavelength assignment with the aim of supporting the improvement of the already mentioned indicators. A comparison is made between optimizing algorithms and heuristic simulated annealing and genetic algorithms, using comparative indicators such as blocking probability and the use of the network. The results show that the heuristic algorithms are potentially better for a high load dynamic demand (greater than 120 erlangs) that would function much better under stress. GINT proposes genetic algorithms as a solution to the coming future demand of data transport.</t>
  </si>
  <si>
    <t>Ramirez Lopez, Leonardo Juan/E-8930-2017; Rodriguez, Arturo/I-7205-2016</t>
  </si>
  <si>
    <t>Ramirez Lopez, Leonardo Juan/0000-0002-6473-5685; Rodriguez, Arturo/0000-0002-8383-6561</t>
  </si>
  <si>
    <t>1876-1100</t>
  </si>
  <si>
    <t>1876-1119</t>
  </si>
  <si>
    <t>978-3-319-07674-4; 978-3-319-07673-7</t>
  </si>
  <si>
    <t>10.1007/978-3-319-07674-4_1</t>
  </si>
  <si>
    <t>WOS:000357791500001</t>
  </si>
  <si>
    <t>Córdova, FM; Durán, C; Galindo, R</t>
  </si>
  <si>
    <t>Shi, Y; Lepskiy, A; Aleskerov, F</t>
  </si>
  <si>
    <t>Cordova, Felisa M.; Duran, Claudia; Galindo, Raquel</t>
  </si>
  <si>
    <t>Comparative analysis of ICT in public-private systems: The OHIM case in the European Union and the Internal Revenue System in Chile.</t>
  </si>
  <si>
    <t>2ND INTERNATIONAL CONFERENCE ON INFORMATION TECHNOLOGY AND QUANTITATIVE MANAGEMENT, ITQM 2014</t>
  </si>
  <si>
    <t>2nd International Conference on Information Technology and Quantitative Management (ITQM)</t>
  </si>
  <si>
    <t>JUN 03-05, 2014</t>
  </si>
  <si>
    <t>Natl Res Univ, Higher Sch Econ, Moscow, RUSSIA</t>
  </si>
  <si>
    <t>Int Acad Informat Technol &amp; Quantitat Management,Yandex LLC,Chinese Acad Sci, Res Ctr Fictitious Econ &amp; Data Sci,Univ Nebraska Omaha,Global Act Inc,CurrexSole</t>
  </si>
  <si>
    <t>Natl Res Univ, Higher Sch Econ</t>
  </si>
  <si>
    <t>This study presents a comparative analysis of Information and Computer Technology (ICT) integration in two organizations that combine public and private roles: Office for Harmonization in the Internal Market (OHIM) in the European Union (EU) and the Internal Revenue System (IRS) in Chile. The former registers trademarks and designs in the EU, the latter audits enterprises and individuals in the State of Chile, supervising their compliance with tax laws. Expert knowledge for both institutions is assumed as an organizational asset. Accordingly, OHIM experts and IRS auditors systematically introduce ICT tools for e-government and collaborative work, which is manifest through network and strategic alliances. This study also provides analysis concerning their functions and operations with the integration of ICT, identifying the critical aspects of the technological integration process through SWOT analysis. Then, the Corporative, Business, and Operational Levels frame the criteria for comparing both organizations taking as points of reference outcomes in productivity, effectiveness and efficiency, where the most outstanding differences and similarities are described. Among those critical factors analyzed, governance and coordination issues, budget allocation, and the decision-making process between public-private actors are prominent, as well as their Chiefs' leadership, business models applied, processes quality, and knowledge management. Finally, the paper considers some tendencies shared by both organizations where the development of ICT goes hand in hand with business models based on human capital, transparency, collaboration among agents and relations with citizens. (C) 2014 Published by Elsevier B.V.</t>
  </si>
  <si>
    <t>Duran, Claudia/S-1175-2019; CORDOVA, FELISA/S-1093-2019</t>
  </si>
  <si>
    <t>CORDOVA, FELISA/0000-0002-5557-8569; Duran, Claudia/0000-0002-0903-4333</t>
  </si>
  <si>
    <t>10.1016/j.procs.2014.05.249</t>
  </si>
  <si>
    <t>WOS:000360713800011</t>
  </si>
  <si>
    <t>Díaz, M; Cárdenas, R; Soto, G</t>
  </si>
  <si>
    <t>Diaz, Matias; Cardenas, Roberto; Soto, Gustavo</t>
  </si>
  <si>
    <t>4-Wire Matrix Converter Based Voltage Sag/Swell Generator to Test LVRT in Renewable Energy Systems</t>
  </si>
  <si>
    <t>2014 NINTH INTERNATIONAL CONFERENCE ON ECOLOGICAL VEHICLES AND RENEWABLE ENERGIES (EVER)</t>
  </si>
  <si>
    <t>9th International Conference on Ecological Vehicles and Renewable Energies (EVER)</t>
  </si>
  <si>
    <t>MAR 25-27, 2014</t>
  </si>
  <si>
    <t>Monte Carlo, MONACO</t>
  </si>
  <si>
    <t>Monaco Dev Durable,IEEE Ind Applicat Soc,IEEE Power Elect Soc,IEEE Magnet Soc</t>
  </si>
  <si>
    <t>The incorporation of high power rate Wind Energy Conversion Systems (WECS) have significant influence in the stability, power quality and reliability of the electrical grid. Therefore, strict grid codes have been developed during the last years in order to enhance overall stability of the systems. Thereby Low Voltage Ride Through (LVRT) requirements is a key issue for WECS. In order to test the response of WECS under grid-voltage sag conditions, a Voltage Sag Generator (VSG) is needed. This paper presents a novel Matrix Converter based VSG Prototype in order to study the fulfilment of LVRT requirements. Voltage sags/swell of variable magnitude, duration and type can be generated for the proposed VSG without using complex modulation schemes.</t>
  </si>
  <si>
    <t>Diaz, Matias/R-7570-2018</t>
  </si>
  <si>
    <t>978-1-4799-3787-5</t>
  </si>
  <si>
    <t>WOS:000360288900102</t>
  </si>
  <si>
    <t>Farías, M; Obilinovic, K; Orrego, R; Gregersen, T</t>
  </si>
  <si>
    <t>Farias, Miguel; Obilinovic, Katica; Orrego, Roxana; Gregersen, Tammy</t>
  </si>
  <si>
    <t>Evaluating types and combinations of multimodal presentations in the retention and transfer of concrete vocabulary in EFL learning</t>
  </si>
  <si>
    <t>REVISTA SIGNOS</t>
  </si>
  <si>
    <t>Although multimodality has been addressed in the educational psychology arena, this study evaluates the effects of presentation modality in the retention and transfer of concrete vocabulary in students of English as a second language. The participants were 104 second year university students belonging to three groups. Group 1 (n=32) was exposed to vocabulary through on screen text and narration (Group TN); group 2 (n=42) was exposed to on screen text, narration and video (Group TNV); and group 3 (n=30) was presented vocabulary via on screen text, narration and still image (Group TNI). All three groups were given a retention test (RT), a transfer test (TT), and a questionnaire to evaluate the type of presentation (TPQ). Results indicate that in the RT there are statistically significant differences among groups (ANOVA), being the TNI group the one that retains more lexical items. In the TT, using the t-student, results show that there are significant differences between groups TNI and TN, being group TNI the one with the highest scores. Results from the TPQ suggest that still images helped more than text and video in vocabulary learning, that actions are better represented through videos than through still images, and that more attention is paid to narration in group TN than in groups TNV and TNI.</t>
  </si>
  <si>
    <t>Farias, Miguel/JBJ-8602-2023; Gregersen, Tammy/AAJ-1209-2021</t>
  </si>
  <si>
    <t>Farias, Miguel/0000-0002-9202-7053; Gregersen, Tammy/0000-0003-0744-9655</t>
  </si>
  <si>
    <t>0718-0934</t>
  </si>
  <si>
    <t>10.4067/S0718-09342014000100002</t>
  </si>
  <si>
    <t>WOS:000348518100002</t>
  </si>
  <si>
    <t>Yanine, FF; Sauma, EE; Cordova, FM</t>
  </si>
  <si>
    <t>Wang, Y</t>
  </si>
  <si>
    <t>Fernando Yanine, Franco; Sauma, Enzo E.; Cordova, Felisa M.</t>
  </si>
  <si>
    <t>An Exergy and Homeostatic Control Approach to Sustainable Grid-Connected Microgrids without Energy Storage</t>
  </si>
  <si>
    <t>MECHANICAL SCIENCE AND ENGINEERING IV</t>
  </si>
  <si>
    <t>Applied Mechanics and Materials</t>
  </si>
  <si>
    <t>4th International Conference on Mechanical Science and Technology (ICMSE 2014)</t>
  </si>
  <si>
    <t>JAN 02-04, 2014</t>
  </si>
  <si>
    <t>Sanya, PEOPLES R CHINA</t>
  </si>
  <si>
    <t>Int Assoc Management Sci &amp; Engn Technol,Zhengzhou Univ</t>
  </si>
  <si>
    <t>This paper approaches the microgrid concept from a systemic and cybernetics viewpoint, as a viable sustainable energy system (SES) for supplying electricity and heat to small, rural communities in Chile. As such the microgrid may be viewed as a complex adaptive system (CAS) when connected to the grid and operating without energy storage, only with the grid as back-up power source. From an exergy and homeostatic control (HC) standpoint, one may analyze the microgrid as a socio-technical CAS when it is coupled with a set of homes and also connected to the grid; capable of supplying close to 80% of the daily residential consumer needs on average. Thus, under these conditions homes may draw inexpensive renewable electricity and heat from the microgrid if they are thrifty and efficient in their energy consumption; and they may also consume from the utility grid, yet at an expensive price. Based on this, an exergy and HC approach is proposed to develop such SES for rural and remote communities in Chile and South America, aiming to enhance energy efficiency (EE) and energy sustainability (ES). Under this scheme, renewable power (RP) being a scarce, limited resource that must be managed efficiently is supplied only to homes which comply with a specific criterion in an effort to curtail demand to ensure ES overtime. Simulation shows as expected that indeed certain criteria produce much better results than others in incentivizing thrifty, efficient energy consumption for small-size communities, without the need for expensive and sometimes polluting and forbidden energy storage systems.</t>
  </si>
  <si>
    <t>Sauma, Enzo/N-7013-2013; CORDOVA, FELISA/S-1093-2019; Yanine, Franco Fernando/G-6909-2015</t>
  </si>
  <si>
    <t>Sauma, Enzo/0000-0002-8555-9123; CORDOVA, FELISA/0000-0002-5557-8569; Yanine, Franco Fernando/0000-0003-1086-0840</t>
  </si>
  <si>
    <t>1660-9336</t>
  </si>
  <si>
    <t>978-3-03785-965-0</t>
  </si>
  <si>
    <t>+</t>
  </si>
  <si>
    <t>10.4028/www.scientific.net/AMM.472.1027</t>
  </si>
  <si>
    <t>WOS:000335879800181</t>
  </si>
  <si>
    <t>Arancibia-Miranda, N; Lillo, S; Escudey, M</t>
  </si>
  <si>
    <t>Arancibia-Miranda, Nicolas; Lillo, Sebastian; Escudey, Mauricio</t>
  </si>
  <si>
    <t>NANOTUBULAR ALUMINOSILICATES: A CASE STUDY FOR SCIENCE AND INDUSTRY</t>
  </si>
  <si>
    <t>JOURNAL OF THE CHILEAN CHEMICAL SOCIETY</t>
  </si>
  <si>
    <t>The renewed interest in imogolite nanotubes, with structural similarities with carbon nanotubes (CNTs), has led to a new search of the potential of imogolite in the field of nanoscience. The applications of imogolite started being studied at the beginning of the 1970s, but the lack of technological development prevented a detailed study of this aluminosilicate. Furthermore, the strong incursion CNTs, which show exceptional structural characteristics and physical properties, left imogolite as the subject of secondary studies and applications in nanotechnology. This review, revise the scientific interest on imogolite from its discovery until the present, showing the main areas of research and development for this nanotube from a nanotechnological point of view.</t>
  </si>
  <si>
    <t>Lillo, Sara/KVB-4124-2024; Arancibia-Miranda, Nicolás/I-6743-2013</t>
  </si>
  <si>
    <t>0717-9707</t>
  </si>
  <si>
    <t>10.4067/S0717-97072013000400035</t>
  </si>
  <si>
    <t>WOS:000331238800031</t>
  </si>
  <si>
    <t>Castañeda, A; Guíñez, V</t>
  </si>
  <si>
    <t>Castaneda, Alvaro; Guinez, Victor</t>
  </si>
  <si>
    <t>Some Results About Global Asymptotic Stability</t>
  </si>
  <si>
    <t>QUALITATIVE THEORY OF DYNAMICAL SYSTEMS</t>
  </si>
  <si>
    <t>We study the global asymptotic stability of the origin for the continuous and discrete dynamical system associated to polynomial maps in R-n (especially when n = 3) of the form F = lambda I + H, with F(0) = 0, where lambda is a real number, I the identity map, and H a map with nilpotent Jacobian matrix J H. We distinguish the cases when the rows of J H are linearly dependent over R and when they are linearly independent over R. In the linearly dependent case we find non-linearly triangularizable vector fields F for which the origin is globally asymptotically stable singularity (respectively fixed point) for continuous (respectively discrete) systems generated by F. In the independent continuous case, we present a family of maps that have orbits escaping to infinity. Finally, in the independent discrete case, we show a large family of vector fields that have a periodic point of period 3.</t>
  </si>
  <si>
    <t>Castañeda, Álvaro/N-3673-2019; Castaneda, Alvaro/J-3972-2013</t>
  </si>
  <si>
    <t>Castaneda, Alvaro/0000-0002-8571-1578</t>
  </si>
  <si>
    <t>1575-5460</t>
  </si>
  <si>
    <t>1662-3592</t>
  </si>
  <si>
    <t>10.1007/s12346-013-0102-8</t>
  </si>
  <si>
    <t>WOS:000330802200012</t>
  </si>
  <si>
    <t>Lacoste, P; Aranda, MM; Cussen, F</t>
  </si>
  <si>
    <t>Lacoste, Pablo; Marcela Aranda, Maria; Cussen, Felipe</t>
  </si>
  <si>
    <t>Mountain Landscapes: The railroad and capture trasandino beauty of The Andes mountains in the poetry of Gabriela Mistral</t>
  </si>
  <si>
    <t>ALPHA-REVISTA DE ARTES LETRAS Y FILOSOFIA</t>
  </si>
  <si>
    <t>The arrival of the Transandean Railway influenced the aesthetic perception that passers-by formed of the local geography. The mountain appears as a fundamental element of poetry in various authors, including Chilean poet Gabriela Mistral. The mountains and its access, from the Elqui to the Andes, are a core element of her poetry, acquiring particular characteristics at each stage of her poetic creation and political vision, which will be analyzed in this article.</t>
  </si>
  <si>
    <t>Lacoste, Pablo/0000-0003-1876-8141</t>
  </si>
  <si>
    <t>0716-4254</t>
  </si>
  <si>
    <t>0718-2201</t>
  </si>
  <si>
    <t>10.4067/S0718-22012012000200002</t>
  </si>
  <si>
    <t>WOS:000326735800002</t>
  </si>
  <si>
    <t>Cortez, MI; Rivera-Letelier, J</t>
  </si>
  <si>
    <t>Isabel Cortez, Maria; Rivera-Letelier, Juan</t>
  </si>
  <si>
    <t>Topological orbit equivalence classes and numeration scales of logistic maps</t>
  </si>
  <si>
    <t>ERGODIC THEORY AND DYNAMICAL SYSTEMS</t>
  </si>
  <si>
    <t>We show that every uniquely ergodic minimal Cantor system is topologically orbit equivalent to the natural extension of a numeration scale associated to a logistic map.</t>
  </si>
  <si>
    <t>Cortez, Maria Isabel/0000-0002-1819-032X</t>
  </si>
  <si>
    <t>0143-3857</t>
  </si>
  <si>
    <t>1469-4417</t>
  </si>
  <si>
    <t>10.1017/S0143385711000435</t>
  </si>
  <si>
    <t>WOS:000308364200002</t>
  </si>
  <si>
    <t>Gonzalez, R; Caballero, L; Pavez, J; Melo, F</t>
  </si>
  <si>
    <t>Gonzalez, Rodrigo; Caballero, Leonardo; Pavez, Jorge; Melo, Francisco</t>
  </si>
  <si>
    <t>Adhesion, Stretching, and Electrical Charge Assessment of Dermatan Sulfate Molecules by Colloidal Probes</t>
  </si>
  <si>
    <t>LANGMUIR</t>
  </si>
  <si>
    <t>Electrical and mechanical properties of dermatan sulfate (DS) molecules are studied in an aqueous environment as a function of pH. DS molecules linked at various points distributed on the surface of mica previously silanizated along with a suitable functionalized microsphere, attached to the cantilever of an atomic force microscope (AFM), provided suitable surfaces for testing interactions through the colloidal probe methodology. The repulsive force between the surfaces indicated that the charge of DS increases with pH as a result of the gradual deprotonation of acidic groups. Pulling experiments revealed increasing adhesion of DS to the monolayer as a function of pH, presumably due both to the electrical nature of the interaction between these molecules and the progressive increase of the charge of DS with pH. Serrations exhibited by the force in pulling experiments indicate that more than a single DS molecule is stretched at the same time. In addition, pulling force remained significant even at extensions that went beyond the average contour length of a single DS molecule, which suggests the existence of a significant link between DS molecules.</t>
  </si>
  <si>
    <t>Tapia, Rodrigo/O-4251-2015; Melo, Francisco/M-3923-2014; PAVEZ, JORGE/K-6904-2014</t>
  </si>
  <si>
    <t>Melo, Francisco Esteban/0000-0001-6818-5476; PAVEZ, JORGE/0000-0002-5100-6707</t>
  </si>
  <si>
    <t>0743-7463</t>
  </si>
  <si>
    <t>JUN 26</t>
  </si>
  <si>
    <t>10.1021/la3011053</t>
  </si>
  <si>
    <t>WOS:000305661400040</t>
  </si>
  <si>
    <t>Torres, A; Guarda, A; Moraga, N; Romero, J; Galotto, MJ</t>
  </si>
  <si>
    <t>Torres, A.; Guarda, A.; Moraga, N.; Romero, J.; Galotto, M. J.</t>
  </si>
  <si>
    <t>Experimental and theoretical study of thermodynamics and transport properties of multilayer polymeric food packaging</t>
  </si>
  <si>
    <t>EUROPEAN FOOD RESEARCH AND TECHNOLOGY</t>
  </si>
  <si>
    <t>The specific migration of Octadecyl 3-(3,5-di-tert-butyl-4-hydroxyphenyl) propionate (I-1076) from three-layer low-density polyethylene plastic films into a fatty food simulant was studied. The film samples, having a symmetrical structure with a contaminated core layer and virgin outer layers, were developed with a known amount of a selected migrant in the inner layer. A phenomenological model based on a resistances-in-series was resolved through the regula falsi algorithm according to a routine that considers the income of the structural parameters of the system and experimental conditions in which migration testing was performed. The model's accuracy in predicting migration was demonstrated successfully by comparing simulated results to experimental data. The computer program, developed as a total solution package for migration problems, can be applied not only to multilayer structures made with the same type of plastics but also to structures with different plastics.</t>
  </si>
  <si>
    <t>Romero, Julio/I-6705-2013</t>
  </si>
  <si>
    <t>Romero, Julio/0000-0002-1229-1592</t>
  </si>
  <si>
    <t>1438-2377</t>
  </si>
  <si>
    <t>1438-2385</t>
  </si>
  <si>
    <t>10.1007/s00217-012-1683-1</t>
  </si>
  <si>
    <t>WOS:000301638500017</t>
  </si>
  <si>
    <t>López-Kleine, L; Torres-Avilés, F; Tejedor, FH; Gordillo, LA</t>
  </si>
  <si>
    <t>Lopez-Kleine, Liliana; Torres-Aviles, Francisco; Tejedor, Fabio H.; Gordillo, Luz A.</t>
  </si>
  <si>
    <t>Virulence factor prediction in Streptococcus pyogenes using classification and clustering based on microarray data</t>
  </si>
  <si>
    <t>APPLIED MICROBIOLOGY AND BIOTECHNOLOGY</t>
  </si>
  <si>
    <t>Interesting biological information as, for example, gene expression data (microarrays), can be extracted from publicly available genomic data. As a starting point in order to narrow down the great possibilities of wet lab experiments, global high throughput data and available knowledge should be used to infer biological knowledge and emit biological hypothesis. Here, based on microarray data, we propose the use of cluster and classification methods that have become very popular and are implemented in freely available software in order to predict the participation in virulence mechanisms of different proteins coded by genes of the pathogen Streptococcus pyogenes. Confidence of predictions is based on classification errors of known genes and repetitive prediction by more than three methods. A special emphasis is done on the nonlinear kernel classification methods used. We propose a list of interesting candidates that could be virulence factors or that participate in the virulence process of S. pyogenes. Biological validations should start using this list of candidates as they show similar behavior to known virulence factors.</t>
  </si>
  <si>
    <t>tejedor, fabio/HIZ-8861-2022; Torres-Aviles, Francisco/J-8269-2013</t>
  </si>
  <si>
    <t>Torres-Aviles, Francisco/0000-0001-7973-4709</t>
  </si>
  <si>
    <t>0175-7598</t>
  </si>
  <si>
    <t>1432-0614</t>
  </si>
  <si>
    <t>MAR</t>
  </si>
  <si>
    <t>10.1007/s00253-012-3917-3</t>
  </si>
  <si>
    <t>WOS:000300657900027</t>
  </si>
  <si>
    <t>Grillo, AF; Luzio, E; Méndez, F; Torres, F</t>
  </si>
  <si>
    <t>Grillo, A. F.; Luzio, E.; Mendez, F.; Torres, F.</t>
  </si>
  <si>
    <t>GRAVITATIONAL LENSING IN AN ENERGY-DEPENDENT SPACETIME METRIC</t>
  </si>
  <si>
    <t>INTERNATIONAL JOURNAL OF MODERN PHYSICS D</t>
  </si>
  <si>
    <t>In this article, we explore the consequences in the calculation of deflection angle of photons, caused by a gravitational source of mass M, for the case of an energy dependent metric. We analyze the corrections to the standard Schwarzschild case for the weak and strong limits. In both cases, the corrections to the deflection angle are of the order epsilon/E-Pl, where E-Pl is the Planck energy and epsilon, the energy of the photon at spatial infinite. The corrections to the angular separation image is also of order epsilon/E-Pl, for the weak limit, while in the strong case there is a corrective term with the shape epsilon/E-Pl ne(2n pi) for the relativistic image of order n. The amplification of the image is also discussed. Even if corrections are tiny, in both limits, we discuss the qualitative effects for different types of Lorentz invariance deformations.</t>
  </si>
  <si>
    <t>Torres, Felipe/ABA-9751-2020; Torres, Felipe/I-8339-2015</t>
  </si>
  <si>
    <t>Torres, Felipe/0000-0002-0444-3250; Torres, Felipe/0000-0003-2193-6337</t>
  </si>
  <si>
    <t>0218-2718</t>
  </si>
  <si>
    <t>1793-6594</t>
  </si>
  <si>
    <t>10.1142/S0218271812500071</t>
  </si>
  <si>
    <t>WOS:000300934200007</t>
  </si>
  <si>
    <t>Chacón, M; Severino, M; Panerai, R</t>
  </si>
  <si>
    <t>Martin, CS; Kim, SW</t>
  </si>
  <si>
    <t>Chacon, Max; Severino, Mariela; Panerai, Ronney</t>
  </si>
  <si>
    <t>Gray Box Model with an SVM to Represent the Influence of PaCO2 on the Cerebral Blood Flow Autoregulation</t>
  </si>
  <si>
    <t>PROGRESS IN PATTERN RECOGNITION, IMAGE ANALYSIS, COMPUTER VISION, AND APPLICATIONS</t>
  </si>
  <si>
    <t>Lecture Notes in Computer Science</t>
  </si>
  <si>
    <t>16th Iberoamerican Congress on Pattern Recognition</t>
  </si>
  <si>
    <t>NOV 15-18, 2011</t>
  </si>
  <si>
    <t>Pucon, CHILE</t>
  </si>
  <si>
    <t>Univ Frontera,Int Assoc Pattern Recognit (IAPR),Assoc Chilena Reconocimiento Patrones,Assoc Cubana Reconocimiento Patrones,Mexican Assoc Comp Vision, Neural Comp &amp; Robot,Brazilian Comp Soc, Special Interest Grp,Assoc Espanola Reconocimientos Formas &amp; Anal Imagenes,Portuguese Assoc Pattern Recognit,Sociedad Argentina Reconocimiento Patrones,Assoc Reconocimiento Patrones Uruguay,Assoc Peruana Reconocimiento Patrones</t>
  </si>
  <si>
    <t>Since the appearance of methods based on machine learning, they have been presented as an alternative to classical phenomenological modeling and there are few initiatives that attempt to integrate them. This paper presents a hybrid paradigm called gray box that blends a phenomenological description (differential equation) and a Support Vector Machine (SVM) to model a relevant problem in the field of cerebral hemodynamic. The results show that with this type of paradigm it is possible to exceed the results obtained with phenomenological models and also with the models based on learning, in addition to contributing to the description of the modelled phenomenon.</t>
  </si>
  <si>
    <t>0302-9743</t>
  </si>
  <si>
    <t>1611-3349</t>
  </si>
  <si>
    <t>978-3-642-25084-2</t>
  </si>
  <si>
    <t>WOS:000307257600075</t>
  </si>
  <si>
    <t>Frade, IM; Silva-Nadales, S; Rubio, RR</t>
  </si>
  <si>
    <t>Magana Frade, Irene; Silva-Nadales, Sebastian; Rovira Rubio, Rayen</t>
  </si>
  <si>
    <t>Catastrophe Feminine Subjetivity and Reconstruction: Contributions and Challenges From a Perspective of Gender for the Psychosocial Intervention in Communities Affected by the Earthquake</t>
  </si>
  <si>
    <t>TERAPIA PSICOLOGICA</t>
  </si>
  <si>
    <t>This paper intends contribute, from a gender approach, to the development of psychosocial interventions and understanding of the problematic-that the subjectivity of women-raises the disaster triggered by the earthquake and tsunami of February 27, 2010. From a qualitative methodology was carried out micro-social analysis, which methodological device considered: 1. In-depth interviews with women social leaders of organizations of the regions of Maule and Bio-Bio 2. Review of secondary sources, 3.Opinion of experts on gender issues. The results are placed in discussion with the model proposed by Gaborit (2006) and show the formation of a female subjectivity's earthquake, that product of the breakdown of care spaces, reconstruct their subjectivity through community participation, becoming protagonists in the reconstruction of everyday life.</t>
  </si>
  <si>
    <t>0716-6184</t>
  </si>
  <si>
    <t>WOS:000293210700005</t>
  </si>
  <si>
    <t>Henríquez, HR; Pierri, M; Táboas, P</t>
  </si>
  <si>
    <t>Henriquez, Hernan R.; Pierri, Michelle; Taboas, Placido</t>
  </si>
  <si>
    <t>On S-asymptotically ω-periodic functions on Banach spaces and applications</t>
  </si>
  <si>
    <t>JOURNAL OF MATHEMATICAL ANALYSIS AND APPLICATIONS</t>
  </si>
  <si>
    <t>This paper is devoted to the study of the class of continuous and bounded functions f : [0, infinity] -&gt; X for which exists omega &gt; 0 such that lim(t -&gt;infinity) (f (t + omega) - f (t)) = 0 (in the sequel called S-asymptotically omega-periodic functions). We discuss qualitative properties and establish some relationships between this type of functions and the class of asymptotically omega-periodic functions. We also study the existence of S-asymptotically omega-periodic mild solutions of the first-order abstract Cauchy problem in Banach spaces. (C) 2008 Elsevier Inc. All rights reserved.</t>
  </si>
  <si>
    <t>Pierri, Michelle/I-6440-2012</t>
  </si>
  <si>
    <t>0022-247X</t>
  </si>
  <si>
    <t>1096-0813</t>
  </si>
  <si>
    <t>JUL 15</t>
  </si>
  <si>
    <t>10.1016/j.jmaa.2008.02.023</t>
  </si>
  <si>
    <t>WOS:000256041400046</t>
  </si>
  <si>
    <t>Bravo, J; Carrasco, R; Sharif, B; Soto, I</t>
  </si>
  <si>
    <t>Leitgeb, E; Kogler, W; Ghassemlooy, Z</t>
  </si>
  <si>
    <t>Bravo, J.; Carrasco, R.; Sharif, B.; Soto, I.</t>
  </si>
  <si>
    <t>Facility location and mobile transactions in a university environment</t>
  </si>
  <si>
    <t>CSNDSP 08: PROCEEDINGS OF THE SIXTH INTERNATIONAL SYMPOSIUM ON COMMUNICATION SYSTEMS, NETWORKS AND DIGITAL SIGNAL PROCESSING</t>
  </si>
  <si>
    <t>6th International Symposium on Communication Systems, Networks and Digital Signal Processing</t>
  </si>
  <si>
    <t>JUL 23-25, 2008</t>
  </si>
  <si>
    <t>Graz Univ Technol, Graz, AUSTRIA</t>
  </si>
  <si>
    <t>Graz Univ Technol, Dept Broadband Commun,IEEE,IEEE Austrian Sect,IEEE Student Branch Graz,IEEE Commun Chapter,OVE, Austrian Electrotech Assoc,SoftMoto,EURASIP,Inst Engn Engn &amp; Technol,EPCOS,Stadt Graz,Das Land Steiermark,SATNEX,Photeon Technol,Austria Microsyst,Infineon,NXP,Telekom Austria</t>
  </si>
  <si>
    <t>Graz Univ Technol</t>
  </si>
  <si>
    <t>In this paper a solution for the facility location problem is presented over an m-commerce infrastructure. An extensive comparison is performed for different scenario. Also delay studies and comparisons on m-transactions are carried out. Numeric and analytical results are presented.</t>
  </si>
  <si>
    <t>Bravo, Jose/F-8861-2015; Ghassemlooy, Zabih/G-9521-2014</t>
  </si>
  <si>
    <t>Ghassemlooy, Zabih/0000-0002-5780-9703; Sharif, Bayan/0000-0002-8679-4272; Soto, Ismael/0000-0002-5501-5651</t>
  </si>
  <si>
    <t>978-1-4244-1875-6</t>
  </si>
  <si>
    <t>10.1109/CSNDSP.2008.4610803</t>
  </si>
  <si>
    <t>WOS:000259386600131</t>
  </si>
  <si>
    <t>Vera-Villarroel, P; Olivares-Rodríguez, J; Kuhne, W; Alcázar, AIR; Santibáñez, C; López-Pina, JA</t>
  </si>
  <si>
    <t>Vera-Villarroel, Pablo; Olivares-Rodriguez, Jose; Kuhne, Walter; Alcazar, Ana I. Rosa; Santibanez, Carla; Lopez-Pina, Jose A.</t>
  </si>
  <si>
    <t>Propiedades psicometricas de la Escala para la Deteccion de la Ansiedad Social (EDAS) en una muestra de adolescentes chilenos</t>
  </si>
  <si>
    <t>INTERNATIONAL JOURNAL OF CLINICAL AND HEALTH PSYCHOLOGY</t>
  </si>
  <si>
    <t>The present instrumental study examines the structural reliability and validity of the Chilean version of the Scale for Social Anxiety Detection (EDAS). The sample consisted of 1040 non clinic adolescents (ages between 13 and 18 years). The analysis of the validity indicated that in each sub-scale (Evitation, Anxiety degree, Interference) only one dimension explained more than the 40% of the variance. The coefficients of the reliability obtained in the study (Guttman-Cronbach alfa and SpearmanBrown) were high in all the subscales. No significant differences were found due to the differences between the genders, age or the interaction between gender and age. The only exception was the caused by differences of age in the subscales related to the Anxiety rate and Interference. In general, the results provide empirical evidence which supports the reliability and validity of the Chilean version of EDAS. The relationship between the EDAS and other similar instruments studied on the Chilean population is proposed to be evaluated.</t>
  </si>
  <si>
    <t>Lopez-Pina, Jose-Antonio/A-2677-2008; Alcázar, Ana/G-3446-2011; Olivares Rodríguez, José/F-5059-2016; Vera-Villarroel, Pablo/A-1134-2011</t>
  </si>
  <si>
    <t>Olivares Rodriguez, Jose/0000-0002-8833-4448; Vera-Villarroel, Pablo/0000-0001-9187-8414</t>
  </si>
  <si>
    <t>1697-2600</t>
  </si>
  <si>
    <t>1576-7329</t>
  </si>
  <si>
    <t>WOS:000249504000015</t>
  </si>
  <si>
    <t>Gil, F; Ipinza, F; Fuentes, J; Pumeron, P; Villarreal, JM; Aspée, A; Mora, GC; Vásquez, CC; Saavedra, C</t>
  </si>
  <si>
    <t>Gil, Fernando; Ipinza, Francisco; Fuentes, Jlian; Pumeron, Pohinson; Villarreal, Jose M.; Aspee, Alexis; Mora, Guido C.; Vasquez, Claudio C.; Saavedra, Claudia</t>
  </si>
  <si>
    <t>The ompW (porin) gene mediates methyl viologen (paraquat) efflux in Salmonella enterica serovar Typhimurium</t>
  </si>
  <si>
    <t>RESEARCH IN MICROBIOLOGY</t>
  </si>
  <si>
    <t>Porins are channels that enable passive diffusion of hydrophilic solutes, nutrients and toxins through the outer bacterial membrane. This explains in part the ability of Gram-negative microorganisms to grow in several different environments, as well as their drug resistance. OmpD is an outer membrane channel that works with the inner membrane pump YddG to expel methyl viologen (MV) from Salmonella enterica serovar Typhimurium: this occurs independently of SmvA, also involved in MV resistance. On the other hand, Delta tolC strains show increased MV resistance when compared to wild-type cells, suggesting that there may be other porin(s) that could function with SmvA to pump MV out of S. typhimurium. A strong candidate is OmpW. Here we show that Delta ompW strains of S. typhimurium are 2.5-fold more sensitive to MV than the wild-type strain. Transcriptional fusions replacing ompW by lacZ show that ompW is induced at least 2-fold in the presence of MV. This result was observed both at the mRNA and protein levels, suggesting that ompW participates in MV resistance. In addition, Delta smvA Delta ompW strains are not fully complemented by smvA, suggesting that OmpW may function through an independent pathway different from that used by SmvA to move MV outside the cell. (C) 2007 Elsevier Masson SAS. All rights reserved.</t>
  </si>
  <si>
    <t>Villarreal, José/AAI-8508-2021</t>
  </si>
  <si>
    <t>Fuentes, Juan A./0000-0002-9374-0707; Gil, Fernando/0000-0001-6691-5340; Villarreal Ascencio, Jose Miguel/0000-0002-7974-2263</t>
  </si>
  <si>
    <t>0923-2508</t>
  </si>
  <si>
    <t>1769-7123</t>
  </si>
  <si>
    <t>JUL-AUG</t>
  </si>
  <si>
    <t>10.1016/j.resmic.2007.05.004</t>
  </si>
  <si>
    <t>WOS:000249247800008</t>
  </si>
  <si>
    <t>Toledo, M; Bubnovich, V</t>
  </si>
  <si>
    <t>Markatos, N; Stamou, A; Beltro, J; Panagopoulos, T; Helmis, C; Stamatiou, E; Hatzopoulou, A; Antunes, MDC</t>
  </si>
  <si>
    <t>Toledo, Mario; Bubnovich, Valeri</t>
  </si>
  <si>
    <t>Flame stabilization in a porous burner at the interface of two sections of alumina spheres</t>
  </si>
  <si>
    <t>EEESD '07: PROCEEDINGS OF THE 3RD IASME/WSEAS INTERNATIONAL CONFERENCE ON ENERGY, ENVIRONMENT, ECOSYSTEMS AND SUSTAINABLE DEVELOPMENT</t>
  </si>
  <si>
    <t>3rd IASME/WSEAS International Conference on Energy, Environment, Ecosystems and Sustainable Development</t>
  </si>
  <si>
    <t>JUL 24-26, 2007</t>
  </si>
  <si>
    <t>Agios Nikolaos, GREECE</t>
  </si>
  <si>
    <t>World Sci &amp; Engn Acad &amp; Soc,Int Assoc Mech Engineers,Comp Sci Lab Hellen Naval Acad</t>
  </si>
  <si>
    <t>Development of porous burners has been encouraged by lower emissions standards as well as highly efficient characteristics. In this work, a method of flame stabilization in a porous media burner with a double section of alumina spheres is reported. The stable operating limits are predicted for a range of gas velocity and equivalence ratio. These limits allow the creation of the porous media permanent combustor by two different zone distinguished by the diameter of the alumina spheres. Temperature profiles and chemical products compositions were measured whose results confirm the hypothesis of the front combustion stabilization in the interface between two sections of alumina spheres.</t>
  </si>
  <si>
    <t>Toledo, Mario/Q-4859-2019</t>
  </si>
  <si>
    <t>978-960-8457-88-1</t>
  </si>
  <si>
    <t>WOS:000250384900032</t>
  </si>
  <si>
    <t>Fernandez, AM; Sierra, JC; Zubeidat, I; Vera-Villarroel, P</t>
  </si>
  <si>
    <t>Fernandez, Ana Maria; Sierra, Juan Carlos; Zubeidat, Ihab; Vera-Villarroel, Pablo</t>
  </si>
  <si>
    <t>Sex differences in response to sexual and emotional infidelity among Spanish and Chilean students</t>
  </si>
  <si>
    <t>JOURNAL OF CROSS-CULTURAL PSYCHOLOGY</t>
  </si>
  <si>
    <t>This study evaluates sex differences in response to sexual and emotional infidelity in two Spanish-speaking samples. An extension of previous findings with Anglo, European, and Asian students leads to the prediction that men report being more distressed by sexual than by emotional infidelity, and women report the reverse. Five hundred and eleven students from Spain and Chile respond to a questionnaire consisting of forced-choice-scenarios. Significant sex differences in jealousy as a function of type of infidelity emerges and this is consistent with previous research on jealousy.</t>
  </si>
  <si>
    <t>Sierra, Juan Carlos/G-3044-2010; Fernandez, Ana Maria/E-6429-2011; Vera-Villarroel, Pablo/A-1134-2011</t>
  </si>
  <si>
    <t>Sierra, Juan Carlos/0000-0002-5593-9803; Fernandez, Ana Maria/0000-0003-4132-5891; Vera-Villarroel, Pablo/0000-0001-9187-8414</t>
  </si>
  <si>
    <t>0022-0221</t>
  </si>
  <si>
    <t>1552-5422</t>
  </si>
  <si>
    <t>10.1177/0022022106288474</t>
  </si>
  <si>
    <t>WOS:000238391700001</t>
  </si>
  <si>
    <t>Jamett, M; Acuña, G</t>
  </si>
  <si>
    <t>Gelbukh, A; ReyesGarcia, CA</t>
  </si>
  <si>
    <t>Jamett, Marcela; Acuna, Gonzalo</t>
  </si>
  <si>
    <t>An interval approach for weight's initialization of feedforward neural networks</t>
  </si>
  <si>
    <t>MICAI 2006: ADVANCES IN ARTIFICIAL INTELLIGENCE, PROCEEDINGS</t>
  </si>
  <si>
    <t>Lecture Notes in Artificial Intelligence</t>
  </si>
  <si>
    <t>5th Mexican International Conference on Artificial Intelligence (MICAI 2006)</t>
  </si>
  <si>
    <t>NOV 13-17, 2006</t>
  </si>
  <si>
    <t>Technol Inst Apizaco, Apizaco, MEXICO</t>
  </si>
  <si>
    <t>SMIA,DGEST,INAOE,ITAM</t>
  </si>
  <si>
    <t>Technol Inst Apizaco</t>
  </si>
  <si>
    <t>This work addresses an important problem in Feedforward Neural Networks (FNN) training, i.e. finding the pseudo-global minimum of the cost function, assuring good generalization properties to the trained architecture. Firstly, pseudo-global optimization is achieved by employing a combined parametric updating algorithm which is supported by the transformation of network parameters into interval numbers. It solves the network weight initialization problem, performing an exhaustive search for minimums by means of Interval Arithmetic (IA). Then, the global minimum is obtained once the search has been limited to the region of convergence (ROC). IA allows representing variables and parameters as compact-closed sets, then, a training procedure using interval weights can be done. The methodology developed is exemplified by an approximation of a known non-linear function in last section.</t>
  </si>
  <si>
    <t>Jamett, Marcela/HLH-3427-2023</t>
  </si>
  <si>
    <t>Acuna Leiva, Gonzalo Pedro/0000-0002-0519-7792</t>
  </si>
  <si>
    <t>978-3-540-49026-5</t>
  </si>
  <si>
    <t>WOS:000244587700029</t>
  </si>
  <si>
    <t>Guíñez, V; Gutierrez, C</t>
  </si>
  <si>
    <t>Rank-1 codimension one singularities of positive quadratic differential forms</t>
  </si>
  <si>
    <t>JOURNAL OF DIFFERENTIAL EQUATIONS</t>
  </si>
  <si>
    <t>We complete the study of first-order structural stability at singular points of positive quadratic differencial forms on two manifolds. For this, we consider the generic 1-parameter bifurcation of a D-23-singular point. This situation consists in having, before the bifurcation, two locally stable singular points (one of type D-2 and the other of type D-3) which collapse at the D-23-singular point when the bifurcation parameter is reached, and afterwards disappear. In local (x, y)-coordinates, such a point appears at the origin of a planar differential equation of the form a(x, y) dy(2) + 2b(x, y) dx dy + c(x, y) dx(2), with (b(2) - ac)(x, y)greater than or equal to 0, such that (1) the first jet of the map (a, b, c) at the origin is T-1 (a, b, c)(0, 0) = (y, 0, -y) and (2) partial derivative(2)b/partial derivativex(2) not equal 0 (C) 2004 Elsevier Inc. All rights reserved.</t>
  </si>
  <si>
    <t>0022-0396</t>
  </si>
  <si>
    <t>1090-2732</t>
  </si>
  <si>
    <t>NOV 1</t>
  </si>
  <si>
    <t>10.1016/j.jde.2004.07.015</t>
  </si>
  <si>
    <t>WOS:000224505700005</t>
  </si>
  <si>
    <t>Modak, B; Galeno, H; Torres, R</t>
  </si>
  <si>
    <t>Antiviral activity on Hantavirus and apoptosis of Vero cells of natural and semi-synthetic compounds from Heliotropium filifolium resin.</t>
  </si>
  <si>
    <t>The antiviral activity on Hantavirus Andes variety of resinous exudate from Heliotropim filifolium and its pure compounds was studied. From filifolinol 2, the main compound of the resins, filifolinoic acid 1 was obtained. The resin was the most active. Furthermore, we observed cytostatic effect and apoptosis on Vero E6 cells with 3-O-methylgalangine 5.</t>
  </si>
  <si>
    <t>0717-9324</t>
  </si>
  <si>
    <t>WOS:000221509600007</t>
  </si>
  <si>
    <t>Ispolatov, I; Karttunen, M</t>
  </si>
  <si>
    <t>Collapses and explosions in self-gravitating systems</t>
  </si>
  <si>
    <t>PHYSICAL REVIEW E</t>
  </si>
  <si>
    <t>Collapse and explosion (reverse to collapse) transitions in self-gravitating systems are studied by molecular dynamics simulations. A microcanonical ensemble of point particles confined to a spherical box is considered. The particles interact via an attractive soft Coulomb potential. It is observed that a collapse indeed takes place when the energy of the uniform state is set near or below the metastability-instability threshold (collapse energy) as predicted by the mean-field theory. Similarly, an explosion occurs when the energy of the core-halo state is increased above the explosion energy, where according to the mean-field predictions the core-halo state becomes unstable. For systems consisting of 125-500 particles, the collapse takes about 10(5) single-particle crossing times to complete, while a typical explosion is by an order of magnitude faster. A finite lifetime of metastable states is observed. It is also found that the mean-field description of the uniform and core-halo states is exact within the statistical uncertainty of the molecular dynamics data.</t>
  </si>
  <si>
    <t>Karttunen, Mikko/G-4531-2010; Ispolatov, Iaroslav/E-8544-2010</t>
  </si>
  <si>
    <t>Karttunen, Mikko/0000-0002-8626-3033; Ispolatov, Iaroslav/0000-0002-0201-3396</t>
  </si>
  <si>
    <t>1539-3755</t>
  </si>
  <si>
    <t>1550-2376</t>
  </si>
  <si>
    <t>10.1103/PhysRevE.68.036117</t>
  </si>
  <si>
    <t>WOS:000185756400026</t>
  </si>
  <si>
    <t>Bunger, A; Moyano, P; Rioseco, V</t>
  </si>
  <si>
    <t>NaCl soaking treatment for improving the quality of french-fried potatoes</t>
  </si>
  <si>
    <t>FOOD RESEARCH INTERNATIONAL</t>
  </si>
  <si>
    <t>Potato strips were soaked in 3, 5 or 7% NaCl solutions (25 degreesC) previous to frying, to study the effect on oil uptake. Sensory responses indicated the best texture and lowest oil uptake at 3% NaCl solution for 50 min. Soaking had no effect (P &lt; 0.05) on color (L*, a* and b*) or moisture loss during deep fat frying at 180 degreesC. Soaking significantly reduced oil uptake from 0.13 to 0.10 g oil/g dry matter and increased the measured texture parameters (hardness to penetrate both crusts, and both work and initial rigidity). Sensory acceptability was not different (P &lt; 0.05) between the soaked product and a commercial sample. (C) 2002 Elsevier Science Ltd. All rights reserved.</t>
  </si>
  <si>
    <t>0963-9969</t>
  </si>
  <si>
    <t>1873-7145</t>
  </si>
  <si>
    <t>PII S0963-9969(02)00131-X</t>
  </si>
  <si>
    <t>10.1016/S0963-9969(02)00131-X</t>
  </si>
  <si>
    <t>WOS:000181222700007</t>
  </si>
  <si>
    <t>Cárdenas-Jirón, GI; Caro, CA; Venegas-Yazigi, D; Zagal, JH</t>
  </si>
  <si>
    <t>Theoretical study of the interaction energy profile of cobalt phthalocyanine and 2-mercaptoethanol.: Effect of the graphite on the global reactivity</t>
  </si>
  <si>
    <t>JOURNAL OF MOLECULAR STRUCTURE-THEOCHEM</t>
  </si>
  <si>
    <t>26th International Congress of Theoretical Chemists of Latin Expression</t>
  </si>
  <si>
    <t>SEP 03-09, 2000</t>
  </si>
  <si>
    <t>CAXAMBU, BRAZIL</t>
  </si>
  <si>
    <t>A theoretical rationalization of the interaction between a cobalt phthalocyanine (CoPc) and 2-mercaptoethanol (2ME) at PM3(tm) semi-empirical level of calculation is performed. The Interaction Energy Profile (IEP) is obtained along the r(Co).(.s) reaction coordinate which allows the identification of the relevant species involved in the interaction; i.e. the A structure at r(Co)..(.s) = 2.2 Angstrom, the transition state (TS) at r(Co)...(s) =3.3 Angstrom and the B structure at r(Co)...(s) =3.9 Angstrom. Reactivity descriptors such as frontier molecular orbitals, Fukui function and local hardness are applied to the three species in order to identify the reactivity sites and to explain the interaction between CoPc and 2ME. (C) 2002 Elsevier Science B.V. All rights reserved.</t>
  </si>
  <si>
    <t>zagal, jose/L-9648-2014; Cardenas-Jiron, Gloria/H-9508-2012; Venegas-Yazigi, Diego/C-5022-2009</t>
  </si>
  <si>
    <t>Cardenas-Jiron, Gloria/0000-0003-4305-8088; Venegas-Yazigi, Diego/0000-0001-7816-2841</t>
  </si>
  <si>
    <t>0166-1280</t>
  </si>
  <si>
    <t>MAR 29</t>
  </si>
  <si>
    <t>PII S0166-1280(01)00613-3</t>
  </si>
  <si>
    <t>10.1016/S0166-1280(01)00613-3</t>
  </si>
  <si>
    <t>WOS:000175256200022</t>
  </si>
  <si>
    <t>Encinas, MV; Lissi, EA; Jimenez, S; Norambuena, E</t>
  </si>
  <si>
    <t>β-nitrostyrene derivatives as inhibitors of the free radical polymerization</t>
  </si>
  <si>
    <t>MACROMOLECULAR CHEMISTRY AND PHYSICS</t>
  </si>
  <si>
    <t>Encinas, Maria/L-9686-2014</t>
  </si>
  <si>
    <t>1022-1352</t>
  </si>
  <si>
    <t>MAR 26</t>
  </si>
  <si>
    <t>10.1002/1521-3935(20010301)202:5&lt;689::AID-MACP689&gt;3.0.CO;2-1</t>
  </si>
  <si>
    <t>WOS:000167923600012</t>
  </si>
  <si>
    <t>Vásquez, JA; Matsuhiro, B; Vega, MA; Pardo, LM; Veliz, D</t>
  </si>
  <si>
    <t>The effects of mining pollution on subtidal habitats of northern Chile</t>
  </si>
  <si>
    <t>INTERNATIONAL JOURNAL OF ENVIRONMENT AND POLLUTION</t>
  </si>
  <si>
    <t>Mining is the most important commercial activity in Chile, producing more than 60% of the total national income. In northern Chile, where mining extraction is concentrated, solid and liquid pollutants resulting from copper and iron processing are discharged to the ocean. The studies on the effects of mining pollution on coastal marine environments in Chile mainly consist of the evaluation of heavy metal concentrations in organisms and intertidal sediments. There are no references on the effects of mining discharges on populations and communities of the shallow subtidal habitats. During 1996-1997, covering more than 1500 km of coast (in polluted and control areas), we studied (1) the chemical characterization of copper and iron discharges, (2) the distribution of heavy metals in Lessonia trabeculata (frond, stipe and holdfast), (3) the distribution of heavy metals in seawater, (4) changes on Lessonia composition and quality of phycocolloid and morphology, (5) the effects upon the macroinvertebrate community associated with Lessonia holdfast and on the rocky subtidal community. Ail these variables were examined over time, at different depths and at: various distances from the discharge source. We show here that tailings from copper mining cause more ecological perturbation than those from iron extraction. However, the lack of organisms in areas close to mining activities could he caused by the accumulation of fine sediments more than the heavy metal content per se. This work shows that the levels of heavy metals in seawater, plants and alginates of Lessonia in contaminated and pristine sites are highly variable. In this context, environmental factors, such as temperature, wind intensity, tidal regimes, water movement, wave impact, coastal circulation, local orogenetic processes, tectonic movement, shore topography, coastal upwelling and global oceanographic phenomena, such as El Nino, must be considered in the future in the interpretation of the effects of heavy metals in coastal marine communities.</t>
  </si>
  <si>
    <t>Pardo, L/A-3178-2008; Veliz, David/J-4205-2013</t>
  </si>
  <si>
    <t>Veliz, David/0000-0002-5768-9887; Pardo, Luis Miguel/0000-0002-8179-5057</t>
  </si>
  <si>
    <t>0957-4352</t>
  </si>
  <si>
    <t>1-6</t>
  </si>
  <si>
    <t>WOS:000088280100025</t>
  </si>
  <si>
    <t>Lizama, C; Prado, H</t>
  </si>
  <si>
    <t>The vector-valued Stieltjes transform</t>
  </si>
  <si>
    <t>QUARTERLY JOURNAL OF MATHEMATICS</t>
  </si>
  <si>
    <t>Lizama, Carlos/E-5909-2011</t>
  </si>
  <si>
    <t>Lizama, Carlos/0000-0002-9807-1100</t>
  </si>
  <si>
    <t>0033-5606</t>
  </si>
  <si>
    <t>10.1093/qjmath/50.198.197</t>
  </si>
  <si>
    <t>WOS:000081363600005</t>
  </si>
  <si>
    <t>Videla, LA; Ferrer, V; Lissi, EA</t>
  </si>
  <si>
    <t>Effect of aliphatic aldehydes on the lipid peroxidation and chemiluminescence of biological systems under oxidative stress</t>
  </si>
  <si>
    <t>JOURNAL OF BIOLUMINESCENCE AND CHEMILUMINESCENCE</t>
  </si>
  <si>
    <t>The effect of several aliphatic aldehydes on lipid peroxidation was evaluated by measuring the oxygen uptake rate, thiobarbituric acid-reactive products formation and the emitted visible chemiluminescence intensity. Measurements were carried out in brain homogenates and erythrocyte plasma membrane and liver microsomal fractions. In all systems studied, aldehydes (25 mmol/L) (e.g. acetaldehyde, 2,2-dimethylpropanal), increased the intensity of the luminescence associated with the oxidation process. In contrast, aldehyde incorporation decreased TBARS production and the rate of oxygen uptake. The increased luminescence intensity is explained in terms of secondary reactions of aldehyde derived free radicals. These results clearly indicate that extreme care must be exercized in the intepretation of chemiluminescence data in the presence of aldehydes. (C) 1997 John Wiley &amp; Sons, Ltd.</t>
  </si>
  <si>
    <t>0884-3996</t>
  </si>
  <si>
    <t>MAY-JUN</t>
  </si>
  <si>
    <t>WOS:A1997YK17100002</t>
  </si>
  <si>
    <t>Abuin, EB; Lissi, EA; Borsarelli, C</t>
  </si>
  <si>
    <t>Tl+/Na+ competitive binding at the surface of dodecylsulfate micelles in water-urea mixtures</t>
  </si>
  <si>
    <t>JOURNAL OF COLLOID AND INTERFACE SCIENCE</t>
  </si>
  <si>
    <t>The effect of urea on the competition between Tl+ and Na+ ions to bind with the surface of dodecylsulfate micelles in aqueous solution has been studied by fluorescence techniques, employing methods based on fluorescence quenching data (FQD) and critical micelle concentration measurements (CMCM). The results obtained are interpreted in terms of selectivity coefficients K (Tl+/Na+) defined within the framework of the pseudophase ion-exchange formalism. It is found that the ion specificity observed in the absence of urea [K(Tl+/Na+) = 3.8 +/- 0.3 (from FQD), K (Tl+/Na+) = 2.5 +/- 0.3 (from CMCM] is progressively lost in the presence of increasing concentrations of urea, Typically, values of K (Tl+/Na+) = 1.4 +/- 0.2 (from FQD) and K (Tl+/Na+) = 1.2 +/= 0.2 (from CMCM) in a water-urea mixture at 8 M urea, were obtained. The results are discussed in terms of urea association to the micellar interface and changes in the characteristics of the external medium. (C) 1996 Academic Press, Inc.</t>
  </si>
  <si>
    <t>Borsarelli, Claudio/O-3525-2019; Borsarelli, Claudio Dario/I-4216-2012</t>
  </si>
  <si>
    <t>Borsarelli, Claudio Dario/0000-0003-0120-645X</t>
  </si>
  <si>
    <t>0021-9797</t>
  </si>
  <si>
    <t>DEC 25</t>
  </si>
  <si>
    <t>10.1006/jcis.1996.0662</t>
  </si>
  <si>
    <t>WOS:A1996WA88400035</t>
  </si>
  <si>
    <t>ALVEAR, M; ENCINAS, MV; HERRERA, L; CARDEMIL, E</t>
  </si>
  <si>
    <t>RESONANCE ENERGY-TRANSFER DETERMINATION OF THE DISTANCE BETWEEN THE 4 CYSTEINE-364 RESIDUES IN SACCHAROMYCES-CEREVISIAE PHOSPHOENOLPYRUVATE CARBOXYKINASE</t>
  </si>
  <si>
    <t>ARCHIVES OF BIOCHEMISTRY AND BIOPHYSICS</t>
  </si>
  <si>
    <t>Each of the four subunits of the Saccharomyces cerevisiae phosphoenolpyruvate carboxykinase has one cysteine residue (Cys-364) that is protected against alkylation by MnATP and that is thought to be located at (or close to) the active site (M. Alvear, M. V. Encinas, S. Latshaw, R. G. Kemp, and E. Cardemil, 1992, Biochim. Biophys. Acta 1119, 35-38). To determine the distance relationships between these residues within this tetrameric enzyme, we have derivatized one of these reactive thiols with N-acetyl-N'-(5-sulfo-1-naphthyl) ethylenediamine (AEDANS) and the others progressively with 4- [N-[(acetoxy)ethyl]-N-methylamino]-7-nitro- benz-2-oxa-1,3-diazole (ANBD). In the doubly labeled protein nonradiative singlet-singlet energy transfer between AEDANS (donor) and ANBD (acceptor) was observed. The efficiency of the energy transfer is propertional to the number of occupied acceptor sites. From these data it has been determined that one of the acceptor sites is 33 Angstrom from the donor, and the remaining two sites are 44-46 Angstrom from the donor. Cross-linking experiments revealed that mainly cross-linked dimers were produced upon reaction of the enzyme with o-phthalaldehyde and dithiobissuccinimidylpropionate. We interpret these results as an indication that this tetrameric enzyme is most likely composed of an association of two dimers. (C) 1994 Academic Press, Inc.</t>
  </si>
  <si>
    <t>0003-9861</t>
  </si>
  <si>
    <t>1096-0384</t>
  </si>
  <si>
    <t>10.1006/abbi.1994.1107</t>
  </si>
  <si>
    <t>WOS:A1994MY85800005</t>
  </si>
  <si>
    <t>LISSI, E; ABUIN, E; CUCCOVIA, IM; CHAIMOVICH, H</t>
  </si>
  <si>
    <t>ION-EXCHANGE BETWEEN ALKYL DICARBOXYLATES AND HYDROPHILIC ANIONS AT THE SURFACE OF CETYLTRIMETHYLAMMONIUM MICELLES</t>
  </si>
  <si>
    <t>Selectivity coefficients (KX/Y) for ion exchange between dicarboxylate anions (general formula .**GRAPHIC**. and sulfate (or thiosulfate) at the surface of cetyltrimethylammonium (CTA) micelles were determined by fluorescence, absorbance, and salt effect on the critical micelle concentration. The values of KX/Y, obtained by different methods, were equal. This equality validated the use of the pseudophase separation-ion exchange formalism for the analysis of dianon exchange. The hydrophobic contribution to ion binding was apparent only for n &gt; 3, fumarate and maleate being more tightly bound than succinate. The binding of the lower homologs was discussed in terms of micellar structure. For n &gt; 3 the value of .DELTA.(.DELTA..mu.) of transfer is 430 and 560 cal/CH2 for CTA sulfate and CTA thiosulfate, respectvely. These latter results were interpreted in terms of alkyl chain hydrophobic contribution to the binding capacity of the organic counterion.</t>
  </si>
  <si>
    <t>Chaimovich, Hernan/B-5006-2011; Cuccovia, Iolanda Midea/G-1183-2012</t>
  </si>
  <si>
    <t>Chaimovich, Hernan/0000-0001-9380-2157; Cuccovia, Iolanda Midea/0000-0001-8285-7419</t>
  </si>
  <si>
    <t>1095-7103</t>
  </si>
  <si>
    <t>10.1016/0021-9797(86)90120-7</t>
  </si>
  <si>
    <t>WOS:A1986D321900020</t>
  </si>
  <si>
    <t>LISSI, EA; ENCINAS, MV; CASTANEDA, F; OLEA, FA</t>
  </si>
  <si>
    <t>PHOTOCHEMISTRY OF THE 1,4-ALIPHATIC DIKETONES</t>
  </si>
  <si>
    <t>JOURNAL OF PHYSICAL CHEMISTRY</t>
  </si>
  <si>
    <t>Olea-Serrano, Fatima/I-4584-2017; Encinas, Maria/L-9686-2014</t>
  </si>
  <si>
    <t>Olea, Andres/0000-0001-8007-6264</t>
  </si>
  <si>
    <t>0022-3654</t>
  </si>
  <si>
    <t>10.1021/j100440a005</t>
  </si>
  <si>
    <t>WOS:A1980JE25000005</t>
  </si>
  <si>
    <t>LETELIER, MF; LEUTHEUSSER, HJ</t>
  </si>
  <si>
    <t>SKIN FRICTION IN UNSTEADY LAMINAR PIPE-FLOW - REPLY</t>
  </si>
  <si>
    <t>JOURNAL OF THE HYDRAULICS DIVISION-ASCE</t>
  </si>
  <si>
    <t>0044-796X</t>
  </si>
  <si>
    <t>WOS:A1977DL14100013</t>
  </si>
  <si>
    <t>URZUAM, A; CASSELS, B</t>
  </si>
  <si>
    <t>STUDIES ON ARGENTINIAN PLANTS .34. ALKALOIDS FROM LAURELIA-SEMPERVIRENS-R ET PAV AND FROM LAURELIA-PHILIPPIANA-LOOSER</t>
  </si>
  <si>
    <t>ANALES DE LA ASOCIACION QUIMICA ARGENTINA</t>
  </si>
  <si>
    <t>0365-0375</t>
  </si>
  <si>
    <t>5-6</t>
  </si>
  <si>
    <t>WOS:A1975CS64700003</t>
  </si>
  <si>
    <t>Mohammadi, G; Safari, M; Karimi, M; Iranpanah, A; Farzaei, MH; Fakhri, S; Echeverria, J</t>
  </si>
  <si>
    <t>Mohammadi, Ghobad; Safari, Mosayyeb; Karimi, Masoud; Iranpanah, Amin; Farzaei, Mohammad Hosein; Fakhri, Sajad; Echeverria, Javier</t>
  </si>
  <si>
    <t>Preparation and characterization of Pistacia atlantica oleo-gum-resin-loaded electrospun nanofibers and evaluating its wound healing activity in two rat models of skin scar and burn wound</t>
  </si>
  <si>
    <t>FRONTIERS IN PHARMACOLOGY</t>
  </si>
  <si>
    <t>Background A growing body of research is dedicated to developing new therapeutic agents for wound healing with fewer adverse effects. One of the proceedings being taken today in wound healing research is to identify promising biological materials that not only heal wounds but also vanish scarring. The effectiveness of nanofibers like polyvinyl alcohol (PVA), in improving wound healing can be related to their unique properties. Pistacia atlantica Desf. subsp. kurdica (Zohary) Rech. f. (PAK) [Anacardiaceae], also known as Baneh in traditional Iranian medicine, is one of the most effective herbal remedies for the treatment of different diseases like skin injuries due to its numerous pharmacological and biological properties, including anti-inflammatory, antioxidant, and anti-bacterial effects.Purpose Our study aimed to evaluate the wound-healing activity of nanofibers containing PVA/PAK oleo-gum-resin in two rat models of burn and excision wound repair.Material and Methods PVA/PKA nanofibers were prepared using the electrospinning method. Scanning electron microscope (SEM) images and mechanical properties of nanofibers were explored. Diffusion and releasing experiments of nanofibers were performed by the UV visible method at different time intervals and up to 72 h. The animal models were induced by excision and burn in Wistar rat's skin and the wound surface area was measured during the experiment for 10 and 21 days, respectively. On the last day, the wound tissue was removed for histological studies, and serum oxidative factors were measured to evaluate the antioxidant properties of the PVA/PKA. Data analysis was performed using ImageJ, Expert Design, and statistical analysis methods.Results and discussion PVA/PKA nanofibers were electrospun at different voltages (15, 18, and 20 kV). The most suitable fibers were obtained when the nozzle was positioned 15 cm away from the collector, with a working voltage of 15 kV, and an injection rate of 0.5 mm per hour, using the 30:70 w/v PKA gum. In the SEM images, it was found that the surface tension of the polymer solution decreased by adding the gum and yield thinner and longer fibers at a voltage of 15 kV with an average diameter of 96 +/- 24 nm. The mechanical properties of PVA/PKA nanofibers showed that the presence of gum increased the tensile strength and decreased the tensile strength of the fibers simultaneously. In vivo results showed that PVA/PKA nanofibers led to a significant reduction in wound size and tissue damage (regeneration of the epidermal layer, higher density of dermal collagen fibers, and lower presence of inflammatory cells) compared to the positive (phenytoin and silver sulfadiazine) and negative control (untreated) groups. Wound contraction was higher in rats treated with PVA/PKA nanofibers. Additionally, antioxidative serum levels of catalase and glutathione were higher in the PVA/PKA nanofiber groups even in comparison to positive control groups.Conclusion Pistacia atlantica oleo-gum-resin-loaded electrospun nanofibers potentially improve excision and burn models of skin scars in rats through antioxidative and tissue regeneration mechanisms.</t>
  </si>
  <si>
    <t>Echeverría, Javier/AAK-3323-2020; Karimi, Masoud/Q-5889-2017; Mohammadi, Ghobad/S-2374-2017; Farzaei, Mohammad/M-5779-2017</t>
  </si>
  <si>
    <t>1663-9812</t>
  </si>
  <si>
    <t>NOV 25</t>
  </si>
  <si>
    <t>10.3389/fphar.2024.1474981</t>
  </si>
  <si>
    <t>WOS:001372187800001</t>
  </si>
  <si>
    <t>Barbieri, S; Carrasco-Vargas, N; Rojas, C</t>
  </si>
  <si>
    <t>Barbieri, Sebastian; Carrasco-Vargas, Nicanor; Rojas, Cristobal</t>
  </si>
  <si>
    <t>Effective dynamical systems beyond dimension zero and factors of SFTs</t>
  </si>
  <si>
    <t>Using tools from computable analysis, we develop a notion of effectiveness for general dynamical systems as those group actions on arbitrary spaces that contain a computable representative in their topological conjugacy class. Most natural systems one can think of are effective in this sense, including some group rotations, affine actions on the torus and finitely presented algebraic actions. We show that for finitely generated and recursively presented groups, every effective dynamical system is the topological factor of a computable action on an effectively closed subset of the Cantor space. We then apply this result to extend the simulation results available in the literature beyond zero-dimensional spaces. In particular, we show that for a large class of groups, many of these natural actions are topological factors of subshifts of finite type.</t>
  </si>
  <si>
    <t>Rojas, Cristobal/I-6599-2012; Barbieri, Sebastián/HTS-1654-2023</t>
  </si>
  <si>
    <t>Rojas, Cristobal/0000-0002-9037-6102; Carrasco-Vargas, Nicanor/0009-0002-7381-4382; Barbieri, Sebastian/0000-0001-9567-2085</t>
  </si>
  <si>
    <t>10.1017/etds.2024.79</t>
  </si>
  <si>
    <t>OCT 2024</t>
  </si>
  <si>
    <t>WOS:001330024600001</t>
  </si>
  <si>
    <t>Viveros, A; Adasme, P; Firoozabadi, AD; San Juan, E</t>
  </si>
  <si>
    <t>Viveros, Andres; Adasme, Pablo; Dehghan Firoozabadi, Ali; San Juan, Enrique</t>
  </si>
  <si>
    <t>Minimizing the Density of Switch-Controller Latencies over Total Latency for Software-Defined Networks</t>
  </si>
  <si>
    <t>ALGORITHMS</t>
  </si>
  <si>
    <t>This study examines the problem of minimizing the amount and distribution of time delays or latencies experienced by data as they travel from one point to another within a software-defined network (SDN). For this purpose, a model is proposed that seeks to represent the minimization of the distances between network switches in proportion to the total nodes in a network. The highlights of this study are the proposal of two mixed-integer quadratic models from a fractional initial version. The first is obtained by transforming (from the original fractional model) the objective function into equivalent constraints. The second one is obtained by splitting each term of the fraction with an additional variable. The two developed models have a relationship between switches and controllers with quadratic terms. For this reason, an algorithm is proposed that can solve these problems in a shorter CPU time than the proposed models. In the development of this research work, we used real benchmarks and randomly generated networks, which were to be solved by all the proposed models. In addition, a few additional random networks that are larger in size were considered to better evaluate the performance of the proposed algorithm. All these instances are evaluated for different density scenarios. More precisely, we impose a constraint on the number of controllers for each network. All tests were performed using our models and the computational power of the Gurobi solver to find the optimal solutions for most of the instances. To the best of our knowledge, this work represents a novel mathematical representation of the latency density management problem in an SDN to measure the efficiency of the network. A detailed analysis of the test results shows that the effectiveness of the proposed models is closely related to the size of the studied networks. Furthermore, it can be noticed that the performance of the second model compared to the first one presents better behavior in terms of CPU times, the optimal solutions obtained, and the reduced Mipgaps obtained using the solver. These findings provide a deep understanding of how the models operate and how the optimization dynamics contribute to improving the efficiency and performance of SDNs.</t>
  </si>
  <si>
    <t>Adasme, Pablo/U-1735-2019; Dehghan Firoozabadi, Ali/AAD-4858-2019</t>
  </si>
  <si>
    <t>Dehghan Firoozabadi, Ali/0000-0002-6391-6863; Adasme, Pablo/0000-0003-2500-3294; Viveros, Andres/0000-0003-4917-6798</t>
  </si>
  <si>
    <t>1999-4893</t>
  </si>
  <si>
    <t>10.3390/a17090393</t>
  </si>
  <si>
    <t>WOS:001322886200001</t>
  </si>
  <si>
    <t>Riquelme, N; Robert, P; Arancibia, C</t>
  </si>
  <si>
    <t>Riquelme, Natalia; Robert, Paz; Arancibia, Carla</t>
  </si>
  <si>
    <t>Desserts Enriched with a Nanoemulsion Loaded with Vitamin D3 and Omega-3 Fatty Acids for Older People</t>
  </si>
  <si>
    <t>FOODS</t>
  </si>
  <si>
    <t>The food industry is challenged to develop nutritious and palatable foods that satisfy older people's needs. So, this work aimed to study the incorporation of nanoemulsions enriched with vitamin D-3 and omega-3 fatty acids into two desserts (yogurt and fruit puree), characterizing their nutritional profile, viscosity, and color properties and evaluating their in vitro bioaccessibility and sensory response. The results showed that adding nanoemulsion modified the nutrition profile of desserts due to increasing lipids and calories. The desserts' physical properties were also affected, with a decrease in viscosity and a lightening of color. Regarding digestion, the enriched desserts presented a low release of free fatty acids (14.8 and 11.4%, respectively). However, fruit puree showed the highest vitamin D-3 and omega-3 fatty acid in vitro bioaccessibility (48.9 and 70.9%, respectively). In addition, older consumers found this dessert more acceptable than yogurt due to the adequate intensity of its sensory attributes (aroma, flavor, sweetness, and consistency). Therefore, the fruit puree can be enriched with nanoemulsions loaded with vitamin D-3 and omega-3 fatty acids to improve the bioaccessibility of lipid bioactive compounds and sensory performance, offering a health-enhancing option for older consumers.</t>
  </si>
  <si>
    <t>Arancibia, Carla/AAN-2290-2020</t>
  </si>
  <si>
    <t>Riquelme Hinojosa, Natalia Andrea/0000-0003-3490-1045</t>
  </si>
  <si>
    <t>2304-8158</t>
  </si>
  <si>
    <t>10.3390/foods13132073</t>
  </si>
  <si>
    <t>WOS:001270162100001</t>
  </si>
  <si>
    <t>Domínguez-Flores, AD; Rayas, JA; Martínez-García, A; Cordero, RR</t>
  </si>
  <si>
    <t>Dominguez-Flores, Azael D.; Rayas, Juan A.; Martinez-Garcia, Amalia; Cordero, Raul R.</t>
  </si>
  <si>
    <t>Analysis and Correction of the Additive Phase Effect Generated by Power Change in a Mach-Zehnder Interferometer Integrated to an Optical Trap</t>
  </si>
  <si>
    <t>APPLIED SCIENCES-BASEL</t>
  </si>
  <si>
    <t>Immersion microscope objectives stand out for their large numerical aperture, which improves the optical resolution of imaging systems such as those used in microscopic interferometry. These objectives increase the gradient forces of a beam focused through them, forming an Optical Trap (OT). However, many studies on microscopic interferometry neglect the contributions of different optical materials in the system that are also exposed to laser radiation, perhaps simply assuming transparency. In this work, a Mach-Zehnder interferometer and an OT, which share several components (including the same oil immersion objective), were coupled. Here, the response of the interferometer to a progressive increase in the OT laser power, while the interferometer laser power remains constant, is reported. Changes in laser power affect the oil temperature, altering its refractive index and volume, which in turn causes a phase shifting on the transmitted wavefront. Optical phase analysis is applied in the three-dimensional measurement of the damage produced by the OT on a paint film. This study suggests that the refractive index variations in the immersion oil affect interferograms because they will then exhibit an additive phase term that must be considered in that final measurement. Additionally, the OT geometry changes with the power increase.</t>
  </si>
  <si>
    <t>Rayas, Juan/CAG-8266-2022; Domínguez-Flores, Azael/KPB-5661-2024; Cordero, Raul/M-7979-2017</t>
  </si>
  <si>
    <t>Dominguez Flores, Azael David/0000-0001-9761-1219; Cordero, Raul R./0000-0001-7607-7993; Rayas, Juan Antonio/0000-0001-6809-2368</t>
  </si>
  <si>
    <t>2076-3417</t>
  </si>
  <si>
    <t>10.3390/app14062404</t>
  </si>
  <si>
    <t>WOS:001191501200001</t>
  </si>
  <si>
    <t>Baigorrotegui, G; Garrido-Lazo, R; Jiménez, PP; Ibañez, JC</t>
  </si>
  <si>
    <t>Baigorrotegui, Gloria; Garrido-Lazo, Rene; Jimenez, Paola Poch; Ibanez, Jennifer Cabrera</t>
  </si>
  <si>
    <t>Legibility of Waste on Remote Islands: Salamandra Island, The Puerto Eden's Landfill</t>
  </si>
  <si>
    <t>REVISTA DE GEOGRAFIA NORTE GRANDE</t>
  </si>
  <si>
    <t>A toxic tour to Salamandra Island, led by residents of Puerto Eden, unveils the issue of anthropogenic waste accumulation on remote islands, inhabited by people, in the middle of peatlands, glaciers, and remote fjords. As invited researchers, we grapple with the challenge of making these wastes visible without impacting the identity of local inhabitants. Our work addresses this dilemma through a tailored theoretical-methodological framework to render anthropogenic waste visible and legible in island contexts, articulated in four axes: governance, coercion, reflexivity, and consequences. Specifically, we incorporate satellite remote sensing data to quantify the percentage increase of waste in the last axis. The research emphasizes the role of island governance based on residual bodies and le-gal-administrative actions that delay waste visibility and management initiatives, leading to the systematic illegibility of anthropogenic waste of Puerto Ed &amp; eacute;n. This scenario is exacerbated by truncated development plans and depopulation, which undermine collective efforts for transparency and proper waste management. We conclude that, because of lagging governance in anthropogenic waste, its legibility cannot be taken for granted. Hence the urgency of adopting integrated approaches that consider local specificities, allied with forms of visibility from above, to repair the effects of growing waste metabolisms on remote islands.</t>
  </si>
  <si>
    <t>Baigorrotegui, Gloria/C-1681-2018</t>
  </si>
  <si>
    <t>0379-8682</t>
  </si>
  <si>
    <t>0718-3402</t>
  </si>
  <si>
    <t>WOS:001307386800010</t>
  </si>
  <si>
    <t>Huerta-Cancino, L; Alé-Silva, J</t>
  </si>
  <si>
    <t>Wei, J; Margetis, G</t>
  </si>
  <si>
    <t>Huerta-Cancino, Leonor; Ale-Silva, Jhon</t>
  </si>
  <si>
    <t>Augmented Astronomy for Science Teaching and Learning</t>
  </si>
  <si>
    <t>HUMAN-CENTERED DESIGN, OPERATION AND EVALUATION OF MOBILE COMMUNICATIONS, PT I, MOBILE 2024</t>
  </si>
  <si>
    <t>5th International Conference on Human-Centered Design, Operation and Evaluation of Mobile Communications held as Part of the 26th International Conference on Human-Computer Interaction (HCII)</t>
  </si>
  <si>
    <t>JUN 29-JUL 04, 2024</t>
  </si>
  <si>
    <t>Washington, DC</t>
  </si>
  <si>
    <t>Often, students' 'prior ideas' and 'alternative conceptions' about natural phenomena do not align with established scientific models in science education. In the field of astronomy, some of these ideas and conceptions are ingrained from an early age and persist over the years even after receiving formal instruction, highlighting the urgent need to design resources and activities to enhance scientific literacy. In this regard, Extended Reality (XR) emerges as an easily accessible technology with broad applications for astronomy education, making it a useful tool with the potential to address this issue. From this perspective, this study aims to present the design and preliminary evaluation of eight Augmented Reality (AR) educational resources focused on addressing reported alternative conceptions during the learning and teaching of astronomy. Through a methodology based on Educational Design Research, we developed and preliminarily evaluated these astronomy AR resources through simple activities with primary and secondary school students. The evaluation results contributed to improving the software, providing students with access to rigorous scientific content focused on overcoming alternative conceptions in astronomy and tailored to their needs.</t>
  </si>
  <si>
    <t>Alé, Jhon/MIT-2747-2025</t>
  </si>
  <si>
    <t>Ale Silva, Jhon Alfredo/0000-0002-1999-4012</t>
  </si>
  <si>
    <t>978-3-031-60457-7; 978-3-031-60458-4</t>
  </si>
  <si>
    <t>10.1007/978-3-031-60458-4_16</t>
  </si>
  <si>
    <t>WOS:001283831300016</t>
  </si>
  <si>
    <t>Saldias-Fernández, MA; González-Santa-Cruz, A; Parra-Giordano, D</t>
  </si>
  <si>
    <t>Saldias-Fernandez, Maria Angelica; Gonzalez-Santa-Cruz, Andres; Parra-Giordano, Denisse</t>
  </si>
  <si>
    <t>Pregnancy interruption in Chile 2018-2020: role of sociodemographic and health variables on women's decision</t>
  </si>
  <si>
    <t>SALUD PUBLICA DE MEXICO</t>
  </si>
  <si>
    <t>Objective. To identify sociodemographic and health factors among those who required benefits associated with the voluntary termination of pregnancy (IVE). Materials and methods. Retrospective cross-sectional design from official records by health centers between 2018-2020. Analysis with descriptive statistics and multiple logistic regression models. Results. Association between IVE and cause of rape vs. the risk of the life of the woman (aPR [adjusted prevalence ratio]=1.16 [95%CI: 1.11,1.21]); Fonasa level A (Fondo Nacional de Salud) (aPR=0.79 [95%CI: 0.67,0.93]), B (aPR= 0.79 [95%CI: 0.67,0.93]) and C vs. Isapre (Institucion de Salud Previsional) (aPR= 0.73 [95%CI: 0.58,0.93]).As the level of care increases, from primary to tertiary level, the probability of terminating the pregnancy would increase (aOR [adjusted odds ratio]= 0.59 [95%CI: 0.36,0.99]; aOR= 0.58 [95%CI: 0.35,0.96]). Conclusion. National IVE estimates are provided. It highlights that different socio-sanitary determinants are essential to consider promoting guidelines and health policies to promote sexual and reproductive rights and reproductive autonomy.</t>
  </si>
  <si>
    <t>Parra-Giordano, Denisse/C-4947-2015</t>
  </si>
  <si>
    <t>0036-3634</t>
  </si>
  <si>
    <t>1606-7916</t>
  </si>
  <si>
    <t>10.21149/14670</t>
  </si>
  <si>
    <t>WOS:001152521100015</t>
  </si>
  <si>
    <t>Fathi, M; Villanueva, JR; Cruz, N</t>
  </si>
  <si>
    <t>Fathi, Mohsen; Villanueva, Jose R.; Cruz, Norman</t>
  </si>
  <si>
    <t>Spherical Particle Orbits around a Rotating Black Hole in Massive Gravity</t>
  </si>
  <si>
    <t>SYMMETRY-BASEL</t>
  </si>
  <si>
    <t>In this paper, we present a rotating de Rham-Gabadadze-Tolley black hole with a positive cosmological constant under massive gravity, achieved by applying a modified Newman-Janis algorithm. The black hole exhibited stable orbits of constant radii, prompting a numerical study of the behavior of the solutions to a nonic equation governing the radii of planar orbits around the black hole. Additionally, we investigated the stability of orbits near the event horizon and provide a comprehensive analytical examination of the solutions to the angular equations of motion. This was followed by a simulation of some spherical particle orbits around the black hole.</t>
  </si>
  <si>
    <t>Fathi, Mohsen/T-7031-2017</t>
  </si>
  <si>
    <t>Fathi, Mohsen/0000-0002-1602-0722</t>
  </si>
  <si>
    <t>2073-8994</t>
  </si>
  <si>
    <t>10.3390/sym15081485</t>
  </si>
  <si>
    <t>WOS:001058765400001</t>
  </si>
  <si>
    <t>Devés, E; da Silva, FP</t>
  </si>
  <si>
    <t>Deves, Eduardo; da Silva, Fabricio Pereira</t>
  </si>
  <si>
    <t>South-South intellectual networks: trajectories and proposals towards the future</t>
  </si>
  <si>
    <t>IZQUIERDAS</t>
  </si>
  <si>
    <t>This article is based on the question of the limited success of South-South networks, mainly in relation to the lack of interest in the intellective ecosystems of the South with respect to the other Souths, in addition to several other factors. A brief enumeration is made of cases with poor success and of some causes that have prevented extension and permanence, which are the main signs of success. A case considered successful is presented, as a counterpoint. As a conclusion of the article, reflections and recommendations are made to inform new attempts at structuring South-South intellectual meetings and networks.</t>
  </si>
  <si>
    <t>0718-5049</t>
  </si>
  <si>
    <t>WOS:001034444000001</t>
  </si>
  <si>
    <t>Baladron, J; Hamker, FH</t>
  </si>
  <si>
    <t>Baladron, Javier; Hamker, Fred H.</t>
  </si>
  <si>
    <t>Re-Thinking the Organization of Cortico-Basal Ganglia-Thalamo-Cortical Loops</t>
  </si>
  <si>
    <t>COGNITIVE COMPUTATION</t>
  </si>
  <si>
    <t>First concepts of cortex-basal ganglia interactions suggested that cognitive functions are implemented through different parallel, segregated cortico-basal ganglia-cortical loops. Recent evidence however shows that there are at least 4 ways by which different loops could interact: overlapping cortico-pallidal projections, overlapping cortico-striatal projections, striato-nigro-striatal spirals, and cortico-thalamo-striatal projections. We propose that current evidence, if incorporated into neuro-computational models, provides new avenues for explaining cognitive functions. Using a recently introduced hierarchical neuro-computational model of multiple cortico-basal ganglia-cortical loops, we exemplify how interaction between loops can explain behavioral data linked to the ideomotor theory. During training of a stimulus-response task, a task-irrelevant tone is played after each action. Then, during a test period, the same tones are played but together with the stimuli. The model learns a distributed representation of action outcomes which is then used to select actions. Similar to observations in human subjects, the model's response time is larger if an inconsistent tone (previously listened together with an alternative action) is played with the stimulus. Understanding the function of different communication strategies between loops could be the key to fully unravel the neural basis of the numerous functions supported by the basal ganglia. The multiple-loop structure allows for a more complex representation of behavior in which action outcomes are considered.</t>
  </si>
  <si>
    <t>Hamker, Fred/0000-0001-9104-7143</t>
  </si>
  <si>
    <t>1866-9956</t>
  </si>
  <si>
    <t>1866-9964</t>
  </si>
  <si>
    <t>10.1007/s12559-023-10140-9</t>
  </si>
  <si>
    <t>APR 2023</t>
  </si>
  <si>
    <t>WOS:000974757300001</t>
  </si>
  <si>
    <t>Gómez, DD; Rubio, AM</t>
  </si>
  <si>
    <t>Gomez, Daniel Domingo; Rubio, Antonio Mendez</t>
  </si>
  <si>
    <t>Conflicting Communication: The Role of Noise in the Social Crisis</t>
  </si>
  <si>
    <t>ESTUDIOS AVANZADOS</t>
  </si>
  <si>
    <t>This reflective text asks, from the theoretical-methodological framework generated by sound and aural studies, about noise in the context of social crisis. As a social phenomenon, which is part of social communication, sound, and musical communication, sound plays an active role in the construction of situations and experiences. At the limits of communication, noise intervenes as an intensification of moments of crisis. Both from the side of protest mobilizations and, at the same time, on the part of deterrence and mass control, noise becomes a decisive pragmatic resource that is part of the political conflict. After a first conceptualization and theoretical development, we address a case study, the production, and perception of noise in the Chilean popular revolt that began in October 2019.</t>
  </si>
  <si>
    <t>Domingo, Daniel/KEI-4460-2024</t>
  </si>
  <si>
    <t>0718-5022</t>
  </si>
  <si>
    <t>0718-5014</t>
  </si>
  <si>
    <t>10.35588/estudav.v0i38.5627</t>
  </si>
  <si>
    <t>WOS:001026183000008</t>
  </si>
  <si>
    <t>Alvarez, E; Díaz, S; Lizama, C</t>
  </si>
  <si>
    <t>Alvarez, Edgardo; Diaz, Stiven; Lizama, Carlos</t>
  </si>
  <si>
    <t>C-Semigroups, subordination principle and the Levy α-stable distribution on discrete time</t>
  </si>
  <si>
    <t>COMMUNICATIONS IN CONTEMPORARY MATHEMATICS</t>
  </si>
  <si>
    <t>In this paper, we introduce the notion of Levy alpha-stable distribution within the discrete setting. Using this notion, a subordination principle is proved, which relates a sequence of solution operators - given by a discrete C-semigroup - for the abstract Cauchy problem of first order in discrete-time, with a sequence of solution operators for the abstract Cauchy problem of fractional order 0 &lt; alpha &lt; 1 in discrete-time. As an application, we establish the explicit solution of the abstract Cauchy problem in discrete-time that involves the Hilfer fractional difference operator and prove that, in some cases, such solution converges to zero. Our findings give new insights on the theory, provide original concepts and extend as well as improve recent results of relevant references on the subject.</t>
  </si>
  <si>
    <t>Lizama, Carlos/E-5909-2011; Díaz, Stiven/AAV-8033-2021</t>
  </si>
  <si>
    <t>Diaz, Stiven/0000-0001-9613-9469</t>
  </si>
  <si>
    <t>0219-1997</t>
  </si>
  <si>
    <t>1793-6683</t>
  </si>
  <si>
    <t>10.1142/S0219199720500637</t>
  </si>
  <si>
    <t>WOS:000752945700007</t>
  </si>
  <si>
    <t>Arratia, J; Pereira, D; Ubilla, P</t>
  </si>
  <si>
    <t>Arratia, Juan; Pereira, Denilson; Ubilla, Pedro</t>
  </si>
  <si>
    <t>ELLIPTIC SYSTEMS INVOLVING SCHRODINGER OPERATORS WITH VANISHING POTENTIALS</t>
  </si>
  <si>
    <t>DISCRETE AND CONTINUOUS DYNAMICAL SYSTEMS</t>
  </si>
  <si>
    <t>We prove the existence of a bounded positive solution of the following elliptic system involving Schrodinger operators {- Delta u + V-1(x)u = lambda rho(1)(x)(u + 1)(r)(v + 1)(p) in R-N - Delta v + V-2(x)v = mu rho(2)(x)(u + 1)(q)(v + 1)(s) in R-N, u(x), v(x) -&gt; 0 as vertical bar x vertical bar -&gt; infinity where p, q, r, s &gt;= 0, V-i is a nonnegative vanishing potential, and rho(i) has the property (H) introduced by Brezis and Kamin [4]. As in that celebrated work we will prove that for every R &gt; 0 there is a solution (u(R), v(R)) defined on the ball of radius R centered at the origin. Then, we will show that this sequence of solutions tends to a bounded solution of the previous system when R tends to infinity. Furthermore, by imposing some restrictions on the powers p, q, r, s without additional hypotheses on the weights rho(i), we obtain a second solution using variational methods. In this context we consider two particular cases: a gradient system and a Hamiltonian system.</t>
  </si>
  <si>
    <t>1078-0947</t>
  </si>
  <si>
    <t>1553-5231</t>
  </si>
  <si>
    <t>10.3934/dcds.2021156</t>
  </si>
  <si>
    <t>NOV 2021</t>
  </si>
  <si>
    <t>WOS:000717218400001</t>
  </si>
  <si>
    <t>Dammert, L; Elorrieta, F; Alda, E</t>
  </si>
  <si>
    <t>Dammert, Lucia; Elorrieta, Felipe; Alda, Erik</t>
  </si>
  <si>
    <t>Satisfaction with the Police in Chile: The Importance of Legitimacy and Fair Treatment</t>
  </si>
  <si>
    <t>LATIN AMERICAN POLITICS AND SOCIETY</t>
  </si>
  <si>
    <t>This study addresses a void in the literature on public attitudes toward police in Latin America. It integrates three theoretical models of the determinants of citizen satisfaction with police work in Chile: demographic, quality of life in the neighborhood, and experiential. The study tested the integrated model using a novel random sample of 996 individuals living in the Metropolitan Region of Santiago. The results underscore the importance of legitimacy centered on fair treatment, respect for human rights, and the perception that the police represent society. The findings are also significant for the Chilean institutional political process and for the Latin American police reform debate.</t>
  </si>
  <si>
    <t>Dammert, Lucia/U-2327-2019; Elorrieta, Felipe/AAX-2057-2020</t>
  </si>
  <si>
    <t>Alda, Erik/0000-0001-7284-522X; Elorrieta, Felipe/0000-0002-1835-7433; Dammert, Lucia/0000-0003-1239-4425</t>
  </si>
  <si>
    <t>1531-426X</t>
  </si>
  <si>
    <t>1548-2456</t>
  </si>
  <si>
    <t>NOV</t>
  </si>
  <si>
    <t>PII S1531426X21000406</t>
  </si>
  <si>
    <t>10.1017/lap.2021.40</t>
  </si>
  <si>
    <t>WOS:000731935300008</t>
  </si>
  <si>
    <t>Sandoval, MA; Salazar, R</t>
  </si>
  <si>
    <t>Sandoval, Miguel A.; Salazar, Ricardo</t>
  </si>
  <si>
    <t>Electrochemical treatment of slaughterhouse and dairy wastewater: Toward making a sustainable process</t>
  </si>
  <si>
    <t>CURRENT OPINION IN ELECTROCHEMISTRY</t>
  </si>
  <si>
    <t>The industrial processing of meat and dairy production uses large amounts of fresh water, therefore, generates a significant volume of wastewaters. The treatment of these effluents has been performed using different technologies from biological to electrochemical advanced oxidation processes. Under the circular economy concept, the lack of available freshwater resources has increased the interest in reusing wastewater from slaughterhouses, and even in the recovering of by-products. This article reviews the application of electrochemical treatments to slaughterhouse and dairy wastewaters. In addition, an overview of added-value products and energy recovery from these industrial wastewaters is also presented with future perspectives.</t>
  </si>
  <si>
    <t>Salazar, Ricardo/L-7870-2013; Sandoval, Miguel A/JCF-1838-2023; Sandoval, Miguel/F-3645-2019</t>
  </si>
  <si>
    <t>Sandoval, Miguel/0000-0001-9659-5827; Salazar-Gonzalez, Ricardo/0000-0003-2180-6022</t>
  </si>
  <si>
    <t>2451-9103</t>
  </si>
  <si>
    <t>10.1016/j.coelec.2020.100662</t>
  </si>
  <si>
    <t>WOS:000632822300005</t>
  </si>
  <si>
    <t>de Oliveira, JF; Ubilla, P</t>
  </si>
  <si>
    <t>de Oliveira, Jose Francisco; Ubilla, Pedro</t>
  </si>
  <si>
    <t>Admissible solutions to Hessian equations with exponential growth</t>
  </si>
  <si>
    <t>REVISTA MATEMATICA IBEROAMERICANA</t>
  </si>
  <si>
    <t>The aim of this paper is to prove the existence of radially symmetric k-admissible solutions for the following Dirichlet problem associated with the k-th Hessian operator: {Sk[u] = f (x, -u)} in B, u &lt; 0 u = 0 on partial derivative B, where B is the unit ball of R-N, N = 2k (k is an element of N), and f : (B) over bar x R -&gt; R behaves like exp(u((N+2)/N)) when u -&gt; infinity and satisfies the Ambrosetti-Rabinowitz condition. Our results constitute the exponential counterpart of the existence theorems of Tso (1990) for power-type nonlinearities under the condition N &gt; 2k.</t>
  </si>
  <si>
    <t>Oliveira, José/AAD-1802-2019</t>
  </si>
  <si>
    <t>de Oliveira, Jose Francisco/0000-0003-3038-4052</t>
  </si>
  <si>
    <t>0213-2230</t>
  </si>
  <si>
    <t>10.4171/RMI/1215</t>
  </si>
  <si>
    <t>WOS:000623861300005</t>
  </si>
  <si>
    <t>Díaz, M; Palomino, T; Quintana, N; Palacios, M; Aracena, P</t>
  </si>
  <si>
    <t>Diaz, Monica; Palomino, Tamara; Quintana, Natalia; Palacios, Monica; Aracena, Paulina</t>
  </si>
  <si>
    <t>Reflections from Occupational Therapies from the South: structural violence, human rights and gender in processes of accompaniment of veomen during pregnancy and mothering</t>
  </si>
  <si>
    <t>CADERNOS BRASILEIROS DE TERAPIA OCUPACIONAL-BRAZILIAN JOURNAL OF OCCUPATIONAL THERAPY</t>
  </si>
  <si>
    <t>It is a report of experiences that arises from an ongoing investigation that characterizes the intervention model of an Intensive Outpatient Program of treatment for drug and/or alcohol consumption specific for adult women in pregnancy or puerperium at Hospital El Pino, in Santiago de Chile. The objective is to advance some reflections based on this ongoing research experience, focusing on the forms of accompaniment that the team of occupational therapists carries out in these programs. The antecedents, theoretical elements that guide this research, the procedures, and the reflections on the accompaniment processes carried out by the occupational therapy team are presented, considering the preliminary qualitative analyzes. The first research actions around this experience show us that the accompaniment processes in occupational therapy located from decolonial perspectives, allow a political-theoretical reading based on human rights and gender, making visible the structural violence produced by the colonial system/modern/patriarchal/racial running through the life stories of women and their families. It is essential to guarantee the rights of women, to articulate actions in the spaces of daily life, and to strengthen the various support and support networks for the reconstruction of their life projects. It is concluded that drug use, the experience of pregnancy, and mothering are conditioned by the inequalities, stigmatization, and structural violence of the modern colonial system, which is why it is very relevant that the accompaniments in occupational therapy incorporate decolonial perspectives from the south.</t>
  </si>
  <si>
    <t>Diaz Leiva, Monica/0000-0001-7235-8077; Palomino Araneda, Tamara/0000-0003-2736-4659; Aracena Mora, Paulina/0000-0002-8461-2412; Palacios Tolvett, Monica/0000-0001-5686-8237</t>
  </si>
  <si>
    <t>2526-8910</t>
  </si>
  <si>
    <t>e2996</t>
  </si>
  <si>
    <t>10.1590/2526-8910.ctoRE2270</t>
  </si>
  <si>
    <t>WOS:000744200500070</t>
  </si>
  <si>
    <t>Vasilopoulos, G; Romero, G</t>
  </si>
  <si>
    <t>Baecher, L</t>
  </si>
  <si>
    <t>Vasilopoulos, Gene; Romero, Gloria</t>
  </si>
  <si>
    <t>Post-Method Design for an English Language Teacher-Training Study Abroad Program From Western China to Canada</t>
  </si>
  <si>
    <t>STUDY ABROAD FOR PRE- AND IN-SERVICE TEACHERS: Transformative Learning on a Global Scale</t>
  </si>
  <si>
    <t>Routledge Research in Teacher Education</t>
  </si>
  <si>
    <t>Romero, Gloria/GWV-4873-2022</t>
  </si>
  <si>
    <t>978-1-003-00438-7; 978-0-367-43571-4</t>
  </si>
  <si>
    <t>WOS:000828220500008</t>
  </si>
  <si>
    <t>Oyarce, E; Pizarro, GD; Oyarzún, DP; Martin-Trasanco, R; Sánchez, J</t>
  </si>
  <si>
    <t>Oyarce, Estefania; Pizarro, Guadalupe Del C.; Oyarzun, Diego P.; Martin-Trasanco, Rudy; Sanchez, Julio</t>
  </si>
  <si>
    <t>Adsorption of methylene blue in aqueous solution using hydrogels based on 2-hydroxyethyl methacrylate copolymerized with itaconic acid or acrylic acid</t>
  </si>
  <si>
    <t>MATERIALS TODAY COMMUNICATIONS</t>
  </si>
  <si>
    <t>In this research, the adsorption of methylene blue (MB) dye in aqueous solution was studied using cross-linked copolymers based on 2-hydroxyethyl methacrylate (HEMA) copolymerized with itaconic acid (IA) and acrylic acid (AA). The structural composition of the copolymers was corroborated by means of Fourier transform infrared spectroscopy and the thermal stability was studied by thermogravimetry. The presence of irregular morphology with porous and rough areas was observed by scanning electron microscopy. Hydrogels were sensitive to pH changes, demonstrating greater hydration capacity at pH 9.0 for systems constituted by lower concentration of cross-linked agent. The adsorption capacity of MB showed values of 260 mg g(-1) and 197 mg g(-1) for P(HEMA-co-IA) and P (HEMA-co-AA) respectively. These results were obtained in MB solutions with an initial concentration of 1 g L-1, at pH 8.0 using 0.2 g of copolymer and 24 h of contact time. The adsorption-desorption of MB was governed by the variation of pH, and the reuse of copolymer adsorbents in three consecutive cycles was verified. In addition, the adsorption kinetics revealed that the equilibrium time reached in the adsorption process was 300 min, adjusting to the pseudo second order kinetic model.</t>
  </si>
  <si>
    <t>Martin-Trasancos, Rudy/L-2791-2017; PIZARRO, GUADALUPE/V-3353-2017; Oyarzun, Diego/MTF-4062-2025; Sanchez, Julio/AEO-4360-2022</t>
  </si>
  <si>
    <t>Sanchez, Julio/0000-0003-4245-0096</t>
  </si>
  <si>
    <t>2352-4928</t>
  </si>
  <si>
    <t>10.1016/j.mtcomm.2020.101324</t>
  </si>
  <si>
    <t>WOS:000600975700008</t>
  </si>
  <si>
    <t>Muñoz, FR; Quiroz, JS; Marchant, NA</t>
  </si>
  <si>
    <t>Recio Munoz, Francisco; Silva Quiroz, Juan; Abricot Marchant, Nicole</t>
  </si>
  <si>
    <t>Analysis of the Digital Competence in the Initial Formation of University Students: A Meta-Analysis Study on the Web of Science</t>
  </si>
  <si>
    <t>PIXEL-BIT- REVISTA DE MEDIOS Y EDUCACION</t>
  </si>
  <si>
    <t>In recent years the scientific production around the Digital Competition has had an exponential growth, deepening mainly in the study of the self-perception on the level of expected development or the evaluation / diagnosis of the domain in said area. The objective of this article is to know what instruments are used and what aspects are evaluated in the investigations that seek to recognize the digital skills of new university students through a meta-analysis in WoS established for the 2014-2019 interval and using keywords categorized into three areas: Digital Competences, Students and Evaluation, with the ultimate goal of establishing hypotheses that include variables that have not been taken into account up to now about the instruments that are being used and the aspects that are evaluated. As the main conclusion, we advance that two main views have been found: perceptive and performance. This highlights the importance of encouraging studies that combine both approaches.</t>
  </si>
  <si>
    <t>Recio-Muñoz, Francisco/GXM-5787-2022; Abricot, Nicole/KII-3365-2024; Recio Munoz, Francisco/J-6004-2015</t>
  </si>
  <si>
    <t>Recio Munoz, Francisco/0000-0002-1586-1343</t>
  </si>
  <si>
    <t>1133-8482</t>
  </si>
  <si>
    <t>2171-7966</t>
  </si>
  <si>
    <t>10.12795/pixelbit.77759</t>
  </si>
  <si>
    <t>WOS:000644471300005</t>
  </si>
  <si>
    <t>López-Neira, L; Labbé, C; Villalta, M</t>
  </si>
  <si>
    <t>Lopez-Neira, Leonardo; Labbe, Christian; Villalta, Marco</t>
  </si>
  <si>
    <t>Digital game for the development of classroom verbal interaction strategies: enhanced pre-service teacher training model with technology (Juego digital para el desarrollo de estrategias de interaccion verbal en aula: modelo de formacion inicial de profesores mejorado con tecnologia)</t>
  </si>
  <si>
    <t>CULTURE EDUCATION</t>
  </si>
  <si>
    <t>This article presents the results of the implementation of a training model to develop classroom verbal interaction strategies for student teachers, combining traditional lessons (face-to-face) with a digital game. The research design was pre-experimental with a pre- and post-test which evaluated improvements in the participants' ability to recognize, analyse and design classroom verbal interaction strategies. The sample was comprised of 124 students at two Chilean universities: one public and one private. After five weeks of implementation, the students' ability to recognize, analyse and design classroom verbal interactions increased significantly, with statistically significant differences by university and specialization but not by sex or socioeconomic level. Noteworthy is a positive relationship between the use of the game outside class and the ability to analyse and design classroom interactions. The students very positively evaluated the training module. The implications are analysed, and suggestions are provided to strengthen pre-service teacher training by taking advantage of the opportunities afforded by the digital technologies.</t>
  </si>
  <si>
    <t>; Villalta Paucar, Marco Antonio/B-9555-2012</t>
  </si>
  <si>
    <t>Lopez Neira, Leonardo Rodrigo/0000-0001-7027-9893; Villalta Paucar, Marco Antonio/0000-0002-7553-925X; Labbe, Christian/0000-0003-4475-1693</t>
  </si>
  <si>
    <t>1135-6405</t>
  </si>
  <si>
    <t>1578-4118</t>
  </si>
  <si>
    <t>JUL 2</t>
  </si>
  <si>
    <t>10.1080/11356405.2020.1785139</t>
  </si>
  <si>
    <t>AUG 2020</t>
  </si>
  <si>
    <t>WOS:000566108600001</t>
  </si>
  <si>
    <t>Herrera, MS; Devilat, D; Fernández, MB; Elgueta, R</t>
  </si>
  <si>
    <t>Soledad Herrera, M.; Devilat, Denisse; Beatriz Fernandez, M.; Elgueta, Raul</t>
  </si>
  <si>
    <t>Does the selective attrition of a panel survey of older people affect the multivariate estimations of subjective well-being?</t>
  </si>
  <si>
    <t>QUALITY OF LIFE RESEARCH</t>
  </si>
  <si>
    <t>Purpose The increased population aging has resulted in a growing need for longitudinal studies about the quality of life among older people. Nevertheless, the results of these investigations could be biased because more disadvantaged people leave the original sample. The purpose of this study is to examine how the selective attrition observed in a panel survey affect multivariate models of subjective well-being (SWB). The question is if we could do reliable longitudinal investigations concerning the predictors of SWB in old age. Methods This paper examines attrition in a panel of older people in Chile. Attrition was evaluated in the variables that affect elderly SWB. Probit models were fitted to compare dropouts with nondropouts. Then, multivariate probit models were estimated on satisfaction and depressive symptoms, comparing dropouts and nondropouts. Finally, we compared weighted and unweighted multivariate probit models on SWB. Results The attrition rate in 2 years was 38.8%, including deaths and 32.9%, excluding them. Survey dropouts had lower satisfaction but not higher depressive symptoms. Among SWB predictors, people without a partner and with lower self-efficacy abandoned more the study. When applying the Becketti, Gould, Lillard, and Welch test, the probit coefficients of the predictor variables on SWB outcome variables were similar for dropouts and nondropouts. Finally, the comparison of multivariate models on SWB with weighting methods did not find substantial differences in the explanatory coefficients. Conclusion Although some predictors of attrition were associated with SWB, attrition did not produce biased estimates in multivariate models of life satisfaction life or depressive symptoms in old age.</t>
  </si>
  <si>
    <t>Sjöberg, Marcela/HTR-0309-2023</t>
  </si>
  <si>
    <t>Fernandez Lorca, M.Beatriz/0000-0001-5400-3168; Herrera, M. Soledad/0000-0001-5178-806X</t>
  </si>
  <si>
    <t>0962-9343</t>
  </si>
  <si>
    <t>1573-2649</t>
  </si>
  <si>
    <t>10.1007/s11136-020-02612-4</t>
  </si>
  <si>
    <t>WOS:000562653300001</t>
  </si>
  <si>
    <t>Plaza, A; Cabezas, R; Merlet, G; Zurob, E; Concha-Meyer, A; Reyes, A; Romero, J</t>
  </si>
  <si>
    <t>Plaza, A.; Cabezas, R.; Merlet, G.; Zurob, E.; Concha-Meyer, A.; Reyes, A.; Romero, J.</t>
  </si>
  <si>
    <t>Dehydrated cranberry juice powder obtained by osmotic distillation combined with freeze-drying: Process intensification and energy reduction</t>
  </si>
  <si>
    <t>CHEMICAL ENGINEERING RESEARCH &amp; DESIGN</t>
  </si>
  <si>
    <t>The aim of this work was the study of the energy efficiency of the dehydration process of cranberry juice using osmotic distillation (OD) in combination with freeze-drying. To achieve this process, OD was performed on a hollow fiber membrane contactor with an initial sugar content of 8 degrees Brix in the cranberry juice. This solution was concentrated to four different final concentrations (25, 35, 45 and 57 degrees Brix) with the purpose of reducing the lyophilization time obtaining a 100% dried product, using as a response variable the processing time. From these obtained results, and when comparing the 8 degrees Brix juice lyophilization to the process achieved by the combination of OD and freeze-drying, a decrease in the total process time could not be achieved for any experimental assay. However, the 57 degrees Brix cranberry juice previously concentrated by OD presented an 86% decrease in the energy requirements to obtain the same dehydrated product. Finally, a reduction of the energy consumption for all the experimental runs was observed in the samples concentrated by OD, as the step previous to lyophilization, achieving an intensification in the efficient energy use during this process, maintaining the same characteristics of the final product. (C) 2020 Institution of Chemical Engineers. Published by Elsevier B.V. All rights reserved.</t>
  </si>
  <si>
    <t>Concha-Meyer, Anibal/JAN-6263-2023; Romero, Julio/I-6705-2013; Cabezas, Rene/AAY-2094-2020; Merlet Venturelli, Gaston/B-4109-2019</t>
  </si>
  <si>
    <t>Concha-Meyer, Anibal/0000-0002-5063-7371; Merlet Venturelli, Gaston/0000-0003-2602-6471; Zurob, Elsie/0000-0002-5396-5960; Plaza, Andrea/0000-0001-9475-007X; Cabezas, Rene/0000-0002-4162-3429; Romero, Julio/0000-0002-1229-1592</t>
  </si>
  <si>
    <t>0263-8762</t>
  </si>
  <si>
    <t>1744-3563</t>
  </si>
  <si>
    <t>10.1016/j.cherd.2020.05.003</t>
  </si>
  <si>
    <t>WOS:000551631000021</t>
  </si>
  <si>
    <t>Piña, R; Rozas, C; Contreras, D; Hardy, P; Ugarte, G; Zeise, ML; Rojas, P; Morales, B</t>
  </si>
  <si>
    <t>Pina, Ricardo; Rozas, Carlos; Contreras, Darwin; Hardy, Paulina; Ugarte, Gonzalo; Zeise, Marc L.; Rojas, Patricio; Morales, Bernardo</t>
  </si>
  <si>
    <t>Atomoxetine Reestablishes Long Term Potentiation in a Mouse Model of Attention Deficit/Hyperactivity Disorder</t>
  </si>
  <si>
    <t>NEUROSCIENCE</t>
  </si>
  <si>
    <t>Attention deficit/hyperactivity disorder (ADHD) is the most prevalent psychiatric childhood disorder, characterized by hyperactivity, impulsivity and impaired attention, treated most frequently with methylphenidate (MPH). For children and adults with ADHD who do not respond satisfactorily or do not tolerate well stimulants such as MPH or D-Amphetamine, for them the alternative is to use Atomoxetine (ATX), a norepinephrine (NE) transporter inhibitor that increase extracellular NE. We examined the effects of ATX on behavior and hippocampal synaptic plasticity in the murine prenatal nicotine exposure (PNE) model of ADHD. ADHD symptoms were measured using behavioral tests, open field for hyperactivity and the Y-maze for spatial working memory. Further, ATX effects on long-term potentiation (LTP) in hippocampal slices at the CA3-CA1 synapse were assessed. PNE mice exhibited the behavioral deficits of ADHD, hyperactivity and spatial memory impairment. Intraperitoneal injection of ATX (2 mg/kg/day) normalized these behaviors significantly after 7 days. In PNE mice LTP was reduced (110.6 +/- 4.5% %; n = 7) compared to controls (148.9 +/- 5.2%; n = 7; p &lt; 0.05). ATX administration (5 mu M) reestablished the LTP in PNE mice to levels similar to the controls (157.7 +/- 6.3%; n = 7). Paired-pulse ratios (PPR) were not significantly different for any condition. These results indicate that administration of ATX in a PNE model of ADHD reestablishes TBS-dependent LTP in CA3-CA1 synapses. The results suggest postsynaptic changes in synaptic plasticity as part of the mechanisms that underlie improvement of ADHD symptoms induced by ATX. This article is part of a Special Issue entitled: Honoring Ricardo Miledi - outstanding neuroscientist of XX-XXI centuries. (C) 2019 IBRO. Published by Elsevier Ltd. All rights reserved.</t>
  </si>
  <si>
    <t>Piña, ricardo/AAU-1694-2020; Morales Castañeda, Bernardo/GPP-1642-2022; Rojas, Patricio/ISS-1091-2023</t>
  </si>
  <si>
    <t>Pina, Ricardo/0000-0002-2316-8952; Rozas, Carlos/0000-0002-6422-9600</t>
  </si>
  <si>
    <t>0306-4522</t>
  </si>
  <si>
    <t>1873-7544</t>
  </si>
  <si>
    <t>10.1016/j.neuroscience.2019.10.040</t>
  </si>
  <si>
    <t>WOS:000545298200004</t>
  </si>
  <si>
    <t>del Solar, AV; Galeas, MS; Agoglia, IS</t>
  </si>
  <si>
    <t>Vergara del Solar, Ana; Sepulveda Galeas, Mauricio; Salvo Agoglia, Irene</t>
  </si>
  <si>
    <t>Parents' economic efforts in the discourses of Chilean children: ethical reflexivity and reciprocal care</t>
  </si>
  <si>
    <t>FAMILIES RELATIONSHIPS AND SOCIETIES</t>
  </si>
  <si>
    <t>This article, written from the perspective of Childhood Studies, questions the image, common in the press and daily life, of childhood as remote from the world of work and the economy. It also challenges the view of children as being immoderate in matters of family expenditure. Two discursive studies of Chilean children reveal instead a complex ethical reflexivity in how they think about the economic efforts of parents, whom they see as overwhelmed by work, economic and care responsibilities and as deserving their understanding and support. We conceptualise these concerns expressed by the children as forms of parent-child reciprocal care, and as ways of upholding cultural images of being a good parent and being a good son or daughter. The personal and economic burden that children perceive in parents is linked to conditions arising from neoliberalisation processes such as those occurring in Chile, and to the exercise of intensive parenting in these contexts.</t>
  </si>
  <si>
    <t>VERGARA, Ana/ABV-0851-2022; Salvo Agoglia, Irene/AAV-4452-2021</t>
  </si>
  <si>
    <t>Salvo Agoglia, Irene/0000-0002-5879-5446; vergara del solar, ana cecilia/0000-0001-7823-3769</t>
  </si>
  <si>
    <t>2046-7435</t>
  </si>
  <si>
    <t>2046-7443</t>
  </si>
  <si>
    <t>10.1332/204674319X15645389004469</t>
  </si>
  <si>
    <t>WOS:000522508900005</t>
  </si>
  <si>
    <t>Levín, P; Escudero, D; Díaz, N; Oliver, A; Lappin, AG; Ferraudi, G; Lemus, L</t>
  </si>
  <si>
    <t>Levin, Pedro; Escudero, Dayra; Diaz, Nicolas; Oliver, Allen; Lappin, A. Graham; Ferraudi, Guillermo; Lemus, Luis</t>
  </si>
  <si>
    <t>Structural and Photochemical Properties of Zn(II) Phenanthroline-Derived Complexes: From Mononuclear to Bimetallic and Circular-Trimetallic Helicates</t>
  </si>
  <si>
    <t>INORGANIC CHEMISTRY</t>
  </si>
  <si>
    <t>In the design of self-assembled compounds, small variations in the linkers connecting the coordinating moieties can produce large differences in the obtained structures. Here, we report three novel zinc(II) complexes with phenanthroline-derived ligands as building blocks (L-1-L-3): A mononuclear complex, a bimetallic helicate, and a trimetallic circular helicate. The evennumber spacer in L-2 promotes the formation of a bimetallic helicate stabilized by pi-pi interactions of adjacent phenanthrolines. The addition of an extra methylene in L-3 increases the distance between where the phenanthrolines can stack, and CH-pi noncovalent interactions give stability to the circular helicate. When irradiated at 308 nm in acetonitrile, long-lived excited states are formed with all three complexes, which are able to participate in oxidation of 2-propanol and in reduction of methylviologen, MV2+. While the overall behavior of the three complexes is similar, the bimetallic helicate is able to form a ground-state adduct with MV2+, while the trimer reaches the excited state to form an exciplex with MV2+.</t>
  </si>
  <si>
    <t>Levín, Pedro/ABG-4500-2020</t>
  </si>
  <si>
    <t>Oliver, Allen/0000-0002-0511-1127; Levin, Pedro/0000-0001-5932-9001; LEMUS, LUIS/0000-0002-5499-8115</t>
  </si>
  <si>
    <t>0020-1669</t>
  </si>
  <si>
    <t>1520-510X</t>
  </si>
  <si>
    <t>FEB 3</t>
  </si>
  <si>
    <t>10.1021/acs.inorgchem.9b02773</t>
  </si>
  <si>
    <t>WOS:000511246600011</t>
  </si>
  <si>
    <t>Márquez, P; Amici, J; Aguirre, MJ; Herrera, F; Francia, C; Bodoardo, S</t>
  </si>
  <si>
    <t>Marquez, Paulina; Amici, Julia; Jesus Aguirre, Maria; Herrera, Francisco; Francia, Carlotta; Bodoardo, Silvia</t>
  </si>
  <si>
    <t>Synergic effect of catalyst/binder in passivation side-products of Li-oxygen cells</t>
  </si>
  <si>
    <t>JOURNAL OF SOLID STATE ELECTROCHEMISTRY</t>
  </si>
  <si>
    <t>While used in minor proportion respect to other components in cathode formulations, binders play a crucial role in lithium batteries cathode. This is particularly true in Li-O-2 batteries which represent a very harsh environment mainly because of the formation, upon cycling, of very aggressive superoxide radicals. In such batteries, the use of catalyst in the cathode formulation is quite usual to help oxygen reduction reaction and oxygen evolution reaction (ORR and OER) to proceed rapidly and reversibly. However, the slightest binder degradation upon cycling can hinder the catalyst effects dramatically, modifying them to act on other reactions associated with the generated side-products, thus deteriorating cell performances and preventing researchers from drawing the right conclusions about catalytic properties of new materials. In this work, the influence of different catalysts in the degradation of the PVDF binder, on the performance of Li-O-2 batteries, was investigated. The results obtained were compared with the ones of cathodes prepared with the same catalysts but Li-Nafion binder instead (already reported as stable), to further demonstrate that the choice of binder must be strongly linked to the nature of the catalyst. The catalysts employed for this study were alpha-MnO2, and commercial Co3O4, and Co phthalocyanines (CoPc).</t>
  </si>
  <si>
    <t>Aguirre, Maria/A-3935-2013</t>
  </si>
  <si>
    <t>Marquez, Paulina/0000-0002-8020-6273; AMICI, JULIA GINETTE NICOLE/0000-0003-4369-317X; Herrera, Francisco/0000-0001-7783-2970</t>
  </si>
  <si>
    <t>1432-8488</t>
  </si>
  <si>
    <t>1433-0768</t>
  </si>
  <si>
    <t>10.1007/s10008-019-04417-z</t>
  </si>
  <si>
    <t>NOV 2019</t>
  </si>
  <si>
    <t>WOS:000495983900002</t>
  </si>
  <si>
    <t>Parada, SP; Salas, CB</t>
  </si>
  <si>
    <t>Peredo Parada, Santiago; Barrera Salas, Claudia</t>
  </si>
  <si>
    <t>Participatory evaluation of sustainability in a conventional and agroecological peasant farm of a Mapuche community, Chile</t>
  </si>
  <si>
    <t>REVISTA DE LA FACULTAD DE CIENCIAS AGRARIAS</t>
  </si>
  <si>
    <t>The purpose of the present study is to assesment the sustainability levels of two peasant agrarian systems (conventional and agroecological) identifying the aspects (factors) that limit and enhance their sustainability. The methodological scheme used corresponded to the MESMIS and the instruments for information recollection were survey and field measurements, direct observations using field records, transects and open dialogues supported by scripts. The definition of indicators and assessment ranges were performed jointly with the peasants (men and women) through various participative methodologies. Results for the agroecological system point out a greater diversity of crops, higher percentage of crop diversity and seed self-production, higher total revenues and less seasonality of such incomes, less dependence on external inputs, higher percentage of recycling/reuse of on-farm resources/waste, greater application of own knowledge and abilities, increased application of agro-ecological technologies and greater participation in decision-making by women. It is concluded that the agroecological system has better levels of sustainability and socioecological performance than the conventional one.</t>
  </si>
  <si>
    <t>1853-8665</t>
  </si>
  <si>
    <t>WOS:000471913900023</t>
  </si>
  <si>
    <t>González, AA; Celentano, DJ; Cruchaga, MA</t>
  </si>
  <si>
    <t>Gonzalez, Alvaro A.; Celentano, Diego J.; Cruchaga, Marcela A.</t>
  </si>
  <si>
    <t>Assessment of ductile failure models in single-pass wire drawing processes</t>
  </si>
  <si>
    <t>INTERNATIONAL JOURNAL OF DAMAGE MECHANICS</t>
  </si>
  <si>
    <t>The present work reports a comparative study of ductile failure models applied to an Al-2011 aluminum alloy single-pass wire drawing process using different reductions. The material damage experienced in the wire after passing through the die is evaluated using the well-known Rice and Tracey, Cockcroft and Latham, Brozzo and Modified Chaouadi models. Due to the fact that nonrealistic damage predictions are found for the highest studied wire reduction, an alternative uncoupled failure criterion combining the effect of deformation and triaxility is proposed. The ability of these five models in predicting the formation of chevrons in the process is the main focus of this research. First, the model parameters are characterized by means of numerical simulations of the tensile test. Then, the predictions of the numerical analyses of the drawing process are compared with available experimental results where physical evidence of chevrons was found. Relevant variables are analyzed to determine their incidence in the formation of central bursts. Finally, the performance of this new model is assessed for the full reduction scenarios.</t>
  </si>
  <si>
    <t>Celentano, Diego/JQW-5027-2023; Cruchaga, Marcela/M-7522-2014</t>
  </si>
  <si>
    <t>Gonzalez Ortega, Alvaro/0000-0003-0839-721X; Cruchaga, Marcela/0000-0002-8708-2402</t>
  </si>
  <si>
    <t>1056-7895</t>
  </si>
  <si>
    <t>1530-7921</t>
  </si>
  <si>
    <t>10.1177/1056789517704029</t>
  </si>
  <si>
    <t>WOS:000441978100001</t>
  </si>
  <si>
    <t>Bertolini, V; Rey, C; Sepulveda, M; Parada, V</t>
  </si>
  <si>
    <t>Bertolini, Vittorio; Rey, Carlos; Sepulveda, Mauricio; Parada, Victor</t>
  </si>
  <si>
    <t>Novel Methods Generated by Genetic Programming for the Guillotine-Cutting Problem</t>
  </si>
  <si>
    <t>SCIENTIFIC PROGRAMMING</t>
  </si>
  <si>
    <t>New constructive algorithms for the two-dimensional guillotine-cutting problem are presented. The algorithms were produced from elemental algorithmic components using evolutionary computation. A subset of the components was selected from a previously existing constructive algorithm. The algorithms' evolution and testing process used a set of 46 instances from the literature. The structure of three new algorithms is described, and the results are compared with those of an existing constructive algorithm for the problem. Several of the new algorithms are competitive with respect to a state-of-the-art constructive algorithm. A subset of novel instructions, which are responsible for the majority of the new algorithms' good performances, has also been found.</t>
  </si>
  <si>
    <t>Parada, Victor/M-5840-2014</t>
  </si>
  <si>
    <t>Rey, Carlos/0009-0000-0884-7423; Parada, Victor/0000-0002-8649-5694</t>
  </si>
  <si>
    <t>1058-9244</t>
  </si>
  <si>
    <t>1875-919X</t>
  </si>
  <si>
    <t>10.1155/2018/6971827</t>
  </si>
  <si>
    <t>WOS:000444938000001</t>
  </si>
  <si>
    <t>Lacoste, P; Adunka, MML</t>
  </si>
  <si>
    <t>Lacoste, Pablo; Lacoste Adunka, Michelle Malen</t>
  </si>
  <si>
    <t>Chamantos, ponchos and Balandres in Colchagua and Rancagua (XVII-XIX centuries)</t>
  </si>
  <si>
    <t>We study the history of ponchos, balandres and chamantos from notary and judicial sources of Colchagua and Rancagua, from the early seventeenth century to the mid nineteenth century. This source provides relevant knowledge about the presence of these tissues in chilean society, its social and economic value, its historical cycles and its color characteristics. It demonstrates the deep rootedness of tissue culture within the mestizo society of the Central Valley of Chile, and its ties to the tradition of the indigenous world. The existence of the chamanto from the decade of 1820 in this region, base of the current Denomination of Origin, is demonstrated.</t>
  </si>
  <si>
    <t>10.4067/S0718-10432018005000701</t>
  </si>
  <si>
    <t>WOS:000445406400006</t>
  </si>
  <si>
    <t>Velasco-Orjuela, GP; Tordecilla-Sanders, A; Téllez, LA; Correa-Bautista, JE; Garcia-Hermoso, A; Gonzalez-Ruiz, K; Ramírez-Vélez, R</t>
  </si>
  <si>
    <t>Paola Velasco-Orjuela, Gina; Tordecilla-Sanders, Alejandra; Andres Tellez-T, Luis; Correa-Bautista, Jorge E.; Garcia-Hermoso, Antonio; Gonzalez-Ruiz, Katherine; Ramirez-Velez, Robinson</t>
  </si>
  <si>
    <t>Moderate Versus High Intensity Interval Exercise Training Reduce the Clinical Components of Metabolic Syndrome in Previously Physically Inactive Adults: A Randomized Clinical Trial</t>
  </si>
  <si>
    <t>González-Ruíz, Katherine/CAA-4624-2022; García-Hermoso, Antonio/ADU-2591-2022; Ramírez-Vélez, Robinson/D-5311-2016; Correa-Bautista, Jorge Enrique/JDD-3131-2023; Tordecilla-Sanders, Alejandra/O-6276-2017; Garcia-Hermoso, Antonio/P-1857-2017; Correa-Bautista, Jorge Enrique/N-2741-2015</t>
  </si>
  <si>
    <t>Tordecilla-Sanders, Alejandra/0000-0002-7461-8124; Garcia-Hermoso, Antonio/0000-0002-1397-7182; Correa-Bautista, Jorge Enrique/0000-0002-0646-2316</t>
  </si>
  <si>
    <t>10.1249/01.mss.0000516923.77893.b3</t>
  </si>
  <si>
    <t>WOS:000413842900102</t>
  </si>
  <si>
    <t>Feron, S; Heinrichs, H; Cordero, RR</t>
  </si>
  <si>
    <t>Feron, Sarah; Heinrichs, Harald; Cordero, Raul R.</t>
  </si>
  <si>
    <t>Are the Rural Electrification Efforts in the Ecuadorian Amazon Sustainable?</t>
  </si>
  <si>
    <t>SUSTAINABILITY</t>
  </si>
  <si>
    <t>In this paper, we assess the sustainability of rural electrification programs in Ecuador, paying special attention to programs targeting small indigenous communities in the Amazon basin. Our assessment considers four dimensions of sustainability (institutional, economic, environmental, and socio-cultural) and is based on an exhaustive qualitative document analysis, complemented by semi-structured expert interviews. We found that disruptive changes have affected the electrification policies in Ecuador during decades of avoiding the development of strengthened institutions. Despite this major drawback, we found that there is a consensus on granting access to energy for all. This partially explains the national efforts, persistent through different administrations to fund rural electrification. However, in the case of off-grid photovoltaic solutions, these efforts have consistently neglected allocating funds for operation and maintenance, which has seriously compromised the sustainability. Moreover, although Ecuadorian officials declared to favor stand-alone photovoltaic systems in the case of indigenous communities in the Amazon, we found that environmental or socio-cultural aspects have a minor role in the selection of these systems. Progress regarding environmental awareness, social acceptance, and cultural justice, is still needed for ensuring the sustainability of rural electrification efforts in the Ecuadorian Amazon.</t>
  </si>
  <si>
    <t>Cordero, Raul/M-7979-2017</t>
  </si>
  <si>
    <t>Feron, Sarah/0000-0002-0572-5639; Cordero, Raul R./0000-0001-7607-7993</t>
  </si>
  <si>
    <t>2071-1050</t>
  </si>
  <si>
    <t>10.3390/su8050443</t>
  </si>
  <si>
    <t>WOS:000377983800037</t>
  </si>
  <si>
    <t>Parada, L; Herrera, C; Sepúlveda, M; Parada, V</t>
  </si>
  <si>
    <t>Parada, Lucas; Herrera, Carlos; Sepulveda, Mauricio; Parada, Victor</t>
  </si>
  <si>
    <t>Evolution of new algorithms for the binary knapsack problem</t>
  </si>
  <si>
    <t>NATURAL COMPUTING</t>
  </si>
  <si>
    <t>Due to its NP-hard nature, it is still difficult to find an optimal solution for instances of the binary knapsack problem as small as 100 variables. In this paper, we developed a three-level hyper-heuristic framework to generate algorithms for the problem. From elementary components and multiple sets of problem instances, algorithms are generated. The best algorithms are selected to go through a second step process, where they are evaluated with problem instances that differ in size and difficulty. The problem instances are generated according to methods that are found in the literature. In all of the larger problem instances, the generated algorithms have less than 1 % error with respect to the optimal solution. Additionally, generated algorithms are efficient, taking on average fractions of a second to find a solution for any instance, with a standard deviation of 1 s. In terms of structure, hyper-heuristic algorithms are compact in size compared with those in the literature, allowing an in-depth analysis of their structure and their presentation to the scientific world.</t>
  </si>
  <si>
    <t>Parada, Victor/M-5840-2014; Herrera, Carlos/AAF-9657-2021</t>
  </si>
  <si>
    <t>Sepulveda, Mauricio/0000-0002-5522-3194; Herrera, Carlos/0000-0003-1369-9861</t>
  </si>
  <si>
    <t>1567-7818</t>
  </si>
  <si>
    <t>1572-9796</t>
  </si>
  <si>
    <t>10.1007/s11047-015-9483-8</t>
  </si>
  <si>
    <t>WOS:000371310400015</t>
  </si>
  <si>
    <t>Bustos, CA; García-Herrera, CM; Celentano, DJ</t>
  </si>
  <si>
    <t>Bustos, Claudio A.; Garcia-Herrera, Claudio M.; Celentano, Diego J.</t>
  </si>
  <si>
    <t>Mechanical characterisation of Dacron graft: Experiments and numerical simulation</t>
  </si>
  <si>
    <t>JOURNAL OF BIOMECHANICS</t>
  </si>
  <si>
    <t>Experimental and numerical analyses focused on the mechanical characterisation of a woven Dacron vascular graft are presented. To that end, uniaxial tensile tests under different orientations have been performed to study the anisotropic behaviour of the material. These tests have been used to adjust the parameters of a hyperelastic anisotropic constitutive model which is applied to predict through numerical simulation the mechanical response of this material in the ring tensile test. The obtained results show that the model used is capable of representing adequately the nonlinear elastic region and, in particular, it captures the progressive increase of the rigidity and the anisotropy due to the stretching of the Dacron. The importance of this research lies in the possibility of predicting the graft's mechanical response under generalized loading such as those that occur under physiological conditions after surgical procedures. (C) 2015 Elsevier Ltd. All rights reserved.</t>
  </si>
  <si>
    <t>Celentano, Diego/JQW-5027-2023; García-Herrera, Claudio/ABE-8991-2020</t>
  </si>
  <si>
    <t>Garcia-Herrera, Claudio/0000-0002-1283-8551</t>
  </si>
  <si>
    <t>0021-9290</t>
  </si>
  <si>
    <t>1873-2380</t>
  </si>
  <si>
    <t>JAN 4</t>
  </si>
  <si>
    <t>10.1016/j.jbiomech.2015.11.014</t>
  </si>
  <si>
    <t>WOS:000371560400004</t>
  </si>
  <si>
    <t>Seguel, F; Soto, I; Iturralde, D; Adasme, P; Nuñez, B</t>
  </si>
  <si>
    <t>Seguel, F.; Soto, I.; Iturralde, D.; Adasme, P.; Nunez, B.</t>
  </si>
  <si>
    <t>Enhancement of the QoS in an OFDMA/VLC System</t>
  </si>
  <si>
    <t>2016 10TH INTERNATIONAL SYMPOSIUM ON COMMUNICATION SYSTEMS, NETWORKS AND DIGITAL SIGNAL PROCESSING (CSNDSP)</t>
  </si>
  <si>
    <t>10th International Symposium on Communication Systems, Networks and Digital Signal Processing (CSNDSP)</t>
  </si>
  <si>
    <t>JUL 20-23, 2016</t>
  </si>
  <si>
    <t>Prague, CZECH REPUBLIC</t>
  </si>
  <si>
    <t>A resource allocation optimization for indoor Optical Wireless Communications is proposed. A smart coordinator tries to maximize the channel capacity by enabling or disabling the communication of the devices subject to system constraints. Binary Cuckoo Search and Genetic Algorithms were used in order to solve the binary NP-HARD optimization problem. The results show that the total channel capacity slowly decrease while the number of users increase. On the other hand, per-user capacity decrease faster than the total capacity. The minimum QoS of the system is achieved. Binary Cuckoo Search overcomes Genetic Algorithms when dealing with the proposed optimization problem</t>
  </si>
  <si>
    <t>Seguel, Fabian/ABC-4765-2020; Adasme, Pablo/U-1735-2019</t>
  </si>
  <si>
    <t>Adasme, Pablo/0000-0003-2500-3294; Soto, Ismael/0000-0002-5501-5651; Seguel, Fabian/0000-0001-6567-8988; Iturralde, Daniel/0000-0003-2134-0453</t>
  </si>
  <si>
    <t>978-1-5090-2526-8</t>
  </si>
  <si>
    <t>WOS:000386781300010</t>
  </si>
  <si>
    <t>Salazar, C; Contreras, N; Mansilla, H; Yanez, J; Salazar, R</t>
  </si>
  <si>
    <t>Salazar, Claudio; Contreras, Nicole; Mansilla, Hector; Yanez, Jorge; Salazar, Ricardo</t>
  </si>
  <si>
    <t>Electrochemical degradation of the antihypertensive losartan in neutral aqueous medium by electro-oxidation with BDD electrode</t>
  </si>
  <si>
    <t>ABSTRACTS OF PAPERS OF THE AMERICAN CHEMICAL SOCIETY</t>
  </si>
  <si>
    <t>Salazar, Ricardo/L-7870-2013</t>
  </si>
  <si>
    <t>0065-7727</t>
  </si>
  <si>
    <t>AUG 16</t>
  </si>
  <si>
    <t>WOS:000432475505073</t>
  </si>
  <si>
    <t>Pascha, KS</t>
  </si>
  <si>
    <t>Jeska, S; Pascha, KS</t>
  </si>
  <si>
    <t>Saleh Pascha, Khaled</t>
  </si>
  <si>
    <t>Historic design typologies</t>
  </si>
  <si>
    <t>EMERGENT TIMBER TECHNOLOGIES: MATERIALS, STRUCTURES, ENGINEERING, PROJECTS</t>
  </si>
  <si>
    <t>978-3-0382-1616-2; 978-3-0382-1502-8</t>
  </si>
  <si>
    <t>WOS:000541676300002</t>
  </si>
  <si>
    <t>Riquelme, A; Desbiens, A; del Villar, R; Maldonado, M</t>
  </si>
  <si>
    <t>Riquelme, A.; Desbiens, A.; del Villar, R.; Maldonado, M.</t>
  </si>
  <si>
    <t>A device for measuring conductivity of dispersions</t>
  </si>
  <si>
    <t>MEASUREMENT</t>
  </si>
  <si>
    <t>A device to measure pulp electrical conductivity in an industrial environment has been developed. It is based on a variable oscillator circuit whose output period of oscillation is proportional to the sample conductivity. This circuit requires a single point for its calibration, which facilitates its use in an industrial environment. A Nexys2 FPGA (Field Programmable Gate Array) is used to measure the oscillation period, display the data on a LCD screen, communicate the information to a computer by RS-232 and manage the switching of sample probes for multiple measurements. Results have confirmed a linear relationship between frequency and resistance over a wide operational range, between 0.1 mS/cm and 10 mS/cm. Its application in an industrial flotation process in order to estimate froth depth and gas hold-up without prior calibration under certain conditions is also explained and validated. (C) 2014 Elsevier Ltd. All rights reserved.</t>
  </si>
  <si>
    <t>Desbiens, Andre/0000-0002-8492-7633</t>
  </si>
  <si>
    <t>0263-2241</t>
  </si>
  <si>
    <t>1873-412X</t>
  </si>
  <si>
    <t>10.1016/j.measurement.2014.03.022</t>
  </si>
  <si>
    <t>WOS:000336522200006</t>
  </si>
  <si>
    <t>Amat, S; Busquier, S; Bermúdez, C; Plaza, S</t>
  </si>
  <si>
    <t>Amat, S.; Busquier, S.; Bermudez, C.; Plaza, S.</t>
  </si>
  <si>
    <t>On two families of high order Newton type methods</t>
  </si>
  <si>
    <t>APPLIED MATHEMATICS LETTERS</t>
  </si>
  <si>
    <t>We study a general class of high order Newton type methods. The schemes consist of the application of several steps of Newton type methods with frozen derivatives. We are interested to improve the order of convergence in each sub-step. In particular, we should finish the computation after some stop criteria and before the full computation of the current approximation. We prove that only two sequences of parameters can be derived verifying these properties. One corresponds to a very well known family and the other is a little (but not natural) modification. Finally, we study some dynamical aspects of these families in order to find differences. Surprisingly, the less natural family seems to have a simpler dynamic. (C) 2012 Elsevier Ltd. All rights reserved.</t>
  </si>
  <si>
    <t>Plata, Sergio/AAA-6144-2019; Sáez, Sonia/AAA-6148-2019</t>
  </si>
  <si>
    <t>0893-9659</t>
  </si>
  <si>
    <t>10.1016/j.aml.2012.06.004</t>
  </si>
  <si>
    <t>WOS:000309033200039</t>
  </si>
  <si>
    <t>Moraga, NO; Castillo, EF; Garrido, CP</t>
  </si>
  <si>
    <t>Moraga, Nelson O.; Castillo, Ernesto F.; Garrido, Carlos P.</t>
  </si>
  <si>
    <t>Non Newtonian annular alloy solidification in mould</t>
  </si>
  <si>
    <t>HEAT AND MASS TRANSFER</t>
  </si>
  <si>
    <t>The annular solidification of an aluminium-silicon alloy in a graphite mould with a geometry consisting of horizontal concentric cylinders is studied numerically. The analysis incorporates the behavior of non-Newtonian, pseudoplastic (n = 0.2), Newtonian (n = 1), and dilatant (n = 1.5) fluids. The fluid mechanics and heat transfer coupled with a transient model of convection diffusion are solved using the finite volume method and the SIMPLE algorithm. Solidification is described in terms of a liquid fraction of a phase change that varies linearly with temperature. The final results make it possible to infer that the fluid dynamics and heat transfer of solidification in an annular geometry are affected by the non-Newtonian nature of the fluid, speeding up the process when the fluid is pseudoplastic.</t>
  </si>
  <si>
    <t>Castillo, Ernesto/D-1612-2015</t>
  </si>
  <si>
    <t>Castillo, Ernesto/0000-0001-7013-6008</t>
  </si>
  <si>
    <t>0947-7411</t>
  </si>
  <si>
    <t>1432-1181</t>
  </si>
  <si>
    <t>10.1007/s00231-012-0983-0</t>
  </si>
  <si>
    <t>WOS:000306065200013</t>
  </si>
  <si>
    <t>Figueroa-Huencho, V; Olavarría-Gambi, M; Navarrete-Yáñez, B</t>
  </si>
  <si>
    <t>Figueroa-Huencho, Veronica; Olavarria-Gambi, Mauricio; Navarrete-Yanez, Bernardo</t>
  </si>
  <si>
    <t>Modernization policy for Public Management in Chile, 1999-2006: evidence from an analysis model</t>
  </si>
  <si>
    <t>CONVERGENCIA-REVISTA DE CIENCIAS SOCIALES</t>
  </si>
  <si>
    <t>Based on theoretical debate and empirical evidence, both raised in the context of State Reform and Modernization of Public Management processes, this paper proposes a model of synthesis and analysis that allows characterizing such processes. Using a case study methodology, this research demonstrates the usefulness of such a model to the Chilean case, during the 1990-2006 period. There is evidence of particular features of these processes of reform and modernization in the Chilean experience. Said conclusion is based on data collected through the application and analysis of 37 interviews to key actors involved in those processes as well as the collection and analysis of official documents. This article identifies, describes and explains the variables that define the Policy of Modernization of Public Management in the Chilean experience.</t>
  </si>
  <si>
    <t>Huencho, Verónica/I-2094-2017; Olavarria-Gambi, Mauricio/K-9521-2019</t>
  </si>
  <si>
    <t>Figueroa Huencho, Veronica/0000-0002-5422-6043</t>
  </si>
  <si>
    <t>1405-1435</t>
  </si>
  <si>
    <t>SEP-DEC</t>
  </si>
  <si>
    <t>WOS:000295069900003</t>
  </si>
  <si>
    <t>Cortázar, C; García-Huidobro, M; Yarur, CS</t>
  </si>
  <si>
    <t>Cortazar, Carmen; Garcia-Huidobro, Marta; Yarur, Cecilia S.</t>
  </si>
  <si>
    <t>On the uniqueness of sign changing bound state solutions of a semilinear equation</t>
  </si>
  <si>
    <t>ANNALES DE L INSTITUT HENRI POINCARE-ANALYSE NON LINEAIRE</t>
  </si>
  <si>
    <t>We establish the uniqueness of the higher radial bound state solutions of Delta u + f(u) = 0. x is an element of R. We assume that the nonlinearity f is an element of C(-infinity. infinity) is an odd function satisfying some convexity and growth conditions, and has one zero at b &gt; O. is nonpositive and not-identically 0 in (0. b). positive in [b. infinity). and is differentiable in (0. infinity). (C) 2011 Elsevier Masson SAS. All rights reserved.</t>
  </si>
  <si>
    <t>García-Huidobro, Marta/JJE-8451-2023</t>
  </si>
  <si>
    <t>0294-1449</t>
  </si>
  <si>
    <t>10.1016/j.anihpc.2011.04.002</t>
  </si>
  <si>
    <t>WOS:000293995100008</t>
  </si>
  <si>
    <t>Mendoza, L; Matsuhiro, B; Aguirre, MJ; Isaacs, M; Sotés, G; Cotoras, M; Melo, R</t>
  </si>
  <si>
    <t>Mendoza, Leonora; Matsuhiro, Betty; Aguirre, Maria J.; Isaacs, Mauricio; Sotes, Gaston; Cotoras, Milena; Melo, Ricardo</t>
  </si>
  <si>
    <t>CHARACTERIZATION OF PHENOLIC ACIDS PROFILE FROM CHILEAN RED WINES BY HIGH-PERFORMANCE LIQUID CHROMATOGRAPHY</t>
  </si>
  <si>
    <t>The success of Chilean wine in the international market has led to an important attention on the development of science and technology for wine differentiation, productivity, and quality. In order to report the profile of phenolic acid compounds in Chilean red wines, an SPE technique over ODS column was used followed by a reverse phase HPLC program that was developed to separate, characterize and quantify six phenolic acids (caffeic, gallic, p-coumaric, protocatechuic, syringic and vanillic acids) in four red Chilean wines varieties (Cabernet Sauvignon, Carmenere, Merlot and Syrah) from grapes cultivated in the central zone of Chile. The separation was carried out on an RP C-18 column using a binary gradient elution and diode array detection.</t>
  </si>
  <si>
    <t>Aguirre, Maria/A-3935-2013; Isaacs, Mauricio/N-3027-2013</t>
  </si>
  <si>
    <t>Aguirre, Maria/0000-0003-1134-4469; Isaacs Casanova, Mauricio/0000-0003-0503-0949</t>
  </si>
  <si>
    <t>WOS:000293676300014</t>
  </si>
  <si>
    <t>Romero, JS; Celentano, DJ; Cruchaga, MA</t>
  </si>
  <si>
    <t>Sebastian Romero, Jorge; Javier Celentano, Diego; Andrea Cruchaga, Marcela</t>
  </si>
  <si>
    <t>Thermal-Microstructural Analysis of Anodic and Electrolytic Copper Solidification: Simulation and Experimental Validation</t>
  </si>
  <si>
    <t>METALLURGICAL AND MATERIALS TRANSACTIONS B-PROCESS METALLURGY AND MATERIALS PROCESSING SCIENCE</t>
  </si>
  <si>
    <t>This work analyzes the solidification process of anodic and electrolytic copper. The aim of this study is to perform an experimental validation of numerical results computed using a proposed thermal formulation including microstructural evolution. To this end, a set of experiments is carried out testing primary and eutectic phase formation in copper. To evaluate the formation of different microstructural phases, anodic copper (99.80 pct purity, approximately) and electrolytic copper (99.99 pct purity, approximately) are used. Primary and eutectic phases evolve in anodic copper; meanwhile, only a primary phase is obtained in electrolytic copper. The effect of heat extraction conditions is evaluated using sand, graphite, and steel molds to promote different cooling rates. The proposed microstructural model takes into account nucleation and grain growth laws based on thermal undercooling together with microstructural evolution. The primary copper evolution model is based on solute diffusion at the grain scale and on the dendrite top-growing kinetic; meanwhile, the eutectic evolution is assumed proportional to the copper initial composition and eutectic undercooling. The corresponding numerical formulation is solved in the framework of the finite-element method. Finally, the computed temperature histories and final values for the grain density and radius, including primary or dendritic phase and eutectic solid volumetric fractions, are all compared and validated with the experimental measurements.</t>
  </si>
  <si>
    <t>Cruchaga, Marcela/0000-0002-8708-2402</t>
  </si>
  <si>
    <t>1073-5615</t>
  </si>
  <si>
    <t>10.1007/s11663-011-9483-8</t>
  </si>
  <si>
    <t>WOS:000290688300019</t>
  </si>
  <si>
    <t>Bernal, R; Tassius, C; Melo, F; Géminard, JC</t>
  </si>
  <si>
    <t>Bernal, R.; Tassius, Ch.; Melo, F.; Geminard, J. -Ch.</t>
  </si>
  <si>
    <t>Elastic response and wrinkling onset of curved elastic membranes subjected to indentation test</t>
  </si>
  <si>
    <t>EUROPEAN PHYSICAL JOURNAL E</t>
  </si>
  <si>
    <t>Starting from a polymeric-fluid droplet, by vulcanization of the fluid free surface, curved elastic membranes, several nanometers thick and a few millimeters in diameter, which enclose a constant fluid volume, are produced. In an indentation-type test, carried out by pushing the membrane along its normal by means of a micro-needle, under some conditions, wrinkles are likely to appear around the contact region. Interestingly, we observe that the instability does not significantly alter the force-displacement relation: the relation between the force and the displacement remains linear and the associated stiffness is simply proportional to the tension of the membrane. In addition, we determine that the wrinkles develop when the stretching modulus of the membrane compares with its tension, which provides a useful method to estimate the elastic constant.</t>
  </si>
  <si>
    <t>Melo, Francisco/M-3923-2014; Bernal, Roberto/E-5275-2011</t>
  </si>
  <si>
    <t>Melo, Francisco Esteban/0000-0001-6818-5476; GEMINARD, Jean-Christophe Nicolas Denis/0000-0002-9773-4806; Bernal, Roberto/0000-0002-4295-270X</t>
  </si>
  <si>
    <t>1292-8941</t>
  </si>
  <si>
    <t>1292-895X</t>
  </si>
  <si>
    <t>10.1140/epje/i2011-11013-0</t>
  </si>
  <si>
    <t>WOS:000288549000011</t>
  </si>
  <si>
    <t>Fernández, P; Vallejo, G; Livacic-Rojas, P</t>
  </si>
  <si>
    <t>Fernandez, Paula; Vallejo, Guillermo; Livacic-Rojas, Pablo</t>
  </si>
  <si>
    <t>Robustness of five univariate statistics in analyzing Split-Plot desings under adverse conditions</t>
  </si>
  <si>
    <t>REVISTA LATINOAMERICANA DE PSICOLOGIA</t>
  </si>
  <si>
    <t>In this research we examine the behaviour of five univariate statistics for analyzing the data of a Split-Plot design. Four of them assume that the dispersion matrix underlying is not spherical. However, they do so with a clear distinction between two alternatives, insofar as two of them presuppose that the correlation between the data does not have a certain structure and other two assume that there exists first-order serial autocorrelation. All of them were compared with regard to their robustness to test the sources of variation within-subject (treatment and interaction) under non-normality in the absence of sphericity, both when there was First-order serial autocorrelation and when the underlying correlation was arbitrary. The results show that when the distribution is non-normal symmetric all the procedures show a Type I error rate similar to the obtained one under normal distribution As the degree of skewness and kurtosis increases, all the procedures experience an alteration in their estimation of the Type I error rate and that it depends on the structure of covariance matrix underlying in the clam. In the set of conditions submitted to study the most robust procedures were HCH, JN and LEC</t>
  </si>
  <si>
    <t>Vallejo, Guillermo/B-8233-2011; Fernandez, Paula/I-1881-2015</t>
  </si>
  <si>
    <t>Vallejo, Guillermo/0000-0002-8010-6854; Fernandez, Paula/0000-0003-0140-7702; Guillermo, Vallejo/0000-0001-6569-9279</t>
  </si>
  <si>
    <t>0120-0534</t>
  </si>
  <si>
    <t>WOS:000280631400011</t>
  </si>
  <si>
    <t>Ribera, AE; Reyes-Díaz, M; Alberdi, M; Zuñiga, GE; Mora, ML</t>
  </si>
  <si>
    <t>Ribera, A. E.; Reyes-Diaz, M.; Alberdi, M.; Zuniga, G. E.; Mora, M. L.</t>
  </si>
  <si>
    <t>ANTIOXIDANT COMPOUNDS IN SKIN AND PULP OF FRUITS CHANGE AMONG GENOTYPES AND MATURITY STAGES IN HIGHBUSH BLUEBERRY (Vaccinium corymbosum L.) GROWN IN SOUTHERN CHILE</t>
  </si>
  <si>
    <t>JOURNAL OF SOIL SCIENCE AND PLANT NUTRITION</t>
  </si>
  <si>
    <t>We evaluated the genotype and maturity effects on antioxidant activity and phenolic compounds of whole, skin and pulp fruits from three highbush blueberry cultivars (cv. Brigitta, cv. Bluegold and cv. Legacy) grown in southern Chile. Total antioxidant activity (TAA) in ripe fruits varied among the cultivars in the order Legacy &gt; Brigitta &gt; Bluegold. We found that TAA in unripe green and fully ripe fruits was high and similar between them, whereas the lowest levels were found in intermediate ripe fruits. The same trend was observed for fruit total phenolic content. This could be attributed to the higher concentrations of phenolic acids (mainly chlorogenic acid) and flavonols (mainly rutin) at immature fruit stages; whereas the high TAA in mature fruits could be explained by the elevated amounts of anthocyanin. All antioxidant compounds were mostly located in the skin. High amounts of delphinidin aglycone were found. HPLC-DAD/MS revealed that the main contents of skin anthocyanins are petunidin-3-glucoside and petunidin-3-arabinnoside followed by malvidin-3-galactoside. It is noticeable that highbush blueberry fruits grown in southern Chile have exceptionally higher antioxidant activity and anthocyanins contents compared with those cultivated in the northern hemisphere.</t>
  </si>
  <si>
    <t>Mora Gil, Maria Luz/AAT-4081-2021; Zuñiga, Gustavo/P-8306-2015</t>
  </si>
  <si>
    <t>Mora, Maria Luz/0000-0002-7474-1595; Zuniga, Gustavo/0000-0002-8286-9468</t>
  </si>
  <si>
    <t>0718-9508</t>
  </si>
  <si>
    <t>0718-9516</t>
  </si>
  <si>
    <t>10.4067/S0718-95162010000200010</t>
  </si>
  <si>
    <t>WOS:000288349900010</t>
  </si>
  <si>
    <t>Contreras, L; Mella, D; Moenne, A; Correa, JA</t>
  </si>
  <si>
    <t>Contreras, Loretto; Mella, Daniella; Moenne, Alejandra; Correa, Juan A.</t>
  </si>
  <si>
    <t>Differential responses to copper-induced oxidative stress in the marine macroalgae Lessonia nigrescens and Scytosiphon lomentaria (Phaeophyceae)</t>
  </si>
  <si>
    <t>AQUATIC TOXICOLOGY</t>
  </si>
  <si>
    <t>In order to help explain the absence of the brown kelp Lessonia nigrescens from a coastal environment chronically enriched with copper, we characterized the biochemical responses induced by copper stress in this kelp and compared them with those displayed by the copper tolerant brown alga Scytosiphon lomentaria. These algae were cultivated with increasing concentrations of copper (20.40 and 100 mu g L-1) for 96 h and the temporal production of hydrogen peroxide, superoxide anions and lipoperoxides as well as the activities of antioxidant enzymes catalase (CAT), glutathione peroxidase (GP), ascorbate peroxidase (AP), dehydroascorbate reductase (DHAR) and glutathione reductase (GR) and the activity of the defense enzyme lipoxygenase (LOX) were determined. In L. nigrescens and S. lomentaria, a single peak of hydrogen peroxide was detected, with similar maxima after 3 h of copper exposure, although in L nigrescens buffering took longer. Superoxide anions, on the other hand, were only detected in L. nigrescens. The production of lipoperoxides in L. nigrescens increased steadily at higher copper levels, in a pattern clearly different to their rapid stabilization in S. lomentaria. We suggest that the accumulation of lipoperoxides might be related to LOX, whose activity also increases with exposure time. Furthermore, activities of the antioxidant enzymes CAT, GP, AP and DHAR were lower in L. nigrescens than in S. lomentaria, and GP and DHAR were completely inhibited at higher copper concentrations. Since these enzymes also detoxify fatty acid hydroperoxides, their inhibition, together with the activation of LOX. may explain the persistent and copper-dependent levels of lipoperoxides in L. nigrescens. Based on terrestrial plant models demonstrating toxic effects of lipoperoxides, and on our results on organellar ultrastructural changes, we suggest that copper toxicity induced an uncontrolled lipoperoxide accumulation which may lead to cell damage and dysfunction in L. nigrescens, explaining at least partially. the absence of this kelp in a copper-enriched coastal environment. (C) 2009 Elsevier B.V. All rights reserved.</t>
  </si>
  <si>
    <t>Contreras-Porcia, Loretto/F-9593-2016</t>
  </si>
  <si>
    <t>Contreras-Porcia, Loretto/0000-0002-6511-2244</t>
  </si>
  <si>
    <t>0166-445X</t>
  </si>
  <si>
    <t>1879-1514</t>
  </si>
  <si>
    <t>AUG 31</t>
  </si>
  <si>
    <t>10.1016/j.aquatox.2009.06.004</t>
  </si>
  <si>
    <t>WOS:000270291300003</t>
  </si>
  <si>
    <t>Foppiano, AJ; Ovalle, EM; Bataille, K; Stepanova, M</t>
  </si>
  <si>
    <t>Foppiano, A. J.; Ovalle, E. M.; Bataille, K.; Stepanova, M.</t>
  </si>
  <si>
    <t>Ionospheric evidence of the May 1960 earthquake over Concepcion?</t>
  </si>
  <si>
    <t>GEOFISICA INTERNACIONAL</t>
  </si>
  <si>
    <t>For many years relations between seismic activity and associated ionospheric changes have been studied. Particularly, the possibility to identify ionospheric precursors of large earthquakes has been regarded as a specific goal for eventual obvious very valuable practical use. This paper first analyses foF2 observations over Concepcion (36.8 degrees S; 73.0 degrees W) prior to the two very large Chile earthquakes of 21 and 22 May 1960, using the same procedure of Chuo et al. (2002) for the September 1999 Taiwan earthquake. Then it reports results from processing foF2 values in two different ways, namely, using direct estimations of reference geomagnetic quiet-day diurnal variation of foF2 and using an empirical model that filters known dependencies of foF2 on solar and geomagnetic activities for Concepcion (Arriagada and Foppiano, 1999). It is shown that different analyses of observed foF2 values lead to different conclusions regarding possible ionospheric precursors.</t>
  </si>
  <si>
    <t>Ovalle, Elias/AAD-9289-2020; Bataille, Klaus/AAI-4499-2020; Foppiano, Alberto/LJM-1122-2024; Stepanova, Marina/D-6329-2011</t>
  </si>
  <si>
    <t>Stepanova, Marina/0000-0002-1053-3375</t>
  </si>
  <si>
    <t>0016-7169</t>
  </si>
  <si>
    <t>JUL-SEP</t>
  </si>
  <si>
    <t>WOS:000257673200006</t>
  </si>
  <si>
    <t>Divoux, T; Vidal, V; Melo, F; Géminard, JC</t>
  </si>
  <si>
    <t>Divoux, T.; Vidal, V.; Melo, F.; Geminard, J. -C.</t>
  </si>
  <si>
    <t>Acoustic emission associated with the bursting of a gas bubble at the free surface of a non-Newtonian fluid</t>
  </si>
  <si>
    <t>We report experimental measurements of the acoustic emission associated with the bursting of a gas bubble at the free surface of a non-Newtonian fluid. On account of the viscoelastic properties of the fluid, the bubble is generally elongated. The associated frequency and duration of the acoustic signal are discussed with regard to the shape of the bubble and successfully accounted for by a simple linear model. The acoustic energy exhibits a high sensitivity to the dynamics of the thin film bursting,, which demonstrates that, in practice, it is barely possible to deduce from the acoustic measurements the total amount of energy released by the event. Our experimental findings provide clues for the understanding of the signals from either volcanoes or foams, where one observes respectively, the bursting of giant bubbles at the free surface of lava and bubble bursting avalanches.</t>
  </si>
  <si>
    <t>Melo, Francisco/M-3923-2014; Divoux, Thibaut/A-3212-2011</t>
  </si>
  <si>
    <t>Vidal, Valerie/0000-0002-0413-1601; GEMINARD, Jean-Christophe Nicolas Denis/0000-0002-9773-4806; Melo, Francisco Esteban/0000-0001-6818-5476; Divoux, Thibaut/0000-0002-6777-5084</t>
  </si>
  <si>
    <t>2470-0045</t>
  </si>
  <si>
    <t>2470-0053</t>
  </si>
  <si>
    <t>10.1103/PhysRevE.77.056310</t>
  </si>
  <si>
    <t>WOS:000256885500047</t>
  </si>
  <si>
    <t>Scheuermann, E; Seguel, I; Montenegro, A; Bustos, R; Hormazabal, E; Quiroz, A</t>
  </si>
  <si>
    <t>Scheuermann, Erick; Seguel, Ivette; Montenegro, Adolfo; Bustos, Ruben; Hormazabal, Emilio; Quiroz, Andres</t>
  </si>
  <si>
    <t>Evolution of aroma compounds of murtilla fruits (Ugni molinale Turcz) during storage</t>
  </si>
  <si>
    <t>JOURNAL OF THE SCIENCE OF FOOD AND AGRICULTURE</t>
  </si>
  <si>
    <t>BACKGROUND: 'Murtilla', 'mutilla' or 'murta' (Ugni molinae Turcz) is a native Chilean species that produces a small berry fruit with a special aroma, whose volatile compounds have not yet been identified. The fruit may be consumed raw and also as jams, juice, canned products, confections and liquor. RESULTS: At the beginning and end of the storage, 24 volatile compounds were identified in murtilla fruit aroma and the concentration of these compounds in murtilla fruit ranged from 1.2 to 250.5 mu g kg(-1) fresh weight. Methyl 2-methyl butanoate, ethyl butanoate, ethyl 2-methyl butanoate, methyl hexanoate, ethyl hexanoate, methyl benzoate and ethyl benzoate were the major components, all of which have been reported as potent odors in other aromatic fruits. Based on estimated odor activity value, the most potent compound in the murtilla fruit aroma were ethyl hexanoate and 4-methoxy-2,5-dimethyl-furan-3-one. The statistical analysis showed that the storage produced a distinct effect on the same volatile compounds released from the murtilla ecotypes. CONCLUSION: The volatile compounds identified in murtilla fruit aroma, which may be described as fruity, sweet and floral, have been found in other aromatic fruits. Concerning the aroma, the murtilla fruit from ecotype 19-1 was shown to be the best in cooled storage. (c) 2007 Society of Chemical Industry.</t>
  </si>
  <si>
    <t>Quiroz, Andres/I-2748-2018; Scheuermann, Erick/J-6222-2013; Bustos, Ruben/AAM-2029-2020</t>
  </si>
  <si>
    <t>Hormazabal, Emilio/0000-0003-2205-8505; SCHEUERMANN, ERICK/0000-0002-6782-662X; Bustos, Ruben/0000-0003-0183-0324</t>
  </si>
  <si>
    <t>0022-5142</t>
  </si>
  <si>
    <t>1097-0010</t>
  </si>
  <si>
    <t>10.1002/jsfa.3111</t>
  </si>
  <si>
    <t>WOS:000253057600017</t>
  </si>
  <si>
    <t>Pedroso, I; Rivera, G; Lazo, F; Chacón, M; Ossandón, F; Veloso, FA; Holmes, DS</t>
  </si>
  <si>
    <t>Pedroso, Inti; Rivera, Gustavo; Lazo, Felipe; Chacon, Max; Ossandon, Francisco; Veloso, Felipe A.; Holmes, David S.</t>
  </si>
  <si>
    <t>AlterORF:: a database of alternate open reading frames</t>
  </si>
  <si>
    <t>NUCLEIC ACIDS RESEARCH</t>
  </si>
  <si>
    <t>AlterORF is a searchable database that contains information regarding alternate open reading frames (ORFs) for over 1.5 million genes in 481 prokaryotic genomes. The objective of the database is to provide a platform for improving genome annotation and to serve as an aid for the identification of prokaryotic genes that potentially encode proteins in more than one reading frame. The AlterORF Database can be accessed through a web interface at www.alterorf.cl.</t>
  </si>
  <si>
    <t>pedroso, inti/B-4989-2010</t>
  </si>
  <si>
    <t>Veloso, Felipe A./0000-0003-0206-9178; Pedroso, Inti/0000-0002-5947-4556; Holmes, David/0000-0001-9555-138X</t>
  </si>
  <si>
    <t>0305-1048</t>
  </si>
  <si>
    <t>D517</t>
  </si>
  <si>
    <t>D518</t>
  </si>
  <si>
    <t>10.1093/nar/gkm886</t>
  </si>
  <si>
    <t>WOS:000252545400092</t>
  </si>
  <si>
    <t>Cifuentes, L; Castro, JM; Crisóstomo, G; Casas, JM; Simpson, J</t>
  </si>
  <si>
    <t>Cifuentes, L.; Castro, J. M.; Crisostomo, G.; Casas, J. M.; Simpson, J.</t>
  </si>
  <si>
    <t>Modelling a copper electrowinning cell based on reactive electrodialysis</t>
  </si>
  <si>
    <t>APPLIED MATHEMATICAL MODELLING</t>
  </si>
  <si>
    <t>This work reports the development of a mathematical model for the operation of a laboratory-scale copper electrowinning cell based on reactive electrodialysis (RED). Data were obtained from experiments and from the literature. The cathodic reaction was copper electrodeposition and the anodic reaction was ferrous to ferric ion oxidation. The catholyte was aqueous cupric sulphate in sulphuric acid and the anolyte was aqueous ferrous sulphate in sulphuric acid. An anion membrane separated anolyte from catholyte while keeping a conductive path between them. The model includes (a) the cathodic and anodic kinetics, (b) the speciation of catholyte and anolyte and (c) ion transport through the membrane. The computer code was implemented in MATLAB software. The model was calibrated and validated and its predictions are in good agreement with experimental results for: amount of deposited copper, amount of produced Fe(III) species, cell voltage and specific energy consumption. (c) 2006 Elsevier Inc. All rights reserved.</t>
  </si>
  <si>
    <t>Casas, Jesus/HJY-7878-2023; Cifuentes Seves, Luis/I-1108-2013</t>
  </si>
  <si>
    <t>Cifuentes Seves, Luis/0000-0002-1173-4937</t>
  </si>
  <si>
    <t>0307-904X</t>
  </si>
  <si>
    <t>1872-8480</t>
  </si>
  <si>
    <t>10.1016/j.apm.2006.02.016</t>
  </si>
  <si>
    <t>WOS:000245762500007</t>
  </si>
  <si>
    <t>Pávez, P; Herrera, B; Toro-Labbé, A; Encinas, MV</t>
  </si>
  <si>
    <t>Pavez, Paulina; Herrera, Brbara; Toro-Labbe, Alejandro; Encinas, Maria Victoria</t>
  </si>
  <si>
    <t>Structure and medium effects on the photochemical behavior of nonfluorinated quinolone antibiotics</t>
  </si>
  <si>
    <t>PHOTOCHEMISTRY AND PHOTOBIOLOGY</t>
  </si>
  <si>
    <t>The photophysical behavior of the quinolone antibiotics, oxolinic (OX), cinoxacin (CNX) and pipemidic (PM) acids was studied as a function of pH and solvent properties. The ground state of these compounds exhibits different protonated forms, which also exist in the first excited states. Theoretical calculations of the Fukui indexes allowed to assigning the different protonation equilibria. The pK values indicate that the acidity of the 3-carboxylic and 4-carbonyl groups increases with the N-atom at position 2 in CNX. It has been found that fluorescence properties are strongly affected by pH, the more fluorescent species is that with protonated carboxylic acid, protonated species at the carbonyl group and the totally deprotonated form present very low fluorescence. The fluorescence behavior also depends on the chemical structure of the quinolone and on the solvent properties. The analysis of the solvent effect on the maximum and the width of the fluorescence band of OX, using the linear solvent-energy relation solvatochromic equation, indicates that the polarizability and hydrogen bond donor ability are the parameters that condition the spectral changes. The hydrogen bond acceptor ability of the solvents also contributes to the spectral shifts of CNX. The compound bearing the piperazinyl group at the position 7, PM only is fluorescent in high protic solvents. These results are discussed in terms of the competition between the intra- and intermolecular hydrogen bonds. The irradiation of OX, CNX and PM using 300 nm UV light led to a very low photodecomposition rate. Under the same conditions the nalidixic acid (NA), a structurally related quinolone, photodecomposes two orders of magnitude faster.</t>
  </si>
  <si>
    <t>Encinas, Maria/L-9686-2014; Herrera, Barbara/LKM-3528-2024; Toro-Labbe, Alejandro/J-5026-2013; Pavez, Paulina/O-4122-2015</t>
  </si>
  <si>
    <t>Herrera, Barbara/0000-0003-1911-4473; Toro-Labbe, Alejandro/0000-0001-9906-2153; Pavez, Paulina/0000-0002-8891-3802</t>
  </si>
  <si>
    <t>0031-8655</t>
  </si>
  <si>
    <t>10.1562/2006-08-21-RA-1009</t>
  </si>
  <si>
    <t>WOS:000247327400007</t>
  </si>
  <si>
    <t>Jirón, I; Derpich, I; Soto, I; Carrasco, R</t>
  </si>
  <si>
    <t>Xu, AP; Zhu, H; Chen, SY; Yan, B; Meng, QG; Miao, D; Fang, Y</t>
  </si>
  <si>
    <t>Jiron, I.; Derpich, I.; Soto, I.; Carrasco, R.</t>
  </si>
  <si>
    <t>An application of algebraic curves for key exchange on mobile grid computing</t>
  </si>
  <si>
    <t>PROCEEDINGS OF THE 6TH WSEAS INTERNATIONAL CONFERENCE ON APPLIED COMPUTER SCIENCE</t>
  </si>
  <si>
    <t>Electrical and Computer Engineering Series</t>
  </si>
  <si>
    <t>6th WSEAS International Conference on Applied Computer Science (ACOS 07)</t>
  </si>
  <si>
    <t>APR 15-17, 2007</t>
  </si>
  <si>
    <t>Hangzhou, PEOPLES R CHINA</t>
  </si>
  <si>
    <t>WSEAS</t>
  </si>
  <si>
    <t>The aim of this paper is to show a new algorithm for key exchange and reliable data transmission through the mobile grid computing environment. The system uses very strong one way functions based on the combination of a family of algebraic curves and a Low-Density Parity-Check code (LDPC). The security of the whole scheme is guaranteed by the intractability of the discrete logarithm problem on several algebraic curves. Furthermore, the algorithm complexity is studied. Finally, the proposed system produces an improvement of 0.82 dB at a BER = 10(-4) which is achieved when it is compared with the LDPC code over Rayleigh Fading channel with BPSK modulation.</t>
  </si>
  <si>
    <t>derpich, ivan/T-1160-2019; JIRON, IVAN/AAG-7462-2019</t>
  </si>
  <si>
    <t>Soto, Ismael/0000-0002-5501-5651</t>
  </si>
  <si>
    <t>978-960-8457-66-9</t>
  </si>
  <si>
    <t>WOS:000249798700091</t>
  </si>
  <si>
    <t>Karczewska, A; Lizama, C</t>
  </si>
  <si>
    <t>Karczewska, Anna; Lizama, Carlos</t>
  </si>
  <si>
    <t>Regularity of solutions to stochastic Volterra equations with infinite delay</t>
  </si>
  <si>
    <t>PROCEEDINGS OF THE AMERICAN MATHEMATICAL SOCIETY</t>
  </si>
  <si>
    <t>In this article we give necessary and sufficient conditions providing regularity of solutions to stochastic Volterra equations with infinite delay on a d-dimensional torus. The harmonic analysis techniques and stochastic integration in function spaces are used. The work applies to both the stochastic heat and wave equations.</t>
  </si>
  <si>
    <t>Karczewska, Anna/0000-0001-7160-7908</t>
  </si>
  <si>
    <t>0002-9939</t>
  </si>
  <si>
    <t>10.1090/S0002-9939-06-08487-5</t>
  </si>
  <si>
    <t>WOS:000242238000024</t>
  </si>
  <si>
    <t>do O, JM; Lorca, S; Ubilla, P</t>
  </si>
  <si>
    <t>Costa, D; Lopes, O; Manasevich, R; Rabinowitz, P; Ruf, B; Tomei, C</t>
  </si>
  <si>
    <t>Multiparameter elliptilc equations in annular domains</t>
  </si>
  <si>
    <t>CONTRIBUTIONS TO NONLINEAR ANALYSIS: A TRIBUTE TO D. G. DE FIGUEIREDO ON THE OCCASION OF HIS 70TH BIRTHDAY</t>
  </si>
  <si>
    <t>Progress in Nonlinear Differential Equations and Their Applications</t>
  </si>
  <si>
    <t>Workshop on Contributions to Nonlinear Analysis</t>
  </si>
  <si>
    <t>JUN 07-11, 2004</t>
  </si>
  <si>
    <t>Campinas, BRAZIL</t>
  </si>
  <si>
    <t>Using fixed point theorems of cone expansion/compression type, the upper-lower solutions method and degree arguments, we study existence, non-existence and multiplicity of positive solutions for a class of second-order ordinary differential equations with multiparameters. We apply our results to semilinear elliptic equations in bounded annular domains with non-homogeneous Dirichlet boundary conditions. More precisely, we apply our main results to equations of the form [GRAPHICS] where a; b and lambda arc non-negative parameters. One feature of the hypotheses on the nonlinearities that we Consider is that they have some sort of local character.</t>
  </si>
  <si>
    <t>3-7643-7149-8</t>
  </si>
  <si>
    <t>WOS:000235351500016</t>
  </si>
  <si>
    <t>Soto, MC; Bassi, RV; Saldana, A; Ocaranza, M; Jalil, J; Chiong, M; Lavandero, S; Diaz-Araya, G</t>
  </si>
  <si>
    <t>Gene expression of profibrotic factors in isoproterenol-treated Brown-Norway and Lewis rats</t>
  </si>
  <si>
    <t>MOLECULAR BIOLOGY OF THE CELL</t>
  </si>
  <si>
    <t>Annual Meeting of the American-Society-for-Cell-Biology</t>
  </si>
  <si>
    <t>DEC 04-08, 2004</t>
  </si>
  <si>
    <t>Amer Soc Cell Biol</t>
  </si>
  <si>
    <t>Chiong, Mario/I-1043-2013; Lavandero, Sergio/B-6001-2013</t>
  </si>
  <si>
    <t>1059-1524</t>
  </si>
  <si>
    <t>S</t>
  </si>
  <si>
    <t>128A</t>
  </si>
  <si>
    <t>WOS:000224648801053</t>
  </si>
  <si>
    <t>Bunger, A; Moyano, PC; Vega, RE; Guerrero, P; Osorio, F</t>
  </si>
  <si>
    <t>Osmotic dehydration and freezing as combined processes on apple preservation</t>
  </si>
  <si>
    <t>FOOD SCIENCE AND TECHNOLOGY INTERNATIONAL</t>
  </si>
  <si>
    <t>Combined processes effects of osmotic dehydration in sucrose solutions and freezing on apple cubes preservation were analysed. Two multifactorial experimental designs, in two levels, were conducted consecutively to quantify the effects of the following factors: temperature, osmotic dehydration time, concentration of the osmotic medium and freezing rate. The response variables considered were: sensory evaluation, colour, texture, water activity (a(w)) and reducing and total sugars. The first experimental design selected fast freezing as the best process to preserve texture and colour of the fruit. From the second experimental design, under fast freezing, were obtained the following optimal levels: 55degreesBx for the concentration of the osmotic medium, 35degreesC for the syrup temperature and 60 min for the osmotic dehydration time. A test of acceptability was performed under these conditions with 80 potential consumers on a 7-point hedonic scale, which gave 93% acceptance. Glass transition temperature (Tg') of the maximally cryoconcentrated liquid was -41.89degreesC for the product processed under optimum conditions. Significant correlations (P less than or equal to 0.05) were found between sensory and instrumental responses.</t>
  </si>
  <si>
    <t>osorio, fernando/AAY-7304-2021</t>
  </si>
  <si>
    <t>osorio, fernando/0000-0001-7206-0924</t>
  </si>
  <si>
    <t>1082-0132</t>
  </si>
  <si>
    <t>1532-1738</t>
  </si>
  <si>
    <t>10.1177/1082013204044828</t>
  </si>
  <si>
    <t>WOS:000222108700004</t>
  </si>
  <si>
    <t>Pino, E; Campos, AM; Lissi, E</t>
  </si>
  <si>
    <t>8-hydroxy-1, 3,6-pyrene trisulfonic acid (Pyranine) bleaching by 2,2′-azobis(2-amidinopropane) derived peroxyl radicals</t>
  </si>
  <si>
    <t>INTERNATIONAL JOURNAL OF CHEMICAL KINETICS</t>
  </si>
  <si>
    <t>8-Hydroxy-1,3,6-pyrene trisulfonic acid, trisodium salt (pyranine), readily reacts with peroxyl radicals generated in the aerobic pyrolysis of 2,2'-azobis(2-amidinopropane) (AAPH). The process can be followed by monitoring the decrease in pyranine absorbance (460nm) or fluorescence (excitation: 460 nm, emission: 510 nm). The reaction follows a nearly zero-order kinetics in pyranine (0.25-30 muM range), suggesting a very efficient trapping of peroxyl radicals. in agreement with this, the process is order one in AAPH. The bleaching process is totally prevented by Trolox (muM range), and partially prevented by Trp (mM range). The protection afforded by Trp is very little dependent upon the pyranine concentration. This result indicates that the main protective pathway is not a competitive scavenging of the peroxyl radicals. The data suggest protection due to repair of the initially produced pyranyt radicals. These radicals are also very efficient in the destruction of C-phycocyanin bilin groups. (C) 2003 Wiley Periodicals, Inc.</t>
  </si>
  <si>
    <t>Pino, Eduardo Francisco/0000-0002-7851-3952</t>
  </si>
  <si>
    <t>0538-8066</t>
  </si>
  <si>
    <t>10.1002/kin.10151</t>
  </si>
  <si>
    <t>WOS:000185338700005</t>
  </si>
  <si>
    <t>Andrade, LHC; Ardila, DR; Andreeta, JP; Li, MS</t>
  </si>
  <si>
    <t>Optical properties of Nd3+-doped Ca3(VO4)2 single crystal fiber</t>
  </si>
  <si>
    <t>OPTICAL MATERIALS</t>
  </si>
  <si>
    <t>Optical absorption and photoluminescence of Ca-3(VO4)(2) single crystal grown by a floating-zone technique and containing Nd3+ ions were investigated. High absorption coefficients and broadening of most absorption bands are present at 300 K, while substructures in some of the same bands can be evidenced at 12 K. Most features of measured spectra are characteristic of random occupation of more than a single Ca2+ site by the Nd3+ ion and of distortions provoked by different charge compensation mechanisms involving oxygen vacancies promotion in the crystal lattice. Nd3+ optical properties were studied by using the Judd-Ofelt theory to calculate the spectral parameters relevant for laser applications. (C) 2002 Elsevier Science B.V. All rights reserved.</t>
  </si>
  <si>
    <t>Ardila, D./Q-2557-2015; Andrade, Luis/AAS-4839-2020; Siu Li, Maximo/I-5757-2012; Andrade, Luis Humberto/G-6471-2014; Andrade, Luis/C-3157-2013</t>
  </si>
  <si>
    <t>Siu Li, Maximo/0000-0001-7277-4126; Andrade, Luis Humberto/0000-0002-2644-4801; Andrade, Luis/0000-0001-7442-2554</t>
  </si>
  <si>
    <t>0925-3467</t>
  </si>
  <si>
    <t>10.1016/S0925-3467(02)00371-3</t>
  </si>
  <si>
    <t>WOS:000183305900011</t>
  </si>
  <si>
    <t>Evans, F; Zolezzi, JM; Rudnick, H</t>
  </si>
  <si>
    <t>Cost assignment model for electrical transmission system expansion: An approach through the Kernel theory</t>
  </si>
  <si>
    <t>IEEE TRANSACTIONS ON POWER SYSTEMS</t>
  </si>
  <si>
    <t>A cost assignment model is proposed for the expansion of electrical transmission systems, based on the cooperation and interaction principles that are the foundation of the cooperative game theory. A solution algorithm is proposed that considers the development of independent cooperative games for each expansion\ segment and whose final assignment can be obtained by any game theory solution method (Kernel, Nucleolus, Shapley Value, etc.). The Kernel method was chosen because it has both equilibrium and transparency characteristics in the computation of final assignments. The model accepts both the technical (load nature, generation levels, etc.) and economic (power station marginal. costs, etc.) vari ables that characterize the network. to be analyzed. Cost assignment will depend both on the capacity economic use and the non-coincident maximum use of the expansion lines, made by individual and group agents.</t>
  </si>
  <si>
    <t>; Rudnick, Hugh/F-8281-2013</t>
  </si>
  <si>
    <t>Zolezzi Cid, Juan Manuel/0009-0001-5377-0688; Rudnick, Hugh/0000-0002-5424-7784</t>
  </si>
  <si>
    <t>0885-8950</t>
  </si>
  <si>
    <t>1558-0679</t>
  </si>
  <si>
    <t>10.1109/TPWRS.2003.810903</t>
  </si>
  <si>
    <t>WOS:000182870000029</t>
  </si>
  <si>
    <t>Cardenas, V; Cruz, N; Lepe, S</t>
  </si>
  <si>
    <t>Holographic cosmology in 2+1 dimensions</t>
  </si>
  <si>
    <t>REVISTA MEXICANA DE FISICA</t>
  </si>
  <si>
    <t>12th Chilean Symposium of Physics</t>
  </si>
  <si>
    <t>NOV 22-24, 2000</t>
  </si>
  <si>
    <t>SANTIAGO, CHILE</t>
  </si>
  <si>
    <t>We examine a closed Friedmann-Robertson-Walker (FRW) model in 24 1 dimensions in order to investigate the cosmic holographic principle suggested by Fischler and Susskind. The matter content of the model is composed of two perfect fluid, with a gamma-law equation of state. We found that a closed universe satisfy the holographic principle for dust and exotic matter with a negative pressure. Our results was derived rigorously, differing from the previous one found by Wang and Abdalla.</t>
  </si>
  <si>
    <t>Cardenas, Victor/A-5403-2012</t>
  </si>
  <si>
    <t>Cardenas, Victor Hugo/0000-0002-9788-3967</t>
  </si>
  <si>
    <t>0035-001X</t>
  </si>
  <si>
    <t>WOS:000180065500034</t>
  </si>
  <si>
    <t>Mery, D; Jaeger, T; Filbert, D</t>
  </si>
  <si>
    <t>A review of methods for automated recognition of casting defects</t>
  </si>
  <si>
    <t>INSIGHT</t>
  </si>
  <si>
    <t>Radioscopy is increasingly being used as a tool for non-destructive testing in industrial production. An example is the serial examination of cast light-alloy workpieces used in the car industry, such as aluminium wheels and steering gears. The material defects occurring in the casting process such as cavity, gas, inclusion, and sponge must be detected to satisfy the security requirements; consequently, it is necessary to check 100% of the parts. Since most defects are not visible, X-ray imaging is used for this task. In this paper we present a review of the existing approaches of automated flaw detection in aluminium castings.</t>
  </si>
  <si>
    <t>Mery, Domingo/D-1385-2014</t>
  </si>
  <si>
    <t>Mery, Domingo/0000-0003-4748-3882</t>
  </si>
  <si>
    <t>1354-2575</t>
  </si>
  <si>
    <t>WOS:000176687200010</t>
  </si>
  <si>
    <t>Restovic, A; Ríos, E; Barbato, S; Ortiz, J; Gautier, JL</t>
  </si>
  <si>
    <t>Oxygen reduction in alkaline medium at thin MnxCo3-xO4 (0≤x≤1) spinel films prepared by spray pyrolysis.: Effect of oxide cation composition on the reaction kinetics</t>
  </si>
  <si>
    <t>JOURNAL OF ELECTROANALYTICAL CHEMISTRY</t>
  </si>
  <si>
    <t>We have studied the relationships between the cation distributions in bulk and on the surface and the electrocatalytical reactivity towards the oxygen reduction reaction (orr) on thin film electrodes of cobalt and manganese spinel type oxides MnxCo3-xO4 (0less than or equal toxless than or equal to1). The cationic distributions were computed from XRD, XPS, magnetism and oxidation power measurements showing the presence of the Co3+/Co2+ and Mn4+/Mn3+ solid state redox couples and also vacancies in octahedral sites. The electrocatalytic activity and kinetic parameters for the orr were determined using the RRDE technique in I M KOH solution at 25 degreesC. Two Tafel zones of slopes b(c1) and b(c2) around -60 and -120 mV dec(-1) were observed. The disk current/ring current ratio, (I-D/I-R), increases with x and decreases with the applied overpotential. At constant overpotential eta the real electrocatalytical current densities j increase when x increases. The orr can be characterized by an intrinsic kinetic parameter J' obtained from this current ratio at various electrode rotational frequencies. This J' increases with the redox couple Co2+/Co3+ ratio, increasing more in the bulk than at the surface of the electrode. (C) 2002 Elsevier Science B.V. All rights reserved.</t>
  </si>
  <si>
    <t>1572-6657</t>
  </si>
  <si>
    <t>1873-2569</t>
  </si>
  <si>
    <t>APR 5</t>
  </si>
  <si>
    <t>PII S0022-0728(02)00639-3</t>
  </si>
  <si>
    <t>10.1016/S0022-0728(02)00639-3</t>
  </si>
  <si>
    <t>WOS:000176266300003</t>
  </si>
  <si>
    <t>Barrera, N; Morales, B; Villalón, M</t>
  </si>
  <si>
    <t>A physical chemistry theory of synergism on ciliated cell motility</t>
  </si>
  <si>
    <t>BIOPHYSICAL JOURNAL</t>
  </si>
  <si>
    <t>0006-3495</t>
  </si>
  <si>
    <t>483A</t>
  </si>
  <si>
    <t>WOS:000173252702376</t>
  </si>
  <si>
    <t>Eugenín, J; Nicholls, JG</t>
  </si>
  <si>
    <t>Control of respiration in the isolated central nervous system of the neonatal opossum, Monodelphis domestica</t>
  </si>
  <si>
    <t>BRAIN RESEARCH BULLETIN</t>
  </si>
  <si>
    <t>Respiration represents an unusual motor activity with respect to its development. As newly born mammals enter the world, their limb movements are not coordinated; time and experience are required for effective performance to be achieved. Yet the rhythm of respiration is of necessity functionally perfected and unfailing at birth. Inspiratory and expiratory motor neurons are already able to fire at appropriate rates, under the command of rhythmically active neurons in the medulla. In this review, we discuss refinements of control present in the newborn opossum, particularly with respect to mechanisms that allow adaptation of respiration to changes in the level of activity or in the outside environment. Our own studies have been aimed at analyzing respiration at the earliest stages, and at establishing the way in which important variables influence inspiration and expiration. To this end, we have used the central nervous system (CNS) of a neonatal opossum, isolated in its entirety and maintained in culture. Although the opossum is unable to walk and highly immature at birth, its respiration is regular and unfailing. The isolated CNS survives, undergoes development, and maintains its neural activity and fine structure in vitro. Moreover, fictive respiration persists for over a day or longer at rates similar to those of the intact pup. The effects of altered pH, of increased temperature, and of drugs known to alter respiratory rhythm in intact animals can be measured directly, by electrical recordings made from medullary neurons or ventral roots. As in a slice, fluids of different composition can be applied focally, through micropipettes to the surface of the ventral medulla, or diffusely to the brainstem, With highly localized application of procaine hydrochloride (2%) to selected areas of the ventral medulla, the respiratory rhythm is reduced or abolished. As in adult mammals, both the rate and the amplitude of respiration simultaneously increase in response to lowered pH (6.5-7.1) or to topical application of 1.0 muM carbachol. Conversely, as expected, the rate and amplitude decrease in response to increased pH (pH 7.5-7.7), or 100 muM scopolamine. Two characteristic features of the control of respiration in the neonatal opossum are evident from such tests. First, changes in rate are achieved by changes in the duration of the expiratory phase of respiration. This result suggests that the timing of the respiratory cycle in the neonatal opossum is controlled by an expiratory instead of an inspiratory off-switch. Second, the rate and the amplitude of the respiratory excursions can be controlled independently, depending on the stimulus. For example, an increase in temperature increases the rate of fictive respiration without changing its amplitude, whereas noradrenaline decreases the rate while increasing the amplitude. Thus, changes of timing and amplitude need not go hand in hand. The opossum CNS offers a favorable preparation for the analysis of neural mechanisms that generate and modulate a motor rhythm, as the animal develops from embryonic to adult stages. (C) 2001 Elsevier Science Inc.</t>
  </si>
  <si>
    <t>0361-9230</t>
  </si>
  <si>
    <t>1873-2747</t>
  </si>
  <si>
    <t>NOV 15</t>
  </si>
  <si>
    <t>10.1016/S0361-9230(00)00394-4</t>
  </si>
  <si>
    <t>WOS:000166766900016</t>
  </si>
  <si>
    <t>Tojo, E; Rial, ME; Urzua, A; Mendoza, L</t>
  </si>
  <si>
    <t>Clerodane diterpenes from Haplopappus deserticola</t>
  </si>
  <si>
    <t>PHYTOCHEMISTRY</t>
  </si>
  <si>
    <t>From the resinous exudate of Haplopappus deserticola a new clerodane diterpene named deserticolic acid (1), the known 18-acetoxy-cis-cleroda-3,13E-dien-15-oic acid (2) and four flavonoids were isolated. The structure of 1 was elucidated as 19-hydroxy-cis-cleroda-3,13E-dien-15-oic acid (ent-5 alpha form) by spectroscopic methods. (C) 1999 Elsevier Science Ltd. All rights reserved.</t>
  </si>
  <si>
    <t>Rial-Rivas, Maria/A-5290-2011; Tojo, Emilia/B-3532-2011</t>
  </si>
  <si>
    <t>Tojo, Emilia/0000-0002-7099-3437; Urzua, Alejandro/0000-0003-2638-0921</t>
  </si>
  <si>
    <t>0031-9422</t>
  </si>
  <si>
    <t>10.1016/S0031-9422(99)00193-4</t>
  </si>
  <si>
    <t>WOS:000084694900026</t>
  </si>
  <si>
    <t>D'Almeida, K; Bernède, JC; Martinez, F; Tregouët, Y; Louarn, G; Neculqueo, G; Lefrant, S; Molinié, P</t>
  </si>
  <si>
    <t>About some properties of terthiophene thin films otained in the presence of a red hot wolfram filament</t>
  </si>
  <si>
    <t>SYNTHETIC METALS</t>
  </si>
  <si>
    <t>International Conference on Science and Technology of Synthetic Metals (ICSM 98)</t>
  </si>
  <si>
    <t>JUL 12-18, 1998</t>
  </si>
  <si>
    <t>MONTPELLIER, FRANCE</t>
  </si>
  <si>
    <t>Terthiophene powder was synthesised following the cross-coupling Grignard reaction. A tungsten crucible with a multiholed cover was used to evaporate the powder under vacuum. A red-hot wolfram filament is placed between the evaporation source and the: substrates. The variations of the properties of the deposited films were studied using the evaporation rate and the filament temperature as parameters, it is shown that there is some activation of the terthiophene by the hot wolfam filament.</t>
  </si>
  <si>
    <t>Bernede, Jean/A-3065-2012; martinez, francisco/A-7948-2013; LOUARN, Guy/A-6801-2008</t>
  </si>
  <si>
    <t>LOUARN, Guy/0000-0003-0683-7381</t>
  </si>
  <si>
    <t>0379-6779</t>
  </si>
  <si>
    <t>1-3</t>
  </si>
  <si>
    <t>10.1016/S0379-6779(98)01142-4</t>
  </si>
  <si>
    <t>WOS:000081101300281</t>
  </si>
  <si>
    <t>Arguello, F; Trenas, MA; Lopez, J; Zapata, EL</t>
  </si>
  <si>
    <t>Algorithm for cosine transform of Toeplitz matrices</t>
  </si>
  <si>
    <t>ELECTRONICS LETTERS</t>
  </si>
  <si>
    <t>An algorithm for calculating the 2D cosine transform of a Toeplitz matrix is presented. Thr algorithm is based on the application of 1D cosine transforms. More specifically, four 1D cosine transforms of size N are needed to obtain the transform of a Toeplitz matrix of size N x N. This is an improvement over previously published algorithms (for example, [1] requires five Fourier transforms of size 2N). The algorithm is also simple and regular.</t>
  </si>
  <si>
    <t>Castro, María/H-3255-2013; Arguello, Francisco/F-3238-2016</t>
  </si>
  <si>
    <t>Arguello, Francisco/0000-0001-9279-5426; Trenas Castro, Maria Antonia/0000-0001-9723-6842</t>
  </si>
  <si>
    <t>0013-5194</t>
  </si>
  <si>
    <t>JUN 11</t>
  </si>
  <si>
    <t>10.1049/el:19980868</t>
  </si>
  <si>
    <t>WOS:000074639100017</t>
  </si>
  <si>
    <t>Horvath, H; Catalan, L; Trier, A</t>
  </si>
  <si>
    <t>A study of the aerosol of Santiago de Chile .3. Light absorption measurements</t>
  </si>
  <si>
    <t>ATMOSPHERIC ENVIRONMENT</t>
  </si>
  <si>
    <t>The light absorption coefficient of the aerosol of Santiago de Chile has been measured by means of the integrating plate method. Values ranging between 0.01 and 0.2 km(-1) have been found. Variations of the absorption coefficient by a factor of 8 within a few hours have frequently been found and have their causes in the specific meteorology of the Santiago air basin. In the summer a minimum occurs between 1 and 4 a.m. and a maximum between 8 and 10 a.m., whereas in the winter a maximum is found during the night and minimum values are in the afternoon with a smaller amplitude. Similar variations of the light absorption coefficient have been found also inside uninhabited rooms, since the aerosol was transported there almost without any losses. The daily pattern is similar but delayed and has a lower mean value and amplitude. When converting the light absorption to mass of black carbon, concentrations of elemental carbon of 1.3-25 mu g m(-3) were obtained. This is similar to other large cities, where a considerable part of the mobile sources are equipped with diesel motors. The light absorption contributes to about 15% of the light extinction of the aerosol, and considering an equal scattering of the soot particles, the contribution of soot to light attenuation in the atmosphere is about 30%. The single scattering albedo of the aerosol is 0.85, thus the heating effect of the absorption dominates. The light absorption coefficient is wavelength dependent with an average relationship of sigma(a) = k (lambda/lambda(0)) (-x), the exponent being alpha = 0.92. The exponent of the wavelength dependence of the extinction coefficient of the aerosol was 1.22. (C) 1997 Elsevier Science Ltd.</t>
  </si>
  <si>
    <t>1352-2310</t>
  </si>
  <si>
    <t>1873-2844</t>
  </si>
  <si>
    <t>10.1016/S1352-2310(97)00215-X</t>
  </si>
  <si>
    <t>WOS:A1997XX49500006</t>
  </si>
  <si>
    <t>Plaza, S; Vera, J</t>
  </si>
  <si>
    <t>Stability of hyperbolic vector fields</t>
  </si>
  <si>
    <t>DYNAMICS AND STABILITY OF SYSTEMS</t>
  </si>
  <si>
    <t>We give a geometrical proof of the global stability theorem for a large class of hyperbolic vector fields (i.e. those satisfying axiom A and the strong transversality condition). The class of hyperbolic vector fields we consider in this paper is constituted by those hyperbolic vector fields for which the attractor and repellor sets are trivial (i.e. singularities and/or periodic orbits) and their non-trivial basic sets are d-separated. We apply the geometrical proof in order to study elementary bifurcations of one-parameter families of vector fields, {X-mu}, such that, say for mu &lt; &lt;(mu)over bar&gt; the vector fields X-mu are in the class of hyperbolic vector fields described above, and X(&lt;(mu)over bar&gt;) has an elementary generic bifurcation, i.e. (i) a saddle-node or a Hopf singularity; (ii) a saddle-node or a flip periodic orbit; (iii) a quasi-transversal intersection orbit between art unstable and a stable manifold; all of which are generic bifurcations that unfold generically at the parameter bifurcation value mu = &lt;(mu)over bar&gt;.</t>
  </si>
  <si>
    <t>Plata, Sergio/AAA-6144-2019</t>
  </si>
  <si>
    <t>0268-1110</t>
  </si>
  <si>
    <t>10.1080/02681119708806234</t>
  </si>
  <si>
    <t>WOS:A1997WY61800002</t>
  </si>
  <si>
    <t>Peirano, P; Williamson, A; Garrido, M; Mena, P; Birch, E; Uauy, R</t>
  </si>
  <si>
    <t>Human milk (HM) fed infants show more organized heart rate (HR) patterns than formula-fed (FF).</t>
  </si>
  <si>
    <t>PEDIATRIC RESEARCH</t>
  </si>
  <si>
    <t>Peirano, Patricio/K-8427-2013; Birch, Eileen/ABB-8355-2021</t>
  </si>
  <si>
    <t>0031-3998</t>
  </si>
  <si>
    <t>WOS:A1996UD23802258</t>
  </si>
  <si>
    <t>BIONDIC, M; LISSI, E</t>
  </si>
  <si>
    <t>DUAL FLUORESCENCE OF 9-ANTHRACENECARBOXYLIC ACID - ITS RELATION TO ACID-BASE EQUILIBRIA</t>
  </si>
  <si>
    <t>BOLETIN DE LA SOCIEDAD CHILENA DE QUIMICA</t>
  </si>
  <si>
    <t>The dual fluorescence from 9-anthracenecarboxylic acid is employed to obtain estimative values of the dissociation constant of the acid in several solvents. Efficient dissociation takes places in solvents with large solvatochromic parameters or and p. The value of the apparent dissociation constant decreases when the analytical concentration of the acid increases. These data are explained in terms of ground state association between the ionized and non-ionized forms of the acid.</t>
  </si>
  <si>
    <t>0366-1644</t>
  </si>
  <si>
    <t>WOS:A1995QV98900010</t>
  </si>
  <si>
    <t>LEON, A; VINCENT, B; CAWDERY, N</t>
  </si>
  <si>
    <t>THE SYNTHESIS AND CHARACTERIZATION OF MONODISPERSE POLY(ACRYLIC ACID) AND POLY(METHACRYLIC ACID)</t>
  </si>
  <si>
    <t>COLLOID AND POLYMER SCIENCE</t>
  </si>
  <si>
    <t>A number of polyacrylic (PAA) and polymethacrylic (PMAA) acids have been synthesized by living anionic polymerization of the monomeric tert-butyl esters followed by subsequent hydrolysis of the corresponding polyesters. The necessary precautions were taken in order to assure good molecular weight control, as well as high yields in the polymerization reactions. The intermediate and final polymers were characterized by gel permeation chromatography and NMR-H-1 spectrometry.</t>
  </si>
  <si>
    <t>Saghaei, Mina/0000-0002-1618-3492</t>
  </si>
  <si>
    <t>0303-402X</t>
  </si>
  <si>
    <t>10.1007/BF00659455</t>
  </si>
  <si>
    <t>WOS:A1994NL14900008</t>
  </si>
  <si>
    <t>OELKER, P; CADUS, L; FORGET, D; DAZA, L; PAPADOPOULOU, C; LLAMBIAS, FG; NAUD, J; RUIZ, P; DELMON, B</t>
  </si>
  <si>
    <t>Corberan, VC; Bellon, SV</t>
  </si>
  <si>
    <t>ROLE OF TELLURIUM OXIDE IN THE SELECTIVE OXIDATION OF ISOBUTENE TO METHACROLEIN - ALPHA-SB2O4-TEO2 CATALYSTS</t>
  </si>
  <si>
    <t>NEW DEVELOPMENTS IN SELECTIVE OXIDATION II</t>
  </si>
  <si>
    <t>STUDIES IN SURFACE SCIENCE AND CATALYSIS</t>
  </si>
  <si>
    <t>2nd World Congress/4th European Workshop Meeting on New Developments in Selective Oxidation II</t>
  </si>
  <si>
    <t>SEP 20-24, 1993</t>
  </si>
  <si>
    <t>BENALMADENA, SPAIN</t>
  </si>
  <si>
    <t>REAL SOCIEDAD ESPANOLA QUIM, GRUPO ESPECIALIZASO CATALISIS,CONSEJO SUP INVESTIGACIONES CIENT, INST CATALISIS &amp; PETR</t>
  </si>
  <si>
    <t>Antimony and tellurium oxide catalysts were synthesized by (i) mechanically mixing the oxides (ii) coprecipitation and (iii) impregnation of one of the oxides by the metallic element of the other. Some oxides or mixtures were subjected to further thermal treatments. Samples were characterized before and after catalytic test by BET surface area measurement, X-ray diffraction, XPS, CTEM and AEM, carbon content and isoelectric point measurements. Catalysts were tested in the oxidation of isobutene to methacrolein. Neither the formation of Sb2Te2O9 nor contamination explain the synergy observed. The synergy seems to be due to a remote control where TeO2 plays the role of a relatively weak oxygen spill-over acceptor.</t>
  </si>
  <si>
    <t>Daza Bertrand, Loreto/G-2702-2016</t>
  </si>
  <si>
    <t>Daza Bertrand, Loreto/0000-0001-7524-6820; Papadopoulou, Christina/0000-0003-1970-5142</t>
  </si>
  <si>
    <t>0-444-81552-X</t>
  </si>
  <si>
    <t>WOS:A1994BC20N00005</t>
  </si>
  <si>
    <t>HIDALGO, ME; FERNANDEZ, E; QUILHOT, W; LISSI, EA</t>
  </si>
  <si>
    <t>PHOTOHEMOLYTIC ACTIVITY OF LICHEN METABOLITES</t>
  </si>
  <si>
    <t>Irradiation of pannarin, 1'-chloropannarin and atranorin with 366 nm light leads to significant hemolysis in a red cell suspension. However, their mechanism of action is different. Hemolysis induced by pannarin and 1'-chloropannarin increases in the presence of oxygen, whereas hemolysis induced by atranorin is higher in nitrogen-purged solutions. The effect of free radical scavengers, and the lack of effect of D2O in the medium, suggest that the hemolysis induced by pannarin and 1'-chloropannarin is not mediated by O-1(2). Both the hemolytic and photohemolytic activities of the depsidones, particularly 1'-chloropannarin, increase when the temperature increases from 21 to 37-degrees-C.</t>
  </si>
  <si>
    <t>10.1016/1011-1344(93)80161-2</t>
  </si>
  <si>
    <t>WOS:A1993MH48900003</t>
  </si>
  <si>
    <t>VILLARROEL, LH; TORRES, R; FAJARDO, V</t>
  </si>
  <si>
    <t>SECONDARY METABOLITES FROM SOME SPECIES OF GENUS SENECIO OF CHILE</t>
  </si>
  <si>
    <t>Fajardo, Virgilio/HMD-5427-2023</t>
  </si>
  <si>
    <t>WOS:A1987G733200002</t>
  </si>
  <si>
    <t>LISSI, E; ABUIN, E; RIBOT, G; VALENZUELA, E; CHAIMOVICH, H; ARAUJO, P; ALEIXO, RMV; CUCCOVIA, IM</t>
  </si>
  <si>
    <t>ION-EXCHANGE BETWEEN NORMAL-ALKYL CARBOXYLATES AND BROMIDE AT THE SURFACE OF CETYLTRIMETHYLAMMONIUM MICELLES</t>
  </si>
  <si>
    <t>Cuccovia, Iolanda Midea/0000-0001-8285-7419</t>
  </si>
  <si>
    <t>10.1016/0021-9797(85)90085-2</t>
  </si>
  <si>
    <t>WOS:A1985AAN5400014</t>
  </si>
  <si>
    <t>ECKHARDT, G; URZUA, A; CASSELS, BK</t>
  </si>
  <si>
    <t>MASS-SPECTROMETRY OF ARISTOLOCHIC ACIDS</t>
  </si>
  <si>
    <t>JOURNAL OF NATURAL PRODUCTS</t>
  </si>
  <si>
    <t>The electron impact-induced fragmentation of aristolochic acids and some synthetic model compounds [from Aristolochia chilensis and Battus archidamus] was investigated using high resolution mass spectrometry. The only primary cleavage given by condensed aromatic systems having a carboxy and a nitro function in peri positions consists of the elimination of NO2. The complexity which usually occurs in the upper mass range of the spectra of aristolochic acids is attributable to contaminations with closely related compounds. The potential of high resolution mass spectrometry for the analysis of mixtures of aristolochic acids from natural sources is demonstrated.</t>
  </si>
  <si>
    <t>Cassels, Bruce/H-6937-2013</t>
  </si>
  <si>
    <t>Urzua, Alejandro/0000-0003-2638-0921</t>
  </si>
  <si>
    <t>0163-3864</t>
  </si>
  <si>
    <t>1520-6025</t>
  </si>
  <si>
    <t>10.1021/np50025a007</t>
  </si>
  <si>
    <t>WOS:A1983QK31300007</t>
  </si>
  <si>
    <t>ENCINAS, MV; LISSI, EA; OLEA, AE</t>
  </si>
  <si>
    <t>POLYMERIZATION PHOTOINITIATED BY CARBONYL-COMPOUNDS .5. DEPENDENCE OF THE INITIATION EFFICIENCY ON THE SENSITIZER DISTRIBUTION IN EMULSION POLYMERIZATION</t>
  </si>
  <si>
    <t>Encinas, Maria/L-9686-2014; Olea, Andres/AAF-6955-2019</t>
  </si>
  <si>
    <t>10.1002/pol.1983.170210724</t>
  </si>
  <si>
    <t>WOS:A1983QW15800024</t>
  </si>
  <si>
    <t>Gracia, MD; Mar-Ortiz, J; Vargas, M</t>
  </si>
  <si>
    <t>Gracia, Maria D.; Mar-Ortiz, Julio; Vargas, Manuel</t>
  </si>
  <si>
    <t>Truck Appointment Scheduling: A Review of Models and Algorithms</t>
  </si>
  <si>
    <t>MATHEMATICS</t>
  </si>
  <si>
    <t>This paper provides a comprehensive review of truck appointment scheduling models and algorithms that support truck appointment systems (TASs) at container terminals. TASs have become essential tools for minimizing congestion, reducing wait times, and improving operational efficiency at the port and maritime industry. This review systematically categorizes and evaluates existing models and optimization algorithms, highlighting their strengths, limitations, and applicability in various operational contexts. We explore deterministic, stochastic, and hybrid models, as well as exact, heuristic, and metaheuristic algorithms. By synthesizing the latest advancements and identifying research gaps, this paper offers valuable insights for academics and practitioners aiming to enhance TAS efficiency and effectiveness. Future research directions and potential improvements in model formulation are also discussed.</t>
  </si>
  <si>
    <t>Mar-Ortiz, Julio/ACZ-6889-2022</t>
  </si>
  <si>
    <t>2227-7390</t>
  </si>
  <si>
    <t>10.3390/math13030503</t>
  </si>
  <si>
    <t>WOS:001418618600001</t>
  </si>
  <si>
    <t>Sepúlveda-Rojas, JP; Aravena, S; Carrasco, R</t>
  </si>
  <si>
    <t>Sepulveda-Rojas, J. P.; Aravena, Sergio; Carrasco, Raul</t>
  </si>
  <si>
    <t>Increasing Efficiency in Furniture Remanufacturing with AHP and the SECI Model</t>
  </si>
  <si>
    <t>This article proposes the application of the AHP method in an office furniture remanufacturing company, with the aim of optimizing knowledge retention and management. In particular, it seeks to establish the optimal retrieval route for returned products. To this end, a bibliographic analysis was first carried out, which revealed the scarcity of previous studies on the subject, thus validating the relevance of this work. Subsequently, a practical application of the AHP method was carried out to define the weighting matrix of the evaluation criteria, applied to three specific pieces of furniture, which confirmed the effectiveness of the tool. In a complementary manner, Nonaka and Takeuchi's SECI model of knowledge management was used, guaranteeing the continuous updating of the matrices and the adequate retention of knowledge in the company. This methodology will increase the volume of remanufactured products and improve operating margins. By reaping both the economic and environmental benefits of this practice, the company will be able to reduce costs, generate additional revenue, improve its corporate image, and build customer loyalty. At the same time, this study promotes the sustainability and sustainable development of this practice within the company and, by extension, in the broader office furniture manufacturing industry. It can serve as a reference for other companies in this sector across different countries.</t>
  </si>
  <si>
    <t>Carrasco, Raul/G-5440-2015; Sepulveda-Rojas, Juan Pedro/C-1799-2013</t>
  </si>
  <si>
    <t>Carrasco, Raul/0000-0002-5023-9349; Sepulveda-Rojas, Juan Pedro/0000-0002-6725-7295</t>
  </si>
  <si>
    <t>10.3390/su162310339</t>
  </si>
  <si>
    <t>WOS:001377897700001</t>
  </si>
  <si>
    <t>Acevedo, RD</t>
  </si>
  <si>
    <t>Acevedo, Raul Diaz</t>
  </si>
  <si>
    <t>Musical folklore and Chilean identity in La Araucanía Tradition, hegemony and modernity (1860-1960)</t>
  </si>
  <si>
    <t>CUHSO-CULTURA-HOMBRE-SOCIEDAD</t>
  </si>
  <si>
    <t>0716-1557</t>
  </si>
  <si>
    <t>0719-2789</t>
  </si>
  <si>
    <t>10.7770/CUHSO-V34N1-ART723</t>
  </si>
  <si>
    <t>WOS:001296676800036</t>
  </si>
  <si>
    <t>Núñez, L; Echeverría, J</t>
  </si>
  <si>
    <t>Nunez, Lautaro; Echeverria, Javier</t>
  </si>
  <si>
    <t>INFANT BURIAL RITUALS, USE OF SACRED PLANTS, AND FERMENTED BEVERAGES IN THE FORMATIVE TEMPLE OF TULÁN-54 (ATACAMA'S CIRCUMPUNA, NORTHERN CHILE)</t>
  </si>
  <si>
    <t>CHUNGARA-REVISTA DE ANTROPOLOGIA CHILENA</t>
  </si>
  <si>
    <t>This paper highlights the distribution, properties, and temporal sequence in the application of carob pods and cebil seeds across various Andean regions, particularly in the context of ritualistic practices. Our analysis from the Atacama Circumpuna (northern Chile) comes from the Tul &amp; aacute;n formative temple, which dates from 3050-2770 cal. BP. 27 infant burials have been excavated in pits along with special offerings. Bodies 1 and 2 are associated with an engraved lithic beaker containing adhered remains. Organic chemical analysis enabled us to identify compounds likely associated with carob fermentation (Neltuma spp. syn. Prosopis spp. [Fabaceae]) together with cebil (Anadenanthera colubrina var. cebil Griseb. Altschul [Fabaceae]). It is possible that this concoction was consumed during the burial, with a portion spilling onto the beaker. We interpret the role of the sacrificed individuals as intermediaries between the community and the Andean numens</t>
  </si>
  <si>
    <t>Echeverría, Javier/AAK-3323-2020</t>
  </si>
  <si>
    <t>0717-7356</t>
  </si>
  <si>
    <t>10.4067/s0717-73562024005000102</t>
  </si>
  <si>
    <t>WOS:001343341000004</t>
  </si>
  <si>
    <t>Garrido, RA; Manrique, R; Fredes, J; Rodriguez, P; Rodríguez, A; Serafini, D; Mena, M; Masip, Y; Díaz, I</t>
  </si>
  <si>
    <t>Garrido, Rene A.; Manrique, Raydel; Fredes, Javiera; Rodriguez, Pablo; Rodriguez, Angel; Serafini, Daniel; Mena, Marcelo; Masip, Yunesky; Diaz, Isaac</t>
  </si>
  <si>
    <t>Evaluating hydrogen production from grape pomace gasification: Unveiling the potential for Chile's wine industry and its solid waste recovery as energy source</t>
  </si>
  <si>
    <t>RENEWABLE ENERGY</t>
  </si>
  <si>
    <t>This study presents the characteristics of fluidized bed gasification of grape pomace, which is a residual biomass from the Chilean wine industry, by means of sensitivity analysis in the Aspen Plus process simulator. The model was used to evaluate the hydrogen generation potential and identify optimal conditions to improve hydrogen production. The effects of gasification temperature on syngas composition, syngas exergy and gasification efficiency were examined. Sensitivity analysis revealed that gasification temperatures above 800 C result in the highest hydrogen yield. In addition, a mapping analysis of vineyards in Chile indicates a regional hydrogen production potential of 17,109.26 tons per year by pomace gasification. The results are accompanied by an economic and environmental assessment based on the model results, ensuring a holistic evaluation of the proposed approach.</t>
  </si>
  <si>
    <t>Macía, Yunesky/D-5888-2016; Mena-Carrasco, Marcelo/L-9730-2016; Rodríguez Soto, Angel/JZD-8317-2024; DIAZ-ABURTO, ISAAC/AAN-4170-2021; Rodríguez, Pablo/J-3063-2018; Garrido, Rene/I-6852-2018</t>
  </si>
  <si>
    <t>Mena, Marcelo/0000-0002-8847-7588; DIAZ-ABURTO, ISAAC/0000-0002-4850-1125; Rodriguez, Pablo/0009-0007-8365-8201; Garrido, Rene/0000-0003-1259-0995; Manrique Suarez, Raydel/0000-0003-1128-0581; Masip Macia, Yunesky/0000-0003-4455-1819</t>
  </si>
  <si>
    <t>0960-1481</t>
  </si>
  <si>
    <t>1879-0682</t>
  </si>
  <si>
    <t>10.1016/j.renene.2024.119953</t>
  </si>
  <si>
    <t>JAN 2024</t>
  </si>
  <si>
    <t>WOS:001168643100001</t>
  </si>
  <si>
    <t>Gutiérrez-Romo, R; Pardo, A</t>
  </si>
  <si>
    <t>Gutierrez-Romo, Rodolfo; Pardo, Angel</t>
  </si>
  <si>
    <t>PERMUTATION OF PERIODIC POINTS OF VEECH SURFACES IN H (2)</t>
  </si>
  <si>
    <t>JOURNAL OF MODERN DYNAMICS</t>
  </si>
  <si>
    <t>We study how Weierstrass points of Veech surfaces in H (2), the stratum of Abelian differentials on Riemann surfaces in genus two with a single zero of order two, are permuted. These surfaces were classified by McMullen relying on two invariants: discriminant and spin. More precisely, given a Veech surface in H (2) of discriminant D, we show that the permutation group induced by the affine group on the set of Weierstrass points is isomorphic to Dih4, if D equivalent to 4 0; to Dih5, if D equivalent to 8 5; and to Dih6, if D equivalent to 8 1. Moreover, these same groups arise when considering only Dehn multitwists of the affine group.</t>
  </si>
  <si>
    <t>Gutiérrez-Romo, Rodolfo/AEO-4835-2022; Pardo, Angel/IQW-7152-2023</t>
  </si>
  <si>
    <t>Pardo, Angel/0000-0001-5121-3071</t>
  </si>
  <si>
    <t>1930-5311</t>
  </si>
  <si>
    <t>1930-532X</t>
  </si>
  <si>
    <t>10.3934/jmd.2024010</t>
  </si>
  <si>
    <t>WOS:001266159200001</t>
  </si>
  <si>
    <t>Iturriaga, A; Long, CAS; Jara, A</t>
  </si>
  <si>
    <t>Iturriaga, Andres; Long, Carlos A. Sing; Jara, Alejandro</t>
  </si>
  <si>
    <t>On dependent Dirichlet processes for general Polish spaces</t>
  </si>
  <si>
    <t>ELECTRONIC JOURNAL OF STATISTICS</t>
  </si>
  <si>
    <t>We study Dirichlet process-based models for sets of predictor- dependent probability distributions, where the domain and predictor space are general Polish spaces. We generalize the definition of dependent Dirichlet processes, originally constructed on Euclidean spaces, to more general Polish spaces. We provide sufficient conditions under which dependent Dirichlet processes and dependent Dirichlet process mixture models have appealing properties regarding continuity (weak and strong), association structure, and support (under different topologies). The results can be easily extended to more general dependent stick -breaking processes.</t>
  </si>
  <si>
    <t>Collao, Carlos/C-5086-2019</t>
  </si>
  <si>
    <t>1935-7524</t>
  </si>
  <si>
    <t>10.1214/24-EJS2245</t>
  </si>
  <si>
    <t>WOS:001247620800002</t>
  </si>
  <si>
    <t>Ibarra-Pérez, D; Faba, S; Hernández-Muñoz, V; Smith, C; Galotto, MJ; Garmulewicz, A</t>
  </si>
  <si>
    <t>Ibarra-Perez, Davor; Faba, Simon; Hernandez-Munoz, Valentina; Smith, Charlene; Galotto, Maria Jose; Garmulewicz, Alysia</t>
  </si>
  <si>
    <t>Predicting the Composition and Mechanical Properties of Seaweed Bioplastics from the Scientific Literature: A Machine Learning Approach for Modeling Sparse Data</t>
  </si>
  <si>
    <t>The design of biodegradable polymeric materials is of increasing scientific interest due to accelerating levels of plastics pollution. One area of increasing interest is the design of biodegradable polymer films based on seaweed as a raw material. The goal of the study is to explore whether machine learning techniques can be used to predict the properties of unknown compositions based on existing data from the literature. Clustering algorithms are used, which show how some ingredients components at certain concentration levels alter the mechanical properties of the films. Robust regression algorithms with three popular models, namely decision tree, random forest, and gradient boosting. Their predictive capabilities are compared, resulting in the random forest algorithm being the most stable with the greatest predictive capacity. These analyses offer a decision support system for biomaterials manufacturing and experimentation. The results and conclusions of the study indicate that bioplastics made from seaweed have promising potential as a sustainable alternative to traditional plastics, discovering interesting additives to improve the performance of biopolymers. In addition, the machine learning approaches used provide effective tools for analyzing and predicting the properties of these materials in structured but highly sparse data.</t>
  </si>
  <si>
    <t>Garmulewicz, Alysia/HTS-8792-2023; Faba, Simón/MTD-2779-2025; Hernández-Muñoz, Valentina/HNI-2646-2023</t>
  </si>
  <si>
    <t>Faba, Simon/0000-0002-4299-0052; Garmulewicz, Alysia/0000-0001-8468-5809; Hernandez-Munoz, Valentina/0000-0003-0100-8322; Ibarra Perez, Davor/0000-0002-1972-6085</t>
  </si>
  <si>
    <t>10.3390/app132111841</t>
  </si>
  <si>
    <t>WOS:001099497900001</t>
  </si>
  <si>
    <t>Lauzurique, Y; Meza, A; Huiliñir, C; Salazar-González, R; Vargas-Morales, G</t>
  </si>
  <si>
    <t>Lauzurique, Yeney; Meza, Ariel; Huilinir, Cesar; Salazar-Gonzalez, Ricardo; Vargas-Morales, Gustavo</t>
  </si>
  <si>
    <t>Evaluation of the anaerobic digestion of winery wastewater: Effect of fly ash in anaerobic sequencing batch reactor</t>
  </si>
  <si>
    <t>JOURNAL OF ENVIRONMENTAL CHEMICAL ENGINEERING</t>
  </si>
  <si>
    <t>The addition of fly ash (FA) to an anaerobic reactor has been studied mainly in batch tests. Nevertheless, the FA effect on the continuous operation of an anaerobic bioreactor has not been addressed. Therefore, the present work shows the effect of FA on the continuous operation of anaerobic sequencing reactors (ASBRs) treating winery wastewater. Two ASBRs were used and operated continuously for 302 days under mesophilic conditions with a hydraulic retention time (HRT) of 3 days. The effect of the organic loading rate (ORL) on the operation was investigated for 204 days. After that, to evaluate the effect of FA as an anaerobic digestion (AD) enhancer, one of the reactors was dosed with 25 mg L-1 of FA for 98 days. The FA dosages allowed an increase in methane production and organic matter removal by 75% and 42%, respectively, concerning the system without FA. Furthermore, the importance of FA in the process was demonstrated by obtaining a yield of 334 NmL CH4 COD removed-1. This result represented a 12% increase compared to the yield previously obtained in the same reactor before adding the FA. Additionally, acetic acid and propionic acid were the predominant volatile fatty acids (VFAs) in the process. Finally, the metals present in the digested sludge after FA addition did not exceed the limits allowed by Chilean legislation.</t>
  </si>
  <si>
    <t>Huilinir, Cesar/IYS-6899-2023; Salazar, Ricardo/L-7870-2013</t>
  </si>
  <si>
    <t>Huilinir, Cesar/0000-0002-3487-684X; Salazar-Gonzalez, Ricardo/0000-0003-2180-6022; Lauzurique Guerra, Yeney/0000-0003-1354-8721</t>
  </si>
  <si>
    <t>2213-2929</t>
  </si>
  <si>
    <t>2213-3437</t>
  </si>
  <si>
    <t>10.1016/j.jece.2023.110997</t>
  </si>
  <si>
    <t>SEP 2023</t>
  </si>
  <si>
    <t>WOS:001083209600001</t>
  </si>
  <si>
    <t>Torre-Celeizabal, A; Casado-Coterillo, C; Abejón, R; Garea, A</t>
  </si>
  <si>
    <t>Torre-Celeizabal, Andrea; Casado-Coterillo, Clara; Abejon, Ricardo; Garea, Aurora</t>
  </si>
  <si>
    <t>Simultaneous production of high-quality CO2 and CH4 via multistage process using chitosan-based membranes</t>
  </si>
  <si>
    <t>SEPARATION AND PURIFICATION TECHNOLOGY</t>
  </si>
  <si>
    <t>The use of biopolymers as membrane materials is a recent approach for reducing the environmental impact of CO2 separation processes. By considering previous process engineering tasks, it was concluded that no membrane currently provides sufficient purity and recovery to meet the requirements for the simultaneous direct separation of CO2 and CH4 in a single stage. The aim of this study is to simulate and optimise the separation of CO2 and CH4 from different sources using a simple multistage process, considering up to three stages. A chitosan biopolymer-based composite membrane with organic (ionic liquid) and different inorganic fillers in the selective layer was used to tune the selectivity and robustness of commercially available membranes. The process configuration utilized membrane units operating in series to enrich CO2 in the product stream from the permeate line, whereas the retentate line produced a CH4-enriched stream by mixing the retentate units of each stage. The target ob-jectives were up to 95% purity and recovery of CO2 in the permeate outlet, corresponding to a recovery of CH4 higher than 97% in the retentate outlet stream of the multistage process. The decision variables included the permeance of each component, and thus the pair selectivity (CO2/CH4) and process-related parameters, such as the stage cut of each stage. Economic evaluation of the proposed three-stage separation process was performed for different process scales, from small installations to large plants. The total costs, the contribution of each term to the total costs, and the unitary costs were estimated for each operational scale, with reference to the feed flow rate based on the plant capacity. The lowest total cost was 0.3 euro (Nm3)-1 for a large plant with a flow rate of 1000 Nm3 h-1.</t>
  </si>
  <si>
    <t>Abejon, Ricardo/I-7171-2019; Garea, Aurora/V-1560-2019; Casado-Coterillo, Clara/F-2983-2010</t>
  </si>
  <si>
    <t>ABEJON, Ricardo/0000-0002-8030-7752; Casado-Coterillo, Clara/0000-0002-4454-7652</t>
  </si>
  <si>
    <t>1383-5866</t>
  </si>
  <si>
    <t>1873-3794</t>
  </si>
  <si>
    <t>10.1016/j.seppur.2023.124050</t>
  </si>
  <si>
    <t>MAY 2023</t>
  </si>
  <si>
    <t>WOS:001010699100001</t>
  </si>
  <si>
    <t>Ormeño, MA; Maldonado, JE; González, M; Silva, H; Covarrubias, JI</t>
  </si>
  <si>
    <t>Ormeno, Maria Angelica; Maldonado, Jonathan Elias; Gonzalez, Mauricio; Silva, Herman; Covarrubias, Jose Ignacio</t>
  </si>
  <si>
    <t>Evaluation of a Red Grape Marc Extract as a Natural Nitrification Inhibitor and its Effect on Soil Bacterial Community</t>
  </si>
  <si>
    <t>In intensive agriculture, nitrogen fertilization efficiency is usually low. One of the main causes of this is the leaching of nitrates, since nitrate has a weak affinity with the mineral complexes present in the soil. One alternative to reduce nitrogen leaching is to fertilize with ammonium with nitrification inhibitors because it provides more stability of N in soils. The aim of this investigation was to assess the effectiveness of a grape marc extract as a natural nitrification inhibitor and to determine its effect on the soil bacterial population. A pot experiment was established to evaluate the ammonium and nitrate concentrations in the soil after applying the treatments: (1) soil without nitrogen application; (2) soil treated with ammonium sulfate (AS); (3) soil treated with AS + dimethylpyrazole phosphate; (4) soil treated with AS + natural nitrification inhibitor (NNI) at 1.25%; 5) soil treated with AS + NNI at 2.5%. Bacterial diversity was studied using 16S rRNA sequencing on the Illumina MiSeq platform. AS+NNI-1 was able to reduce the ammonium loss rate in soil on day 31 and reduce the OTUs number of Nitrosospira and Nitrospira bacteria until days 10 and 4, respectively. Similarly, the application of DMPP maintained the highest ammonium concentration during the experiment, reducing the OTUs number of Nitrosospira and Nitrobacter. Meanwhile, AS+NNI-2 did not modify the soil ammonium concentration; however, it was able to reduce the OTUs number of Nitrospira until day 10. The use of grape marc extract showed a slight effect in reducing the ammonium loss rate in the soil, reducing the OTUs number of some nitrifying bacteria genera.</t>
  </si>
  <si>
    <t>Gonzalez, Mauricio/I-2772-2013; Maldonado Soto, Jonathan Elias/J-6429-2012; Silva, Herman/C-7252-2012; Covarrubias, Jose Ignacio/H-5990-2013</t>
  </si>
  <si>
    <t>Maldonado Soto, Jonathan Elias/0000-0002-9967-0885; Ormeno Diaz, Maria Angelica/0000-0002-6862-929X; Silva, Herman/0000-0003-1007-7442; Covarrubias, Jose Ignacio/0000-0002-8414-8963; Gonzalez Canales, Mauricio Alejandro/0000-0002-1592-9758</t>
  </si>
  <si>
    <t>10.1007/s42729-023-01228-0</t>
  </si>
  <si>
    <t>WOS:000962952600001</t>
  </si>
  <si>
    <t>Espinosa-Méndez, C; Maquieira, CP</t>
  </si>
  <si>
    <t>Espinosa-Mendez, Christian; Maquieira, Carlos P.</t>
  </si>
  <si>
    <t>HERDING BEHAVIOR OF BUSINESS GROUPS DURING COVID-19: EVIDENCE IN CHILE</t>
  </si>
  <si>
    <t>INVESTIGACION ECONOMICA</t>
  </si>
  <si>
    <t>This article investigates whether herding behavior is present in stock returns of business groups during the COVID-19 pandemic. Using series of prices and daily traded volume of the companies that make up the General Index of Stock Prices of the Santiago de Chile Stock Exchange (S&amp;P/CLIGPA) from January 1, 2010 to October 9, 2020 the results show herding behavior during COVID-19. Nev-ertheless, the herding behavior is weaker in business group firms compared to companies which are not affiliated to business groups. Then, when analyzing how herding behavior evolves in business groups during the presence of COVID-19, it is found that herding behavior changes to reverse herding behavior during May 2020 onwards. When inquiring about this point, it is found that herding behavior in business groups is lower under increasing uncertainty (number of cases and deaths due to COVID-19 increases).</t>
  </si>
  <si>
    <t>Maquieira, Carlos/ISB-9473-2023; Espinosa-Méndez, Christian/G-5177-2019</t>
  </si>
  <si>
    <t>Espinosa-Mendez, Christian/0000-0001-6499-2414</t>
  </si>
  <si>
    <t>0185-1667</t>
  </si>
  <si>
    <t>APR-JUN</t>
  </si>
  <si>
    <t>10.22201/fe.01851667p.2023.324.83713</t>
  </si>
  <si>
    <t>WOS:001000797800005</t>
  </si>
  <si>
    <t>Candia, LC; Morales, ME</t>
  </si>
  <si>
    <t>Contreras Candia, Leticia; Enrique Morales, Miguel</t>
  </si>
  <si>
    <t>UNGRATEFUL WRITINGS: REMOVALS OF THE CARTOGRAPHY OF THE TRANSITION IN DANIELA CATRILEO, ROMINA REYES AND ARELIS URIBE</t>
  </si>
  <si>
    <t>REVISTA IBEROAMERICANA</t>
  </si>
  <si>
    <t>0034-9631</t>
  </si>
  <si>
    <t>2154-4794</t>
  </si>
  <si>
    <t>JAN-JUN</t>
  </si>
  <si>
    <t>WOS:000957973000001</t>
  </si>
  <si>
    <t>Fakhri, S; Gravandi, MM; Abdian, S; Moradi, SZ; Echeverria, J</t>
  </si>
  <si>
    <t>Fakhri, Sajad; Gravandi, Mohammad Mehdi; Abdian, Sadaf; Moradi, Seyed Zachariah; Echeverria, Javier</t>
  </si>
  <si>
    <t>Quercetin Derivatives in Combating Spinal Cord Injury: A Mechanistic and Systematic Review</t>
  </si>
  <si>
    <t>LIFE-BASEL</t>
  </si>
  <si>
    <t>Spinal cord injury (SCI) possesses a complicated etiology. There is no FDA-approved treatment for SCI, and the majority of current interventions focus on reducing symptoms. During SCI, inflammation, oxidative stress, apoptosis, and autophagy are behind the secondary phase of SCI and cause serious consequences. It urges the need for providing multi-targeting agents, that possess lower side effects and higher efficacy. The plant secondary metabolites are multi-targeting agents and seem to provide new roads in combating diseases. Flavonoids are phytochemicals of continual interest to scientists in combating neurodegenerative diseases (NDDs). Flavonoids are being studied for their biological and pharmacological effects, particularly as antioxidants, anti-inflammatory agents, anti-apoptotic, and autophagy regulators. Quercetin is one of the most well-known flavonols known for its preventative and therapeutic properties. It is a naturally occurring bioactive flavonoid that has recently received a lot of attention for its beneficial effects on NDDs. Several preclinical evidence demonstrated its neuroprotective effects. In this systematic review, we aimed at providing the biological activities of quercetin and related derivatives against SCI. Detailed neuroprotective mechanisms of quercetin derivatives are also highlighted in combating SCI.</t>
  </si>
  <si>
    <t>Echeverría, Javier/E-9989-2011; Moradi, Seyed Zachariah/ABA-9171-2020</t>
  </si>
  <si>
    <t>Moradi, Seyed Zachariah/0000-0003-0579-3495; Echeverria, Javier/0000-0002-1688-968X; Fakhri, Sajad/0000-0001-8265-8284; Abdian, Sadaf/0000-0001-5680-0806</t>
  </si>
  <si>
    <t>2075-1729</t>
  </si>
  <si>
    <t>10.3390/life12121960</t>
  </si>
  <si>
    <t>WOS:000901277200001</t>
  </si>
  <si>
    <t>Luraschi, R; Santibáñez, A; Barrera-Avalos, C; Vallejos-Vidal, E; Mateluna-Flores, C; Alarcón, J; Cayunao, J; Mella-Torres, A; Hernández, F; Inostroza-Molina, A; Valdés, D; Imarai, M; Acuña-Castillo, C; Reyes-López, FE; Sandino, AM</t>
  </si>
  <si>
    <t>Luraschi, Roberto; Santibanez, Alvaro; Barrera-Avalos, Carlos; Vallejos-Vidal, Eva; Mateluna-Flores, Carlos; Alarcon, Javiera; Cayunao, Javiera; Mella-Torres, Andrea; Hernandez, Felipe; Inostroza-Molina, Ailen; Valdes, Daniel; Imarai, Monica; Acuna-Castillo, Claudio; Reyes-Lopez, Felipe E.; Maria Sandino, Ana</t>
  </si>
  <si>
    <t>Evaluation and comparison of the sensitivity of three commercial RT-qPCR kits used for the detection of SARS-CoV-2 in Santiago, Chile</t>
  </si>
  <si>
    <t>FRONTIERS IN PUBLIC HEALTH</t>
  </si>
  <si>
    <t>Introduction: The COVID-19 pandemic is stilt in force, causing global public health challenges and threats. Although vaccination and herd immunity have proven to be the most efficient way to control the pandemic, massive and early testing of patients using the RT-qPCR technique is crucial for constant genomic surveillance. The appearance of variants of SARS-CoV-2 with new mutations can reduce the efficiency of diagnostic detection. In this sense, several commercial RT-qPCR kits have been the target of extensive analysis because low assay performance could lead to false-negative diagnoses. Methods: In this study, we evaluated the performance of three commercial RT-qPCR kits; Thermo Fisher (TaqMan 2019-nCoV Assay Kitv1), BGI and Roche (LightCycler (R) Multiplex RNA Virus Master) used for the diagnosis of COVID-19 throughout the pandemic in Santiago de Chile. Results: Under our best assay conditions, we found significant differences in Cq amplification values for control and viral probes, against the same nasopharyngeal swab samples (NPSs). In addition, in some cases, the sensitivity of the RT-qPCR kits decreased against viral variants. Conclusion: Our study suggests evaluating the RT-qPCR kits used to detect SARS-CoV-2 because variants such as Omicron, which has several mutations, can compromise their detection and underestimate viral circulation.</t>
  </si>
  <si>
    <t>Reyes-López, Felipe/S-1760-2018; Luraschi, Roberto/AAI-7965-2021; Acuña-Castillo, Claudio/AAI-7090-2021; Vallejos-Vidal, Eva/R-9606-2019</t>
  </si>
  <si>
    <t>Luraschi, Roberto/0000-0001-5611-4320; Vallejos-Vidal, Eva/0000-0002-3091-2700; Reyes-Lopez, Felipe E./0000-0002-5001-457X</t>
  </si>
  <si>
    <t>2296-2565</t>
  </si>
  <si>
    <t>NOV 28</t>
  </si>
  <si>
    <t>10.3389/fpubh.2022.1010336</t>
  </si>
  <si>
    <t>WOS:000897642400001</t>
  </si>
  <si>
    <t>Montenegro-Pohlhammer, N; Sánchez-de-Armas, R; Calzado, CJ; Borges-Martínez, M; Cárdenas-Jirón, G</t>
  </si>
  <si>
    <t>Montenegro-Pohlhammer, Nicolas; Sanchez-de-Armas, Rocio; Calzado, Carmen J.; Borges-Martinez, Merlys; Cardenas-Jiron, Gloria</t>
  </si>
  <si>
    <t>A photo-induced spin crossover based molecular switch and spin filter operating at room temperature</t>
  </si>
  <si>
    <t>Since Venkataramani et al. (Science, 2011, 331(6016), 445-448) reported reversible, room-temperature light-induced spin crossover in Ni-porphyrin functionalized with a phenylazopyridine ligand (NiTPP-PAPy), this complex has attracted the attention of many researchers due to its potential applications in molecular-based devices. In this work, we perform a detailed study, by means of DFT and WFT methodologies, focused on the deposition of NiTP-PAPy over an Au(111) surface, followed by DFT-NEGF calculations employing a gold surface and the tip of an STM as electrodes, in order to probe the deposited complex's transport properties. Our DFT calculations show that not only the metalled porphyrin is strongly adsorbed on the surface, in both the high (HS) and low spin (LS) configurations, but also, and more importantly, photoinduced switching is preserved upon adsorption, a fact that is also confirmed through WFT and TD-DFT calculations. Moreover, our DFT-NEGF calculations indicate that the current passing through the molecular junction-like systems is much higher in the HS configuration than in the LS one, along with the fact that the current calculated in the ferromagnetic junction is highly spin-polarized. These remarkable transport properties suggest that the complex could be used as a component in molecular switches based on the total current passing through the system, modulated by light irradiation, spin filters due to the spin polarization of the carriers in the HS configuration, or even in two-step rectifiers combining the two features mentioned above, all of these operating at room temperature, giving to this complex the potential to be an active element in all kinds of future spintronic devices.</t>
  </si>
  <si>
    <t>Montenegro-Pohlhammer, Nicolas/HJZ-2914-2023; Sanchez-de-Armas, Rocio/A-6683-2013; Jimenez Calzado, Maria del Carmen/D-1159-2011; Cardenas-Jiron, Gloria/H-9508-2012</t>
  </si>
  <si>
    <t>Sanchez-de-Armas, Rocio/0000-0002-2384-4893; Jimenez Calzado, Maria del Carmen/0000-0003-3841-7330; Borges, Merlys/0000-0001-8130-1718; Cardenas-Jiron, Gloria/0000-0003-4305-8088; Montenegro-Pohlhammer, Nicolas/0000-0003-3574-2955</t>
  </si>
  <si>
    <t>MAY 21</t>
  </si>
  <si>
    <t>10.1039/d1dt00078k</t>
  </si>
  <si>
    <t>APR 2021</t>
  </si>
  <si>
    <t>WOS:000643687400001</t>
  </si>
  <si>
    <t>Fakhri, S; Yarmohammadi, A; Yarmohammadi, M; Farzaei, MH; Echeverria, J</t>
  </si>
  <si>
    <t>Fakhri, Sajad; Yarmohammadi, Akram; Yarmohammadi, Mostafa; Farzaei, Mohammad Hosein; Echeverria, Javier</t>
  </si>
  <si>
    <t>Marine Natural Products: Promising Candidates in the Modulation of Gut-Brain Axis towards Neuroprotection</t>
  </si>
  <si>
    <t>MARINE DRUGS</t>
  </si>
  <si>
    <t>In recent decades, several neuroprotective agents have been provided in combating neuronal dysfunctions; however, no effective treatment has been found towards the complete eradication of neurodegenerative diseases. From the pathophysiological point of view, growing studies are indicating a bidirectional relationship between gut and brain termed gut-brain axis in the context of health/disease. Revealing the gut-brain axis has survived new hopes in the prevention, management, and treatment of neurodegenerative diseases. Accordingly, introducing novel alternative therapies in regulating the gut-brain axis seems to be an emerging concept to pave the road in fighting neurodegenerative diseases. Growing studies have developed marine-derived natural products as hopeful candidates in a simultaneous targeting of gut-brain dysregulated mediators towards neuroprotection. Of marine natural products, carotenoids (e.g., fucoxanthin, and astaxanthin), phytosterols (e.g., fucosterol), polysaccharides (e.g., fucoidan, chitosan, alginate, and laminarin), macrolactins (e.g., macrolactin A), diterpenes (e.g., lobocrasol, excavatolide B, and crassumol E) and sesquiterpenes (e.g., zonarol) have shown to be promising candidates in modulating gut-brain axis. The aforementioned marine natural products are potential regulators of inflammatory, apoptotic, and oxidative stress mediators towards a bidirectional regulation of the gut-brain axis. The present study aims at describing the gut-brain axis, the importance of gut microbiota in neurological diseases, as well as the modulatory role of marine natural products towards neuroprotection.</t>
  </si>
  <si>
    <t>Echeverría, Javier/AAK-3323-2020; Farzaei, Mohammad/M-5779-2017</t>
  </si>
  <si>
    <t>Echeverria, Javier/0000-0002-1688-968X</t>
  </si>
  <si>
    <t>1660-3397</t>
  </si>
  <si>
    <t>10.3390/md19030165</t>
  </si>
  <si>
    <t>WOS:000633825500001</t>
  </si>
  <si>
    <t>Valdebenitol, HV; Bravo, EV</t>
  </si>
  <si>
    <t>Venegas Valdebenitol, Hernan; Videla Bravo, Enzo</t>
  </si>
  <si>
    <t>No bosses: A worker experience of labor organization, Bateas Mine, Atacama, Chile. 1969-1973</t>
  </si>
  <si>
    <t>This article reconstructs the activity of a mining cooperative in its concrete experience in the critical juncture of 1969-1973 in Chile. Cooperative work was promoted by the State as a proposal for social transformation, but at the same time as a palliative to the high unemployment rates in the province of Atacama. He encouraged the organization of mining cooperatives, put in tension the margins of freedom displayed by the traditional pirquineros, on the one hand, and the demand for a systematic, continuous and organized effort, on the other. Difficult problem to assess among workers who exhibited a propensity to an itinerant life and occasional subordination.</t>
  </si>
  <si>
    <t>e4434</t>
  </si>
  <si>
    <t>10.22199/issn.0718-1043-2021-0031</t>
  </si>
  <si>
    <t>WOS:000743243100001</t>
  </si>
  <si>
    <t>Lizama, C; Murillo-Arcila, M; Peris, A</t>
  </si>
  <si>
    <t>Lizama, Carlos; Murillo-Arcila, Marina; Peris, Alfred</t>
  </si>
  <si>
    <t>Nonlocal operators are chaotic</t>
  </si>
  <si>
    <t>CHAOS</t>
  </si>
  <si>
    <t>We characterize for the first time the chaotic behavior of nonlocal operators that come from a broad class of time-stepping schemes of approximation for fractional differential operators. For that purpose, we use criteria for chaos of Toeplitz operators in Lebesgue spaces of sequences. Surprisingly, this characterization is proved to be-in some cases-dependent of the fractional order of the operator and the step size of the scheme.</t>
  </si>
  <si>
    <t>Murillo, Marina/ABI-7284-2020; Lizama, Carlos/E-5909-2011; Peris, Alfredo/A-7249-2008</t>
  </si>
  <si>
    <t>murillo arcila, marina/0000-0001-6589-0452; Lizama, Carlos/0000-0002-9807-1100; Peris, Alfredo/0000-0003-1683-2373</t>
  </si>
  <si>
    <t>1054-1500</t>
  </si>
  <si>
    <t>1089-7682</t>
  </si>
  <si>
    <t>10.1063/5.0018408</t>
  </si>
  <si>
    <t>WOS:000588485800003</t>
  </si>
  <si>
    <t>Barozet, E; Espinoza, V; Ulloa, V</t>
  </si>
  <si>
    <t>Barozet, Emmanuelle; Espinoza, Vicente; Ulloa, Valentina</t>
  </si>
  <si>
    <t>Parliamentary elite and informal institutions in Chile. Nepotism and clientelism at the basis of political power</t>
  </si>
  <si>
    <t>REVISTA ESPANOLA DE SOCIOLOGIA</t>
  </si>
  <si>
    <t>In 2015, scandals linked to party financing in Chile led to an extensive legislation reform aimed at improving political competition. We show that, despite these institutional transformations, parliamentary elite maintains informal practices that sustain its reproduction in power, adapting to new institutional conditions. We use biographical data of congressmen (1990 to 2018), as well as original information from interviews to political authorities and experts between 2016 and 2018 in several regions of the country. A growing but moderate diversification of the parliamentary elite has not pushed back informal practices aimed at the co-optation of public resources: they fulfill a coordination role in an environment of low institutional trust, but they also respond to opportunities for control at a time of strong electoral uncertainty. In the end these practices result in greater control of the parliamentary elite over regional and local levels, despite the initial intentions of the reforms.</t>
  </si>
  <si>
    <t>Barozet, Emmanuelle/LWH-8106-2024; Espinoza, Vicente/EAY-3744-2022</t>
  </si>
  <si>
    <t>Espinoza, Vicente/0000-0002-2943-4430</t>
  </si>
  <si>
    <t>1578-2824</t>
  </si>
  <si>
    <t>10.22325/fes/res.2020.37</t>
  </si>
  <si>
    <t>WOS:000610101500009</t>
  </si>
  <si>
    <t>Aravena, D; Ruiz, E</t>
  </si>
  <si>
    <t>Aravena, Daniel; Ruiz, Eliseo</t>
  </si>
  <si>
    <t>Spin dynamics in single-molecule magnets and molecular qubits</t>
  </si>
  <si>
    <t>Over recent decades, much effort has been made to lengthen spin relaxation/decoherence times of single-molecule magnets and molecular qubits by following different chemical design rules such as maximizing the total spin value, controlling symmetry, enhancing the ligand field or inhibiting key vibrational modes. Simultaneously, electronic structure calculations have been employed to provide an understanding of the processes involved in the spin dynamics of molecular systems and served to refine or introduce new design rules. This review focuses on contemporary theoretical approaches focused on the calculation of spin relaxation/decoherence times, highlighting their main features and scope. Fundamental aspects of experimental techniques for the determination of key Single Molecule Magnet/Spin Qubit properties are also reviewed.</t>
  </si>
  <si>
    <t>Aravena, Daniel/F-2174-2011; Ruiz, Eliseo/A-6268-2011</t>
  </si>
  <si>
    <t>Aravena, Daniel/0000-0003-3140-4852; Ruiz, Eliseo/0000-0001-9097-8499</t>
  </si>
  <si>
    <t>AUG 7</t>
  </si>
  <si>
    <t>10.1039/d0dt01414a</t>
  </si>
  <si>
    <t>WOS:000552899900001</t>
  </si>
  <si>
    <t>Oddershede, A; Macuada, C; Quezada, L; Montt, C</t>
  </si>
  <si>
    <t>Oddershede, A.; Macuada, C.; Quezada, L.; Montt, C.</t>
  </si>
  <si>
    <t>Automation Factors Influencing the Operation of IoT in Health Institutions: A Decision Support Methodology</t>
  </si>
  <si>
    <t>Health institutions are adopting new technologies for their processes through automation by means of the concept of Internet of Things (IoT). Hence, offering innovative tools, applications and technology for the collection of key data and information, which is then integrated and consolidated, covering the different systems and their collaborators. The necessity of receiving quality medical services is essential in the public Policy of any country. The increasing demand for having an adequate number of medical specialists, pharmacies and medications stock, dental and mental health coverage and other, together with the minimization of the waiting list and patient care time have been a crucial concern. Under this context, it is valuable to redesign the processes planning and its coordination through the use of Information &amp; Communications Technology (ICT) and IoT that unifies the systems. Based on previous research, the general purpose is to generate a system model to examine healthcare quality of service and corroborate its effectiveness in a real environment. The aim of this paper focus on the development of a decision support model to define key areas where the inclusion of IoT would sustain the efficiency in health care service. The research methodology is based on case study, integrating planning processes, data analysis, scoring method that interacts with multicriteria approach. A pilot case study is pursued in health institutions in Chile, determining critical factors and the current automation level system appraisal to generate actions of improvement in processes that show poor service quality. The results give rise to the development of an investment plan that can be converted into action plans for a health institution.</t>
  </si>
  <si>
    <t>Quezada, Luis/W-8168-2019</t>
  </si>
  <si>
    <t>10.15837/ijccc.2020.4.3878</t>
  </si>
  <si>
    <t>WOS:000540296700004</t>
  </si>
  <si>
    <t>Guerrero, C; Súarez, S; Aburto, C; Ubilla, C; Ramírez, N; Vera, C; Illanes, A</t>
  </si>
  <si>
    <t>Guerrero, Cecilia; Suarez, Sebastian; Aburto, Carla; Ubilla, Claudia; Ramirez, Nicolas; Vera, Carlos; Illanes, Andres</t>
  </si>
  <si>
    <t>Comparison of batch and repeated batch operation of lactulose synthesis with cross-linked aggregates of Bacillus circulans β-galactosidase</t>
  </si>
  <si>
    <t>PROCESS BIOCHEMISTRY</t>
  </si>
  <si>
    <t>Synthesis of lactulose with crosslinked aggregates of Bacillus circulans beta-galactosidase (CLAGs) has been compared in batch and repeated-batch operation for the first time. The effect of the type of the precipitating agent and its concentration, the crosslinker concentration and the time of crosslinking were evaluated for their effect on the parameters: immobilization yield, specific activity and thermal stability of the biocatalysts. The type and concentration of the precipitating agent were the variables that produced a significant variation in the immobilization parameters of the biocatalyst. CLAGs were obtained with a specific activity of 7790 IUH.g-1 at an immobilization yield of 46.2 % using 50 % v/v of propanol as precipitating agent, 5.5 g(glutarldehyde )g(protein)(-1) for crosslinking and 1 h of crosslinking time. This biocatalyst was more stable than the free enzyme with a stabilization factor of 11.3 hat 50 degrees C. Highest yield of lactulose synthesis with CLAGs was 0.42 g g(-1) for a fructose/lactose molar ratio of 8. Repeated-batch operation allowed a significant increase in lactulose production per unit mass of biocatalyst and in cumulative productivity with respect to batch operation, yielding an efficiency of biocatalyst use of 2.43 kg(lactulose) g(biocatalyst protein)(-1).</t>
  </si>
  <si>
    <t>vera, Carlos/G-5240-2019; Suárez, Sebastián/GWC-8885-2022; aburto, carla/AAY-8727-2020</t>
  </si>
  <si>
    <t>Guerrero, Cecilia/0000-0002-4701-3525; ABURTO GAJARDO, CARLA/0000-0002-8886-8642; Vera Vera, Carlos Felipe/0000-0003-2179-9467</t>
  </si>
  <si>
    <t>1359-5113</t>
  </si>
  <si>
    <t>1873-3298</t>
  </si>
  <si>
    <t>10.1016/j.procbio.2020.04.025</t>
  </si>
  <si>
    <t>WOS:000537690100024</t>
  </si>
  <si>
    <t>Kshatri, A; Cerrada, A; Gimeno, R; Bartolomé-Martín, D; Rojas, P; Giraldez, T</t>
  </si>
  <si>
    <t>Kshatri, Aravind; Cerrada, Alejandro; Gimeno, Roger; Bartolome-Martin, David; Rojas, Patricio; Giraldez, Teresa</t>
  </si>
  <si>
    <t>Differential regulation of BK channels by fragile X mental retardation protein</t>
  </si>
  <si>
    <t>JOURNAL OF GENERAL PHYSIOLOGY</t>
  </si>
  <si>
    <t>Fragile X mental retardation protein (FMRP) is an RNA-binding protein prominently expressed in neurons. Missense mutations or complete loss of FMRP can potentially lead to fragile X syndrome, a common form of inherited intellectual disability. In addition to RNA regulation, FMRP was also proposed to modulate neuronal function by direct interaction with the large conductance Ca2+- and voltage-activated potassium channel (BK)beta(4) regulatory subunits (BK beta(4)). However, the molecular mechanisms underlying FMRP regulation of BK channels were not studied in detail. We have used electrophysiology and superresolution stochastic optical reconstruction microscopy (STORM) to characterize the effects of FMRP on pore-forming BK alpha subunits, as well as the association with regulatory subunits BK beta(4). Our data indicate that, in the absence of coexpressed beta(4), FMRP alters the steady-state properties of BK alpha channels by decreasing channel activation and deactivation rates. Analysis using the Horrigan-Aldrich model revealed alterations in the parameters associated with channel opening (L-0) and voltage sensor activation (J(0)). Interestingly, FMRP also altered the biophysical properties of BK alpha beta(4) channels favoring channel opening, although not as dramatically as BK alpha. STORM experiments revealed clustered multi-protein complexes, consistent with FMRP interacting not only to BK alpha beta(4) but also to BK alpha. Lastly, we found that a partial loss-of-function mutation in FMRP (R138Q) counteracts many of its functional effects on BK alpha and BK alpha beta(4) channels. In summary, our data show that FMRP modulates the function of both BK alpha and BK alpha beta(4) channels.</t>
  </si>
  <si>
    <t>kshatri, Arvind/AAH-8825-2019; Martín, David/AAX-5855-2020; Rojas, Patricio/ISS-1091-2023; Giraldez, Teresa/G-8970-2015; Bartolome Martin, David/HLG-5692-2023</t>
  </si>
  <si>
    <t>Giraldez, Teresa/0000-0002-4096-810X; Bartolome Martin, David/0000-0003-0258-7477; Kshatri, Aravind/0000-0002-9726-1420</t>
  </si>
  <si>
    <t>0022-1295</t>
  </si>
  <si>
    <t>1540-7748</t>
  </si>
  <si>
    <t>e201912502</t>
  </si>
  <si>
    <t>10.1085/jgp.201912502</t>
  </si>
  <si>
    <t>WOS:000538137400003</t>
  </si>
  <si>
    <t>Lopez-Polo, J; Silva-Weiss, A; Giménez, B; Cantero-López, P; Vega, R; Osorio, FA</t>
  </si>
  <si>
    <t>Lopez-Polo, Johana; Silva-Weiss, Andrea; Gimenez, Begona; Cantero-Lopez, Plinio; Vega, Ricardo; Osorio, Fernando A.</t>
  </si>
  <si>
    <t>Effect of lyophilization on the physicochemical and rheological properties of food grade liposomes that encapsulate rutin</t>
  </si>
  <si>
    <t>The potential use of liposomes as carriers for food active ingredients can be limited by their physical and chemical instabilities in aqueous dispersions, especially for long-term storage. Lyophilization, a process commonly used in the food industry, can also be applied to stabilize and preserve liposomes and to extend their shelf-life. In this work, liposomes with potential use for designing functional foods were prepared with soy phospholipids and rutin. Homogenization and ultrasound were used for particle size reduction. Liposomal stability was evaluated by Dynamic Light Scattering, microscopy and rheological properties. Spherical and unilamellar liposomes were obtained in this work. Zeta potential (xi = values were around -40 mV), which indicates a great suspension stability even for more than 30 days of storage. Rutin exerted a protective effect by both preventing damage to the liposome bilayer and maintaining the spherical structure after 56 days of storage. Lyophilization caused an increase in the size of the vesicles, reaching sizes around 419 nm and aggregation of vesicles with probably structural damage after 21 storage days. However, it helped to keep the rutin encapsulated (81.9%) for longer time, when compared to refrigerated liposomes. Rheological measurements showed, in general, that the power law model fitted most of the experimental results and dynamic rheological tests showed a sol-gel phase transition between 35 and 45 degrees C. Lyophilization caused a significant change in all evaluated rheological parameters. For the in vitro release tests, the liposomal bilayer acted as a barrier for the rutin release to the food simulating medium; therefore, the release rate of the antioxidant from the rutin encapsulated liposome was slow compared to the free rutin release rate.</t>
  </si>
  <si>
    <t>Silva-Weiss, Andrea/AAL-3271-2021; osorio, fernando/AAY-7304-2021</t>
  </si>
  <si>
    <t>Cantero-Lopez, Plinio/0000-0003-4090-9879; /0000-0001-7541-9947; osorio, fernando/0000-0001-7206-0924</t>
  </si>
  <si>
    <t>10.1016/j.foodres.2019.108967</t>
  </si>
  <si>
    <t>WOS:000521512900057</t>
  </si>
  <si>
    <t>Clarke, D; Méndez, GC; Sepúlveda, DV</t>
  </si>
  <si>
    <t>Clarke, Damian; Cortes Mendez, Gustavo; Vergara Sepulveda, Diego</t>
  </si>
  <si>
    <t>Growing together: assessing equity and efficiency in a prenatal health program</t>
  </si>
  <si>
    <t>JOURNAL OF POPULATION ECONOMICS</t>
  </si>
  <si>
    <t>We study the acting mechanism of an early-life social safety net program and quantify its impact on child health outcomes at birth. We consider both the equity and efficiency implications of program impacts and provide a metric to compare such programs around the world. In particular, we estimate the impact of participation in Chile Crece Contigo (ChCC), Chile's flagship early-life health and social welfare program, using a difference-in-differences style model based on variation in program intensity and administrative birth data matched to social benefits usage. We find that this targeted social program had significant effects on birth weight (approximately 10 grams) and other early-life human capital measures. These benefits are largest among the most socially vulnerable groups but shift outcomes toward the middle of the distribution of health at birth. We show that the program is efficient when compared to other successful neonatal health programs around the world and find some evidence to suggest that maternal nutrition components and increased links to the social safety net are important action mechanisms.</t>
  </si>
  <si>
    <t>Clarke, Damian/Y-7318-2019</t>
  </si>
  <si>
    <t>Vergara Sepulveda, Diego Alonso/0009-0002-2129-7264; Clarke, Damian/0009-0000-9113-2188</t>
  </si>
  <si>
    <t>0933-1433</t>
  </si>
  <si>
    <t>1432-1475</t>
  </si>
  <si>
    <t>10.1007/s00148-019-00761-6</t>
  </si>
  <si>
    <t>FEB 2020</t>
  </si>
  <si>
    <t>WOS:000516437500001</t>
  </si>
  <si>
    <t>Troncoso, N; Rojo-González, L; Vásquez, OC; Acuña, R; Chávez, H; Villalobos-Cid, M</t>
  </si>
  <si>
    <t>Troncoso, Nelson; Rojo-Gonzalez, Luis; Vasquez, Oscar C.; Acuna, Rodrigo; Chavez, Hector; Villalobos-Cid, Manuel</t>
  </si>
  <si>
    <t>Photovoltaic and Energy Storage Sizing Algorithm for the Chilean Distribution Tariff</t>
  </si>
  <si>
    <t>2020 39TH INTERNATIONAL CONFERENCE OF THE CHILEAN COMPUTER SCIENCE SOCIETY (SCCC)</t>
  </si>
  <si>
    <t>Proceedings of the International Conference of the Chilean Computer Science Society</t>
  </si>
  <si>
    <t>39th International Conference of the Chilean-Computer-Science-Society (SCCC)</t>
  </si>
  <si>
    <t>NOV 16-20, 2020</t>
  </si>
  <si>
    <t>Univ Catolica Norte, ELECTR NETWORK</t>
  </si>
  <si>
    <t>Chilean Comp Sci Soc,IEEE Chile Sect C Chapter</t>
  </si>
  <si>
    <t>Univ Catolica Norte</t>
  </si>
  <si>
    <t>Distribution customers are exposed to various tariff mechanisms from which they must select one that minimizes the electricity bill. Also, distributed generation (mainly Solar Photovoltaic) and distributed storage (mainly electro-chemical batteries) have arisen as an alternative to reduce electric bills. In general, the problem of selecting a specific photovoltaic and energy storage system size is NP-hard, as the trade-off between tariff mechanisms and photovoltaic and energy storage energy relationships is difficult; also, distribution customers may not have specific knowledge of the underlying optimization problem nor how to formulate an analysis in particular. This work considers the particular case of the Chilean distribution tariff mechanism to propose an easy-to-implement algorithm to obtain an near-optimal solution to the photovoltaic and energy storage sizing system, maximizing the economic return. A numerical example is presented to illustrate the usefulness of the proposed algorithm.</t>
  </si>
  <si>
    <t>Villalobos-Cid, Manuel/AFK-0866-2022</t>
  </si>
  <si>
    <t>1522-4902</t>
  </si>
  <si>
    <t>978-1-7281-8328-2</t>
  </si>
  <si>
    <t>WOS:000848755600036</t>
  </si>
  <si>
    <t>Miranda, M; Salinas, R; Raff, U; Magna, O</t>
  </si>
  <si>
    <t>Miranda, M.; Salinas, R.; Raff, U.; Magna, O.</t>
  </si>
  <si>
    <t>Wavelet Design for Automatic Real-Time Eye Blink Detection and Recognition in EEG Signals</t>
  </si>
  <si>
    <t>The blinking of an eye can be detected in electroencephalographic (EEG) recordings and can be understood as a useful control signal in some information processing tasks. The detection of a specific pattern associated with the blinking of an eye in real time using EEG signals of a single channel has been analyzed. This study considers both theoretical and practical principles enabling the design and implementation of a system capable of precise real-time detection of eye blinks within the EEG signal. This signal or pattern is subject to considerable scale changes and multiple incidences. In our proposed approach, a new wavelet was designed to improve the detection and localization of the eye blinking signal. The detection of multiple occurrences of the blinking perturbation in the recordings performed in real-time operation is achieved with a window giving a time-limited projection of an ongoing analysis of the sampled EEG signal.</t>
  </si>
  <si>
    <t>10.15837/ijccc.2019.3.3516</t>
  </si>
  <si>
    <t>WOS:000469927900006</t>
  </si>
  <si>
    <t>López, LJR; Garcia, AR; Aponte, GP</t>
  </si>
  <si>
    <t>Ramirez Lopez, Leonardo Juan; Rodriguez Garcia, Arturo; Puerta Aponte, Gabriel</t>
  </si>
  <si>
    <t>Internet of things in healthcare monitoring to enhance acquisition performance of respiratory disorder sensors</t>
  </si>
  <si>
    <t>INTERNATIONAL JOURNAL OF DISTRIBUTED SENSOR NETWORKS</t>
  </si>
  <si>
    <t>The implementation of the Internet of things in healthcare is a promising challenge to achieve coverage for a bigger number of users in different places at lower costs. Internet of things might mean better technology regarding response time and proper control of medical parameters. This study introduces an Internet-of-things system for healthcare with possibilities to control medical variables according to recent breakthroughs in sensors and data processing. The goal of the system is to optimize the development of applications to obtain variables in real time and with less energy consumption. The proposed model is validated on the measurement and monitoring of oxygen saturation, heart rate, and body temperature in patients with respiratory disorders. This was achieved by the optimization of data acquisition, integrated into a secure architecture using Message Queuing Telemetry Transport protocol. A cloud architecture with interconnection to low-cost and open-source devices was implemented, which interconnect to the sensors and actuators' network. The experimental results were statistically treated against the device pattern data, through hypothesis tests for mean differences to probe the accuracy of the model. Finally, the proposed model demonstrates an efficient performance in several clinical parameters, such as oxygen saturation and heart rate per minute.</t>
  </si>
  <si>
    <t>; Ramirez Lopez, Leonardo Juan/E-8930-2017</t>
  </si>
  <si>
    <t>Puerta, Gabriel/0000-0003-1730-170X; Ramirez Lopez, Leonardo Juan/0000-0002-6473-5685</t>
  </si>
  <si>
    <t>1550-1477</t>
  </si>
  <si>
    <t>10.1177/1550147719847127</t>
  </si>
  <si>
    <t>WOS:000482159900001</t>
  </si>
  <si>
    <t>González, AA; Cruchaga, MA; Celentano, DJ</t>
  </si>
  <si>
    <t>Gonzalez, Alvaro A.; Cruchaga, Marcela A.; Celentano, Diego J.</t>
  </si>
  <si>
    <t>Incidence of die spacing in the evolution of damage in two-pass wire drawing processes</t>
  </si>
  <si>
    <t>ENGINEERING FRACTURE MECHANICS</t>
  </si>
  <si>
    <t>Multipass wire drawing can be made by passing the wire through consecutive dies (tandem configuration) or through dies apart from each other (sequential configuration). In this work, both configurations are simulated with the purpose of determining the effect of die spacing on the development of fractures in two-pass drawn wires subjected to different area reductions. To achieve this, an uncoupled ductile fracture criterion that considers the evolution of damage under conditions of increasing effective plastic deformation and triaxiality occurring in the material is applied and assessed in its ability to predict the beginning of fracture under the two analyzed configurations. The comparison between tandem and sequential configurations allows the extension of the fracture model used in previous work in order to account for the evolution of damage not only under positive triaxiality values but also and simultaneously for positive triaxiality rates during the entire drawing sequence. This new model reproduces in a good way the differences in the damage evolution between both configurations and also allows to explain the reason why the tandem configuration is more unsafe than the sequential one.</t>
  </si>
  <si>
    <t>Cruchaga, Marcela/0000-0002-8708-2402; Gonzalez Ortega, Alvaro/0000-0003-0839-721X</t>
  </si>
  <si>
    <t>0013-7944</t>
  </si>
  <si>
    <t>1873-7315</t>
  </si>
  <si>
    <t>10.1016/j.engfracmech.2018.08.014</t>
  </si>
  <si>
    <t>WOS:000444000400028</t>
  </si>
  <si>
    <t>Norambuena, C; Palomera, A; Lopez, A</t>
  </si>
  <si>
    <t>Norambuena, Carmen; Palomera, Adriana; Lopez, Ana</t>
  </si>
  <si>
    <t>Brazilians in Chile during the military dictatorship: Double refuge 1973-1975</t>
  </si>
  <si>
    <t>HISTORIA UNISINOS</t>
  </si>
  <si>
    <t>After the coup d'etat of 1964 against the government of Joao Goulart in Brazil and the dictatorships that followed, Brazilians began to leave the country, and many of them sought refuge in other Latin American nations. This paper discusses the case of Brazilian citizens who, having acquired protection and refuge in Chile, had to move once again in 1973 because of the coup d'etat of the Armed Forces and the subsequent dictatorial government of General Augusto Pinochet Ugarte, facing a new or double refuge. The review of primary sources focused on the safe-conducts issued by the Ministry of Foreign Affairs of Chile, which allows identify the number and condition of those who obtained the refugee status, as well as evidence of the importance of international and national organizations such as UNHCR, CIME, CONAR and FASIC in the protection of expatriates during the military dictatorship in Chile.</t>
  </si>
  <si>
    <t>Lopez Dietz, Ana/MTE-4254-2025</t>
  </si>
  <si>
    <t>Lopez Dietz, Ana Paola/0000-0002-9098-6293; Norambuena Carrasco, Carmen/0000-0002-9259-2992; Palomera, Adriana/0000-0003-2348-9411</t>
  </si>
  <si>
    <t>1519-3861</t>
  </si>
  <si>
    <t>2236-1782</t>
  </si>
  <si>
    <t>SEP-OCT</t>
  </si>
  <si>
    <t>10.4013/htu.2018.223.10</t>
  </si>
  <si>
    <t>WOS:000450991700010</t>
  </si>
  <si>
    <t>Van Hemelryck, M; Bernal, R; Ispolatov, Y; Dumais, J</t>
  </si>
  <si>
    <t>Van Hemelryck, Milenka; Bernal, Roberto; Ispolatov, Yaroslav; Dumais, Jacques</t>
  </si>
  <si>
    <t>Lily Pollen Tubes Pulse According to a Simple Spatial Oscillator</t>
  </si>
  <si>
    <t>SCIENTIFIC REPORTS</t>
  </si>
  <si>
    <t>Polar growth is a fundamental mode of cell morphogenesis observed in nearly all major groups of organisms. Among polarly growing cells, the angiosperm pollen tubes have emerged as powerful experimental systems in large part because of their oscillatory growth, which provides a window into the network of interactions regulating morphogenesis. Empirical studies of oscillatory pollen tubes have sought to uncover the temporal sequence of cellular and molecular events that constitutes an oscillatory cycle. Here we show that in lily pollen tubes the distance or wavelength (lambda = 6.3 +/- 1.7 mu m) over which an oscillatory cycle unfolds is more robust than the period of oscillation (tau = 39.1 +/- 17.6 s) (n = 159 cells). Moreover, the oscillatory cycle is divided into slow and fast phases, with each phase unfolding over precisely one half of the wavelength. Using these observations, we show that a simple spatial bi-oscillator predicts the most common modes of oscillation observed in pollen tubes. These results call into question the traditional view of pollen tube morphogenesis as a temporal succession of cellular events. Space, not time, may be the most natural metric to inteprete the morphogenetic dynamics of these cells.</t>
  </si>
  <si>
    <t>Bernal, Roberto/E-5275-2011; Ispolatov, Iaroslav/E-8544-2010; Dumais, Jacques/H-7950-2013</t>
  </si>
  <si>
    <t>Bernal, Roberto/0000-0002-4295-270X; Ispolatov, Iaroslav/0000-0002-0201-3396; Dumais, Jacques/0000-0003-2344-4766</t>
  </si>
  <si>
    <t>2045-2322</t>
  </si>
  <si>
    <t>AUG 14</t>
  </si>
  <si>
    <t>10.1038/s41598-018-30635-y</t>
  </si>
  <si>
    <t>WOS:000441538200028</t>
  </si>
  <si>
    <t>Jorquera, E; Navas, A; Rivas, C</t>
  </si>
  <si>
    <t>Jorquera, Eduardo; Navas, Andres; Rivas, Cristobal</t>
  </si>
  <si>
    <t>On the sharp regularity for arbitrary actions of nilpotent groups on the interval: the case of N4</t>
  </si>
  <si>
    <t>In this work, we determine the largest alpha for which the nilpotent group of four-by-four triangular matrices with integer coefficients and the value one in the diagonal embeds into the group of C1+alpha diffeomorphisms of the closed interval.</t>
  </si>
  <si>
    <t>Navas Flores, Andres Ignacio/0000-0002-0853-5136; Rivas, Cristobal/0000-0003-4021-2705</t>
  </si>
  <si>
    <t>10.1017/etds.2016.38</t>
  </si>
  <si>
    <t>WOS:000419382400008</t>
  </si>
  <si>
    <t>Salgado, A</t>
  </si>
  <si>
    <t>Salgado, Alfonso</t>
  </si>
  <si>
    <t>Communism and human rights in Pinochet's Chile: the 1977 hunger strike against forced disappearance</t>
  </si>
  <si>
    <t>COLD WAR HISTORY</t>
  </si>
  <si>
    <t>This article examines the activism of a specific subset of Chilean communist women - those whose loved ones were abducted and who mobilised to demand justice - against the Pinochet dictatorship. It focuses on a well-organised and well-publicised hunger strike inside the United Nations headquarters in Santiago, Chile, which denounced the dictatorship's use of forced disappearance. It argues that these women's prior political experience and contacts enabled them to organise demonstrations and make successful human rights claims in a changing global environment. In so doing, this article expands and re-politicises the cast of protagonists of the human rights revolution of the 1970s.</t>
  </si>
  <si>
    <t>Salgado, Alfonso/0000-0001-6649-4291</t>
  </si>
  <si>
    <t>1468-2745</t>
  </si>
  <si>
    <t>1743-7962</t>
  </si>
  <si>
    <t>10.1080/14682745.2017.1404988</t>
  </si>
  <si>
    <t>WOS:000431690700004</t>
  </si>
  <si>
    <t>Vásquez-Sandoval, D; Pavez, J; Carlesi, C; Aracena, A</t>
  </si>
  <si>
    <t>Vasquez-Sandoval, D.; Pavez, J.; Carlesi, C.; Aracena, A.</t>
  </si>
  <si>
    <t>Large scale cathodic exfoliation of graphite using deep eutectic solvent and water mixture</t>
  </si>
  <si>
    <t>FULLERENES NANOTUBES AND CARBON NANOSTRUCTURES</t>
  </si>
  <si>
    <t>A short-time and low-cost synthesis route was used to produce large lateral size (from 2 to 15m) from monolayers to few layers of graphene by a two-step process of electrochemical exfoliation with a deep eutectic solvent in a mixture with water that can be reused, and ultrasonic bath. The graphene was characterized by SEM, TEM, AFM, Raman and electrochemical activity. During the electrochemical exfoliation, high expanded graphene particles were obtained and these were dispersed in a mixture of water with 5%wt ethylene glycol by an ultrasonic bath in order to complete the exfoliation process. An enhancement of the electrical conductivity of these dispersions was obtained with the increase of graphene concentration, 0.38mg/mL, which best result was achieved with 30wt% water and a DC voltage of 10V. It was possible to add a conductive layer to a glass substrate with the graphene obtained and Tyndall effect was observed.</t>
  </si>
  <si>
    <t>; PAVEZ, JORGE/K-6904-2014</t>
  </si>
  <si>
    <t>Vasquez, Dreidy/0000-0001-5864-3023; PAVEZ, JORGE/0000-0002-5100-6707</t>
  </si>
  <si>
    <t>1536-383X</t>
  </si>
  <si>
    <t>1536-4046</t>
  </si>
  <si>
    <t>10.1080/1536383X.2017.1413356</t>
  </si>
  <si>
    <t>WOS:000424170600009</t>
  </si>
  <si>
    <t>Araya-Letelier, G; Antico, FC; Carrasco, M; Rojas, P; García-Herrera, CM</t>
  </si>
  <si>
    <t>Araya-Letelier, G.; Antico, F. C.; Carrasco, M.; Rojas, P.; Garcia-Herrera, C. M.</t>
  </si>
  <si>
    <t>Effectiveness of new natural fibers on damage-mechanical performance of mortar</t>
  </si>
  <si>
    <t>CONSTRUCTION AND BUILDING MATERIALS</t>
  </si>
  <si>
    <t>Addition of fibers to cement-based materials improve tensile and flexural strength, fracture toughness, abrasion resistance, delay cracking, and reduce crack widths. Natural fibers have recently become more popular in the construction materials community. This investigation addresses the characterization of a new animal fiber (pig hair), a massive food-industry waste worldwide, and its use in mortars. Morphological, physical and mechanical properties of pig hair are determined in order to be used as reinforcement in mortars. A sensitivity analysis on the volumes of fiber in mortars is developed. The results from this investigation showed that reinforced mortars significantly improve impact strength, abrasion resistance, plastic shrinkage cracking, age at cracking, and crack widths as fiber volume increases. Other properties such as compressive and flexural strength, density, porosity and modulus of elasticity of reinforced mortars are not significantly affected by the addition of pig hair. (C) 2017 Elsevier Ltd. All rights reserved.</t>
  </si>
  <si>
    <t>Rojas, Paula/AFS-1987-2022; Antico, Federico/B-7258-2009; Carrasco, Miguel/GRS-5323-2022; Araya-Letelier, Gerardo/GNH-2152-2022; García-Herrera, Claudio/ABE-8991-2020</t>
  </si>
  <si>
    <t>Antico, Federico C./0000-0001-7828-9391; Garcia-Herrera, Claudio/0000-0002-1283-8551; Rojas, Paula/0000-0002-2529-993X; Carrasco, Miguel/0000-0002-5389-7590; Araya-Letelier, Gerardo/0000-0003-4252-1341</t>
  </si>
  <si>
    <t>0950-0618</t>
  </si>
  <si>
    <t>1879-0526</t>
  </si>
  <si>
    <t>OCT 15</t>
  </si>
  <si>
    <t>10.1016/j.conbuildmat.2017.07.072</t>
  </si>
  <si>
    <t>WOS:000411545600062</t>
  </si>
  <si>
    <t>Torres-Avilés, F; Montaño, R; López-Kleine, L</t>
  </si>
  <si>
    <t>Torres-Aviles, Francisco; Montano, Rosa; Lopez-Kleine, Liliana</t>
  </si>
  <si>
    <t>Functional Prediction: Gene Filtering Based on Multivariate Techniques</t>
  </si>
  <si>
    <t>CURRENT BIOINFORMATICS</t>
  </si>
  <si>
    <t>Background: Gene expression data is available on several organisms of interest in publicly available data-bases and knowledge on gene functions can be extracted from gene expression profiles by pattern comparison between genes when analyzed with multivariate techniques. Nevertheless, gene expression data is very noisy and those patterns are often difficult to detect with classical multivariate analysis. Objective: This work proposes using classical multivariate methods in order to detect and/or predict a subset of potential genes that could belong to a functional class of interest. Method: In order to achieve confident results (low error in the classification of genes with known function), strong filtering on the original data set is proposed here. The methodology is applied on three time course microarray data sets that compare healthy and pathogen inoculated plants, in order to illustrate methodology. Results: Results when focusing on prediction of unknown immunity genes show that the here proposed methodology is suitable for functional gene prediction. Conclusion: Moreover, the methodology is suitable for other organisms and microarray data sets from which gene expression profiles can be extracted.</t>
  </si>
  <si>
    <t>Torres-Avilés, Francisco/J-8269-2013</t>
  </si>
  <si>
    <t>1574-8936</t>
  </si>
  <si>
    <t>2212-392X</t>
  </si>
  <si>
    <t>10.2174/1574893610666150601210551</t>
  </si>
  <si>
    <t>WOS:000396012200004</t>
  </si>
  <si>
    <t>Ahumada, M; Calderon, C; Lissi, EA</t>
  </si>
  <si>
    <t>Ahumada, M.; Calderon, C.; Lissi, E. A.</t>
  </si>
  <si>
    <t>TEMPERATURE DEPENDENCE OF BILAYER PROPERTIES IN LIPOSOMES AND THE USE OF FLUORESCENT PROBES AS A TOOL TO ELUCIDATE THE PERMEATION MECHANISM OF HYDROPHILIC SOLUTES</t>
  </si>
  <si>
    <t>Solute transport across lipidic membranes is a fundamental process for both living organisms and drug delivery. In order to establish the mechanism of solute passive transport through lipidic membranes, we determined the effect of temperature upon the rate of glucose transport (as hydrophilic solute model) through dipalmitoylphosphatidylcholine large unilamellar liposomes and compare the results to those obtained for a variety of fluorescent probes (pyrene, PRODAN, diphenylhexatriene, diphenylhexatriene-TMA). All these probes, independent of their localization in the liposomes, report a monotonous change in the micro-properties sensed with temperature, with a maximum rate of change at the main transition temperature of the bilayer. These results contrast with those obtained for the rate of glucose influx, were it is observed a clear maximum rate of intake at the transition temperature. These contrasting results imply that the microviscosity (common factor for used probes) is not the property of the bilayer that controls the rate off solute transport which, at least in the vicinity of the main transition temperature, is regulated by formation of transient pores, particularly at the transition temperature (T-m). This would indicate that, at least near T-m, glucose and other hydrophilic solutes diffuses through transient pores formed in the bilayer. Interestingly, the presence of these pores does not affect the fluorescence characteristics of the probes.</t>
  </si>
  <si>
    <t>Calderon, cristian/GQA-7422-2022; Ahumada, Manuel/L-2401-2018</t>
  </si>
  <si>
    <t>Ahumada, Manuel/0000-0002-0589-3296</t>
  </si>
  <si>
    <t>10.4067/S0717-97072016000300009</t>
  </si>
  <si>
    <t>WOS:000389063700009</t>
  </si>
  <si>
    <t>Santibanez, F; Zuñiga, R; Melo, F</t>
  </si>
  <si>
    <t>Santibanez, Francisco; Zuniga, Rene; Melo, Francisco</t>
  </si>
  <si>
    <t>Mechanical impulse propagation in a three-dimensional packing of spheres confined at constant pressure</t>
  </si>
  <si>
    <t>Mechanical impulse propagation in granular media depends strongly on the imposed confinement conditions. In this work, the propagation of sound in a granular packing contained by flexible walls that enable confinement under hydrostatic pressure conditions is investigated. This configuration also allows the form of the input impulse to be controlled by means of an instrumented impact pendulum. The main characteristics of mechanical wave propagation are analyzed, and it is found that the wave speed as function of the wave amplitude of the propagating pulse obeys the predictions of the Hertz contact law. Upon increasing the confinement pressure, a continuous transition from nonlinear to linear propagation is observed. Our results show that in the low-confinement regime, the attenuation increases with an increasing impulse amplitude for nonlinear pulses, whereas it is a weak function of the confinement pressure for linear waves.</t>
  </si>
  <si>
    <t>Zuñiga, Rene/IQX-1430-2023; Santibanez, Francisco/JGD-1397-2023; Melo, Francisco/M-3923-2014</t>
  </si>
  <si>
    <t>Zuniga Aguilera, Rene/0000-0003-0862-6326; Melo, Francisco Esteban/0000-0001-6818-5476</t>
  </si>
  <si>
    <t>JAN 25</t>
  </si>
  <si>
    <t>10.1103/PhysRevE.93.012908</t>
  </si>
  <si>
    <t>WOS:000369331300015</t>
  </si>
  <si>
    <t>Abadias, L; Lizama, C; Miana, PJ</t>
  </si>
  <si>
    <t>Abadias, Luciano; Lizama, Carlos; Miana, Pedro J.</t>
  </si>
  <si>
    <t>SHARP EXTENSIONS AND ALGEBRAIC PROPERTIES FOR SOLUTION FAMILIES OF VECTOR-VALUED DIFFERENTIAL EQUATIONS</t>
  </si>
  <si>
    <t>BANACH JOURNAL OF MATHEMATICAL ANALYSIS</t>
  </si>
  <si>
    <t>In this paper we show the unexpected property that extension from local to global without loss of regularity holds for the solutions of a wide class of vector-valued differential equations, in particular for the class of fractional abstract Cauchy problems in the subdiffusive case. The main technique is the use of the algebraic structure of these solutions, which are defined by new versions of functional equations defining solution families of bounded operators. The convolution product and the double Laplace transform for functions of two variables are useful tools which we apply also to extend these solutions. Finally we illustrate our results with different concrete examples.</t>
  </si>
  <si>
    <t>; Lizama, Carlos/E-5909-2011</t>
  </si>
  <si>
    <t>Miana Sanz, Pedro Jose/0000-0001-9430-343X; Lizama, Carlos/0000-0002-9807-1100</t>
  </si>
  <si>
    <t>1735-8787</t>
  </si>
  <si>
    <t>10.1215/17358787-3345137</t>
  </si>
  <si>
    <t>WOS:000370814100011</t>
  </si>
  <si>
    <t>Segura, R; Pizarro, J; Díaz, K; Placencio, A; Godoy, F; Pino, E; Recio, F</t>
  </si>
  <si>
    <t>Segura, Rodrigo; Pizarro, Jaime; Diaz, Karina; Placencio, Alan; Godoy, Fernando; Pino, Eduardo; Recio, Francisco</t>
  </si>
  <si>
    <t>Development of electrochemical sensors for the determination of selenium using gold nanoparticles modified electrodes</t>
  </si>
  <si>
    <t>SENSORS AND ACTUATORS B-CHEMICAL</t>
  </si>
  <si>
    <t>Electrochemical sensors have been developed for the determination of selenium ( Se (IV)) using glassy carbon electrodes modified with gold nanoparticles (AuNPs) obtained electrochemically (GC/AuNPs/E) and chemically (GC/AuNPs/C) using square wave anodic stripping voltammetry (SWASV). GC/AuNPs/E was characterized by cyclic voltammetry (CV), atomic force microscopy (AFM), scanning electron microscopy (SEM), and X-ray dispersion spectrometry (EDS). The results indicate a homogeneous distribution of AuNPs with a 75 +/- 20 nm particle size distribution. The chemically prepared AuNPs were characterized by transmission electron microscopy (TEM) and UV-vis spectroscopy (Surface Plasmon Band), and the results indicate that the AuNPs have a spherical shape (7.4 + 1.3 nm). GC/AuNPs/C was prepared using a drop coating technique and was characterized by CV. The optimum conditions for the prepared electrodes were as follows: accumulation potential of 0.80V (E-acc), accumulation time (t(acc)) of 120s, and a frequency of 15 Hz. A linear range was observed from 10 to 50 mu g L-1 with a limit of detection (LOD) of 0.120 mu g L-1 for GC/AuNPs/E, and a linear range was observed from 15 to 55 mu g L-1 with a LOD of 0.175 mu g L-1 for GC/AuNPs/C. The proposed procedure was validated with the TM-15 certified reference material, and good accuracy and precision were observed. In addition, this approach was applied to seawater samples with satisfactory results. (c) 2015 Elsevier B.V. All rights reserved.</t>
  </si>
  <si>
    <t>Segura, Rodrigo/J-6696-2016; Recio, Francisco/AAB-2148-2020</t>
  </si>
  <si>
    <t>Pizarro, Jaime/0000-0002-0122-1847; Recio, Francisco/0000-0002-5181-3197; Segura, Rodrigo/0000-0001-5747-2357; Pino, Eduardo Francisco/0000-0002-7851-3952; Godoy, Fernando/0000-0002-3916-4753</t>
  </si>
  <si>
    <t>0925-4005</t>
  </si>
  <si>
    <t>DEC 1</t>
  </si>
  <si>
    <t>10.1016/j.snb.2015.05.016</t>
  </si>
  <si>
    <t>WOS:000361249100035</t>
  </si>
  <si>
    <t>Górka, P; Kostrzewa, T; Reyes, EG</t>
  </si>
  <si>
    <t>Gorka, Przemyslaw; Kostrzewa, Tomasz; Reyes, Enrique G.</t>
  </si>
  <si>
    <t>Sobolev Spaces on Locally Compact Abelian Groups: Compact Embeddings and Local Spaces</t>
  </si>
  <si>
    <t>JOURNAL OF FUNCTION SPACES</t>
  </si>
  <si>
    <t>We continue our research on Sobolev spaces on locally compact abelian (LCA) groups motivated by our work on equations with infinitely many derivatives of interest for string theory and cosmology. In this paper, we focus on compact embedding results and we prove an analog for LCA groups of the classical Rellich lemma and of the Rellich-Kondrachov compactness theorem. Furthermore, we introduce Sobolev spaces on subsets of LCA groups and study its main properties, including the existence of compact embeddings into L-p-spaces.</t>
  </si>
  <si>
    <t>Reyes, Enrique/AAD-1308-2019</t>
  </si>
  <si>
    <t>Gorka, Przemyslaw/0000-0002-1943-383X; Reyes, Enrique G./0000-0001-8460-444X</t>
  </si>
  <si>
    <t>2314-8896</t>
  </si>
  <si>
    <t>2314-8888</t>
  </si>
  <si>
    <t>10.1155/2014/404738</t>
  </si>
  <si>
    <t>WOS:000332296100001</t>
  </si>
  <si>
    <t>Mellado, C; Lagos, C</t>
  </si>
  <si>
    <t>Mellado, Claudia; Lagos, Claudia</t>
  </si>
  <si>
    <t>Professional Roles in News Content: Analyzing Journalistic Performance in the Chilean National Press</t>
  </si>
  <si>
    <t>INTERNATIONAL JOURNAL OF COMMUNICATION</t>
  </si>
  <si>
    <t>This article examines the presence of six dimensions of professional roles in news-watchdog, disseminator-interventionist, civic, loyal-facilitator, service, and infotainment-by means of a quantitative content analysis of 1,988 news stories published by the national desk of five Chilean national newspapers in 2010. The study also analyzes differences between the quality press and the popular press, as well as between different news topics, providing empirical evidence about the ways in which media orientation and journalistic beats can shape journalistic performance. Our results indicate that, overall, the disseminator role is the most commonly used in Chilean news, followed by the entertainment and civic roles. The watchdog, service, and especially the loyal-facilitator roles were, in turn, almost absent. The data also show that the presence of the analyzed dimensions of professional roles in news content depends on both the media orientation and the journalistic beat. While the infotainment and disseminator roles are more influenced by the orientation of the media-elite versus popular-the watchdog, service, civic and loyal-facilitator roles are more influenced by the main topic of the story.</t>
  </si>
  <si>
    <t>Lira, Claudia/AAD-6223-2021</t>
  </si>
  <si>
    <t>Mellado, Claudia/0000-0002-9281-1526</t>
  </si>
  <si>
    <t>1932-8036</t>
  </si>
  <si>
    <t>WOS:000349010500048</t>
  </si>
  <si>
    <t>Caro, CA; Cabello, G; Landaeta, E; Pérez, J; Zagal, JH; Lillo, L</t>
  </si>
  <si>
    <t>Caro, C. A.; Cabello, G.; Landaeta, E.; Perez, J.; Zagal, J. H.; Lillo, L.</t>
  </si>
  <si>
    <t>Synthesis and spectroscopic and electrochemical studies of chitosan Schiff base derivatives</t>
  </si>
  <si>
    <t>RUSSIAN JOURNAL OF APPLIED CHEMISTRY</t>
  </si>
  <si>
    <t>Schiff derivatives were prepared by the reactions of salicylaldehyde and its derivatives (5-chloro, 5-methoxy, 5-fluoro, 5-methyl, 5-nitro) with the amino group of chitosan. The Schiff bases were studied by Fourier IR spectroscopy and by UV-visible spectroscopy. The cyclic voltammograms of the Schiff bases were analyzed and compared to those of chitosan and salicylaldehyde. The formal potential of the chitosan Schiff base derivative correlates with the Hammett parameters. The oxidation potential increases and the optical density decreases with enhancement of the electron-acceptor properties of the functional group R in the m-position to the -N=CH-group. Chitosan (Chi) is a polysaccharide whose chains consist of recurrent units of acetamido-2-deoxy-D-glucode linked by the 1,4-beta-glycoside bond. This polysaccharide was widely studied as drug carrier [1, 2], because it is nontoxic, biodegradable, and well biocompatible [3].</t>
  </si>
  <si>
    <t>zagal, jose/L-9648-2014</t>
  </si>
  <si>
    <t>Landaeta, Esteban/0000-0002-1417-5181</t>
  </si>
  <si>
    <t>1070-4272</t>
  </si>
  <si>
    <t>1608-3296</t>
  </si>
  <si>
    <t>10.1134/S1070427213110268</t>
  </si>
  <si>
    <t>WOS:000330996400026</t>
  </si>
  <si>
    <t>Navas, A; Triestino, M</t>
  </si>
  <si>
    <t>Navas, Andres; Triestino, Michele</t>
  </si>
  <si>
    <t>On the invariant distributions of C2 circle diffeomorphisms of irrational rotation number</t>
  </si>
  <si>
    <t>MATHEMATISCHE ZEITSCHRIFT</t>
  </si>
  <si>
    <t>Triestino, Michele/AAB-7691-2020</t>
  </si>
  <si>
    <t>Navas Flores, Andres Ignacio/0000-0002-0853-5136</t>
  </si>
  <si>
    <t>0025-5874</t>
  </si>
  <si>
    <t>1432-1823</t>
  </si>
  <si>
    <t>1-2</t>
  </si>
  <si>
    <t>10.1007/s00209-012-1071-3</t>
  </si>
  <si>
    <t>WOS:000319004900017</t>
  </si>
  <si>
    <t>Gellert, U; Barbé, J; Espinoza, L</t>
  </si>
  <si>
    <t>Gellert, Uwe; Barbe, Joaquim; Espinoza, Lorena</t>
  </si>
  <si>
    <t>Towards a local integration of theories: codes and praxeologies in the case of computer-based instruction</t>
  </si>
  <si>
    <t>EDUCATIONAL STUDIES IN MATHEMATICS</t>
  </si>
  <si>
    <t>We report on the development of a language of description that facilitates an integrated analysis of classroom video data in terms of the quality of the teaching-learning process and the students' access to valued forms of mathematical knowledge. Our research setting is the introduction of software for teachers for improving the mathematical learning in underprivileged classrooms. As theoretical antecedents we draw on the Th,orie Anthropologique du Didactique (Chevallard) and the Theory of Pedagogic Codes (Bernstein). We systematically integrate these theories locally. As a result on a meta-theoretical level, a new methodology, consisting of a system of categories, is the product of the local integration of the two theories.</t>
  </si>
  <si>
    <t>Barbe, Joaquim/Q-5419-2017; Espinoza, Lorena/I-2215-2015</t>
  </si>
  <si>
    <t>Barbe, Joaquim/0000-0002-7260-5178; Espinoza, Lorena/0000-0002-8752-3423</t>
  </si>
  <si>
    <t>0013-1954</t>
  </si>
  <si>
    <t>1573-0816</t>
  </si>
  <si>
    <t>10.1007/s10649-012-9427-5</t>
  </si>
  <si>
    <t>WOS:000313652400008</t>
  </si>
  <si>
    <t>Lacoste, P; Castro, A</t>
  </si>
  <si>
    <t>Lacoste, Pablo; Castro, Amalia</t>
  </si>
  <si>
    <t>Vines and social mobility in the Kingdom of Chile (1636-1814)</t>
  </si>
  <si>
    <t>ESTUDOS IBERO-AMERICANOS</t>
  </si>
  <si>
    <t>The article makes a measurement of social mobility, through the wine industry in the Kingdom of Chile, through information collected in different colonial documentation files. It seeks to identify patterns of behavior and identification of other issues (gender, culture, etc) around winegrowers, through analysis of 20 cases with evidence of social mobility.</t>
  </si>
  <si>
    <t>Castro, Amalia/LXV-4156-2024</t>
  </si>
  <si>
    <t>0101-4064</t>
  </si>
  <si>
    <t>1980-864X</t>
  </si>
  <si>
    <t>10.15448/1980-864X.2013.1.15961</t>
  </si>
  <si>
    <t>WOS:000343739300002</t>
  </si>
  <si>
    <t>Millán, G; Lefranc, G</t>
  </si>
  <si>
    <t>Shi, Y; Xi, Y; Wolcott, P; Tian, Y; Li, J; Berg, D; Chen, Z; HerreraViedma, E; Kou, G; Lee, H; Peng, Y; Yu, L</t>
  </si>
  <si>
    <t>Millan, G.; Lefranc, G.</t>
  </si>
  <si>
    <t>A Fast Multifractal Model for Self-Similar Traffic Flows in High-Speed Computer Networks</t>
  </si>
  <si>
    <t>FIRST INTERNATIONAL CONFERENCE ON INFORMATION TECHNOLOGY AND QUANTITATIVE MANAGEMENT</t>
  </si>
  <si>
    <t>1st International Conference on Information Technology and Quantitative Management (ITQM)</t>
  </si>
  <si>
    <t>MAY 16-18, 2013</t>
  </si>
  <si>
    <t>Suzhou, PEOPLES R CHINA</t>
  </si>
  <si>
    <t>Int Acad Informat Technol &amp; Quantitat Management,Chinese Acad Sci Res Ctr Fictitious Econ &amp; Data Sci,Univ Chinese Acad Sci, Sch Management,China Singapore Suzhou Ind Pk,China Data Technol (Suzhou) Co Ltd,Xian Jiaotong Liverpool Univ,Chinese Acad Sci, Inst Policy &amp; Management,Univ Nebraska Omaha,Chinese Soc Management Modernizat,Natl Nat Sci Fdn China,China Financial Futures Exchange,Yihaodian Com,Wintek Corp,Footdisc Inc,Emerald</t>
  </si>
  <si>
    <t>This paper proposes a new multifractal model, with the aim of providing a possible explanation for the locality phenomenon that appears in the estimation of the Hurst exponent in stationary second order temporal series representing self-similar traffic flows in current high-speed computer networks. It is shown analytically that this phenomenon occurs if the network flow consists of several components with different Hurst exponents. (C) 2013 The Authors. Published by Elsevier B.V.</t>
  </si>
  <si>
    <t>Millán, Ginno/AAP-8680-2020</t>
  </si>
  <si>
    <t>10.1016/j.procs.2013.05.054</t>
  </si>
  <si>
    <t>WOS:000339094400054</t>
  </si>
  <si>
    <t>Lizama, C; Ponce, R</t>
  </si>
  <si>
    <t>Lizama, Carlos; Ponce, Rodrigo</t>
  </si>
  <si>
    <t>Maximal Regularity for Perturbed Integral Equations on the Line</t>
  </si>
  <si>
    <t>INTEGRAL EQUATIONS AND OPERATOR THEORY</t>
  </si>
  <si>
    <t>We characterize the existence and uniqueness of solutions for a perturbed linear integral equation with infinite delay in Holder spaces. The method is based on the theory of operator-valued Fourier multipliers.</t>
  </si>
  <si>
    <t>Ponce, Rodrigo/0000-0002-1337-8083; Lizama, Carlos/0000-0002-9807-1100</t>
  </si>
  <si>
    <t>0378-620X</t>
  </si>
  <si>
    <t>1420-8989</t>
  </si>
  <si>
    <t>10.1007/s00020-012-2010-8</t>
  </si>
  <si>
    <t>WOS:000311672700004</t>
  </si>
  <si>
    <t>Salazar, R; Pardo-Jimenez, V; Navarrete-Encina, PA; Squella, JA; Camargo, C; Núñez-Vergara, LJ</t>
  </si>
  <si>
    <t>Salazar, Ricardo; Pardo-Jimenez, V.; Navarrete-Encina, P. A.; Squella, J. A.; Camargo, C.; Nunez-Vergara, Luis J.</t>
  </si>
  <si>
    <t>Scavenging activity of C4-hydroxyphenyl- and polyhydroxyphenyl-1,4-dihydropyridines toward free radicals</t>
  </si>
  <si>
    <t>The radical-scavenging ability of synthesized C4-phenolic-substituted 1,4-dihydropyridines (1,4-DHPs) toward 2,2-diphenyl-1-picrylhydrazyl (DPPH) and alkyl/alkylperoxyl ABAP-derived radicals at pH 7.4 was assessed by UVvisible spectroscopy. Reactivity of 1,4-DHPs toward DPPH was measured by following the decay of the absorption corresponding to the radical ?max at 525 nm, permitting the calculation of EC50, tEC50, and antiradical efficiency values. Pseudofirst-order kinetic rate constants for the reactivity between the C4-phenolic-substituted 1,4-DHP compounds and alkyl/alkylperoxyl ABAP-derived radicals were followed by the decrease in ?max at 356 nm corresponding to 1,4-DHP moiety. C4-phenolic-substituted 1,4-DHPs were more reactive toward alkyl free radicals than the other tested radicals. The 3,4,5-trihydroxyphenyl-1,4-DHP was the most reactive derivative toward this radical with a kinetic rate constant value of 513.2 s-1. Also, this derivative was the most effective toward the DPPH radical with the lowest EC50 value (5.08 mu M). Comparative studies revealed that synthesized 1,4-DHPs were more reactive than commercial 1,4-DHPs. The scavenging mechanism involves the contribution of both pharmacophores, that is, hydroxyphenyl and 1,4-DHP rings, which was supported by the identification of the reaction products. (C) 2012 Wiley Periodicals, Inc. Int J Chem Kinet 44: 810820, 2012</t>
  </si>
  <si>
    <t>Salazar, Ricardo/L-7870-2013; Squella, Juan Arturo/A-5093-2009</t>
  </si>
  <si>
    <t>Salazar-Gonzalez, Ricardo/0000-0003-2180-6022; Squella, Juan Arturo/0000-0003-0362-4399</t>
  </si>
  <si>
    <t>10.1002/kin.20733</t>
  </si>
  <si>
    <t>WOS:000310241700005</t>
  </si>
  <si>
    <t>Lopez-Sarrion, J; Reyes, CM</t>
  </si>
  <si>
    <t>Lopez-Sarrion, Justo; Reyes, Carlos M.</t>
  </si>
  <si>
    <t>Microcausality and quantization of the fermionic Myers-Pospelov model</t>
  </si>
  <si>
    <t>EUROPEAN PHYSICAL JOURNAL C</t>
  </si>
  <si>
    <t>We study the fermionic sector of the Myers and Pospelov theory with a general background n. The space-like case without temporal component is well defined and no new ingredients came about, apart from the explicit Lorentz invariance violation. The lightlike case is ill defined and physically discarded. However, the other case where a nonvanishing temporal component of the background is present, the theory is physically consistent. We show that new modes appear as a consequence of higher time derivatives. We quantize the timelike theory and calculate the microcausality violation which turns out to occur near the light cone.</t>
  </si>
  <si>
    <t>Lopez Sarrion, Justo Javier/0000-0002-2868-194X</t>
  </si>
  <si>
    <t>1434-6044</t>
  </si>
  <si>
    <t>1434-6052</t>
  </si>
  <si>
    <t>10.1140/epjc/s10052-012-2150-7</t>
  </si>
  <si>
    <t>WOS:000309707300017</t>
  </si>
  <si>
    <t>Cortez-San Martin, M; González-Contreras, A; Avendaño-Herrera, R</t>
  </si>
  <si>
    <t>Cortez-San Martin, M.; Gonzalez-Contreras, A.; Avendano-Herrera, R.</t>
  </si>
  <si>
    <t>Infectivity study of Streptococcus phocae to seven fish and mammalian cell lines by confocal microscopy</t>
  </si>
  <si>
    <t>JOURNAL OF FISH DISEASES</t>
  </si>
  <si>
    <t>Streptococcus phocae is a beta-haemolytic bacterium that causes systemic infections in Atlantic salmon, Salmo salar L., cultured in southern Chile and also in seals. In this study, the hostpathogen interaction between S. phocae and seven types of cell lines (fish and mammalian) was examined using an indirect fluorescent antibody and confocal microscopy (CM). Chinook salmon embryo (CHSE-214), epithelioma papulosum cyprini (EPC), salmon head kidney (SHK-1) and Atlantic salmon kidney were used as the fish cell lines, while human cervix epithelial adenocarcinoma (HeLa), African green monkey kidney fibroblast (Cos-7) and mouse leukaemic monocyte macrophage (Raw 264.7) were included as mammalian cell lines. Streptococcus phocae type strain ATCC 51973T and isolates LM-08-Sp and P23 were selected as representatives from the salmon and seal host, respectively. For the CM examination, monolayers seeded on round coverslips were studied at 2- and 20-h post-inoculation (pi). The results showed that there is no common infectivity pattern between the three S. phocae strains at 2-h pi and the cell lines tested, regardless of the source of isolation (seal or salmon). All S. phocae strains could internalize and were found inside the fish and mammalian cell cytoplasm after 20-h pi. Regardless of the cells studied (fish or mammal) and incubation (2 and 20 h), S. phocae was never observed inside the nuclei. Seal and salmon isolates showed the highest number of bacteria entering into the primate cell lines (HeLa and Cos-7) from 2-h pi, while ATCC 51973T was not found outside or inside the HeLa and Cos-7 cells.</t>
  </si>
  <si>
    <t>Avendaño-Herrera, Ruben/H-2368-2015</t>
  </si>
  <si>
    <t>Avendano-Herrera, Ruben/0000-0001-5368-4475</t>
  </si>
  <si>
    <t>0140-7775</t>
  </si>
  <si>
    <t>1365-2761</t>
  </si>
  <si>
    <t>10.1111/j.1365-2761.2012.01361.x</t>
  </si>
  <si>
    <t>WOS:000303808300004</t>
  </si>
  <si>
    <t>Heredero, RH; Reyes, EG</t>
  </si>
  <si>
    <t>Hernandez Heredero, Rafael; Reyes, Enrique G.</t>
  </si>
  <si>
    <t>Geometric Integrability of the Camassa-Holm Equation. II</t>
  </si>
  <si>
    <t>INTERNATIONAL MATHEMATICS RESEARCH NOTICES</t>
  </si>
  <si>
    <t>It is known that the Camassa-Holm (CH) equation describes pseudo-spherical surfaces and that therefore its integrability properties can be studied by geometrical means. In particular, the CH equation admits nonlocal symmetries of pseudo-potential type: the standard quadratic pseudo-potential associated with the geodesics of the pseudo-spherical surfaces determined by (generic) solutions to CH, allows us to construct a covering pi of the equation manifold of CH on which nonlocal symmetries can be explicitly calculated. In this article, we present the Lie algebra of (first-order) nonlocal pi-symmetries for the CH equation, and we show that this algebra contains a semidirect sum of the loop algebra over sl(2,R) and the centerless Virasoro algebra. As applications, we compute explicit solutions, we construct a Darboux transformation for the CH equation, and we recover its recursion operator. We also extend our results to the associated Camassa-Holm equation introduced by J. Schiff.</t>
  </si>
  <si>
    <t>Reyes, Enrique/AAD-1308-2019; Hernandez Heredero, Rafael/H-4798-2015</t>
  </si>
  <si>
    <t>Hernandez Heredero, Rafael/0000-0002-6387-1378; Reyes, Enrique G./0000-0001-8460-444X</t>
  </si>
  <si>
    <t>1073-7928</t>
  </si>
  <si>
    <t>1687-0247</t>
  </si>
  <si>
    <t>10.1093/imrn/rnr120</t>
  </si>
  <si>
    <t>WOS:000305826600006</t>
  </si>
  <si>
    <t>Galotto, MJ; Torres, A; Guarda, A; Moraga, N; Romero, J</t>
  </si>
  <si>
    <t>Galotto, M. J.; Torres, A.; Guarda, A.; Moraga, N.; Romero, J.</t>
  </si>
  <si>
    <t>Experimental and theoretical study of LDPE: Evaluation of different food simulants and temperatures</t>
  </si>
  <si>
    <t>The mass transfer process of additives from plastic packaging to food is of great importance and interest because of the possible harmful effects on the human health. In this work the effect of different food simulants (EtOH 10-50%) and temperatures (28-60 degrees C) on the specific migration of Octadecyl 3-(3,5-di-tert-butyl-4-hydroxyphenyl) propionate (1-1076) from LDPE films is experimentally and theoretically studied, considering also the antioxidant stability in the food simulants studied at different temperatures. On the other hand, a phenomenological model based on a resistances-in-series which was resolved through the Regula Falsi algorithm according to a routine that considers the income of the structural parameters of the system and experimental conditions in which migration testing was performed. Diffusion coefficients of 1-1076 in LOPE were ranged between 8.0E10-14 and 1.2E10-12 (m(2) s(-1)) for temperatures of 28 to 60 degrees C, respectively. The coupled effect of mass transfer and thermodynamical aspects was analyzed through the parameter Bi/K-p/Fs proposed in this work, estimated in order to identify the combined contribution of the transport rate and the availability of the migrant compound in the food phase. (C) 2011 Elsevier Ltd. All rights reserved.</t>
  </si>
  <si>
    <t>10.1016/j.foodres.2011.07.028</t>
  </si>
  <si>
    <t>WOS:000296798300066</t>
  </si>
  <si>
    <t>Vogel, EH; Vera-Villarroel, P</t>
  </si>
  <si>
    <t>Vogel, Edgar H.; Vera-Villarroel, Pablo</t>
  </si>
  <si>
    <t>Psychology and Natural Disasters: Earthquake and Tsunami in Chile on February 27, 2010</t>
  </si>
  <si>
    <t>This special issue of Terapia Psicologica is an attempt to organize preliminary information collected by researchers on the psychological consequences of the natural disaster occurred in the south central zone of Chile on February 27, 2010. This issue is also focused on the types of psychological interventions that have been conducted in the affected zones, also emphasizing the need to define intervention strategies for middle- and long-term effects of this phenomenon. Finally, some intervention strategies applied in other countries are reviewed.</t>
  </si>
  <si>
    <t>vogel, edgar/KWT-7590-2024; Vera-Villarroel, Pablo/A-1134-2011</t>
  </si>
  <si>
    <t>Vera-Villarroel, Pablo/0000-0001-9187-8414; Vogel, Edgar/0000-0001-6999-6991</t>
  </si>
  <si>
    <t>WOS:000293210700001</t>
  </si>
  <si>
    <t>Reyes, A; Bubnovich, V; Bustos, R; Vásquez, M; Vega, R; Scheuermann, E</t>
  </si>
  <si>
    <t>Reyes, A.; Bubnovich, V.; Bustos, R.; Vasquez, M.; Vega, R.; Scheuermann, E.</t>
  </si>
  <si>
    <t>Comparative Study of Different Process Conditions of Freeze Drying of 'Murtilla' Berry</t>
  </si>
  <si>
    <t>DRYING TECHNOLOGY</t>
  </si>
  <si>
    <t>Different operating conditions for drying halves of 'Murtilla', a native Chilean berry food species, were studied in atmospheric freeze drying, using dry air through a pulsed fluidized bed, and vacuum freeze drying. Applying a 23 experimental design, the effect of the freezing rate, the air temperature, and the application of infrared radiation was studied on the moisture content and the drying time. Fast freezing with infrared (IR) and air at 15 degrees C for the second drying stage allowed achieving final moisture contents similar to vacuum freeze drying in equivalent total drying periods. Drying at the same conditions except with air at 5 degrees C resulted in a larger preservation of antioxidant capacity of the fresh fruit. Also, the texture was adequate for a dry fruit, with a pleasant flavor for direct consumption or mixed with yogurt. The drying kinetics of the first drying stage was modeled by an equation based on the uniformly retreating ice front model, which gave a reasonable description of the trend for this stage, although it does not include the application of IR radiations or the rate of freezing. The Page equation was an adequate tool to represent the second drying stage (which started after 7h) for each experimental run, by using specific parameters (n and k) obtained by fitting the experimental data. The parameters exhibited similar values to those cited in the literature for foods.</t>
  </si>
  <si>
    <t>Scheuermann, Erick/J-6222-2013; Bustos, Ruben/AAM-2029-2020</t>
  </si>
  <si>
    <t>SCHEUERMANN, ERICK/0000-0002-6782-662X; Bustos, Ruben/0000-0003-0183-0324</t>
  </si>
  <si>
    <t>0737-3937</t>
  </si>
  <si>
    <t>PII 930108886</t>
  </si>
  <si>
    <t>10.1080/07373937.2010.482687</t>
  </si>
  <si>
    <t>WOS:000284612300011</t>
  </si>
  <si>
    <t>Rubio, MA; Lissi, E; Villena, G; Elshorbany, YF; Kleffmann, J; Kurtenbach, R; Wiesen, P</t>
  </si>
  <si>
    <t>Rubio, Maria A.; Lissi, Eduardo; Villena, Guillermo; Elshorbany, Y. F.; Kleffmann, Joerg; Kurtenbach, Ralf; Wiesen, Peter</t>
  </si>
  <si>
    <t>Simultaneous measurements of formaldehyde and nitrous acid in dews and gas phase in the atmosphere of Santiago, Chile</t>
  </si>
  <si>
    <t>The amounts of formaldehyde and nitrous acid (HONO) in gas phase and dews of Santiago de Chile were simultaneously measured. Formaldehyde concentrations values in the liquid phase (dews) correlate fairly well with those in the gaseous phase and are even higher than those expected from gas-dew equilibrium. On the other hand, nitrite concentrations in dews were considerably smaller (ca. 15 times) than those expected from the gas-phase concentrations. This under-saturation is attributed to diffusion limitations due to the relatively large HONO solubility. In agreement with this, under-saturation increases with the rate of dew formation and the pH of the collected waters, factors that should increase the rate of gas to liquid HONO transfer required to reach equilibrium. Published by Elsevier Ltd.</t>
  </si>
  <si>
    <t>Elshorbany, Yasin/N-1050-2019; Bajo, Maria/ABF-6991-2020; Elshorbany, Yasin/B-3661-2008</t>
  </si>
  <si>
    <t>Villena, Guillermo/0000-0002-1867-1879; Elshorbany, Yasin/0000-0001-8883-3522</t>
  </si>
  <si>
    <t>10.1016/j.atmosenv.2009.09.017</t>
  </si>
  <si>
    <t>WOS:000272276000014</t>
  </si>
  <si>
    <t>Simpson, R; Acevedo, C; Almonacid, S</t>
  </si>
  <si>
    <t>Simpson, R.; Acevedo, C.; Almonacid, S.</t>
  </si>
  <si>
    <t>Mass transfer of CO2 in MAP systems: Advances for non-respiring foods</t>
  </si>
  <si>
    <t>JOURNAL OF FOOD ENGINEERING</t>
  </si>
  <si>
    <t>The use of technologies that modify food environment for preservation purposes has been extensively studied in the past two decades. Even though technological advances have been made, most of the modified atmosphere packaging (MAP) development has been empirical. In this short communication. a revision of general equations of mass transfer and criteria to design MAP systems was carried out. Mathematical relationships and models to evaluate the flux of CO2 for the packaging of non-respiring foods are discussed. Data to predict CO2 uptake for the food, such as solubility and diffusion in refrigerated MAP systems are given. (c) 2008 Elsevier Ltd. All rights reserved.</t>
  </si>
  <si>
    <t>Acevedo, Cristian/D-5133-2011; Simpson, Ricardo/J-3775-2019</t>
  </si>
  <si>
    <t>0260-8774</t>
  </si>
  <si>
    <t>1873-5770</t>
  </si>
  <si>
    <t>10.1016/j.jfoodeng.2008.10.035</t>
  </si>
  <si>
    <t>WOS:000263940100015</t>
  </si>
  <si>
    <t>Strong solutions to stochastic Volterra equations</t>
  </si>
  <si>
    <t>In this paper stochastic Volterra equations admitting exponentially bounded resolvents are studied. After obtaining covergence of resolvents, some properties for stochastic convolutions are studied. Our main results provide sufficient conditions for strong solutions to stochastic Volterra equations. (c) 2008 Elsevier Inc. All rights reserved.</t>
  </si>
  <si>
    <t>Karczewska, Anna/0000-0001-7160-7908; Lizama, Carlos/0000-0002-9807-1100</t>
  </si>
  <si>
    <t>JAN 15</t>
  </si>
  <si>
    <t>10.1016/j.jmaa.2008.09.005</t>
  </si>
  <si>
    <t>WOS:000260266500001</t>
  </si>
  <si>
    <t>Houbaert, Y; Ros-Yáñez, T; Monsalve, A; Lorenzo, JB</t>
  </si>
  <si>
    <t>Houbaert, Yvan; Ros-Yanez, Tanya; Monsalve, Alberto; Lorenzo, Jose Barros</t>
  </si>
  <si>
    <t>Texture evolution in experimental grades of high-silicon electrical steel</t>
  </si>
  <si>
    <t>PHYSICA B-CONDENSED MATTER</t>
  </si>
  <si>
    <t>7th Latin American Workshop on Magnetism, Magnetic Materials and Their Applications</t>
  </si>
  <si>
    <t>DEC 12-16, 2005</t>
  </si>
  <si>
    <t>Renaca, CHILE</t>
  </si>
  <si>
    <t>Abdus Salam Int Ctr Theoret Phys,Centro Latinamericano Fis,Int Union Crystallog,Int Union Pure &amp; Appl Phys,Millennium Sci Nucleus,Off Naval Res Global</t>
  </si>
  <si>
    <t>A short introduction on crystallographic texture analysis is given, followed by a discussion concerning its effect on the magnetic quality of electrical steel. A specific texture parameter A is defined and used to estimate the magnetic quality of texture components. It is shown that obtaining the best possible texture in non oriented electrical steel can reduce the losses down to 1.5W/kg. The texture evolution in a new non conventional production scheme high silicon electrical steel is described: immersion-diffusion process by hot dipping in a Si- and Al-rich bath followed by diffusion annealing. (c) 2006 Elsevier B.V. All rights reserved.</t>
  </si>
  <si>
    <t>Monsalve, Alberto/0000-0002-5772-8815</t>
  </si>
  <si>
    <t>0921-4526</t>
  </si>
  <si>
    <t>OCT 1</t>
  </si>
  <si>
    <t>10.1016/j.physb.2006.06.019</t>
  </si>
  <si>
    <t>WOS:000241020700094</t>
  </si>
  <si>
    <t>Hernández, E; Henríquez, HR</t>
  </si>
  <si>
    <t>Impulsive partial neutral differential equations</t>
  </si>
  <si>
    <t>In this work we study the existence and regularity of mild solutions for impulsive first order partial neutral functional differential equations with unbounded delay. (c) 2005 Elsevier Ltd. All rights reserved.</t>
  </si>
  <si>
    <t>Hernández, Eduardo/N-4531-2013</t>
  </si>
  <si>
    <t>Hernandez, Eduardo/0000-0002-4279-8570</t>
  </si>
  <si>
    <t>10.1016/j.aml.2005.04.005</t>
  </si>
  <si>
    <t>WOS:000235509700001</t>
  </si>
  <si>
    <t>Matsuhiro, B; Presle, LC; Saenz, C; Urzua, CC</t>
  </si>
  <si>
    <t>Structural determination and chemical modifications of the polysaccharide from seeds of Prosopis chilensis Mol. (Stuntz)</t>
  </si>
  <si>
    <t>The polysaccharide extracted from Prosopis chilensis seeds in acidic medium showed by total hydrolysis and gas-liquid chromatography analysis of the alditol acetates to be composed of galactose and mannose in the molar ratio 1.0:1.9. Studies by methylation and H-1 and C-13 NMR spectroscopy indicated that the polysaccharide was a galactomannan with a chain of D-mannopyranosyl residues linked beta 1 -&gt; 4 which carried alternatively a-D-galactopyranosyl residues at position O-6 of D-mannose units. The chemical modification of the galactomannan by reaction with sodium chloroacetate afforded in 95.3% yield, a derivative which gave a very viscous solution with water. By titration it was determined a carboxymethylation degree of 0.42 indicating that 64% of the alcoholic groups were etherified. Reaction of the galactomannan with TEMPO-NaCl-NaOBr system gave a water soluble polysaccharide. The DEPT 135 degrees NMR spectrum indicated that the primary alcoholic groups of galactopyranosyl and unbranched mannopyranosyl residues were fully oxidised.</t>
  </si>
  <si>
    <t>Saenz, Carmen/I-1027-2013</t>
  </si>
  <si>
    <t>WOS:000236260500010</t>
  </si>
  <si>
    <t>Litim, DF; Vergara, L</t>
  </si>
  <si>
    <t>Subleading critical exponents from the renormalisation group</t>
  </si>
  <si>
    <t>PHYSICS LETTERS B</t>
  </si>
  <si>
    <t>We study exact renormalisation group equations for the 3d Ising universality class. At the Wilson-Fisher fixed point, symmetric and antisymmetric correction-to-scaling exponents are computed with high accuracy for an optimised cutoff to leading order in the derivative expansion. Further results are derived for other cutoffs including smooth, sharp and background field cutoffs. An estimate for higher order corrections is given as well. We establish that the leading antisymmetric corrections to scaling are strongly subleading compared to the leading symmetric ones. (C) 2003 Elsevier B.V. All rights reserved.</t>
  </si>
  <si>
    <t>Vergara, Lautaro/V-2736-2019</t>
  </si>
  <si>
    <t>Litim, Daniel/0000-0001-9963-5345</t>
  </si>
  <si>
    <t>0370-2693</t>
  </si>
  <si>
    <t>1873-2445</t>
  </si>
  <si>
    <t>FEB 19</t>
  </si>
  <si>
    <t>3-4</t>
  </si>
  <si>
    <t>10.1016/j.physletb.2003.11.047</t>
  </si>
  <si>
    <t>WOS:000188698300017</t>
  </si>
  <si>
    <t>Encinas, MV; Gonzalez-Nilo, FD; Goldie, H; Cardemil, E</t>
  </si>
  <si>
    <t>Ligand interactions and protein conformational changes of phosphopyridoxyl-labeled Escherichia coli phosphoenolpyruvate carboxykinase determined by fluorescence spectroscopy.</t>
  </si>
  <si>
    <t>BIOCHEMISTRY</t>
  </si>
  <si>
    <t>González-Nilo, Fernando/M-5671-2016; Encinas, Maria/L-9686-2014</t>
  </si>
  <si>
    <t>0006-2960</t>
  </si>
  <si>
    <t>JUL 16</t>
  </si>
  <si>
    <t>WOS:000176777000083</t>
  </si>
  <si>
    <t>Ureta-Zañartu, MS; Bustos, P; Berríos, C; Diez, MC; Mora, ML; Gutiérrez, C</t>
  </si>
  <si>
    <t>Electrooxidation of 2,4-dichlorophenol and other polychlorinated phenols at a glassy carbon electrode</t>
  </si>
  <si>
    <t>ELECTROCHIMICA ACTA</t>
  </si>
  <si>
    <t>The electrooxidation of 2,4-dichlorophenol (2,4-DCP) on a rotating GC disk electrode has been studied by cyclic voltammetry and chronoamperometry at different pH values. A dual mechanism where one pathway yields a quinone-like species and the other one leads to insoluble polymers that passivate the electrode surface is proposed. From a comparative study of the electrooxidation of several DCPs at pH 2.2, it is concluded that for the same number of chlorine atoms the ortho isomer is oxidized at a lower potential than the para isomer. The anodic peak potential for electrooxidation of the chlorophenols (CPs) on glassy carbon increases with increasing pK(a), with a slope of 35 mV (pK(a) unit)(-1), illustrating the correlation of one chemical parameter of the CPs, namely their acidity constant, with their electrochemical reactivity. (C) 2002 Elsevier Science Ltd. All rights reserved.</t>
  </si>
  <si>
    <t>Mora Gil, Maria Luz/AAT-4081-2021; Diez, Cristina/C-9130-2015; Ureta-Zañartu, Maria/G-5239-2019</t>
  </si>
  <si>
    <t>Diez, Maria Cristina/0000-0002-9494-1551; ureta zanartu, maria soledad/0000-0002-9431-9965; Mora, Maria Luz/0000-0002-7474-1595</t>
  </si>
  <si>
    <t>0013-4686</t>
  </si>
  <si>
    <t>1873-3859</t>
  </si>
  <si>
    <t>JUN 5</t>
  </si>
  <si>
    <t>PII S0013-4686(02)00043-9</t>
  </si>
  <si>
    <t>10.1016/S0013-4686(02)00043-9</t>
  </si>
  <si>
    <t>WOS:000176301900006</t>
  </si>
  <si>
    <t>Barbato, S; Gautier, JL</t>
  </si>
  <si>
    <t>Hollandite cathodes for lithium ion batteries.: 2.: Thermodynamic and kinetics studies of lithium insertion into BaMMn7O16 (M = Mg, Mn, Fe, Ni)</t>
  </si>
  <si>
    <t>The thermodynamics and kinetics of the lithium insertion reaction into hollandite oxides BaMMn7O16 (M = Mg, Mn, Fe, Ni) have been studied. The electrochemical lithium insertion was achieved using the oxide as the cathode at current densities from 0.025 to 0.1 mA cm(-2), using 1 M LiClO4 solution of PC and EC. The Ni compound inserts about three times more efficiently than the Mn compound. The changes of the partial molar enthalpy and the molar entropy as a function of the degree of insertion (x) were estimated from emf-temperature measurements in the range from 298 to 360 K. These thermodynamic parameters varied with the oxide composition and with the Li concentration in the oxide structure. The chemical diffusion coefficient for lithium D* in the hollandite and the electrical conductivity of the oxides were measured as a function of the lithium composition. Both parameters decrease with x, the largest variation being observed around x = 1. The values of D*, measured at 298 K, followed the order: Ni &gt; Fe &gt; Mg = Mn. The hollandite oxides were characterized by X-ray diffraction analysis and magnetic susceptibility measurements as a function of temperature in the range 298-550 K which in turn allows postulation of each cationic distribution. BaNiMn7O16 inserts almost 6 mol of lithium ions per mole of the oxide. (C) 2001 Elsevier Science Ltd. All rights reserved.</t>
  </si>
  <si>
    <t>MAY 31</t>
  </si>
  <si>
    <t>10.1016/S0013-4686(01)00506-0</t>
  </si>
  <si>
    <t>WOS:000169297600004</t>
  </si>
  <si>
    <t>Cardenas-Jirón, GI; Zuloaga, F</t>
  </si>
  <si>
    <t>Acetic acid molecular aggregates:: Energy and softness of hydrogen bonding</t>
  </si>
  <si>
    <t>JOURNAL OF PHYSICAL CHEMISTRY A</t>
  </si>
  <si>
    <t>We present a theoretical study of global and local energetic and electronic properties to rationalize the formation process of molecular aggregates of acetic acid. Total energy, electronic chemical potential (mu), hardness (eta), and softness (S) are determined as a function of the size of the aggregate. We show that mu, eta, and S are observable properties to indicate structural changes occurring along the aggregation process. From the local point of view, the hydrogen bonding is characterized by making use of the energy and softness (SOH) associated with that interaction. In relation to the determination of S-O ... H we propose an analytic form to obtain the hydrogen bonding fukui function. The excellent results obtained indicate that our model is useful for characterizing local intermolecular interactions and provides a starting point to determine indexes of local reactivity in these molecular systems. A global and local Principle of Minimum Softness is shown to be occurring when the aggregate is growing.</t>
  </si>
  <si>
    <t>Cardenas-Jiron, Gloria/H-9508-2012</t>
  </si>
  <si>
    <t>Cardenas-Jiron, Gloria/0000-0003-4305-8088</t>
  </si>
  <si>
    <t>1089-5639</t>
  </si>
  <si>
    <t>1520-5215</t>
  </si>
  <si>
    <t>OCT 7</t>
  </si>
  <si>
    <t>10.1021/jp991152n</t>
  </si>
  <si>
    <t>WOS:000083151200015</t>
  </si>
  <si>
    <t>Dafonte, JC; Arcay, B; Taboada, JA</t>
  </si>
  <si>
    <t>Database based reasoning for real time monitoring and data analysis in intensive care units</t>
  </si>
  <si>
    <t>EXPERT SYSTEMS</t>
  </si>
  <si>
    <t>The complexity of the monitored data available in modern intensive care units (ICUs) means that they are best processed, for presentation to medical staff by expert system techniques. This article describes an expert system that has an appropriately designed inference engine, handling the temporal considerations inherent in monitoring and manages data acquisition via a Medical Information Bus. Also, we will describe here we extended our monitoring system in ICUs by writing an interface allowing communication in dynamic Set with a relational database management system. The extended system facilitates both permanent filing of case data and rite use of filed data by the rules of the expert system, and allow's automatic intelligent screening of data prior to permanent filing so as to ensure data reliability.</t>
  </si>
  <si>
    <t>Dafonte, Carlos/L-8502-2014; Taboada Gonzalez, Jose Angel/L-5844-2014</t>
  </si>
  <si>
    <t>Taboada Gonzalez, Jose Angel/0000-0003-1897-1537</t>
  </si>
  <si>
    <t>0266-4720</t>
  </si>
  <si>
    <t>1468-0394</t>
  </si>
  <si>
    <t>10.1111/1468-0394.00056</t>
  </si>
  <si>
    <t>WOS:A1997YF61800003</t>
  </si>
  <si>
    <t>GarciaHuidobro, M; Ubilla, P</t>
  </si>
  <si>
    <t>Multiplicity of solutions for a class of nonlinear second-order equations</t>
  </si>
  <si>
    <t>NONLINEAR ANALYSIS-THEORY METHODS &amp; APPLICATIONS</t>
  </si>
  <si>
    <t>0362-546X</t>
  </si>
  <si>
    <t>10.1016/S0362-546X(96)00014-4</t>
  </si>
  <si>
    <t>WOS:A1997WH03500005</t>
  </si>
  <si>
    <t>PARDO, F; PERICH, F; VILLARROEL, L; TORRES, R</t>
  </si>
  <si>
    <t>ISOLATION OF VERBASCOSIDE, AN ANTIMICROBIAL CONSTITUENT OF BUDDLEJA-GLOBOSA LEAVES</t>
  </si>
  <si>
    <t>JOURNAL OF ETHNOPHARMACOLOGY</t>
  </si>
  <si>
    <t>0378-8741</t>
  </si>
  <si>
    <t>10.1016/0378-8741(93)90041-3</t>
  </si>
  <si>
    <t>WOS:A1993LY83900011</t>
  </si>
  <si>
    <t>TRIER, A; HORVATH, H</t>
  </si>
  <si>
    <t>A STUDY OF THE AEROSOL OF SANTIAGO-DE-CHILE .2. MASS EXTINCTION COEFFICIENTS, VISIBILITIES AND ANGSTROM EXPONENTS</t>
  </si>
  <si>
    <t>ATMOSPHERIC ENVIRONMENT PART A-GENERAL TOPICS</t>
  </si>
  <si>
    <t>The atmosphere of Santiago de Chile has been investigated by telephotometry. Spectral extinction coefficients were measured during the time period between September 1988 and January 1989 (mid-spring to mid-summer) and again from February 1990 to June 1990 (autumn to mid-winter). The measured data give a distinct daily pattern which on the average shows high values in the morning and a steady decrease in the afternoon. A similar pattern is found for the mass concentration of particulate matter but not for sulphur dioxide. The extinction coefficient in Santiago decreases generally with increasing wavelength; a satisfactory approximation for the wavelength dependence of the extinction coefficient on the average is a power law with an Angstrom exponent of alpha = 1.22. Measured extinction coefficients correlate well with mass concentration of suspended inhalable particulate matter. Mass extinction coefficients in Santiago are higher but comparable to other locations; a representative value of 5 m2 g-1 can be given. The measured extinction coefficients show strong statistical correlations with visibilities observed at three airports in and near Santiago. A comparison with atmospheric pollution indicators in other large cities shows that the daily pattern of variation of the extinction coefficient in Santiago de Chile is markedly different and that the values of the extinction coefficients and mass concentrations observed in Santiago are higher than or comparable to European and Asian cities. Pollutant dispersion from the Santiago air basin is dependent on thermal inversion phenomena, air pollution indicators being high in the morning and much lower in the afternoon.</t>
  </si>
  <si>
    <t>0004-6981</t>
  </si>
  <si>
    <t>10.1016/0960-1686(93)90112-C</t>
  </si>
  <si>
    <t>WOS:A1993KQ75200010</t>
  </si>
  <si>
    <t>LISSI, EA; ROSENBLUTH, H</t>
  </si>
  <si>
    <t>DISRUPTION EFFECTS OF CARBON-TETRACHLORIDE ON RAT-LIVER MICROSOMES</t>
  </si>
  <si>
    <t>Lipid fluidity in rat liver microsomes was assessed by the steady state fluorescence polarization of stearic acid labelled at positions 2, 7 or 12 with 9-anthroyl groups. Oxygen solubility and/or mobility was determined by measuring the quenching rate of different pyrene derivatives containing an aromatic group separated from the microsome surface by 1, 4 or 11 methylene groups. The fluorescence of these compounds, as well as that from methylpyrene and benzo(alpha)pyrene, was quenched by carbon tetrachloride. The effect of the latter compound and of n-heptanol on the fluorescence polarization of the anthracene derivatives and the quenching rate by oxygen was also determined. The results obtained indicate that the lipid order decreases and the solubility and/or mobility of oxygen increases towards the bilayer core. The addition of carbon tetrachloride decreases the order of the membrane and increases the rate of fluorescence quenching by oxygen. The largest effect of the additive on the fluorescence quenching rate by oxygen is observed at intermediate positions in the bilayer. n-Heptanol addition decreases the membrane order and increases the rate of fluorescence quenching by oxygen or carbon tetrachloride, the maximum effect being observed at the microsomal surface. The differences between the effects of the two additives are discussed in terms of their different localizations. Fluorescence quenching by oxygen is considerably more affected by carbon tetrachloride than fluorescence depolarization. In addition, the maximum effect takes place at different positions in the membrane. These differences are interpreted in terms of the limited portion of the membrane which determines the extent of fluorescence depolarization, in contrast with the large portions of the membrane sensed by the oxygen molecule in the fluorescence quenching experiments.</t>
  </si>
  <si>
    <t>10.1016/1011-1344(93)85004-R</t>
  </si>
  <si>
    <t>WOS:A1993KJ27800003</t>
  </si>
  <si>
    <t>ABUIN, EB; LISSI, E; CASAL, HL</t>
  </si>
  <si>
    <t>INFLUENCE OF COUNTERION IDENTITY ON THE PROPERTIES OF DODECYL-SULFATE MICELLES - A STUDY BY IR AND FLUORESCENCE METHODS</t>
  </si>
  <si>
    <t>JOURNAL OF PHOTOCHEMISTRY AND PHOTOBIOLOGY A-CHEMISTRY</t>
  </si>
  <si>
    <t>The effect of the identity of the counter-ion on the structural characteristics of dodecylsulphate micelles was investigated using techniques based on the interpretation of the IR and fluorescence spectroscopic behavior of guest molecules. 6-Undecanone and pyrene were used as guests in the IR and fluorescence studies respectively. The counter-ions considered were lithium, sodium, tetramethylammonium and tetraethylammonium ions. The structural features of the micelles were revealed by monitoring parameters which allow for a qualitative analysis of the extent of exposure of the guest molecules to water. The spectroscopic behaviour of the probes was also examined in the micellar solutions in the presence of additives (n-hexanol and salts). The results obtained indicate that, of the counter-ions investigated, lithium promotes the formation of micelles with the roughest surfaces, followed in decreasing order by sodium, tetramethylammonium and tetraethylammonium ions. The micelles modified by incorporation of n-hexanol or addition of salt induce the displacement of the probes from the surface; the effect is greatest in lithium dodecylsulphate micelles.</t>
  </si>
  <si>
    <t>1010-6030</t>
  </si>
  <si>
    <t>APR 10</t>
  </si>
  <si>
    <t>10.1016/1010-6030(91)85028-F</t>
  </si>
  <si>
    <t>WOS:A1991FJ78100028</t>
  </si>
  <si>
    <t>CANALES, J; OLEA, C; MENA, G; VALENZUELA, J; COSTAMAGNA, J; VARGAS, YJ</t>
  </si>
  <si>
    <t>SPECTROSCOPIC AND ELECTROCHEMICAL CHARACTERIZATION OF NITROHYDROXYNAPHTHALDEHYDES</t>
  </si>
  <si>
    <t>Olea, Claudio/I-1605-2013</t>
  </si>
  <si>
    <t>WOS:A1990DZ69900008</t>
  </si>
  <si>
    <t>BRAVO, LM; SALAS, CE</t>
  </si>
  <si>
    <t>CHANGES IN DNA METHYLTRANSFERASE INDUCED BY TREATMENT WITH N-2-ACETYLAMINOFLUORENE</t>
  </si>
  <si>
    <t>MUTATION RESEARCH</t>
  </si>
  <si>
    <t>We have compared the levels of DNA methyltransferases from rat liver and spleen in both sexes following a single injection of N-2-acetylaminofluorene (AAF). Enzyme extracts from treated animals were obtained at different intervals (2-34 days) after treatment. The extracts were assayed in the presence of chicken erythrocyte DNA and S-adenosyl-L-[Me-3H]methionine. A 55% increase in male rat-liver methyltransferase activity measured by Me-3H incorporation into DNA occurred on day 14. By contrast, female methyltransferase after a similar period revealed a 33% decrease in activity. Between days 21 and 34, there is a progressive return to normal methyltransferase levels. Spleen-derived enzyme studied between days 7 and 14, showed a decrease in methylating activity in both sexes. After replacing corn seed oil by ethanol as the vehicle for AAF injection, we observed a change in liver methyltransferase 48 h after injection. Quantification of radioactive eluates in m5C fractions together with the increase in the integrated area identified as m5 C in HPLC chromatograms allowed positive identification of methylated products.</t>
  </si>
  <si>
    <t>0921-8262</t>
  </si>
  <si>
    <t>10.1016/0027-5107(89)90217-0</t>
  </si>
  <si>
    <t>WOS:A1989AZ13100006</t>
  </si>
  <si>
    <t>ATMOSPHERIC EXTINCTION IN SANTIAGO, CHILE</t>
  </si>
  <si>
    <t>JOURNAL OF AEROSOL SCIENCE</t>
  </si>
  <si>
    <t>1989 EUROPEAN AEROSOL CONF</t>
  </si>
  <si>
    <t>SEP 18-23, 1989</t>
  </si>
  <si>
    <t>UNIV VIENNA, VIENNA, AUSTRIA</t>
  </si>
  <si>
    <t>GESELL AEROSOLFORSCH,BUNDESMINIST WISSENSCH &amp; FORSCH,UNIV VIENNA,CHEM PHYS GESELL,BUNDESKAMMER GEWERBLICHEN WIRTSCH,BAYER AUSTRIA,WAAGNER BIRO,WEISCHER MAGNESITWERKE</t>
  </si>
  <si>
    <t>UNIV VIENNA</t>
  </si>
  <si>
    <t>0021-8502</t>
  </si>
  <si>
    <t>10.1016/0021-8502(89)90796-9</t>
  </si>
  <si>
    <t>WOS:A1989CN23100086</t>
  </si>
  <si>
    <t>CASSIS, JH; SEPULVEDA, A</t>
  </si>
  <si>
    <t>OPTIMUM DESIGN OF TRUSSES WITH BUCKLING CONSTRAINTS</t>
  </si>
  <si>
    <t>JOURNAL OF STRUCTURAL ENGINEERING-ASCE</t>
  </si>
  <si>
    <t>0733-9445</t>
  </si>
  <si>
    <t>10.1061/(ASCE)0733-9445(1985)111:7(1573)</t>
  </si>
  <si>
    <t>WOS:A1985ALB2500011</t>
  </si>
  <si>
    <t>Cid, A; Obreque, I</t>
  </si>
  <si>
    <t>Cid, Antonella; Obreque, Israel</t>
  </si>
  <si>
    <t>Modified holographic Ricci interacting dark energy models: dynamical system analysis and Bayesian comparison</t>
  </si>
  <si>
    <t>We perform a dynamical system analysis and a Bayesian model selection for a new set of interacting scenarios in the framework of modified holographic Ricci dark energy (MHR-IDE) models. The dynamical analysis shows a modified radiation epoch and a late-time attractor corresponding to an accelerated phase of holographic dark energy. In the Bayesian comparison, we use a combination of background data including type Ia supernovae, cosmic chronometers, the local value of the Hubble constant, baryon acoustic oscillations, and cosmic microwave background data. We find evidence against all the MHR-IDE scenarios studied in comparison with the Lambda \documentclass[12pt]{minimal} \usepackage{amsmath} \usepackage{wasysym} \usepackage{amsfonts} \usepackage{amssymb} \usepackage{amsbsy} \usepackage{mathrsfs} \usepackage{upgreek} \setlength{\oddsidemargin}{-69pt} \begin{document}$$\varLambda $$\end{document} CDM when the full joint analysis is considered.</t>
  </si>
  <si>
    <t>Cid, Antonella/0000-0003-2119-162X</t>
  </si>
  <si>
    <t>JUN 4</t>
  </si>
  <si>
    <t>10.1140/epjc/s10052-024-12871-x</t>
  </si>
  <si>
    <t>WOS:001239390500004</t>
  </si>
  <si>
    <t>Osorio-Olivares, ME; Vasquez-Martínez, Y; Díaz, K; Canelo, J; Taborga, L; Espinoza-Catalán, L</t>
  </si>
  <si>
    <t>Osorio-Olivares, Mauricio Enrique; Vasquez-Martinez, Yesseny; Diaz, Katy; Canelo, Javiera; Taborga, Lautaro; Espinoza-Catalan, Luis</t>
  </si>
  <si>
    <t>Antibacterial and Antioxidant Activity of Synthetic Polyoxygenated Flavonoids</t>
  </si>
  <si>
    <t>Flavonoids are an abundant class of naturally occurring compounds with broad biological activities, but their limited abundance in nature restricts their use in medicines and food additives. Here we present the synthesis and determination of the antibacterial and antioxidant activities of twenty-two structurally related flavonoids (five of which are new) by scientifically validated methods. Flavanones (FV1-FV11) had low inhibitory activity against the bacterial growth of MRSA 97-7. However, FV2 (C5,7,3 ',4 ' = OH) and FV6 (C5,7 = OH; C4 ' = SCH3) had excellent bacterial growth inhibitory activity against Gram-negative E. coli (MIC = 25 mu g/mL for both), while Chloramphenicol (MIC = 25 mu g/mL) and FV1 (C5,7,3 ' = OCH3; 4 ' = OH) showed inhibitory activity against Gram-positive L. monocytogenes (MIC = 25 mu g/mL). From the flavone series (FO1-FO11), FO2 (C5,7,3 ',4 ' = OH), FO3 (C5,7,4 ' = OH; 3 ' = OCH3), and FO5 (C5,7,4 ' = OH) showed good inhibitory activity against Gram-positive MRSA 97-7 (MIC = 50, 12, and 50 mu g/mL, respectively), with FO3 being more active than the positive control Vancomycin (MIC = 25 mu g/mL). FO10 (C5,7= OH; 4 ' = OCH3) showed high inhibitory activity against E. coli and L. monocytogenes (MIC = 25 and 15 mu g/mL, respectively). These data add significantly to our knowledge of the structural requirements to combat these human pathogens. The positions and number of hydroxyl groups were key to the antibacterial and antioxidant activities.</t>
  </si>
  <si>
    <t>Espinoza, Luis/0000-0002-4054-7487; Diaz, Katy/0000-0002-7345-1123; Vasquez Martinez, Yesseny Amneris/0000-0002-4184-9815</t>
  </si>
  <si>
    <t>10.3390/ijms25115999</t>
  </si>
  <si>
    <t>WOS:001245407500001</t>
  </si>
  <si>
    <t>Lizama, C; Murillo-Arcila, M</t>
  </si>
  <si>
    <t>Lizama, Carlos; Murillo-Arcila, Marina</t>
  </si>
  <si>
    <t>ON SEMIDISCRETE MODELS DOMINATED BY THE HEAT, WAVE AND LAPLACE EQUATIONS</t>
  </si>
  <si>
    <t>. We introduce a method to solve linear semidiscrete equations that provides for the first time explicit solutions for some well-known models such as the semidiscrete advection-diffusion equation and the semidiscrete LighthillWhitham-Richards equation, among others. We find conditions in the parameters of the model under which it can be dominated by the heat, wave or Laplace equations. We illustrate the fundamental solutions for all the cases based on the newly developed solution formulas. We also study spatial and time regularity in Lebesgue spaces for these models.</t>
  </si>
  <si>
    <t>Murillo, Marina/ABI-7284-2020; Lizama, Carlos/E-5909-2011</t>
  </si>
  <si>
    <t>10.3934/dcds.2024031</t>
  </si>
  <si>
    <t>MAR 2024</t>
  </si>
  <si>
    <t>WOS:001189655800001</t>
  </si>
  <si>
    <t>Abejón, R; Torre-Celeizabal, A; Casado-Coterillo, C; Garea, A</t>
  </si>
  <si>
    <t>Abejon, Ricardo; Torre-Celeizabal, Andrea; Casado-Coterillo, Clara; Garea, Aurora</t>
  </si>
  <si>
    <t>Analysis of the Techno-Economic Competitiveness of a Three-Stage Membrane Separation Process for Biogas Upgrading Using a Biopolymer-Based Mixed-Matrix Membrane</t>
  </si>
  <si>
    <t>ACS SUSTAINABLE CHEMISTRY &amp; ENGINEERING</t>
  </si>
  <si>
    <t>The use of renewable energies and alternative fuels to replace fossil fuels is a goal for reducing greenhouse gas emissions. Biogas is a promising option to substitute natural gas, but adequate purification of the produced biogas is necessary (the CO2 content of raw biogas must be reduced). Membrane technologies have proven its technical viability to purify biogas until the defined requirements. Moreover, membranes based on biopolymers could reduce the environmental footprint of these purification processes. Nevertheless, due to the trade-off between purity and recovery, single-stage processes are not able to attain desired targets, so multiple stages are required to reach the desired high purities and recoveries. The aim of this study is to advance the use of biopolymer-based membranes for the separation of CO2/CH4 and evaluate the economic competitiveness of the designed multistage purification process. For this purpose, a chitosan composite membrane with organic (ionic liquid) and inorganic (titanosilicate) fillers in the selective layer was used to study the multistage configuration, considering CO2 and CH4 as both target products. The process configuration is based on three membrane units operating in series to enrich CO2 in the product stream from the permeate line, while the retentates are collected from each stage and mixed to obtain a CH4-rich stream in the retentate. The target objectives were purities and recoveries of &gt;= 95% of CO2 in the permeate outlet and &gt;= 97% of CH4 in the retentate outlet stream of the multistage process. The economic evaluation of the proposed three-stage separation process was performed for different process scales, from small installations to large plants (100-1000 N m(3) h(-1) feed flow rate basis), operated with two different pressure ratios (8 and 16). Total specific costs and contributions of the different cost terms to fixed and operating costs were estimated. Operating costs were the largest contributor to total costs in all of the scenarios studied. To highlight the total specific costs for the installations of 1000 N m(3) h(-1) capacity, the obtained total costs were 0.33 and 0.20 US $ N m(3-) for the 8 and 16 pressure ratio values, respectively. This latter cost was competitive when compared to the cost published in the literature. Moreover, a sensitivity analysis was performed to evaluate the effects of increased specific costs of materials (membrane cost) and energy (electricity cost) on the total specific costs of the three-stage separation process.</t>
  </si>
  <si>
    <t>Casado-Coterillo, Clara/0000-0002-4454-7652; ABEJON, Ricardo/0000-0002-8030-7752</t>
  </si>
  <si>
    <t>2168-0485</t>
  </si>
  <si>
    <t>JAN 10</t>
  </si>
  <si>
    <t>10.1021/acssuschemeng.3c06676</t>
  </si>
  <si>
    <t>WOS:001146723400001</t>
  </si>
  <si>
    <t>Almeida-Naranjo, CE; Cuestas, J; Guerrero, VH; Villamar-Ayala, CA; Mandzhieva, SS</t>
  </si>
  <si>
    <t>Almeida-Naranjo, Cristina E.; Cuestas, Jeniffer; Guerrero, Victor H.; Villamar-Ayala, Cristina A.; Mandzhieva, Saglara S.</t>
  </si>
  <si>
    <t>Efficient Decontamination: Caffeine/Triclosan Removal using Rice Husk in Batch and Fixed-Bed Columns</t>
  </si>
  <si>
    <t>WATER</t>
  </si>
  <si>
    <t>Abundant, easily accessible, and low-cost agro-industrial residues represent attractive alternatives for removing emerging contaminants from water. In this work, the aqueous adsorption of caffeine/triclosan onto rice husk (RH) was studied in batch and continuous processes. For this purpose, adsorbents with three particle size ranges (120-150, 300-600, 800-2000 mu m) were prepared and evaluated. The composition, structure, surface morphology, functionality, and specific surface area of the RH biosorbents were determined. This characterization revealed that RH primarily consists of lignin, cellulose, and hemicellulose, making up to 80.1% of its composition. RH also exhibited an irregular surface, with several functional groups (OH, C=O, CH, C=C, C-OH), and a relatively small specific surface area (1.18 m2/g). Batch tests were carried out using different RH sizes, doses (1-50 g/L), and contact times (5-300 min), using 20 mL of caffeine/triclosan solutions (30 mg/L). Tests were conducted to fit the most adequate kinetics and isotherm models. The optimal doses (g/L) for caffeine and triclosan removal were 4.5 and 1.5 with small RH, 8.5 and 2.5 with medium RH, and 50.0 and 10.0 with large RH, respectively. The optimal contact times for all three particle sizes were 180 and 60 min. Triclosan removal was greater than that of caffeine (2.5-25.5%) with all three particle sizes, requiring less adsorbent (2.5-5.0 times) and shorter times (3 times). The experimental data fit better the Sips isotherm and Elovich kinetics models. The small (120-150 mu m) particles achieved the highest caffeine/triclosan batch adsorption capacities (6.3/28.6 mg/g). Continuous tests were performed on fixed-bed columns of 1 cm in diameter, packed with 4, 5, and 8 cm of RH, operated with hydraulic loading rates between 2 and 4 m3/m2day. Small particles also reached the highest adsorption capacity in the removal of caffeine (352.7 mg/L) and triclosan (3797.2 mg/L), and the experimental data were well-fitted to the Bohart-Adams model. The research results not only demonstrate the effective removal of contaminants but also illustrate the versatility and applicability of rice husk in various conditions and systems.</t>
  </si>
  <si>
    <t>Guerrero, Victor/AAP-1606-2021; Villamar, Cristina-Alejandra/AAB-4154-2019; Mandzhieva, Saglara/A-1681-2014</t>
  </si>
  <si>
    <t>Villamar, Cristina Alejandra/0000-0003-4654-0670; Guerrero, Victor/0000-0002-5656-2606</t>
  </si>
  <si>
    <t>2073-4441</t>
  </si>
  <si>
    <t>10.3390/w16020197</t>
  </si>
  <si>
    <t>WOS:001151448000001</t>
  </si>
  <si>
    <t>Margarit-Segura, D; Gomez, JC; Moraga, RJ</t>
  </si>
  <si>
    <t>Margarit-Segura, Daisy; Gomez, J. Cristina; Moraga, R. Jorge</t>
  </si>
  <si>
    <t>Presentation Dossier Migrant Mobilities and Trajectories in America: Expressions of an Emerging Multi-Territoriality</t>
  </si>
  <si>
    <t>WOS:001415846000001</t>
  </si>
  <si>
    <t>Rojas-Andrade, R; Agudelo-Hernández, F</t>
  </si>
  <si>
    <t>Rojas-Andrade, Rodrigo; Agudelo-Hernandez, Felipe</t>
  </si>
  <si>
    <t>Validation of an instrument to guide the implementation of strategies for mental health care in Colombia</t>
  </si>
  <si>
    <t>REVISTA PANAMERICANA DE SALUD PUBLICA-PAN AMERICAN JOURNAL OF PUBLIC HEALTH</t>
  </si>
  <si>
    <t>Objectives. To validate the implementation drivers scale among first-level mental health care professionals in Colombia. The scale is designed as a tool to guide the implementation of strategies that effectively reduce gaps in mental health care. Methods. The Active Implementation Framework was adopted, which is a widely used model for measuring implementation. The participants included 380 individuals (55.56% men) - 349 health personnel trained in the Mental Health Gap Action Programme (mhGAP) and 31 territorial personnel in charge of planning mental health strategies at the territorial level in Colombia. To assess the critical dimensions of mhGAP implementation, we developed a scale of 18 items based on the active implementation framework. We conducted content validity assessments and exploratory factor analysis to evaluate the scale. We used the Organizational Readiness for Knowledge Translation scale as a comparative standard. Results. The implementation drivers scale identified four dimensions: system enablers for implementation, accessibility of the strategy, adaptability and acceptability, and strategy training and supervision. These dimensions had Cronbach alpha values of 0.914, 0.868, 0.927, and 0.725, respectively, indicating high internal consistency. In addition, all dimensions demonstrated adequate correlation with the Organizational Readiness for Knowledge Translation scale. Conclusion. The implementation drivers scale effectively determines the adaptability and implementation of various components of mental health programs, particularly those focusing on community -based approaches and primary care settings. As such, this scale can contribute to the more effective implementation of strategies outlined by global and local political frameworks, thus improving mental health care.</t>
  </si>
  <si>
    <t>Hernandez, Andres/KVA-7010-2024</t>
  </si>
  <si>
    <t>AGUDELO HERNANDEZ, ANDRES FELIPE/0000-0002-8356-8878</t>
  </si>
  <si>
    <t>1020-4989</t>
  </si>
  <si>
    <t>1680-5348</t>
  </si>
  <si>
    <t>e10</t>
  </si>
  <si>
    <t>10.26633/RPSP.2024.10</t>
  </si>
  <si>
    <t>WOS:001175864400001</t>
  </si>
  <si>
    <t>Aballay, C; Quezada, L; Sepúlveda, C</t>
  </si>
  <si>
    <t>Aballay, Claudio; Quezada, Luis; Sepulveda, Cristian</t>
  </si>
  <si>
    <t>Model for Technology Selection in the Context of Industry 4.0 Manufacturing</t>
  </si>
  <si>
    <t>PROCESSES</t>
  </si>
  <si>
    <t>Manufacturing companies face significant challenges due to rapid changes in globalized markets and open economies, which are experiencing mega-trends such as urbanization, globalization, and individualization. For sustainable growth, advanced technology is necessary. However, selecting technology is a difficult task due to the wide variety of options in the market. Technology has become a fundamental strategic factor for the growth and profitability of companies. The main objective of this paper is to propose a model and a methodological proposal for technology selection in the context of Industry 4.0 manufacturing. The proposed methodology is divided into three stages: The first stage is of knowledge and intervention, which allows for the socialization of the model and data collection. The second stage is the operational stage, where a hybrid method of FAHP and FANP is used to determine the weights of the factors considered. Lastly, the third stage is the analysis and evaluation stage, where the analysis, discussion, and evaluation of the results take place. To validate the proposed model, the methodology was applied to two case studies in Chilean industrial companies. The results obtained through the FAHP and FANP algorithms enabled decision makers to manage and select the most suitable technology from the wide variety of options available in today's markets.</t>
  </si>
  <si>
    <t>Quezada, Luis/W-8168-2019; Espinoza, Jose R./E-9730-2012</t>
  </si>
  <si>
    <t>Espinoza, Jose R./0000-0001-6648-7518; Aballay Fredes, Claudio/0000-0002-7695-2927; Quezada, Luis/0000-0003-1364-9266</t>
  </si>
  <si>
    <t>2227-9717</t>
  </si>
  <si>
    <t>10.3390/pr11102905</t>
  </si>
  <si>
    <t>WOS:001095275600001</t>
  </si>
  <si>
    <t>Silva-Quiroz, J; Pais, MHR; Faúndez, GA</t>
  </si>
  <si>
    <t>Silva-Quiroz, Juan; Rioseco Pais, Marcelo Humberto; Aranda Faundez, Gonzalo</t>
  </si>
  <si>
    <t>Level of digital competence of students in the first year of initial teacher training: a look from the variables of gender and educational center</t>
  </si>
  <si>
    <t>The assessment of Digital Competence (DC) is a growing demand particularly among university students. It is particularly relevant for those who are training to become teachers, as the use of Digital Technologies (DT) in education requires adequate levels of DC. The objective of this study was to analyze the DC level of first-year initial teacher training (ITT) students from a Chilean public university and its possible relationship with the variables of gender and type of secondary education center. A quantitative methodology was used for a descriptive-inferential study, employing the assessment instrument DIGCOMP-PED [1], which evaluates CD according to the DIGCOMP framework. The study was applied to a sample of 448 first-year FID students in education courses at a Chilean public university. Descriptive and inferential analyses were performed through tstudent and ANOVA tests. The results showed moderate DC levels. Additionally, significant differences were found for the two variables under study. Therefore, it is necessary that ITT programs diagnose the DC level of their students and develop strategies or complementary initiatives for a successful performance. Un adequate DC level during the first years of training favors the academic development of students and the future use of TD in their teaching practice.</t>
  </si>
  <si>
    <t>10.12795/pixelbit.101081</t>
  </si>
  <si>
    <t>WOS:001156417800005</t>
  </si>
  <si>
    <t>Travieso-Torres, JC; Ricaldi-Morales, A; Véliz-Tejo, A; Leiva-Silva, F</t>
  </si>
  <si>
    <t>Travieso-Torres, Juan Carlos; Ricaldi-Morales, Abdiel; Veliz-Tejo, Adolfo; Leiva-Silva, Felipe</t>
  </si>
  <si>
    <t>Robust Cascade MRAC for a Hybrid Grid-Connected Renewable Energy System</t>
  </si>
  <si>
    <t>Hybrid grid-connected renewable energy systems have gained significant importance in sustainably responding to an increased electrical energy demand. These are time-varying nonlinear dynamical plants, where the value of their parameters depends on changing weather conditions and the alternating grid voltage with randomly fluctuating amplitude. This paper proposes a robust cascade MRAC for nonlinear plants representing a class of these systems, which includes n renewable energy converts and a DC/AC single-phase full bridge inverter. The proposal reduces commissioning time by avoiding linearization and knowledge of the plant parameters. Moreover, it includes specific formulas for tuning the controller parameters that decrease their adjustments based on trial and error. Finally, it uses a direct adaptive method with adaptive laws having s? modification and an inner loop at least five times faster than the outer loop. The proposition validation includes the theoretical stability proof based on the Lyapunov stability method and Barbalat's Lemma. Furthermore, it presents comparative simulation results with quoted cascade PI controllers for a monophasic system, including two renewable energy sources and injection. Both techniques effectively track setpoint changes of the energy sources' currents and direct current bus voltage, showing the proposal similar or reduced ripple. At the same time, both ensure robustness against decreased photovoltage panels irradiance, increased fuel cells voltage, and grid voltage amplitude random fluctuations. However, the proposal does these things while avoiding prior linearization and unknowing the plant parameters.</t>
  </si>
  <si>
    <t>Travieso Torres, Juan carlos/N-6437-2019</t>
  </si>
  <si>
    <t>Travieso Torres, Juan carlos/0000-0002-9246-4827; Ricaldi Morales, Abdiel Josadac/0009-0007-8354-3009</t>
  </si>
  <si>
    <t>10.3390/pr11061774</t>
  </si>
  <si>
    <t>WOS:001021159100001</t>
  </si>
  <si>
    <t>Gravandi, MM; Abdian, S; Tahvilian, M; Iranpanah, A; Moradi, SZ; Fakhri, S; Echeverria, J</t>
  </si>
  <si>
    <t>Gravandi, Mohammad Mehdi; Abdian, Sadaf; Tahvilian, Maedeh; Iranpanah, Amin; Moradi, Seyed Zachariah; Fakhri, Sajad; Echeverria, Javier</t>
  </si>
  <si>
    <t>Therapeutic targeting of Ras/Raf/MAPK pathway by natural products: A systematic and mechanistic approach for neurodegeneration</t>
  </si>
  <si>
    <t>PHYTOMEDICINE</t>
  </si>
  <si>
    <t>Background: Multiple dysregulated pathways are behind the pathogenesis of neurodegenerative diseases (NDDs); however, the crucial targets are still unknown. Oxidative stress, apoptosis, autophagy, and inflammation are the most dominant pathways that strongly influence neurodegeneration. In this way, targeting the Ras/Raf/mitogen-activated protein kinases (MAPKs) pathway appears to be a developing strategy for combating NDDs like Parkinson's disease, Alzheimer's disease, stroke, aging, and other NDDs. Accordingly, plant secondary metabolites have shown promising potentials for the simultaneous modulation of the Ras/Raf/MAPKs pathway and play an essential role in NDDs. MAPKs include p38 MAPK, extracellular signal-regulated kinase 1/2 (ERK 1/2), and c-Jun N-terminal kinase (JNK), which are important molecular players in neurodegeneration. Ras/Raf, which is located the upstream of MAPK pathway influences the initiation and progression of neurodegeneration and is regulated by natural products. Purpose: Thus, the present study aimed to investigate the neuroprotective roles of plant- and marine-derived secondary metabolites against several NDDs through the modulation of the Ras/Raf/MAPK signaling pathway. Study design and Methods: A systematic and comprehensive review was performed to highlight the modulatory roles of natural products on the Ras/Raf/MAPK signaling pathway in NDDs, according to the PRISMA guideline, using scholarly electronic databases, including PubMed, Scopus, and Web of Sciences. Associated reference lists were also searched for the literature review. Results: From a total of 1495 results, finally 107 articles were included in the present study. The results show that several natural compounds such as alkaloid, phenolic, terpenoids, and nanoformulation were shown to have modulatory effects on the Ras/Raf/MAPKs pathway. Conclusion: Natural products are promising multi-targeted agents with on NDDs through Ras/Raf/MAPKs pathway. Nevertheless, additional and complementary studies are necessary to check its efficacy and potential side effects.</t>
  </si>
  <si>
    <t>Moradi, Seyed Zachariah/0000-0003-0579-3495; Iranpanah, Amin/0000-0001-8422-6151; Echeverria, Javier/0000-0002-1688-968X</t>
  </si>
  <si>
    <t>0944-7113</t>
  </si>
  <si>
    <t>1618-095X</t>
  </si>
  <si>
    <t>10.1016/j.phymed.2023.154821</t>
  </si>
  <si>
    <t>WOS:000990048500001</t>
  </si>
  <si>
    <t>Femenias, F; Maldonado, M; Miranda, N; Gutierrez, L</t>
  </si>
  <si>
    <t>Femenias, Francisco; Maldonado, Miguel; Miranda, Nicolas; Gutierrez, Leopoldo</t>
  </si>
  <si>
    <t>Flotation Performance and Gas Dispersion Properties in a Laboratory Flotation Cell</t>
  </si>
  <si>
    <t>MINERALS</t>
  </si>
  <si>
    <t>Flotation is a complex process that exhibits high dimensionality which makes modeling and optimization very challenging. One technique to alleviate the dimensionality problem is to combine variables together into more informative ones. Bubble surface area flux and air recovery are examples of dimensionality reduction. Gas holdup also captures the effect of a plurality of variables including gas rate, bubble size, surfactant type, and concentration. This work makes use of a dual flotation-conductivity cell to explore the relationship between gas dispersion properties, including frother concentration and flotation performance. Results demonstrate that gas holdup effectively captured the effect of gas rate and frother concentration and better correlates to flotation performance.</t>
  </si>
  <si>
    <t>Gutierrez, Leopoldo/K-4536-2017</t>
  </si>
  <si>
    <t>Gutierrez-Briones, Leopoldo/0000-0002-0065-2178</t>
  </si>
  <si>
    <t>2075-163X</t>
  </si>
  <si>
    <t>10.3390/min12111351</t>
  </si>
  <si>
    <t>WOS:000881409700001</t>
  </si>
  <si>
    <t>Aoiz, FJ; Boeri, MD</t>
  </si>
  <si>
    <t>Aoiz, Francisco Javier; Boeri, Marcelo D.</t>
  </si>
  <si>
    <t>How apolitical were epicure and the epicureans?: the greek polis and their illustrious epicurean citizens</t>
  </si>
  <si>
    <t>TRANS-FORM-ACAO</t>
  </si>
  <si>
    <t>In this paper, we argue that the fact that there were prominent citizens of different Greek cities who adhered to Epicureanism, felt themselves Epicurean, and were recognized as such, shows that slogans such as live unnoticed and do not participate in politics (which suggest a complete apoliticism on Epicurus and the Epicureans' parr) misrepresent the true meaning of the Epicurean staying away from contingent politics. Our article shows the interaction between Epicurus and the Epicureans and the Greek cities through the analysis of documents (some of them, well known -such as Epicurus Testament, which shows the connections of the philosopher with the political life of the city-, others less known of epigraphic character) related to different ancient cities. If what we argue is sound, the usual idea that Epicureanism recommends apoliticism must be discarded.</t>
  </si>
  <si>
    <t>Aoiz, F./G-8240-2015; Boeri, Marcelo/AAY-7797-2020</t>
  </si>
  <si>
    <t>0101-3173</t>
  </si>
  <si>
    <t>1980-539X</t>
  </si>
  <si>
    <t>10.1590/0101-3173.2022.v45n2.p169</t>
  </si>
  <si>
    <t>WOS:000819953100013</t>
  </si>
  <si>
    <t>Arenas, J; Palominos, P; Martin, R; Camargo, M; Bary, R; Kaschel, H</t>
  </si>
  <si>
    <t>Arenas, Juan; Palominos, Pedro; Martin, Rodrigo; Camargo, Mauricio; Bary, Raphael; Kaschel, Hector</t>
  </si>
  <si>
    <t>Smart Campus: Concepts, development and future</t>
  </si>
  <si>
    <t>2022 IEEE 28TH INTERNATIONAL CONFERENCE ON ENGINEERING, TECHNOLOGY AND INNOVATION (ICE/ITMC) &amp; 31ST INTERNATIONAL ASSOCIATION FOR MANAGEMENT OF TECHNOLOGY, IAMOT JOINT CONFERENCE</t>
  </si>
  <si>
    <t>International ICE Conference on Engineering Technology and Innovation</t>
  </si>
  <si>
    <t>Joint Conference of the IEEE 28th International Conference on Engineering, Technology and Innovation (ICE/ITMC) / 31st Conference of the International-Association-for-Management-of-Technology (IAMOT)</t>
  </si>
  <si>
    <t>JUN 19-23, 2022</t>
  </si>
  <si>
    <t>Nancy, FRANCE</t>
  </si>
  <si>
    <t>IEEE,Univ Lorraine,IEEE Technol &amp; Engn Management Soc,Int Assoc Management Technol,Res Network Innovat,ERPI,INP Ensgsi,EMRP,SIMPPE,Grand Est,Grp Actibac,ECTP,Inst Carnot,L OCTRI</t>
  </si>
  <si>
    <t>With the advent of the sanitary crisis there was a shift to the online courses that radically changed the education practices. Although most of the universities succeeded been resilient to ensure education continuity. Today, most universities are trying to implement solutions to make their campuses smart. The objective of this document is to show through a literature review, the future development direction of smart university campus and their associated concepts. The stages of development, the associated technologies and a proposal for a smart campus model from a Living-Lab approach are presented.</t>
  </si>
  <si>
    <t>Arenas, Juan/E-4190-2018; CAMARGO, Mauricio/HJP-7111-2023</t>
  </si>
  <si>
    <t>Palominos, Pedro/0000-0002-5695-3025</t>
  </si>
  <si>
    <t>2334-315X</t>
  </si>
  <si>
    <t>978-1-6654-8817-4</t>
  </si>
  <si>
    <t>10.1109/ICE/ITMC-IAMOT55089.2022.10033214</t>
  </si>
  <si>
    <t>WOS:000972671500081</t>
  </si>
  <si>
    <t>Osses, G; Castillo, E; Moraga, NO</t>
  </si>
  <si>
    <t>Osses, G.; Castillo, E.; Moraga, N. O.</t>
  </si>
  <si>
    <t>Numerical modeling of laminar and chaotic natural convection flows using a non-residual dynamic VMS formulation</t>
  </si>
  <si>
    <t>COMPUTER METHODS IN APPLIED MECHANICS AND ENGINEERING</t>
  </si>
  <si>
    <t>In this article, the performance of a stabilized VMS-type finite element formulation of a non-residual structure is numerically verified for highly convective natural flows. The novelty of the method is the time-dependent nature of the sub-scales and the introduction of two components for the sub-scale velocities, which allows the resolution of chaotic and highly convective problems without the need to include an additional turbulence model and its using equal order interpolation between velocity and pressure. The natural heat convection problems of the square and cubic cavities are solved up to a Rayleigh number of 10(10) and 3.3 x 10(7), respectively. Additionally, the stability of the problem is investigated by conducting an analysis of its Hopf bifurcation. As a distinctive feature, the work includes the assessment of the influence of incorporating dynamic sub-scales, with an emphasis on the accuracy of the numerical solutions obtained, that includes a comparison with the results predicted by the quasi-static formulation of the same method. The comparisons between both formulations were made using direct and iterative solvers. The results reported in this article allow verifying the performance, precision, and robustness of the dynamic formulation used to solve highly nonlinear problems with strong thermal coupling. (C) 2021 Elsevier B.V. All rights reserved.</t>
  </si>
  <si>
    <t>0045-7825</t>
  </si>
  <si>
    <t>1879-2138</t>
  </si>
  <si>
    <t>10.1016/j.cma.2021.114099</t>
  </si>
  <si>
    <t>WOS:000702634800005</t>
  </si>
  <si>
    <t>Leiva, F; Bravo, S; Garcia, KK; Moya, J; Guzman, O; Vidal, R</t>
  </si>
  <si>
    <t>Leiva, Francisco; Bravo, Scarlet; Garcia, Killen Ko; Moya, Javier; Guzman, Osiel; Vidal, Rodrigo</t>
  </si>
  <si>
    <t>Temporal Gene Expression Signature of Plasma Extracellular Vesicles-MicroRNAs from Post-Smolt Coho Salmon Challenged with Piscirickettsia salmonis</t>
  </si>
  <si>
    <t>MARINE BIOTECHNOLOGY</t>
  </si>
  <si>
    <t>Piscirickettsiosis is the most important bacterial disease in the Chilean salmon industry, which has borne major economic losses due to failure to control it. Cells use extracellular vesicles (EVs) as an inter-cellular communicators to deliver several factors (e.g., microRNAs) that may regulate the responses of other cells. However, there is limited knowledge about the identification and characterization of EV-miRNAs in salmonids or the effect of infections on these. In this study, Illumina sequencing technology was used to identify Coho salmon plasma EV-miRNAs upon Piscirickettsia salmonis infection at four different time points. A total of 118 novels and 188 known EV-miRNAs, including key immune teleost miRNAs families (e.g., miR-146, miR-122), were identified. A total of 245 EV-miRNAs were detected as differentially expressed (FDR &lt; 5%) in terms of control, with a clear down-regulation pattern throughout the disease. KEGG enrichment results of EV-miRNAs target genes showed that they were grouped mainly in cellular, stress, inflammation and immune responses. Therefore, it is hypothesized that P. salmonis could potentially benefit from unbalanced modulation response of Coho salmon EV-miRNAs in order to promote a hyper-inflammatory and compromised immune response through the suppression of different key immune host miRNAs during the course of the infection, as indicated by the results of this study.</t>
  </si>
  <si>
    <t>1436-2228</t>
  </si>
  <si>
    <t>1436-2236</t>
  </si>
  <si>
    <t>10.1007/s10126-021-10049-0</t>
  </si>
  <si>
    <t>WOS:000684911700001</t>
  </si>
  <si>
    <t>Droppelmann, K; Majluf-Cáceres, P; Sabatini-Ugarte, N; Valle, E; Herrera, H; Acuña, D</t>
  </si>
  <si>
    <t>Droppelmann, Katherine; Majluf-Caceres, Paula; Sabatini-Ugarte, Natalia; Valle, Elizabeth; Herrera, Hernan; Acuna, David</t>
  </si>
  <si>
    <t>Loxoscelism. Experience in 200 patients</t>
  </si>
  <si>
    <t>REVISTA MEDICA DE CHILE</t>
  </si>
  <si>
    <t>Background: Loxoscelism is an important public health problem in Chile and South America, due to the higher rate of cutaneous-visceral involvement. The diagnosis of loxoscelism is mostly clinical without established diagnostic criteria. There is little evidence to support any treatment used in this condition. Aim: To characterize the clinical features and epidemiology of loxoscelism among patients consulting at the Emergency and Dermatology Services of a clinical hospital between 2013 and 2017. Material and Methods: Review of medical records of patients registered in the electronic clinical record system with a confirmed diagnosis of loxoscelism. Epidemiological, clinical, laboratory tests and treatment variables were analyzed. Results: We reviewed data from 200 patients. Ninety-four percent presented cutaneous loxoscelism and 5.5% cutaneous-visceral loxoscelism. Systemic symptoms were present in 73% of patients with cutaneous-visceral loxoscelism. Patients who developed systemic symptoms had an 18 times higher risk of developing cutaneous-visceral loxoscelism. Laboratory abnormalities were more common in patients with cutaneous-visceral loxoscelism. Not all patients with hematuria had cutaneous-visceral loxoscelism. Most patients required analgesia. Anti-loxosceles serum was not used in any patient. Conclusions: Many questions remain to be answered regarding the diagnosis and treatment of the disease. Studies are required to validate diagnostic criteria for loxoscelism, predictors for visceral involvement and response to treatment.</t>
  </si>
  <si>
    <t>Herrera Reyes, Hernan/0009-0008-3689-4890; Acuna, David/0000-0002-7858-2755</t>
  </si>
  <si>
    <t>0034-9887</t>
  </si>
  <si>
    <t>0717-6163</t>
  </si>
  <si>
    <t>WOS:000727961100003</t>
  </si>
  <si>
    <t>Pino-Rios, R; Montenegro-Pohlhammer, N; Cárdenas-Jirón, G</t>
  </si>
  <si>
    <t>Pino-Rios, Ricardo; Montenegro-Pohlhammer, Nicolas; Cardenas-Jiron, Gloria</t>
  </si>
  <si>
    <t>Assessment of New Expanded Porpholactones as UVNis/NIR Chromophores for Dye-Sensitized Solar Cell Applications</t>
  </si>
  <si>
    <t>Expanded porphyrins arise as an alternative for potential application as chromophores in dye-sensitized solar cells. (DSSCs). The modification of the core of these compounds provides remarkable changes in the photoelectronic behavior. In the present article, the improvement of its properties for a potential application as UV/vis/NIR chromophores in DSSCs has been studied, when an oxazolone moiety has replaced an imine ring in analogy to the porpholactones first synthesized by Crossley et al. (J. Chem. Soc., Chem. Commun. 1984, 920-922). These expanded porpholactones present a noticeable red shift as well as an increase in the intensity of the Q-bands regarding the parent compounds. The photophysical properties of Sapphyrin have been explored through DFT calculations and vibrationally resolved absorption spectra simulations. Energetic parameters showed favorable electron injection from the chromophore to the TiO2 semiconductor. In addition, aromaticity was analyzed and rationalized using magnetic and delocalization criteria. Results showed qualitatively similar trends between aromaticity descriptors and Q bands giving a great opportunity to the use this property in the rational design of chromophores. Finally, the nonequilibrium Green's function formalism shows the ability of expanded porpholactones in electron transport.</t>
  </si>
  <si>
    <t>Montenegro-Pohlhammer, Nicolas/HJZ-2914-2023; Cardenas-Jiron, Gloria/H-9508-2012</t>
  </si>
  <si>
    <t>Cardenas-Jiron, Gloria/0000-0003-4305-8088; Montenegro-Pohlhammer, Nicolas/0000-0003-3574-2955; Pino Rios, Ricardo/0000-0003-4756-1115</t>
  </si>
  <si>
    <t>MAR 25</t>
  </si>
  <si>
    <t>10.1021/acs.jpca.0c11188</t>
  </si>
  <si>
    <t>MAR 2021</t>
  </si>
  <si>
    <t>WOS:000635440800006</t>
  </si>
  <si>
    <t>Aravena, J; Carrasco, D; Uriarte, M; Contreras, E; Díaz, M; Donoso, F</t>
  </si>
  <si>
    <t>Aravena, Jose; Carrasco, Dante; Uriarte, Matias; Contreras, Emilio; Diaz, Matias; Donoso, Felipe</t>
  </si>
  <si>
    <t>Design and Implementation of an Interface Board for a Real-Time Control System based on the LAUNCH-XL F28379D board</t>
  </si>
  <si>
    <t>Several off-the-shelf real-time control systems are available for industrial and academic applications. These systems enable real-time simulation, rapid control prototyping, and Hardware in the Loop analyses usually intended for power electronics applications. However, despite their easy-to-use environment, most of these systems are very expensive and unflexible, limiting their teaching and academic research usage. Consequently, this paper presents the design and implementation of a low-cost control platform based on the LAUNCH-XL F28379D board from Texas Instruments. An interface board is fully implemented to provide the LAUNCH-XL F28379D board with analogue-to-digital measurements, hardware protections and fibre optic digital outputs. The performance of the proposed control platform is tested in a 20 kVA power converter, providing voltage-current regulation and hardware protection.</t>
  </si>
  <si>
    <t>10.1109/CHILECON54041.2021.9703039</t>
  </si>
  <si>
    <t>WOS:000788072700139</t>
  </si>
  <si>
    <t>Pinochet, C; Valdovinos, M</t>
  </si>
  <si>
    <t>Pinochet, Carla; Valdovinos, Marcela</t>
  </si>
  <si>
    <t>The Monopoly of Technique: Gender Inequalities and Female Agency in Support Work in the Chilean Musical Field</t>
  </si>
  <si>
    <t>RESONANCIAS</t>
  </si>
  <si>
    <t>This article investigates how gender inequalities are expressed in the technical domains of the music world, a highly relevant domain of the music field which has not received sufficient attention from the sociology and history of art and music. This qualitative study, based on in-depth interviews and focus groups, discusses the conceptual contributions of gender theory to document what it means for women to perform in the masculinized context of support work in the music field. We explore the subjective costs and the daily barriers of gender inequalities. This text also seeks to make visible the resources and strategies that women deploy to develop their careers in the music field, namely using alternative ways of building teams in an adverse context. Finally, it is concluded that the technical environment is highly masculinized, which severely limits women's professional possibilities. In this scenario, women and the LGBTQ community have progressively broken ground and demonstrated other ways of doing things.</t>
  </si>
  <si>
    <t>0717-3474</t>
  </si>
  <si>
    <t>0719-5702</t>
  </si>
  <si>
    <t>WOS:000731852400018</t>
  </si>
  <si>
    <t>Bargsted, M; Espinoza, V; Plaza, A</t>
  </si>
  <si>
    <t>Bargsted, Matias; Espinoza, Vicente; Plaza, Alejandro</t>
  </si>
  <si>
    <t>Patterns of Hornophily in Chile</t>
  </si>
  <si>
    <t>PAPERS-REVISTA DE SOCIOLOGIA</t>
  </si>
  <si>
    <t>This article characterizes the levels of homophily in Chile, that is, the tendency for social relationships to connect people who are socially similar. The study of this social propensity helps understand the bases of cohesion and conflict in current society. On the one hand, homophily can promote social integration of people into social groups; but on the other, it can favor dosed relations, and with it the reproduction of a rigid and fragmented social structure. Our analysis is based on log linear models applied to personal network data (ego-centered) captured in a national survey. The results show, while controlling for demographic availability, that social relations between Chileans are strongly structured by age, religion, and to a lesser degree, by political position and educational level. We also find large levels of intergroup variation within each of these social categories. In the case of political position and religion, the frequency of intra-group social relations is much lower among majority groups than among minority groups. In sum, our estimates suggest that a group closure logic is a dominant feature of Chilean society, but subject to variations depending on the social category considered.</t>
  </si>
  <si>
    <t>Bargsted, Matias/AAB-5125-2019; Espinoza, Vicente/EAY-3744-2022</t>
  </si>
  <si>
    <t>0210-2862</t>
  </si>
  <si>
    <t>2013-9004</t>
  </si>
  <si>
    <t>OCT-DEC</t>
  </si>
  <si>
    <t>10.5565/rev/papers.2617</t>
  </si>
  <si>
    <t>WOS:000606164200005</t>
  </si>
  <si>
    <t>Fox-Hodess, K; Rebolledo, CS</t>
  </si>
  <si>
    <t>Fox-Hodess, Katy; Santibanez Rebolledo, Camilo</t>
  </si>
  <si>
    <t>The Social Foundations of Structural Power: Strategic Position, Worker Unity and External Alliances in the Making of the Chilean Dockworker Movement</t>
  </si>
  <si>
    <t>GLOBAL LABOUR JOURNAL</t>
  </si>
  <si>
    <t>This article examines the associational and societal foundations of structural power. A case study of the ten-year-long history of the Union Portuaria de Chile is analysed with a focus on a critical juncture in 2012-2014. The Chilean dockworker case is an emblematic example of trade union movement revitalisation via strikes of strategically positioned workers. Yet ethnographic research with the organisation suggests that the role it has come to play in the country was only possible as a result of intensive long-term organising efforts to develop a high degree of internal unity at multiple scales, as well as sustained alliances with external actors. As a result, the authors argue that the most economistic accounts of worker power and trade union movement revitalisation are analytically insufficient and would benefit from greater attention to associational and societal dimensions of power, even among the most strategically positioned workers.</t>
  </si>
  <si>
    <t>Santibanez, Camilo/0000-0003-2936-3342</t>
  </si>
  <si>
    <t>1918-6711</t>
  </si>
  <si>
    <t>WOS:000576582200003</t>
  </si>
  <si>
    <t>Henríquez, HR; Lizama, C; Mesquita, JG</t>
  </si>
  <si>
    <t>Henriquez, Hernan R.; Lizama, Carlos; Mesquita, Jaqueline G.</t>
  </si>
  <si>
    <t>SEMIGROUPS ON TIME SCALES AND APPLICATIONS TO ABSTRACT CAUCHY PROBLEMS</t>
  </si>
  <si>
    <t>TOPOLOGICAL METHODS IN NONLINEAR ANALYSIS</t>
  </si>
  <si>
    <t>In this paper, we introduce the definition of a C-0-semigroup on a time scale, which unifies the continuous, discrete and other cases which lie between them. Also, it extends the classical theory of operator semigroups to the quantum case. We study the relationship between the semigroup and its infinitesimal generator. We apply our theory to study the homogeneous and non homogeneous abstract Cauchy problem in Banach and Frechet spaces.</t>
  </si>
  <si>
    <t>Mesquita, Jaqueline/A-2356-2012; Lizama, Carlos/E-5909-2011</t>
  </si>
  <si>
    <t>Henriquez, Hernan/0000-0001-7848-5915; Lizama, Carlos/0000-0002-9807-1100</t>
  </si>
  <si>
    <t>1230-3429</t>
  </si>
  <si>
    <t>10.12775/TMNA.2019.114</t>
  </si>
  <si>
    <t>WOS:000582417300004</t>
  </si>
  <si>
    <t>Pradenas, L; Fuentes, M; Parada, V</t>
  </si>
  <si>
    <t>Pradenas, Lorena; Fuentes, Marco; Parada, Victor</t>
  </si>
  <si>
    <t>y Optimizing waste storage areas in health care centers</t>
  </si>
  <si>
    <t>ANNALS OF OPERATIONS RESEARCH</t>
  </si>
  <si>
    <t>Waste management is a critical issue for public health care services. Although operations management provides several tools for completing some stages of this process, the definition of a storage policy and the optimal packing of boxes with sharps waste in a storage area of a health care center are particular problems of high complexity. In this paper, a two-stage approach is proposed: The first stage considers the subproblem associated with the selection of the best policy. The second stage addresses the issue of waste packaging optimization. The multicriteria aspect of the first stage is addressed using the analytic hierarchy process, whereas the optimization of waste packaging is conducted using two heuristic methods: a sorting heuristic and the simulated annealing method. The best alternative method that is identified for the storage area considers the establishment of a specific room that is intended for the temporary storage of sharps waste. Furthermore, both heuristic methods provide suitable waste packaging options. The results suggest that the most appropriate method for each health care center must be selected by considering the order and sizes of the packing boxes, the required computational time and the required packaging efficiency.</t>
  </si>
  <si>
    <t>Pradenas, Lorena/ACZ-4624-2022; Parada, Victor/M-5840-2014</t>
  </si>
  <si>
    <t>Pradenas, Lorena/0000-0001-5199-7187</t>
  </si>
  <si>
    <t>0254-5330</t>
  </si>
  <si>
    <t>1572-9338</t>
  </si>
  <si>
    <t>10.1007/s10479-020-03713-6</t>
  </si>
  <si>
    <t>JUL 2020</t>
  </si>
  <si>
    <t>WOS:000548085000002</t>
  </si>
  <si>
    <t>Alarcón, RF</t>
  </si>
  <si>
    <t>Alarcon, Ricardo Ferrada</t>
  </si>
  <si>
    <t>Migration, dispossession and lost loves in Emiliano Monge's Las tierras arrasadas</t>
  </si>
  <si>
    <t>UNIVERSUM-REVISTA DE HUMANIDADES Y CIENCIAS SOCIALES</t>
  </si>
  <si>
    <t>The center of this work refers to the fictionalization strategies that organize the narrated world in Emiliano Monge's Las tierras arrasadas (The destroyed lands) (2015), in whose narrative flow, transtextuality, the story of a gang that traffics migrants, the testimonial discourse of those who survived a massacre, plus the insertion of fragments from Dante's Hell. In this context, the problem that is addressed in this fictional space is the substratum of the novel orders, in which, although it concerns emigration, the fictional intrigue consists in the confrontation to death of gangs of human traffickers. Within this framework, the premise is maintained that a devastated social order that has naturalized violence is being questioned in Las tierras arrasadas. It is concluded then that, from the transtextuality, a story is elaborated that goes beyond the novel and compromises the outside of the literary word, with which Monge is assigned to a group of writers who propose new forms of writing in Latin America of the 21st century.</t>
  </si>
  <si>
    <t>Ferrada Alarcon, Ricardo/0000-0002-1696-626X</t>
  </si>
  <si>
    <t>0718-2376</t>
  </si>
  <si>
    <t>0716-498X</t>
  </si>
  <si>
    <t>10.4067/S0718-23762021000100253</t>
  </si>
  <si>
    <t>WOS:000716376900012</t>
  </si>
  <si>
    <t>Sepulveda, J; Villegas, C; Torres, A; Vargas, E; Rodriguez, F; Baltazar, S; Prada, A; Rojas, A; Romero, J; Faba, S; Galotto, MJ</t>
  </si>
  <si>
    <t>Sepulveda, Javiera; Villegas, Carolina; Torres, Alejandra; Vargas, Esteban; Rodriguez, Francisco; Baltazar, Samuel; Prada, Alejandro; Rojas, Adrian; Romero, Julio; Faba, Simon; Jose Galotto, Maria</t>
  </si>
  <si>
    <t>Effect of functionalized silica nanoparticles on the mass transfer process in active PLA nanocomposite films obtained by supercritical impregnation for sustainable food packaging</t>
  </si>
  <si>
    <t>JOURNAL OF SUPERCRITICAL FLUIDS</t>
  </si>
  <si>
    <t>Nanocomposite films based on PLA with 1.0 % w/w silica nanoparticles (NP) and surface-functionalized silica nanoparticles with lactic acid (NP-LA), respectively, were obtained by extrusion process. Subsequently, cinnamaldehyde (ci) was incorporated through supercritical impregnation in the films at a pressure of 12 MPa, 40 C temperature and 1.0 MPa min(-1) depressurization rate. The developed materials were characterized on their thermal-mechanical, structural and barrier properties. Simultaneously, a phenomenological mass transfer was used to describe the release of cinnamaldehyde from the bionanocomposite in an aqueous food simulant (ethanol 10 % v/v solution). A 44 % decrease in oxygen permeability concerning the material without nanoparticles was checked as well as the plasticizing effect of cinnamaldehyde. Regarding the release of the active compound, the incorporation of functionalized nanoparticles NP-LA decreased the diffusion coefficient from 3.510-14 to 0.910-14 (m(2)/s), obtaining the filling effect of the silica nanoparticles, delaying the active compound release. (C) 2020 Elsevier B.V. All rights reserved.</t>
  </si>
  <si>
    <t>Baltazar, Samuel/E-1814-2011; Torres, Alejandra/LPQ-5664-2024; Rodríguez, Francisco/I-5283-2018; Prada, Alejandro/KMA-4362-2024; Romero, Julio/I-6705-2013; Faba, Simón/MTD-2779-2025; Rojas, Adrián/AAR-9441-2021; Sepulveda, Javiera/KFB-2030-2024</t>
  </si>
  <si>
    <t>Faba, Simon/0000-0002-4299-0052; Rodriguez-Mercado, Francisco/0000-0002-0530-6653; Rojas, Adrian/0000-0001-9253-1295; Baltazar, Samuel/0000-0001-9826-9400; Romero, Julio/0000-0002-1229-1592; Sepulveda Carter, Javiera/0000-0003-3759-8272</t>
  </si>
  <si>
    <t>0896-8446</t>
  </si>
  <si>
    <t>1872-8162</t>
  </si>
  <si>
    <t>JUL 1</t>
  </si>
  <si>
    <t>10.1016/j.supflu.2020.104844</t>
  </si>
  <si>
    <t>WOS:000535916100012</t>
  </si>
  <si>
    <t>Falomir, H; Gamboa, J; Mendez, F</t>
  </si>
  <si>
    <t>Falomir, Horacio; Gamboa, Jorge; Mendez, Fernando</t>
  </si>
  <si>
    <t>A Noncommutative Model of Cosmology with Two Metrics</t>
  </si>
  <si>
    <t>We propose a bicosmology model which reduces to the classical analog of noncommutative quantum mechanics. From this point of view, one of the sources in the so modified Friedmann-Robertson-Walker equations is a kind of dark energy governed by a Chapligyn-like equation of state. The parameters of noncommutativity q and B are interpreted in terms of the Planck area and a magnetic-like field, which presumably acts as a seed for magnetogenesis.</t>
  </si>
  <si>
    <t>Gamboa, Jorge/R-8744-2019</t>
  </si>
  <si>
    <t>Mendez, Fernando/0000-0002-9257-9552; Falomir, Horacio/0000-0001-8188-1062; Gamboa, Jorge/0000-0001-7992-7199</t>
  </si>
  <si>
    <t>10.3390/sym12030435</t>
  </si>
  <si>
    <t>WOS:000525824300110</t>
  </si>
  <si>
    <t>Montalvo, S; Huiliñir, C; Castillo, A; Pagés-Díaz, J; Guerrero, L</t>
  </si>
  <si>
    <t>Montalvo, Silvio; Huilinir, Cesar; Castillo, Alejandra; Pages-Diaz, Jhosane; Guerrero, Lorna</t>
  </si>
  <si>
    <t>Carbon, nitrogen and phosphorus recovery from liquid swine wastes: a review</t>
  </si>
  <si>
    <t>JOURNAL OF CHEMICAL TECHNOLOGY AND BIOTECHNOLOGY</t>
  </si>
  <si>
    <t>Due to the pollution characteristics of the wastewater generated in piggeries, these waste streams have to be treated before discharging into the environment. These wastes have a high content of organic matter, nitrogen and phosphorus that can be converted or recovered into valuable products. The valuation of swine waste by anaerobic digestion has already been assessed, but no systematic review on the technologies used for recovering nutrients from this waste has been reported to date. Therefore, the present work has the goal of presenting the most studied technologies to different scales of recovery of carbon (i.e. organic matter), nitrogen and phosphorus from swine waste. The main characteristics and parameters of the processes involved in these technologies (mainly air stripping, membrane, enhance biological phosphorus removal and struvite formation) are also highlighted, pointing out its advantages and disadvantages and posing some final feasibility considerations on the subject addressed. Experiments reported in the literature proved that technologies used for nutrient recovery from swine waste are mostly applied to the effluents previously treated by anaerobic digestion as a primary treatment, and greater effort is required for the future implementation of these technologies in large scale. (c) 2020 Society of Chemical Industry</t>
  </si>
  <si>
    <t>Huilinir, Cesar/IYS-6899-2023; Pagés-Díaz, Jhosané/AAD-5648-2020</t>
  </si>
  <si>
    <t>Pages Diaz, Jhosane/0000-0002-2956-5705; Huilinir, Cesar/0000-0002-3487-684X; Guerrero, Lorna/0000-0001-6123-4052</t>
  </si>
  <si>
    <t>0268-2575</t>
  </si>
  <si>
    <t>1097-4660</t>
  </si>
  <si>
    <t>10.1002/jctb.6336</t>
  </si>
  <si>
    <t>JAN 2020</t>
  </si>
  <si>
    <t>WOS:000508758500001</t>
  </si>
  <si>
    <t>Aburto, C; Guerrero, C; Vera, C; Illanes, A</t>
  </si>
  <si>
    <t>Aburto, Carla; Guerrero, Cecilia; Vera, Carlos; Illanes, Andres</t>
  </si>
  <si>
    <t>Improvement in the yield and selectivity of lactulose synthesis with Bacillus circulans β-galactosidase</t>
  </si>
  <si>
    <t>LWT-FOOD SCIENCE AND TECHNOLOGY</t>
  </si>
  <si>
    <t>A commercial preparation of beta-galactosidase from Bacillus circulans was evaluated as catalyst in the synthesis of lactulose considering temperature, pH, initial total sugar concentration, enzyme to initial lactose mass ratio and fructose to lactose molar ratio (F/L) as variables. The results obtained in terms of selectivity (S-Lu) yield (Y-Lu) and productivity (pi(Lu)) of lactulose synthesis showed that only the initial total sugar concentration and lactose to fructose molar ratio were significant, the latter strongly affecting S-Lu. Best results were obtained at F/L of 20, being Y-Lu = 0.54, pi(LU) = 0.043 g h(-1).mg enz(-1), and S-Lu = 30.9. Under these conditions lactulose synthesis was favored over transgalactosylated oligosaccharides (TOS), due to the higher chance of transferring the galactosyl group into fructose at high B/L. Yields of lactulose and TOS depended on the enzyme origin, while their maximum concentrations were obtained at different lactose conversions (at 0.7 for lactulose and at 0.45 for TOS) and depended on the kinetics of reactions. Yields attained with Bacillus circular's beta-galactosidase are higher than obtained with enzymes from other origin at comparable conditions, so this system is a preferred option for lactulose production.</t>
  </si>
  <si>
    <t>vera, Carlos/G-5240-2019; aburto, carla/AAY-8727-2020</t>
  </si>
  <si>
    <t>0023-6438</t>
  </si>
  <si>
    <t>1096-1127</t>
  </si>
  <si>
    <t>10.1016/j.lwt.2019.108746</t>
  </si>
  <si>
    <t>WOS:000503313900033</t>
  </si>
  <si>
    <t>Ayub, MS; Wuttisittikulkij, L; Adasme, P; Soto, I</t>
  </si>
  <si>
    <t>Ayub, Muhammad Shoaib; Wuttisittikulkij, Lunchakorn; Adasme, Pablo; Soto, Ismael</t>
  </si>
  <si>
    <t>Hybrid Precoding Design for Two Carriers Aggregated in 5G Massive MIMO System</t>
  </si>
  <si>
    <t>2020 SECOND SOUTH AMERICAN COLLOQUIUM ON VISIBLE LIGHT COMMUNICATIONS (IEEE SACVC 2020)</t>
  </si>
  <si>
    <t>2nd South American Colloquium on Visible Light Communications (IEEE SACVLC)</t>
  </si>
  <si>
    <t>JUN 04-05, 2020</t>
  </si>
  <si>
    <t>Santiago, CHILE</t>
  </si>
  <si>
    <t>IEEE Chile Sect,Univ Santiago Chile,IEEE,IEEE Commun,Gobierno Chile, Minist Educ, Fondo Nacl Desarrollo Cientifico Tecnologico,Gobierno Chile, Minist Educ, Fondo Fomento Desarrollo Cientifico Tecnologico,Gobierno Chile, Minist Educ, Programa Cooperac Int</t>
  </si>
  <si>
    <t>Hybrid digital and analog beamforming are today widely research topics in massive MIMO systems due to low cost and low power consumption as compared to conventional fully digital beamforming method. The beamforming matrix consists of analog radio frequency (RF) precoder and it is implemented by using phase shifters and baseband digital precoder. Carrier aggregation (CA) is a technology that allows bandwidth expansion to improve data capacity by combining two or more carriers in the same or different frequency bands. The digital baseband precoder is the main challenge and can be adapted to the channel of each carrier in the frequency domain while the same analog RF precoder must be applied to all carriers simultaneously in the time domain. The main goal of our research is to combine CA technology with hybrid digital and analog beamforming architecture to provide an improved system performance with less penalty. This paper proposes a hybrid precoding algorithm to support two carriers aggregated that are based on this scenario. We present numerical results that prove theoretical expressions and give practical explanation of the proposed method demonstrating its superiority when compared to the traditional hybrid beamforming design.</t>
  </si>
  <si>
    <t>Adasme, Pablo/U-1735-2019</t>
  </si>
  <si>
    <t>Ayub, Muhammad Shoaib/0000-0002-6566-8832; Soto, Ismael/0000-0002-5501-5651</t>
  </si>
  <si>
    <t>978-1-7281-6341-3</t>
  </si>
  <si>
    <t>10.1109/sacvlc50805.2020.9129891</t>
  </si>
  <si>
    <t>WOS:000856038700002</t>
  </si>
  <si>
    <t>Paucar, MAV; Valencia, SM</t>
  </si>
  <si>
    <t>Villalta Paucar, Marco Antonio; Martinic Valencia, Sergio</t>
  </si>
  <si>
    <t>Communicative Exchanges and Classroom Teaching Practices of Trainee Teachers</t>
  </si>
  <si>
    <t>REVISTA ELECTRONICA DE INVESTIGACION EDUCATIVA</t>
  </si>
  <si>
    <t>Professional practice in initial teacher training provides situated knowledge of teaching. This paper analyzes classes taught by student teachers; six students were observed as they performed their internship for the basic-level education pedagogy degree from three accredited universities in three regions of Chile. Two consecutive classes were filmed and analyzed using conversation analysis categories. It was found that the conversation structures described are associated with types of intervention by pedagogy students in the classroom. It was also noted that the organization of classes was similar in many respects to classes by in-service teachers with more professional experience.</t>
  </si>
  <si>
    <t>Martinic, Sergio/C-2391-2009</t>
  </si>
  <si>
    <t>Martinic, Sergio/0000-0003-2587-2414</t>
  </si>
  <si>
    <t>1607-4041</t>
  </si>
  <si>
    <t>e21</t>
  </si>
  <si>
    <t>10.24320/redie.2020.22.e21.2513</t>
  </si>
  <si>
    <t>WOS:000564733500001</t>
  </si>
  <si>
    <t>Espinoza, LC; Aranda, M; Contreras, D; Henriquez, A; Salazar, R</t>
  </si>
  <si>
    <t>Espinoza, L. Carolina; Aranda, Mario; Contreras, David; Henriquez, Adolfo; Salazar, Ricardo</t>
  </si>
  <si>
    <t>Effect of the sp3/sp2 Ratio in Boron-Doped Diamond Electrodes on the Degradation Pathway of Aniline by Anodic Oxidation</t>
  </si>
  <si>
    <t>CHEMELECTROCHEM</t>
  </si>
  <si>
    <t>The sp(3)/sp(2) ratio present in boron-doped diamond (BDD) electrodes conditions the way in which organic compounds are oxidized and transformed to CO2 during anodic oxidation. A higher content of sp(3) carbon on the surface favors the generation of hydroxyl radicals over the oxygen evolution reaction, which generates different degradation byproducts. In this work, we studied the degradation of aniline by anodic oxidation using five BDD electrodes with different sp(3)/sp(2) ratios in sulfate and chloride media. Aniline was degraded using the five BDD electrodes in both electrolytes, and clear differences were observed in the intermediates produced during the electrolysis. BDD electrodes with higher sp(3) proportions allowed for greater degradation and mineralization of aniline with lower molecular weight and the production of fewer toxic organic byproducts. Degradation pathways for aniline in sulfate and chloride media are proposed, evidencing the differences in the oxidation mechanisms for aniline and its byproducts due to the varying sp(3)/sp(2) ratio in the BDD electrodes.</t>
  </si>
  <si>
    <t>Salazar, Ricardo/L-7870-2013; Espinoza, Carolina/HSH-9507-2023; Contreras, David/C-6830-2012; Henríquez, Adolfo/W-1641-2019; Aranda, Mario/A-6599-2013</t>
  </si>
  <si>
    <t>Aranda, Mario/0000-0001-7846-9149; Henriquez Poblete, Adolfo Esteban/0000-0003-0318-3685; Contreras, David/0000-0003-1346-5918; Espinoza, L. Carolina/0000-0002-6021-0742; Salazar-Gonzalez, Ricardo/0000-0003-2180-6022</t>
  </si>
  <si>
    <t>2196-0216</t>
  </si>
  <si>
    <t>SEP 16</t>
  </si>
  <si>
    <t>10.1002/celc.201901218</t>
  </si>
  <si>
    <t>WOS:000487858400010</t>
  </si>
  <si>
    <t>González, FA; Bustamante, JA; Cruchaga, MA; Celentano, DJ</t>
  </si>
  <si>
    <t>Gonzalez, Felipe A.; Bustamante, Jorge A.; Cruchaga, Marcela A.; Celentano, Diego J.</t>
  </si>
  <si>
    <t>Numerical study of flow past oscillatory square cylinders at low Reynolds number</t>
  </si>
  <si>
    <t>EUROPEAN JOURNAL OF MECHANICS B-FLUIDS</t>
  </si>
  <si>
    <t>The present work reports a numerical investigation of the flow past an oscillatory square cylinder at Re = 100. A fixed finite element immersed technique is proposed to solve the incompressible fluid-rigid body interaction problem. The study encompasses the analyses of the flow over a fixed cylinder and transverse to the flow and streamwise oscillating cylinders. The dimensionless frequency f(r), i.e., the ratio between cylinder's oscillation and Strouhal frequencies, and motion amplitude are used to characterize the flow pattern evolution and its action on the cylinder. First, to compute the flow over the cylinder, a mesh size is determined from a mesh sensitivity analysis where the drag and lift coefficients computed using the immersed method are compared with those obtained from a body-fitted mesh. A reasonable numerical convergence is found from such analyses. Second, the oscillating square cylinder cases are studied to describe the synchronization regions. To this end, an oscillating body motion is prescribed varying the frequency of the imposed displacement with a constant amplitude. The synchronization zones are determined when the aerodynamic coefficients exhibit the most significant variations. In particular, the lock-in phenomenon is observed at f(r) approximate to 1 for transversely oscillating square cylinders, confirming some aspects previously reported in the literature using other numerical techniques. In the present work, lock-in is determined at f(r) approximate to 2 for streamwise oscillating square cylinders, results is not longer found in the literature. (C) 2018 Elsevier Masson SAS. All rights reserved.</t>
  </si>
  <si>
    <t>Bustamante, Jorge A./0000-0001-8091-7019; Cruchaga, Marcela/0000-0002-8708-2402</t>
  </si>
  <si>
    <t>0997-7546</t>
  </si>
  <si>
    <t>1873-7390</t>
  </si>
  <si>
    <t>10.1016/j.euromechflu.2018.10.017</t>
  </si>
  <si>
    <t>WOS:000458710700026</t>
  </si>
  <si>
    <t>Consumption and trade of meat in the corregimiento of Santiago, 1773-1778</t>
  </si>
  <si>
    <t>HISTORIA-SANTIAGO</t>
  </si>
  <si>
    <t>This work reconstructs the consumption of meat in the district of Santiago (Corregimiento) from 1773 to 1778. Through tax sources, information is compiled on this consumer market to analyze the origin of its supply, its commercial circuits and its impact on the well-being of the population. The results show that the consumption of meat per capita of those from Santiago reached 78.4 kilos a year, equivalent to 35% of the daily caloric requirement for an adult, a level that was far higher than many South American and European cities of the period. This high consumption of meat would have been universal, given that acquiring that quantity was only 6.8% of an unqualified urban workers salary. This evidence suggests that this population had a quality of life that was far superior than the level some economic historiography holds for Spanish-American as a whole.</t>
  </si>
  <si>
    <t>0717-7194</t>
  </si>
  <si>
    <t>WOS:000457774000006</t>
  </si>
  <si>
    <t>Barbay, J; Pérez-Lantero, P</t>
  </si>
  <si>
    <t>Barbay, Jeremy; Perez-Lantero, Pablo</t>
  </si>
  <si>
    <t>Adaptive Computation of the Swap-Insert Correction Distance</t>
  </si>
  <si>
    <t>ACM TRANSACTIONS ON ALGORITHMS</t>
  </si>
  <si>
    <t>The Swap-Insert Correction distance from a string S of length n to another string L of length in m &gt;= n on the alphabet [1..sigma] is the minimum number of insertions, and swaps of pairs of adjacent symbols, converting S into L. Contrarily to other correction distances, computing it is NP-Hard in the size sigma of the alphabet. We describe an algorithm computing this distance in time within O(sigma(2) nmg(sigma-1)), where for each alpha is an element of [1..sigma] there are n(alpha) occurrences of alpha in S, m(alpha) occurrences of alpha in L, and where g = max(alpha)(is an element of)([1..sigma]) min{n(alpha),m(alpha) - n(alpha)} is a new parameter of the analysis, measuring one aspect of the difficulty of the instance. The difficulty g is bounded by above by various terms, such as the length n of the shortest string S, and by the maximum number of occurrences of a single character in S (max(alpha)(is an element of)([1..sigma]) n(alpha)) This result illustrates how, in many cases, the correction distance between two strings can be easier to compute than in the worst case scenario.</t>
  </si>
  <si>
    <t>Barbay, Jeremy/E-7775-2012</t>
  </si>
  <si>
    <t>Barbay, Jeremy/0000-0002-3392-8353</t>
  </si>
  <si>
    <t>1549-6325</t>
  </si>
  <si>
    <t>1549-6333</t>
  </si>
  <si>
    <t>10.1145/3232057</t>
  </si>
  <si>
    <t>WOS:000456596500010</t>
  </si>
  <si>
    <t>Rojas, HAG; Cuevas, PC; Figueras, EEZ; Foix, SC; Egea, AJS</t>
  </si>
  <si>
    <t>Gonzalez Rojas, Hernan A.; Chana Cuevas, Pedro; Zayas Figueras, Enrique E.; Cardona Foix, Salvador; Sanchez Egea, Antonio J.</t>
  </si>
  <si>
    <t>Time measurement characterization of stand-to-sit and sit-to-stand transitions by using a smartphone</t>
  </si>
  <si>
    <t>MEDICAL &amp; BIOLOGICAL ENGINEERING &amp; COMPUTING</t>
  </si>
  <si>
    <t>The aim of this study is to analyze a common method to measure the acceleration of a daily activity pattern by using a smartphone. In this sense, a numerical approach is proposed to transform the relative acceleration signal, recorded by a triaxial accelerometer, into an acceleration referred to an inertial reference. The integration of this acceleration allows to determine the velocity and position with respect to an inertial reference. Two different kinematic parameters are suggested to characterize the profile of the velocity during the sit-to-stand and stand-to-sit transitions for Parkinson and control subjects. The results show that a dimensionless kinematic parameter, which is linked to the time of sit-to-stand and stand-to-sit transitions, has the potential to differentiate between Parkinson and control subjects.</t>
  </si>
  <si>
    <t>González Rojas, Hernán A./HTQ-1244-2023; Zayas, Enrique/M-1842-2014; Sanchez Egea, Antonio J./S-4790-2016</t>
  </si>
  <si>
    <t>Sanchez Egea, Antonio J./0000-0001-8085-6869; Gonzalez Rojas, Hernan Alberto/0000-0001-8911-0115</t>
  </si>
  <si>
    <t>0140-0118</t>
  </si>
  <si>
    <t>1741-0444</t>
  </si>
  <si>
    <t>10.1007/s11517-017-1728-5</t>
  </si>
  <si>
    <t>WOS:000430379400012</t>
  </si>
  <si>
    <t>Labarca, R; Aranzubia, S</t>
  </si>
  <si>
    <t>Labarca, Rafael; Aranzubia, Solange</t>
  </si>
  <si>
    <t>A FORMULA FOR THE BOUNDARY OF CHAOS IN THE LEXICOGRAPHICAL SCENARIO AND APPLICATIONS TO THE BIFURCATION DIAGRAM OF THE STANDARD TWO PARAMETER FAMILY OF QUADRATIC INCREASING-INCREASING LORENZ MAPS</t>
  </si>
  <si>
    <t>The Geometric Lorenz Attractor has been a source of inspiration for many mathematical studies. Most of these studies deal with the two or one dimensional representation of its first return map. A one dimensional scenario (the increasing-increasing one's) can be modeled by the standard two parameter family of contracting Lorenz maps. The dynamics of any member of the standard family can be modeled by a subshift in the Lexicographical model of two symbols. These subshifts can be considered as the maximal invariant set for the shift map in some interval, in the Lexicographical model. For all of these subshifts, the lower extreme of the interval is a minimal sequence and the upper extreme is a maximal sequence. The Lexicographical world (LW) is precisely the set of sequences (lower extreme, upper extreme) of all of these subshifts. In this scenario the topological entropy is a map from LW onto the interval [0, log 2]. The boundary of chaos (that is the boundary of the set of (a, b) is an element of LW such that h(top)(a,b) &gt; 0) is given by a map b = chi(a), which is defined by a recurrence formula. In the present paper we obtain an explicit formula for the value chi(a) for a in a dense set contained in the set of minimal sequences. Moreover, we apply this computation to determine regions of positive topological entropy for the standard quadratic family of contracting increasing-increasing Lorenz maps.</t>
  </si>
  <si>
    <t>10.3934/dcds.2018072</t>
  </si>
  <si>
    <t>WOS:000438812700006</t>
  </si>
  <si>
    <t>Alvarez, PD; Arias, P; Maldonado, C</t>
  </si>
  <si>
    <t>Alvarez, Pedro D.; Arias, Paola; Maldonado, Carlos</t>
  </si>
  <si>
    <t>A two particle hidden sector and the oscillations with photons</t>
  </si>
  <si>
    <t>We present a detailed study of the oscillations and optical properties for vacuum, in a model for the dark sector that contains axion-like particles and hidden photons. We provide bounds for the couplings versus the mass, using current results from ALPS-I and PVLAS. We also discuss the challenges for the detection of models with more than one hidden particle in light shining trough wall-like experiments.</t>
  </si>
  <si>
    <t>; Arias, Paola/Q-5912-2017</t>
  </si>
  <si>
    <t>Maldonado, Carlos/0000-0001-7929-1733; Arias, Paola/0000-0001-5551-9182; Alvarez, Pedro/0000-0001-8757-1700</t>
  </si>
  <si>
    <t>JAN 24</t>
  </si>
  <si>
    <t>10.1140/epjc/s10052-018-5554-1</t>
  </si>
  <si>
    <t>WOS:000423203600003</t>
  </si>
  <si>
    <t>Alvarado, N; Romero, J; Torres, A; de Dicastillo, CL; Rojas, A; Galotto, MJ; Guarda, A</t>
  </si>
  <si>
    <t>Alvarado, Nancy; Romero, Julio; Torres, Alejandra; Lopez de Dicastillo, Carol; Rojas, Adrian; Jose Galotto, Maria; Guarda, Abel</t>
  </si>
  <si>
    <t>Supercritical impregnation of thymol in poly(lactic acid) filled with electrospun poly(vinyl alcohol)-cellulose nanocrystals nanofibers: Development an active food packaging material</t>
  </si>
  <si>
    <t>This work describes the procedures to obtain poly(lactic acid) (PLA) films containing natural nanofibers as well as to impregnate this material with an antimicrobial agent to be used in active food packaging. Poly(vinyl alcohol) (PV) nanofibers containing cellulose nanocrystals (CNC) were successfully prepared by electrospinning, these electrospun PV/CNC nanofibers were incorporated into PLA films with a concentration equal to 4.7% (w/w) by the casting method. Subsequently, these nanocomposite films were impregnated with thymol, which was previously dissolved in supercritical carbon dioxide (scCO(2)). The active nanocomposite obtained from the whole procedure shows a significant improvement of its mechanical and thermal properties and the incorporation of thymol is not significantly modified when it is compared to the impregnation response of nanofibers-free PLA. However, the release rate of thymol was significantly slower when PV/CNC nanofibers are incorporated in the polymer structure. (C) 2017 Elsevier Ltd. All rights reserved.</t>
  </si>
  <si>
    <t>Romero, Julio/I-6705-2013; Rojas, Adrián/AAR-9441-2021; Torres, Alejandra/LPQ-5664-2024; Lopez-de-Dicastillo, Carol/C-6347-2019</t>
  </si>
  <si>
    <t>Alvarado, Nancy/0000-0001-9698-1621; Lopez-de-Dicastillo, Carol/0000-0003-0067-9765; Rojas, Adrian/0000-0001-9253-1295; Romero, Julio/0000-0002-1229-1592</t>
  </si>
  <si>
    <t>10.1016/j.jfoodeng.2017.08.008</t>
  </si>
  <si>
    <t>WOS:000412962300001</t>
  </si>
  <si>
    <t>García, C; Córdoba, C</t>
  </si>
  <si>
    <t>Berrios, C; Garcia, C</t>
  </si>
  <si>
    <t>Garcia, Carolina; Cordoba, Claudia</t>
  </si>
  <si>
    <t>Citizen education and socioeconomic segregation:reflections on the limits of the Chilean school system</t>
  </si>
  <si>
    <t>CIUDADANIAS EN CONFLICTO: ENFOQUES, EXPERIENCIAS Y PROPUESTAS</t>
  </si>
  <si>
    <t>978-956-8416-59-1</t>
  </si>
  <si>
    <t>10.26448/978-956-8416-59-1/11</t>
  </si>
  <si>
    <t>WOS:000440942900007</t>
  </si>
  <si>
    <t>Sola-Morales, S</t>
  </si>
  <si>
    <t>Carr, PR; Hoechsmann, M; Thesee, G</t>
  </si>
  <si>
    <t>Sola-Morales, Salome</t>
  </si>
  <si>
    <t>THE BATTLE FOR FREE UNIVERSAL EDUCATION IN CHILE Using YouTube in the Student Protests of 2011</t>
  </si>
  <si>
    <t>DEMOCRACY 2.0: MEDIA, POLITICAL LITERACY, AND CRITICAL ENGAGEMENT</t>
  </si>
  <si>
    <t>Critical Media Literacies Series</t>
  </si>
  <si>
    <t>The main goal of this chapter is to describe the use of YouTube during the Chilean student protests. Although the Penguins' Revolution of 2006 marked a fundamental starting point in the quest for free public higher education, it was during the 2011 Chilean Spring that the real battle took place. In that period, students occupied their schools and expressed their dissent through the most significant demonstrations in post-dictatorial Chile. One of the things that makes this movement more interesting is the use of Media 2.0 as an instrument for change. Young people played a leading role in the discussion over education and over the need to make democracy more participatory. With the goal of provoking change to the Chilean educational system, students became directors and producers of short films that went viral on YouTube. While other social media such as Facebook and Twitter were mainly used to organize for protest actions, YouTube videos became a key tool for education, democracy, and change. These educational videos brought the students' demands closer to the rest of the community. Through content analysis, this chapter examines these new forms of political activism and seeks evidence that the Internet has increased the role of citizenship. Overall, the main task is to provide a framework for the use of new media in relation to education and democracy.</t>
  </si>
  <si>
    <t>Sola-Morales, Salomé/D-6581-2016</t>
  </si>
  <si>
    <t>2666-4097</t>
  </si>
  <si>
    <t>978-94-6351-228-2; 978-94-6351-230-5; 978-94-6351-229-9</t>
  </si>
  <si>
    <t>WOS:000816877000012</t>
  </si>
  <si>
    <t>Yanez, SJ; Dinehart, DW; Santhanam, S</t>
  </si>
  <si>
    <t>Yanez, Sergio J.; Dinehart, David W.; Santhanam, Sridhar</t>
  </si>
  <si>
    <t>Composite steel joist analysis using experimental stiffness factor from push-out tests</t>
  </si>
  <si>
    <t>JOURNAL OF CONSTRUCTIONAL STEEL RESEARCH</t>
  </si>
  <si>
    <t>The stud anchor stiffness coefficient is vital for computing the deflections of composite steel joists (CSJ), although the way to capture this value can be challenging. A commonly used experimental method to compute this coefficient is the push-out test presented in EN-1994. However, the method does not address the incorporation of the steel metal deck currently used in the vast majority of composite decks. In order to tackle this problem, we present a modified version of the push-out experiment to better determine the stiffness coefficient when the stud anchor is placed in the weak or strong side with respect to the steel deck stiffener. Furthermore, 13 mm and 16 mm diameter studs are used in order to investigate lower capacities and to compare with the standard 19 mm diameter connector. An analytical solution of the CSJ system which incorporates the stud anchor stiffness coefficient is utilized to predict the overall system deflection when the effective composite moment of inertia of the joist is included. Results demonstrate the effectiveness of placing the stud in the strong side, and the accuracy of the enhanced push-out test.</t>
  </si>
  <si>
    <t>Yanez, Sergio/G-5230-2019</t>
  </si>
  <si>
    <t>Yanez, Sergio/0000-0002-8856-0955</t>
  </si>
  <si>
    <t>0143-974X</t>
  </si>
  <si>
    <t>1873-5983</t>
  </si>
  <si>
    <t>10.1016/j.jcsr.2017.04.001</t>
  </si>
  <si>
    <t>WOS:000415769100001</t>
  </si>
  <si>
    <t>Lezana, N; Fernández-Vidal, F; Berríos, C; Garrido-Ramírez, E</t>
  </si>
  <si>
    <t>Lezana, Nicole; Fernandez-Vidal, Francisco; Berrios, Cristhian; Garrido-Ramirez, Elizabeth</t>
  </si>
  <si>
    <t>ELECTROCHEMICAL AND PHOTO-ELECTROCHEMICAL PROCESSES OF METHYLENE BLUE OXIDATION BY Ti/TiO2 ELECTRODES MODIFIED WITH FE-ALLOPHANE</t>
  </si>
  <si>
    <t>This work reports the degradation of methylene blue (MB) on Ti/TiO2 and Ti/TiO2/Fe-allophane electrodes in a pH3 using 0.1 M Na2SO4 as support electrolyte. SEM micrographs show a homogeneous distribution of TiO2 over the whole electrode surface forming nanotubes and nanopores. Fe-allophane modified electrode shows the formation of large-grains agglomerate on the electrode surface due to allophane, which provides a greater surface area to the electrode due to meso and micropore structures. Preliminary cyclic voltammetry show that Ti/TiO2 has the typical voltammetric response due to Ti(III)/Ti(IV) pair. Diffusional problems were observed through of the film when the electrode is modified with Fe-allophane modifying the quasi-reversible process Ti(III)/Ti(IV). Different kind of methodologies in the degradation process were used: Electrochemistry (EC), Photochemistry (PC), Photoelectrochemistry (PEC) and Adsorption (Ads). These methods were developing to discard any reaction or interaction that is not of interest. On Ti/TiO2 with PC and Ads methodologies was not observed any activity to MB degradation showing that is not photosensitive and that the interaction between this and surface electrode is low. But with EC and PEC degradation to 55% is reached after 3 hours of electrolysis. With Ti/TiO2 -Fe-allophane electrodes are observed a higher activity for all methodologies. The PC and Ads methods show that the MB degradation reaches to similar to 20 % of the initial concentration. As mentioned above, the PC and Ads processes no show degradation on Ti/TiO2, therefore the degradation it only due to the adsorption of MB in/on allophane coat behaving as concentrator matrix. A lower improvement is observed with EC process when is incorporated Ti/TiO2 -Fe-allophane is due to the barrier of the electrode surface by oxidation products. With PEC is reached the higher degradation value of similar to 88 %, showing an improvement of the degradation with the presence of Fe-allophane. The results indicate that the main role of Fe-allophane on the electrode</t>
  </si>
  <si>
    <t>Garrido-Ramirez, Elizabeth/0000-0002-1685-7979</t>
  </si>
  <si>
    <t>10.4067/S0717-97072017000200021</t>
  </si>
  <si>
    <t>WOS:000408266600021</t>
  </si>
  <si>
    <t>Bustos, CA; Garcia-Herrera, CM; Celentano, DJ; Vasco, DA</t>
  </si>
  <si>
    <t>Bustos, Claudio A.; Garcia-Herrera, Claudio M.; Celentano, Diego J.; Vasco, Diego A.</t>
  </si>
  <si>
    <t>Mechanical characterization of the elastoplastic response of asphalt felt paper</t>
  </si>
  <si>
    <t>COMPOSITES PART B-ENGINEERING</t>
  </si>
  <si>
    <t>A numerical and experimental analysis of the mechanical response of asphalt felt paper is presented. This material is widely used as a moisture barrier in buildings made of light materials. To ensure such function, it is necessary for this material not to be torn during its installation and operation and, for this reason, it is important to know its mechanical behavior in detail. To that end, tensile and bulge tests were carried out and respectively used to characterize the in-plane and out-of-plane rate-independent elastoplastic material responses which were observed to be strongly dependent on the directions of the cellulose fibers. The constitutive model considers the anisotropic character of the material assuming the Hill-48 function to define both the yield surface and the non-associated plastic flow rule to properly predict the mechanical behavior for the full deformation ranges of both tests. The procedure to fit the material parameters is carried out via a proposed iterative numerical-experimental methodology. The obtained results are found to adequately describe the material response in both the tensile and bulge tests. (C) 2017 Elsevier Ltd. All rights reserved.</t>
  </si>
  <si>
    <t>García-Herrera, Claudio/ABE-8991-2020; Vasco, Diego/Y-2934-2019; Celentano, Diego/JQW-5027-2023</t>
  </si>
  <si>
    <t>Vasco, Diego Andres/0000-0001-7456-4683; Garcia-Herrera, Claudio/0000-0002-1283-8551</t>
  </si>
  <si>
    <t>1359-8368</t>
  </si>
  <si>
    <t>1879-1069</t>
  </si>
  <si>
    <t>10.1016/j.compositesb.2017.02.020</t>
  </si>
  <si>
    <t>WOS:000401676400012</t>
  </si>
  <si>
    <t>Wolf, SLP; Caballero, L; Melo, F; Cölfen, H</t>
  </si>
  <si>
    <t>Wolf, Stefan L. P.; Caballero, Leonardo; Melo, Francisco; Coelfen, Helmut</t>
  </si>
  <si>
    <t>Gel-Like Calcium Carbonate Precursors Observed by in situ AFM</t>
  </si>
  <si>
    <t>The debate about crystallization processes is still ongoing and nonclassical crystallization mechanisms attract more and more attention. This work indicates that polymer induced liquid precursor (PILP) phases play a role for nonclassical calcium carbonate crystallization and growth processes. Here we report the observation of gel-like precursors for the crystal growth on a calcite surface by means of an in situ AFM study. These precursors spread out on the surface with time supporting their liquid character. This study will give new insights into biomineralization and crystallization processes in general.</t>
  </si>
  <si>
    <t>Melo, Francisco/M-3923-2014</t>
  </si>
  <si>
    <t>Melo, Francisco Esteban/0000-0001-6818-5476</t>
  </si>
  <si>
    <t>10.1021/acs.langmuir.6b03974</t>
  </si>
  <si>
    <t>WOS:000391898100020</t>
  </si>
  <si>
    <t>Garay, F; Rosas, E; Hidalgo, N</t>
  </si>
  <si>
    <t>Garay, Felipe; Rosas, Erika; Hidalgo, Nicolas</t>
  </si>
  <si>
    <t>When a Tsunami Strikes: A Mobility Model for Coastline Cities</t>
  </si>
  <si>
    <t>2017 4TH INTERNATIONAL CONFERENCE ON INFORMATION AND COMMUNICATION TECHNOLOGIES FOR DISASTER MANAGEMENT (ICT-DM)</t>
  </si>
  <si>
    <t>4th International Conference on Information and Communication Technologies for Disaster Management (ICT-DM)</t>
  </si>
  <si>
    <t>DEC 11-13, 2017</t>
  </si>
  <si>
    <t>Munster, GERMANY</t>
  </si>
  <si>
    <t>IEEE,IEEE COMSOC,WWU,CERIST,Univ Munster,Chair Informat Sys &amp; Supply Chain Management,ERCIS,Univ Applied Sci, FH Munster,Kompetenzzentrum Humanitare Hilfe</t>
  </si>
  <si>
    <t>Every year, hundreds of natural phenomena hit the world, unleashing major disasters and compromising the welfare of millions of people and public infrastructure. On a planet made up of over 70% water, tsunamis are a latent risk that threatens civilians all over the world. Hopefully, technological advances have provided the development of monitoring systems that enable predicting this kind of phenomena and evacuating high risk flooding zones. Nowadays, mobile communication in a post disaster scenario is critical to support all the post disaster tasks. However, developing useful algorithms and applications to support problems arising on these scenarios require large scale real-life testing, which are generally out of the reach of scientists and application developers. In this context, simulation provides an effective tool to assess the performance of software solutions in close-to-real disaster scenarios. In this work, we propose a new mobility model for tsunami scenarios that includes information published by the Chilean National Office for Emergency (ONEMI) about evacuation routes and security points. We have tested and compared our proposal using the One simulator.</t>
  </si>
  <si>
    <t>Rosas, Erika/AFY-6048-2022</t>
  </si>
  <si>
    <t>978-1-5386-2553-8</t>
  </si>
  <si>
    <t>WOS:000426986500004</t>
  </si>
  <si>
    <t>de Zárate, VVO</t>
  </si>
  <si>
    <t>Ortiz de Zarate, Veronica Valdivia</t>
  </si>
  <si>
    <t>I HAVE THEM FULLY IDENTIFIED. INTERNAL SECURITY AND SOCIAL CONTROL IN CHILE, 1918-1925</t>
  </si>
  <si>
    <t>This article assesses the re-structuring of the Chilean State's repressive policies during the 1920s, especially in matters of citizen rights and social control. Our hypothesis is that State coercion was reformulated beginning in 1918, as social laws were deemed insufficient as a device for restoring domination. Coercion was seen as an instrument for disciplining the working class, punishing the more disruptive political elements, and broadening the State's socio-political control, since social reforms did not truly elicit elite consensus.</t>
  </si>
  <si>
    <t>WOS:000418182300009</t>
  </si>
  <si>
    <t>Feron, S</t>
  </si>
  <si>
    <t>Feron, Sarah</t>
  </si>
  <si>
    <t>Sustainability of Off-Grid Photovoltaic Systems for Rural Electrification in Developing Countries: A Review</t>
  </si>
  <si>
    <t>A review on rural electrification programs and projects based on off-grid Photovoltaic (PV) systems, including Solar Pico Systems (SPS) and Solar Home Systems (SHS) in Developing Countries (DCs) was conducted. The goal was to highlight the main multidimensional drawbacks that may constrain the sustainability of these systems. Four dimensions of sustainability (institutional, economic, environmental and socio-cultural) were considered in this review. It was found that institutional flaws (such as the scarcity of durability/stability and enforcement of formal institutions, weak regulations or standards, incomplete decentralization/participation and the lack of institutional adaptability) seriously compromise the sustainability of rural electrification efforts in DCs. While the lack of an effective focalized subsidy scheme (e.g., cross-tariff scheme) for the electricity tariffs of the poor population often made projects economically unsustainable, the scarcity of environmental awareness, regulations or incentives has often turned presumably clean energy technologies into environmentally unsustainable projects. Progress regarding social acceptance, accuracy and cultural justice is urgently needed for ensuring the socio-cultural sustainability of rural electrification efforts in DCs. This review may help stakeholders to identify and (based on prior experiences) address the most severe drawbacks affecting the sustainability of rural electrification efforts in DCs.</t>
  </si>
  <si>
    <t>Feron, Sarah/0000-0002-0572-5639</t>
  </si>
  <si>
    <t>10.3390/su8121326</t>
  </si>
  <si>
    <t>WOS:000393315100049</t>
  </si>
  <si>
    <t>Godoy, L; Vera-Wolf, P; Martinez, C; Ugalde, JA; Ganga, MA</t>
  </si>
  <si>
    <t>Godoy, Liliana; Vera-Wolf, Patricia; Martinez, Claudio; Ugalde, Juan A.; Angelica Ganga, Maria</t>
  </si>
  <si>
    <t>Comparative transcriptome assembly and genome-guided profiling for Brettanomyces bruxellensis LAMAP2480 during p-coumaric acid stress</t>
  </si>
  <si>
    <t>Brettanomyces bruxellensis has been described as the main contaminant yeast in wine production, due to its ability to convert the hydroxycinnamic acids naturally present in the grape phenolic derivatives, into volatile phenols. Currently, there are no studies in B. bruxellensis which explains the resistance mechanisms to hydroxycinnamic acids, and in particular to p-coumaric acid which is directly involved in alterations to wine. In this work, we performed a transcriptome analysis of B. bruxellensis LAMAP248rown in the presence and absence of p-coumaric acid during lag phase. Because of reported genetic variability among B. bruxellensis strains, to complement de novo assembly of the transcripts, we used the high-quality genome of B. bruxellensis AWRI1499, as well as the draft genomes of strains CBS2499 and0 g LAMAP2480. The results from the transcriptome analysis allowed us to propose a model in which the entrance of p-coumaric acid to the cell generates a generalized stress condition, in which the expression of proton pump and efflux of toxic compounds are induced. In addition, these mechanisms could be involved in the outflux of nitrogen compounds, such as amino acids, decreasing the overall concentration and triggering the expression of nitrogen metabolism genes.</t>
  </si>
  <si>
    <t>Olivares, Liliana/AAB-6276-2020; Ugalde, Juan/GLV-2034-2022; Martinez, Claudio/MGS-9961-2025; Ganga, Maria/S-8176-2019; Ugalde, Juan/E-7070-2010</t>
  </si>
  <si>
    <t>Martinez, Claudio/0000-0001-8564-9287; Godoy Olivares, Liliana/0000-0001-5110-5978; Ugalde, Juan/0000-0001-6638-0817</t>
  </si>
  <si>
    <t>SEP 28</t>
  </si>
  <si>
    <t>10.1038/srep34304</t>
  </si>
  <si>
    <t>WOS:000384115900001</t>
  </si>
  <si>
    <t>Vivanco, F; Mercado, J; Santibáñez, F; Melo, F</t>
  </si>
  <si>
    <t>Vivanco, Francisco; Mercado, Jose; Santibanez, Francisco; Melo, Francisco</t>
  </si>
  <si>
    <t>Stress profile in a two-dimensional silo: Effects induced by friction mobilization</t>
  </si>
  <si>
    <t>The effects of friction mobilization on the stress profile within a two-dimensional silo are investigated via simulations of discrete elements. Friction mobilization is driven by cyclic vertical displacement of the sidewalls. Two regimes have been observed for small filling height, with stress profiles identified as saturated (Janssen's profile) and exponentially growing. The transition between these regimes is denoted by an almost linear stress profile, similar to that of a hydrostatic system, with a significantly greater characteristic height compared to the height of the column of grains. For tall columns, the process of friction inversion is more complex. A partial inversion of friction mobilization is observed when the motion is reversed from upward to downward, which results in two coexisting zones of opposite mobilization. These zones are separated by a wide compaction front with a gradual upward progression sustained by the displacement of the walls. Conversely, if the motion is reversed, the two opposing friction mobilization zones retract, the transition zone becomes smooth, and the system rapidly transforms from two coexisting mobilization states to a Janssen-like regime. In both regimes, the general characteristics from the resulting stress profiles are depicted by generalizing Janssen's equation to include partial mobilization through the varying effective friction coefficient along the silo walls.</t>
  </si>
  <si>
    <t>Melo, Francisco/M-3923-2014; Vivanco, Francisco/AAB-8928-2019; Santibanez, Francisco/JGD-1397-2023</t>
  </si>
  <si>
    <t>AUG 22</t>
  </si>
  <si>
    <t>10.1103/PhysRevE.94.022906</t>
  </si>
  <si>
    <t>WOS:000381896600010</t>
  </si>
  <si>
    <t>Kleine, LL; Montaño, R; Torres-Avilés, F</t>
  </si>
  <si>
    <t>Guzzi, PH</t>
  </si>
  <si>
    <t>Kleine, Liliana Lopez; Montano, Rosa; Torres-Aviles, Francisco</t>
  </si>
  <si>
    <t>Classification and Clustering on Microarray Data for Gene Functional Prediction Using R (Mar, 10.1007/7651_2015_240, 2015)</t>
  </si>
  <si>
    <t>MICROARRAY DATA ANALYSIS, 2 EDITION: Methods and Applications</t>
  </si>
  <si>
    <t>Methods in Molecular Biology</t>
  </si>
  <si>
    <t>1064-3745</t>
  </si>
  <si>
    <t>1940-6029</t>
  </si>
  <si>
    <t>978-1-4939-3173-6; 978-1-4939-3172-9</t>
  </si>
  <si>
    <t>10.1007/7651_2015_256</t>
  </si>
  <si>
    <t>10.1007/978-1-4939-3173-6</t>
  </si>
  <si>
    <t>WOS:000687300700017</t>
  </si>
  <si>
    <t>Cordero, CV; Lisser, A</t>
  </si>
  <si>
    <t>Valencia Cordero, Claudio; Lisser, Abdel</t>
  </si>
  <si>
    <t>Jamming Attacks Reliable Prevention in a Clustered Wireless Sensor Network</t>
  </si>
  <si>
    <t>A heterogeneous wireless sensor network attacked by jamming is analyzed as a two-player non-cooperative game chance constrained problem, the utility function is based on the signal interference plus noise ratio at the receiver. In view of the problem's stochasticity, second order cone programming is used to solve the game problem. Our preliminary numerical results show that the communication distance between network elements must be taken into account at the time of establishing the design requirements of any reliable application against jamming attacks. Furthermore, it is established that the receiver's sensitivity level is a central parameter for changing the frequency used for the power transmission initially selected by the nodes.</t>
  </si>
  <si>
    <t>10.1007/s11277-015-2817-0</t>
  </si>
  <si>
    <t>WOS:000365217200020</t>
  </si>
  <si>
    <t>Artigas, A; Bustos, O; Sipos, K; Garza-Montes-de-Oca, NF; Seco, R; Monsalve, A; Mena, J</t>
  </si>
  <si>
    <t>Artigas, Alfredo; Bustos, Oscar; Sipos, Konstantin; Garza-Montes-de-Oca, Nelson F.; Seco, Rodrigo; Monsalve, Alberto; Mena, Juan</t>
  </si>
  <si>
    <t>Influence of Ni and Ti on the response to simulated marine corrosion of weathering steel A242</t>
  </si>
  <si>
    <t>MATERIA-RIO DE JANEIRO</t>
  </si>
  <si>
    <t>There is a great interest in the steel industry to incorporate new products in the market with better properties of those already in production. Among these properties, corrosion resistance is of great importance for countries with a large marine seacoast, like Chile, where chloride ions from sea spray produce corrosion, leading to irreversible failure of steel structures decreasing their life. For this reason, it is of vital importance to investigate the influence of various alloying elements and treatments for steels with superior corrosion resistance properties in marine environment. This work aims at studying the specific influence of Nickel - as an alloy constituent - and Titanium - as a microstructural tuner - on ASTM A242 low alloy weathering steel. For that, atmospheric corrosion resistance was evaluated through accelerated salt spray corrosion experiments under wet/dry cycles. For each alloy the thickness of corrosion products and corrosion rates were determined. The oxides and oxyhydroxides were identified by X-Ray diffraction technique. The results showed that corrosion rates at 40 cycles (960 hours) were low for Ni alloyed specimens and even lower for the Ti alloyed specimens, in comparison to the ASTM A242 alloy specimens. These results are reflected in a decrease in the thickness of the corroded coupons, with the lowest value observed for the ASTM A242 steel specimens alloyed with Nickel and Titanium.</t>
  </si>
  <si>
    <t>Artigas, Alfredo/Y-1185-2019; Allende, Rodrigo/N-5507-2017</t>
  </si>
  <si>
    <t>Monsalve, Alberto/0000-0002-5772-8815; Allende, Rodrigo/0000-0002-2115-8160</t>
  </si>
  <si>
    <t>1517-7076</t>
  </si>
  <si>
    <t>10.1590/S1517-707620150003.0066</t>
  </si>
  <si>
    <t>WOS:000362323600011</t>
  </si>
  <si>
    <t>Salini, GA; Pérez, P</t>
  </si>
  <si>
    <t>Salini, Giovanni A.; Perez, Patricio</t>
  </si>
  <si>
    <t>A Study of the Dynamic Behaviour of Fine Particulate Matter in Santiago, Chile</t>
  </si>
  <si>
    <t>We present here a study about the limitations found when trying to develop an accurate atmospheric particulate matter forecasting model based on real data, and evidence that the time series of fine particulate matter concentration exhibit deterministic chaotic behavior. We have calculated the Lyapunov exponents of PM2.5 time series obtained from measurements from four monitoring stations located in the city of Santiago, Chile, in recent years. Values obtained for the largest Lyapunov exponents turned out to be positive and ranging between 0.3 and 0.5 which, according to the theory of chaos, is a condition for the presence of deterministic chaos and random behavior in time series. Given the shape of decay of autocorrelation functions and values of correlation dimension and Hurst exponents, random behavior can be discarded: we therefore conclude that the series are chaotic and very sensitive to initial conditions. The study presented here can be replicated in other mid-sized cities that present similar situations to the city of Santiago, where complexity of topography, meteorology and seasonal trends favor the generation of high concentration episodes of atmospheric particulate matter and where a reliable air quality forecasting model may be important for environmental management.</t>
  </si>
  <si>
    <t>-Calderón, Giovanni/G-1237-2019; Perez, Patricio/AAS-7390-2020</t>
  </si>
  <si>
    <t>Salini-Calderon, Giovanni-Angelo/0000-0002-6628-1373; Perez, Patricio/0000-0003-1234-4233</t>
  </si>
  <si>
    <t>10.4209/aaqr.2013.10.0323</t>
  </si>
  <si>
    <t>WOS:000351351000013</t>
  </si>
  <si>
    <t>Díaz-Vásquez, WA; Abarca-Lagunas, MJ; Cornejo, FA; Pinto, CA; Arenas, FA; Vásquez, CC</t>
  </si>
  <si>
    <t>Diaz-Vasquez, Waldo A.; Abarca-Lagunas, Maria J.; Cornejo, Fabian A.; Pinto, Camilo A.; Arenas, Felipe A.; Vasquez, Claudio C.</t>
  </si>
  <si>
    <t>Tellurite-mediated damage to the Escherichia coli NDH-dehydrogenases and terminal oxidases in aerobic conditions</t>
  </si>
  <si>
    <t>Escherichia coli exposed to tellurite shows augmented membrane lipid peroxidation and ROS content. Also, reduced thiols, protein carbonylation, [Fe-S] center dismantling, and accumulation of key metabolites occur in these bacteria. In spite of this, not much is known about tellurite effects on the E. coli electron transport chain (ETC). In this work, tellurite-mediated damage to the E. coli ETC's NADH dehydrogenases and terminal oxidases was assessed. Mutant lacking ETC components showed delayed growth, decreased oxygen consumption and increased ROS in the presence of the toxicant. Membranes from tellurite-exposed E. coli exhibited decreased oxygen consumption and dNADH/NADH dehydrogenase activity, showing an impairment of NDH-I but not of NDH-II activity. Regarding terminal oxidases, only the bo oxidase complex was affected by tellurite. When assaying NDH-I and NDH-II activity in the presence of superoxide, the NDH-I complex was preferentially damaged. The activity was partly restored in the presence of reducing agents, sulfide and Fe2+ under anaerobic conditions, suggesting that damage affects NDH-I [4Fe-4S] centers. Finally, augmented membrane protein oxidation along with reduced oxidase activity was observed in the presence of the toxicant. Also, the increased expression of genes encoding alternative terminal oxidases probably reflects a cell's change towards anaerobic respiration when facing tellurite. (C) 2014 Elsevier Inc. All rights reserved.</t>
  </si>
  <si>
    <t>Cornejo, Fabian/0000-0002-6633-392X</t>
  </si>
  <si>
    <t>10.1016/j.abb.2014.10.011</t>
  </si>
  <si>
    <t>WOS:000348484000009</t>
  </si>
  <si>
    <t>Eugenín, J; Beltrán-Castillo, S; von Bernhardi, R</t>
  </si>
  <si>
    <t>Eugenin, Jaime; Beltran-Castillo, Sebastin; von Bernhardi, Rommy</t>
  </si>
  <si>
    <t>COMMENT ON THE ONGOING NEED FOR GOOD PHYSIOLOGICAL INVESTIGATION: OBSTRUCTIVE SLEEP APNEA IN HIV PATIENTS AS A PARADIGM</t>
  </si>
  <si>
    <t>JOURNAL OF APPLIED PHYSIOLOGY</t>
  </si>
  <si>
    <t>Beltran Castillo, Sebastian/AAT-2028-2021; von Bernhardi, Rommy/IAO-3764-2023</t>
  </si>
  <si>
    <t>von Bernhardi, Rommy/0000-0002-9022-7676; Beltran-Castillo, Sebastian/0000-0003-4550-6323</t>
  </si>
  <si>
    <t>8750-7587</t>
  </si>
  <si>
    <t>1522-1601</t>
  </si>
  <si>
    <t>WOS:000349245400017</t>
  </si>
  <si>
    <t>García-Herrera, CM; Celentano, DJ; Cruchaga, MA; Loewe, C</t>
  </si>
  <si>
    <t>Garcia-Herrera, C. M.; Celentano, D. J.; Cruchaga, M. A.; Loewe, C.</t>
  </si>
  <si>
    <t>Thermomechanical simulation of an industrial quenching process applied to a centrifugal pump impeller</t>
  </si>
  <si>
    <t>REVISTA INTERNACIONAL DE METODOS NUMERICOS PARA CALCULO Y DISENO EN INGENIERIA</t>
  </si>
  <si>
    <t>The thermomechanical behaviour during the quenching process of a centrifugal pump impeller made of white iron is studied in this work. The analysis is carried out using a coupled thermomechanical formulation that is discretized within the context of the finite element method. The material response is described by means of a thermoplastic model that includes phase-change effects. In particular, a heat treatment consisting in cooling from the austenizing temperature is presented with the aim of assessing the failure occurrence of the part at the end of the process. Three different criteria written in terms of the stresses and plastic deformations developed during the cooling stage are specifically compared to evaluate the final mechanical damage. The study is focused on two impeller configurations, with 4 and 5 blades, where fracture occurs in the former during its industrial production. The numerical results obtained in this work for these two cases confirm that the proposed methodology realistically predicts their failure possibilities. (C) 2013 CIMNE (Universitat Politecnica de Catalunya). Published by Elsevier Espana, S.L.U. All rights reserved.</t>
  </si>
  <si>
    <t>Celentano, Diego/JQW-5027-2023; García-Herrera, Claudio/ABE-8991-2020; Cruchaga, Marcela/M-7522-2014</t>
  </si>
  <si>
    <t>0213-1315</t>
  </si>
  <si>
    <t>10.1016/j.rimni.2014.06.002</t>
  </si>
  <si>
    <t>WOS:000357239400006</t>
  </si>
  <si>
    <t>Zagal, JH; Recio, FJ; Gutierrez, CA; Zuñiga, C; Páez, MA; Caro, CA</t>
  </si>
  <si>
    <t>Zagal, Jose H.; Javier Recio, F.; Gutierrez, Cristian A.; Zuniga, Cesar; Paez, Maritza A.; Caro, Claudia A.</t>
  </si>
  <si>
    <t>Towards a unified way of comparing the electrocatalytic activity MN4 macrocyclic metal catalysts for O2 reduction on the basis of the reversible potential of the reaction</t>
  </si>
  <si>
    <t>ELECTROCHEMISTRY COMMUNICATIONS</t>
  </si>
  <si>
    <t>We have revisited correlations between catalytic activity and formal potentials of MN4 catalysts for the reduction of O-2 (ORR). When comparing the activities of Cr, Mn, Co and Fe MN4 complexes for ORR as a plot of (log i/n)(E) versus the M(III)/(II) formal potential of the catalyst (n = number of electrons involved in the ORR), two linear correlations are obtained: one for Cr, Mn and Fe complexes and another for Co complexes. Mn and Fe are 4-electron reduction catalysts and Cr and Co are 2-electron reduction catalysts for ORR in alkaline media. We show that instead of plotting the formal potential E degrees' of the catalyst but the difference between this parameter and the reversible potential E-rev of the corresponding catalytic reaction (O-2/OH-) or (O-2/HO2-), as (E degrees' - E-rev) and using the Co(II)/(I) formal potential for cobalt macrocyclics, instead of the Co(III)/(II) redox couple, all data points merge into one single linear correlation of slope + 0.170 V/decade. It is possible that when (E degrees' - E-rev) approaches zero, the maximum activity could be achieved and this is especially important for 4-electron catalysts and the linear correlation might be part of an incomplete volcano correlation. (C) 2014 Elsevier B.V. All rights reserved.</t>
  </si>
  <si>
    <t>Zúñiga-Loyola, César/AAN-5621-2021; Paez, Maritza/M-2010-2014; zagal, jose/L-9648-2014; Recio, Francisco/AAB-2148-2020; Gutierrez Ceron, Cristian/O-7236-2018</t>
  </si>
  <si>
    <t>Recio, Francisco/0000-0002-5181-3197; paez, maritza/0000-0001-5881-884X; Zuniga-Loyola, Cesar/0000-0002-0894-3383; Gutierrez Ceron, Cristian/0000-0001-6078-1572</t>
  </si>
  <si>
    <t>1388-2481</t>
  </si>
  <si>
    <t>1873-1902</t>
  </si>
  <si>
    <t>10.1016/j.elecom.2014.01.009</t>
  </si>
  <si>
    <t>WOS:000333858100007</t>
  </si>
  <si>
    <t>Yáñez, BEN; Gambi, MO; Huencho, VF</t>
  </si>
  <si>
    <t>Navarrete Yanez, Bernardo Eric; Olavarria Gambi, Mauricio; Figueroa Huencho, Veronica</t>
  </si>
  <si>
    <t>Striking While the Iron is Hot. President Lagos and Universal Access to Explicit Health Guarantees (AUGE)</t>
  </si>
  <si>
    <t>REVISTA DE CIENCIAS SOCIALES</t>
  </si>
  <si>
    <t>This article seeks to describe how the personality and skills of President Ricardo Lagos were decisive for generating public health reforms in Chile, convincing all governmental levels and organs that the project of universal access to explicit health guarantees ought to be implemented, even against the preferences of the majority of those who were part of his governmental coalition. Effectively, after this investigation, it is possible to point out that Lagos mastered/controlled the alternatives considered for this public health reform and determined the final result by incorporating restrictions imposed externally by private actors in the health system, arbitrating in Congress the demands of the right-wing parties and dismissing those of his coalition. To explain this process, Kingdon's multiple streams approach (1995) is used. The qualitative methodology was the explanatory case study using the Grounded Theory method, through which 22 in-depth interviews gathered for this research were analyzed.</t>
  </si>
  <si>
    <t>1315-9518</t>
  </si>
  <si>
    <t>WOS:000328234900009</t>
  </si>
  <si>
    <t>De Lucca, F; Munizaga-Miranda, R; Jopia-Castillo, D; Gelmi, CA; Pérez-Correa, JR</t>
  </si>
  <si>
    <t>De Lucca, Franco; Munizaga-Miranda, Raul; Jopia-Castillo, David; Gelmi, Claudio A.; Perez-Correa, Jose R.</t>
  </si>
  <si>
    <t>Operation Strategies to Minimize Methanol Recovery in Batch Distillation of Hydroalcoholic Mixtures</t>
  </si>
  <si>
    <t>INTERNATIONAL JOURNAL OF FOOD ENGINEERING</t>
  </si>
  <si>
    <t>International Workshop on Modelling and Simulation of Food Processing and Operations held during the Modelling and Applied Simulation (MAS) Conference</t>
  </si>
  <si>
    <t>SEP 19-21, 2012</t>
  </si>
  <si>
    <t>Wien, AUSTRIA</t>
  </si>
  <si>
    <t>This work focuses on applying dynamic simulation to explore operating conditions of a packed batch distillation column for reducing the relative concentration of methanol in the distillate. Based on trial-anderror, we studied different cooling rate trajectories of the partial condenser, which has a direct impact on the reflux and distillate rates. Simulations showed that higher cooling rates and smaller cut times achieved lower relative concentrations of methanol in the distillate. Our study suggests that the best operating strategy cannot reduce the relative methanol concentration in the distillate more than 25% compared with the relative methanol concentration in the wine.</t>
  </si>
  <si>
    <t>Gelmi, Claudio/B-6651-2014; Perez-Correa, Jose/I-5565-2012</t>
  </si>
  <si>
    <t>Perez-Correa, Jose/0000-0002-1278-7782</t>
  </si>
  <si>
    <t>2194-5764</t>
  </si>
  <si>
    <t>1556-3758</t>
  </si>
  <si>
    <t>10.1515/ijfe-2013-0031</t>
  </si>
  <si>
    <t>WOS:000328493700003</t>
  </si>
  <si>
    <t>Rosas, RE; Ponce, MSH</t>
  </si>
  <si>
    <t>Elgueta Rosas, Raul; Herrera Ponce, M. Soledad</t>
  </si>
  <si>
    <t>Dimensions of Competition in Chilean Politics in the Nineties: Assessing the Impact of a Military Government in the Restructuring of the Party System</t>
  </si>
  <si>
    <t>REVISTA DEL CLAD REFORMA Y DEMOCRACIA</t>
  </si>
  <si>
    <t>This document studies the impact of the Chilean transition on the development of the party system, where the authoritarianism has had a high level of legitimacy. Based on multivariate analysis of the World Values Survey, it is explored what are the main dimensions of political and electoral competition in a democracy with a long tradition of political parties, where the support to authoritarian rule was added to the previous political tradition. In a second step, it is discussed the relationship of these dimensions to partisan support, in order to ascertain which dimensions are politically significant in terms of being associated to voting intention. It is also important to take into account the people without partisan preferences, as there could be a potential for the growing of electoral parties. The main conclusion of this research is that the authoritarianism/democracy dimension has operated in a way which reinforces the ideological question (left-right), so that both have been enhanced, allowing the stability of electoral alignments.</t>
  </si>
  <si>
    <t>Ponce, Maria/AFP-3635-2022</t>
  </si>
  <si>
    <t>1315-2378</t>
  </si>
  <si>
    <t>WOS:000323867100006</t>
  </si>
  <si>
    <t>Sepulveda, LA; Santana, CC</t>
  </si>
  <si>
    <t>Antonia Sepulveda, Luisa; Santana, Cesar Costapinto</t>
  </si>
  <si>
    <t>Effect of solution temperature, pH and ionic strength on dye adsorption onto Magellanic peat</t>
  </si>
  <si>
    <t>ENVIRONMENTAL TECHNOLOGY</t>
  </si>
  <si>
    <t>The aim of this research was to study the effect of the solution temperature, pH and ionic strength on the adsorption of the Basic Blue 3 (BB3) and Acid Black 1 (AB1) dyes in Magellanic peat. The peat used was physically characterized as fibrous, of low decomposition level, without the presence of crystalline material and with a highly porous morphology. The functional groups with major concentration in the surface adsorbent were the carboxylics and phenolics, with values of 0.91 and 0.47mmol/g, respectively. The results of the batch assays showed that the adsorption of the AB1 dye was strongly dependent of electrical charge density on the surface, contrary to what occurred to the BB3 dye, because the interactions between the dyes and carboxylic groups of the peat could be either electrostatic or non-electrostatic. The Langmuir, Freundlich and Sips isotherm models were fitted to the experimental data; among them, the Sips model presented the best adjustment quality. The maximum adsorption capacities for BB3 and AB1 dyes were 33.1 and 33.7mg/g, respectively. The adsorption of BB3 dye onto Magellan peat has an exothermic behaviour, obtaining an adsorption enthalpy of 3.44kJ/mol. Contrarily the adsorption of AB1 has an adsorption enthalpy of 56.76kJ/mol.</t>
  </si>
  <si>
    <t>Santana, Cesar/0000-0002-8962-173X</t>
  </si>
  <si>
    <t>0959-3330</t>
  </si>
  <si>
    <t>1479-487X</t>
  </si>
  <si>
    <t>APR 1</t>
  </si>
  <si>
    <t>10.1080/09593330.2012.724251</t>
  </si>
  <si>
    <t>WOS:000317952300003</t>
  </si>
  <si>
    <t>Contreras, E; Urra, J; Vásquez, C; Palma, C</t>
  </si>
  <si>
    <t>Contreras, Elsa; Urra, Johana; Vasquez, Carlos; Palma, Carolyn</t>
  </si>
  <si>
    <t>Detoxification of azo dyes mediated by cell-free supernatant culture with manganese-dependent peroxidase activity: Effect of Mn2+concentration and H2O2 dose</t>
  </si>
  <si>
    <t>BIOTECHNOLOGY PROGRESS</t>
  </si>
  <si>
    <t>White-rot fungi (WRF) are capable of degrading complex organic compounds such as lignin, and the enzymes that enable these processes can be used for the detoxification of recalcitrant organopollutants. The aim of this study is to evaluate a system based on the use of an in vitro ligninolytic enzyme for the detoxification of recalcitrant dye pollutants. The dyes selected for investigation were the anionic and cationic commercial azo dyes, basic blue 41 (BB41), acid black 1 (AB1), and reactive black 5 (RB5). A supernatant, cell-free culture of WRF with manganese peroxidase activity was used to investigate its degradative capacity under various conditions, and concentrations of cofactors, H2O2 and Mn2+. The assays were carried out using a 22 experimental designs whose variables were concentration of Mn2+ (33 and 1,000 mu M) and semicontinuous dosage of the H2O2 (0.02 and 0.10 mu mol) added at a frequency of 0.2 min-1. The response variables analyzed were the efficiency and the initial rate of the decolorization process. The dye concentrations considered ranged from 10 to 200 mg L-1. AB1 and RB5 were decolorized over the entire interval of concentrations studied; reaching efficiencies between 15 and 95%. Decolorization of up to 100 mg L-1, BB41 had less than 30% efficiency. The decay of the concentration of AB1 was interpreted by two-stage kinetics model, with the exception of the condition of 33 mu M Mn2+0.02 mu mol of H2O2 in which only one stage was observed. For all assays performed with 33 mu M Mn2+, the initial rate of the decolorization process was found to be dependent on the dosage of H2O2. The results of this study can be applied to the development bioreactors for the degradation of recalcitrant pollutants from the textile industry and may be used as a model for expanding the use of extracellular enzyme supernatants in bioremediation. (c) 2011 American Institute of Chemical Engineers Biotechnol. Prog., 2012</t>
  </si>
  <si>
    <t>8756-7938</t>
  </si>
  <si>
    <t>1520-6033</t>
  </si>
  <si>
    <t>10.1002/btpr.722</t>
  </si>
  <si>
    <t>WOS:000299775500013</t>
  </si>
  <si>
    <t>Winkler, MI; Alvear, K; Olivares, B; Pasmanik, D</t>
  </si>
  <si>
    <t>Ines Winkler, Maria; Alvear, Katherine; Olivares, Barbara; Pasmanik, Diana</t>
  </si>
  <si>
    <t>Ethical issues are transversal and habitual: ethical dimensions in training and practice for community psychology</t>
  </si>
  <si>
    <t>ACTA BIOETHICA</t>
  </si>
  <si>
    <t>Community psychology has suffered huge transformations associated to a historical and contextual process in our country, involving a series of ethical issues which have not been dealt with both in training and deontological discipline. The aim of this research was to inquire the perception of students and professionals with respect to ethics in practice and training in community psychology. Our participants were Chilean experts, students in practice and students of two Master programs in community psychology with three data sources: Delphi panel (8 experts), in-depth interviews (7 master students), and focal groups (20 students in community practice). By applying the principles of the theory empirically based, data analysis showed the identifications of four topics: ethical notion, types of ethical situations, ethical training and deontology. Among the results, the simultaneous character of ethical dimensions transversal and habitual as well as vague was highlighted in the discourse of our participants. Considering concrete situations, these identified general ethical principles, which was verbalized as Respect for the Other and Autonomy.</t>
  </si>
  <si>
    <t>1726-569X</t>
  </si>
  <si>
    <t>10.4067/S1726-569X2012000200012</t>
  </si>
  <si>
    <t>WOS:000321119200012</t>
  </si>
  <si>
    <t>Lay-Son, L; Espinoza-Martínez, L</t>
  </si>
  <si>
    <t>Lay-Son, Luis; Espinoza-Martinez, Luis</t>
  </si>
  <si>
    <t>Encephalitis associated to Kikuchi-Fujimoto's disease in a young woman: A case report</t>
  </si>
  <si>
    <t>NEUROLOGY ASIA</t>
  </si>
  <si>
    <t>Kikuchi-Fujimoto's disease or histiocytic necrotizing lymphadenitis affects predominantly young women and most of the cases have a benign and self-limited course with a complete remission within a few months. The involvement of the central nervous system is very unusual. We present the case of a young woman who developed temporal lobe encephalitis 3 months after the onset of Kikuchi-Fujimoto's disease. The patient was treated with corticosteroid and achieved a relative good outcome although there were remaining mild cognitive impairment and behavioral disturbances.</t>
  </si>
  <si>
    <t>1823-6138</t>
  </si>
  <si>
    <t>WOS:000288710100010</t>
  </si>
  <si>
    <t>Molina, S; Soto, I; Carrasco, R</t>
  </si>
  <si>
    <t>Molina, S.; Soto, I.; Carrasco, R.</t>
  </si>
  <si>
    <t>Detection of Gases and Collapses in Underground Mines using WSN</t>
  </si>
  <si>
    <t>2011 IEEE INTERNATIONAL CONFERENCE ON INDUSTRIAL TECHNOLOGY (ICIT)</t>
  </si>
  <si>
    <t>IEEE International Conference on Industrial Technology (ICIT)</t>
  </si>
  <si>
    <t>MAR 14-16, 2011</t>
  </si>
  <si>
    <t>Auburn Univ, Auburn, AL</t>
  </si>
  <si>
    <t>Inst Elect &amp; Elect Engineers (IEEE),IEEE Ind Elect Soc (IES),Auburn Univ</t>
  </si>
  <si>
    <t>Auburn Univ</t>
  </si>
  <si>
    <t>Safety is an element of extreme priority in mining operations, currently many traditional mining countries are investing in the implementation of wireless sensors capable of reducing the number of accidents; through early warning signs to prevent injuries, dead and significant economic losses. The application of sensors capable of measuring in real time variables of interest, promises to be of great impact on safety for mining industry. In this publication analyzed the main causes of accidents in coal mining underground, the technical issues to implement an efficient monitoring program of collapses and gases into underground mining. Issues related with the advantages, management and mine operations are discussed, including the analysis of Benefit, Opportunity, Cost and Risk. The publication will focus on coal mines, because these seem to be most accident prone underground mining environments. However, many of the reported results can be extrapolated to other mining activities.</t>
  </si>
  <si>
    <t>978-1-4244-9066-0</t>
  </si>
  <si>
    <t>WOS:000298735100035</t>
  </si>
  <si>
    <t>Sepulveda, J; Gonzalez, J; Camargo, M; Alfaro, M</t>
  </si>
  <si>
    <t>Sepulveda, J.; Gonzalez, J.; Camargo, M.; Alfaro, M.</t>
  </si>
  <si>
    <t>A Metrics-based Diagnosis Tool for Enhancing Innovation Capabilities in SMEs</t>
  </si>
  <si>
    <t>Innovation doubtless represents a main strategic lever for the development of small and medium enterprises (SMEs) in many industrial sectors and it comprises new techniques, new products and new processes, as well as new services which lead to better customer service and revenue. However, the basic question of how well the company is equipped with the necessary practices, methodologies, people, and beliefs, is far from being completely answered yet. In this paper, a metrics-based diagnosis tool for measuring and enhancing the innovation capabilities in SMEs is presented along with a set of preliminary results from case-based studies at the local industry. In this paper we propose a new method by studying the competences of SMEs in concepts tied to innovation and by using a specified framework. As a first step, all of the necessary information by using questionnaires with verbal-scales evaluations is compiled. Second, we use a non-compensatory flow-based sorting method with central profiles to identify the current level and to classify the company into predefined levels. Third, a detailed analysis of the obtained values is performed in order to make a personalized recommendation.</t>
  </si>
  <si>
    <t>CAMARGO, Mauricio/HJP-7111-2023</t>
  </si>
  <si>
    <t>Alfaro, Miguel/0000-0002-1633-8853; Camargo, Mauricio/0000-0003-3867-2438; Sepulveda, Juan M./0000-0003-3755-0981</t>
  </si>
  <si>
    <t>WOS:000283908700035</t>
  </si>
  <si>
    <t>Henríquez, HR; Cuevas, C</t>
  </si>
  <si>
    <t>Henriquez, Hernan R.; Cuevas, Claudio</t>
  </si>
  <si>
    <t>Approximate Controllability of Abstract Discrete-Time Systems</t>
  </si>
  <si>
    <t>ADVANCES IN DIFFERENCE EQUATIONS</t>
  </si>
  <si>
    <t>Approximate controllability for semilinear abstract discrete-time systems is considered. Specifically, we consider the semilinear discrete-time system x(k+1) = A(k)x(k) + f(k, x(k)) + B(k)u(k), k is an element of N-0, where A(k) are bounded linear operators acting on a Hilbert space X, B-k are X-valued bounded linear operators defined on a Hilbert space U, and f is a nonlinear function. Assuming appropriate conditions, we will show that the approximate controllability of the associated linear system x(k+1) = A(k)x(k) + B(k)u(k) implies the approximate controllability of the semilinear system.</t>
  </si>
  <si>
    <t>Cuevas, Claudio/A-5896-2012</t>
  </si>
  <si>
    <t>1687-1847</t>
  </si>
  <si>
    <t>10.1155/2010/695290</t>
  </si>
  <si>
    <t>WOS:000283139600001</t>
  </si>
  <si>
    <t>Villavicencio, A; Bacallao, K; Avellaira, C; Gabler, F; Fuentes, A; Vega, M</t>
  </si>
  <si>
    <t>Villavicencio, A.; Bacallao, K.; Avellaira, C.; Gabler, F.; Fuentes, A.; Vega, M.</t>
  </si>
  <si>
    <t>Androgen and estrogen receptors and co-regulators levels in endometria from patients with polycystic ovarian syndrome with and without endometrial hyperplasia</t>
  </si>
  <si>
    <t>GYNECOLOGIC ONCOLOGY</t>
  </si>
  <si>
    <t>Objective. To study if the endocrinological status of PCOS women affects the endometrial sensitivity to steroids by evaluating the expression of androgen receptor (AR), estrogen receptor alpha (ER alpha), estrogen receptor beta (ER beta), co-activators AIB1 and ARA70, and co-repressor NCoR. Methods. Gene and/or protein expression of steroid receptors and co-regulators was measured in 17 samples of normal endometrium (NE), 23 PCOS endometrium without treatment (PCOSE), 11 endometria from PCOS women and with endometrial hyperplasia (HPCOSE), and 10 endometria from patients with endometrial hyperplasia (HE), using RT-PCR and/or immunohistochemistry and Western blot. Results. Gene and protein expression of AR was relatively elevated in PCOSE and HPCOSE compared with NE. A significant increase in ER alpha protein expression was observed in PCOSE, preferentially in the nucleus of endometrial cells, whereas ER beta gene and protein expression increased gradually from PCOSE to HPCOSE and HE, mainly in the epithelial compartment. Importantly, we found a gradual increase in the ER beta/ER alpha gene and protein expression ratio in endometria from the four groups of women. AIB1 showed increased nuclear protein expression in PCOSE compared to NE, in the presence of a high expression of ARA70 in all groups. High expression of ARA70 together with a normal expression level of AIB1 was observed in HPCOSE. The cytoplasmic immunostaining of NCoR was similar between the four groups of patients. Conclusion. The PCOS endometrium exhibits a higher sensitivity to steroid action. We can inferred that these alterations could deregulate the transcription of genes involved in the cell cycle, which may lead to the development of endometrial hyperplasia in PCOS women. (c) 2006 Elsevier Inc. All rights reserved.</t>
  </si>
  <si>
    <t>Ferreira, Anderson/X-7827-2018</t>
  </si>
  <si>
    <t>0090-8258</t>
  </si>
  <si>
    <t>10.1016/j.ygyno.2006.03.029</t>
  </si>
  <si>
    <t>WOS:000240887100054</t>
  </si>
  <si>
    <t>Modak, B; Contreras, ML; González-Nilo, F; Torres, R</t>
  </si>
  <si>
    <t>Structure-antioxidant activity relationships of flavonoids isolated from the resinous exudate of Heliotropium sinuatum</t>
  </si>
  <si>
    <t>BIOORGANIC &amp; MEDICINAL CHEMISTRY LETTERS</t>
  </si>
  <si>
    <t>Relation ships between the structural characteristics of flavonoids isolated from the resinous exudate of Heliotropium sinuatum and their antioxidant activity were studied. Radical formation energies, DeltaH of dehydrogenation and spin densities were calculated using DFT methods (B3LYP/6-31G*). Results show that studied flavonoids can be divided into two sets according to their activity. It has been found that antioxidant activity depends both on substitution pattern of hydroxyl groups of the flavonoid skeleton and the presence of an unsaturation at the C2-C3 bond. A good tendency between DeltaH of dehydrogenation and antioxidant activity was established. (C) 2004 Elsevier Ltd. All rights reserved.</t>
  </si>
  <si>
    <t>Gonzalez Nilo, Fernando Danilo/M-5671-2016</t>
  </si>
  <si>
    <t>Gonzalez Nilo, Fernando Danilo/0000-0001-6857-3575</t>
  </si>
  <si>
    <t>0960-894X</t>
  </si>
  <si>
    <t>JAN 17</t>
  </si>
  <si>
    <t>10.1016/j.bmcl.2004.10.081</t>
  </si>
  <si>
    <t>WOS:000226344800013</t>
  </si>
  <si>
    <t>Delgado, A; Roa, L; Retamal, JC; Saavedra, C</t>
  </si>
  <si>
    <t>Entanglement swapping via quantum state discrimination</t>
  </si>
  <si>
    <t>PHYSICAL REVIEW A</t>
  </si>
  <si>
    <t>We study entanglement swapping through nonmaximally entangled states. The combination of the standard protocol with an optimal scheme for quantum state discrimination leads to a reliable protocol for the conclusive probabilistic generation of maximally entangled states. A possible setup based on cold trapped ions is proposed.</t>
  </si>
  <si>
    <t>Retamal, Juan/G-6425-2010; Roa, Luis/F-9884-2010; Saavedra, Carlos/C-4262-2008; Delgado, Aldo/M-1707-2014</t>
  </si>
  <si>
    <t>Retamal Abarzua, Juan Carlos/0000-0002-7174-7879; Delgado, Aldo/0000-0002-8968-5733; Saavedra, Carlos/0000-0003-3156-3853</t>
  </si>
  <si>
    <t>1050-2947</t>
  </si>
  <si>
    <t>1094-1622</t>
  </si>
  <si>
    <t>10.1103/PhysRevA.71.012303</t>
  </si>
  <si>
    <t>WOS:000227283300029</t>
  </si>
  <si>
    <t>Caro, CA; Zagal, JH; Bedioui, F; Adamo, C; Cárdenas-Jirón, GI</t>
  </si>
  <si>
    <t>Solvent effect on density functional reactivity indexes applied to substituted nickel phthalocyanines</t>
  </si>
  <si>
    <t>The solvent effect has been studied at the PBEO/CEP-121G level of theory on different intramolecular and intermolecular density functional global reactivity indexes for a set of substituted nickel plithalocyanines (NiPc(X)(n); X is the substituent). For all the indexes analyzed, we found that solvent plays a nonnegligible role: in some molecules it induces a stabilization, while in others it has a destabilizing effect. However, we also found along the whole set of NiPc(X), molecules that the presence of the solvent leads to the same overall trend obtained in the gas phase. To rationalize the behavior of the set NiPc(X)(n), we also did an analysis of the partial energy contributions to the total energy considering the environment variable given by the solvent and the chemical variable given by the substituent.</t>
  </si>
  <si>
    <t>zagal, jose/L-9648-2014; adamo, carlo/A-2909-2010; Cardenas-Jiron, Gloria/H-9508-2012; Bedioui, Fethi/N-3507-2014</t>
  </si>
  <si>
    <t>adamo, carlo/0000-0002-2638-2735; Cardenas-Jiron, Gloria/0000-0003-4305-8088; Bedioui, Fethi/0000-0002-0063-4412</t>
  </si>
  <si>
    <t>10.1021/jp049530y</t>
  </si>
  <si>
    <t>WOS:000222639700017</t>
  </si>
  <si>
    <t>Gumucio, CP</t>
  </si>
  <si>
    <t>New forms of religion in a globalized society: A challenge for sociological interpretation</t>
  </si>
  <si>
    <t>SOCIAL COMPASS</t>
  </si>
  <si>
    <t>26th International Conference on the Sociology of Religion (ISSR)</t>
  </si>
  <si>
    <t>AUG 20-24, 2001</t>
  </si>
  <si>
    <t>IXTAPAN DE LA SAL, MEXICO</t>
  </si>
  <si>
    <t>ISSR</t>
  </si>
  <si>
    <t>The author analyses certain forms of religion which can be characterized as neo-magic-religion. In the course of the shift towards post-industrial society magic has been updated and religion has been transformed. It is not a question of the return of magic but rather of a mutation of institutionalized religion largely in response to the scientific and technological revolution that has occurred within the context of globalization. Newforms of religious belonging and of believing in my own fashion or without the Church are evidence of new types of syncretisms in which Christianity is combined with New Age and indigenous shamanism. Judging by its characteristics, the spirit of neomagic-religion springs from an elective affinity with the ethos of science and post-industrial techniques. The concept of neo-magic(s) (in the singular or plural) should be considered as a sociological type based on empirical foundations and a large number of appearances.</t>
  </si>
  <si>
    <t>Parker, Cristián/J-4947-2017</t>
  </si>
  <si>
    <t>0037-7686</t>
  </si>
  <si>
    <t>UNSP 0037-7686[200206]49:2;167-186;023952</t>
  </si>
  <si>
    <t>10.1177/0037768602049002003</t>
  </si>
  <si>
    <t>WOS:000176720700003</t>
  </si>
  <si>
    <t>Vallejos, G; Rezende, MC; Cassels, BK</t>
  </si>
  <si>
    <t>Charge-transfer interactions in the inhibition of MAO-A by phenylisopropylamines - a QSAR study</t>
  </si>
  <si>
    <t>JOURNAL OF COMPUTER-AIDED MOLECULAR DESIGN</t>
  </si>
  <si>
    <t>The HOMO energies and the charges on the aromatic carbons of two sets of MAO-A-inhibiting phenylisopropylamines, one containing 4-amino substituents, were calculated by the AM1 method, in order to evaluate the importance of charge-transfer interactions between drug and enzyme. Multiple-linear regressions of the pIC(50) values on the calculated descriptors were performed with 33 compounds from the two sets, and separately with each set. A poor correlation was obtained when the two sets were merged, as a result of opposing trends shown by the two separate sets. These opposing trends were reconciled by invoking a partial protonation of the basic 4-amino substituents by a hydrogen-bond-donor fragment of the enzyme. The resulting analysis indicated that electron-rich rings and higher HOMO levels tended to increase activity. This model received support from the evaluation of the IMAO activity of four new phenylisopropylamines.</t>
  </si>
  <si>
    <t>Caroli, Marcos/H-3570-2019; Cassels, Bruce/H-6937-2013</t>
  </si>
  <si>
    <t>Rezende, Marcos/0000-0003-2040-9009</t>
  </si>
  <si>
    <t>0920-654X</t>
  </si>
  <si>
    <t>10.1023/A:1016344030772</t>
  </si>
  <si>
    <t>WOS:000176814200002</t>
  </si>
  <si>
    <t>Lips, V; Celedon, G; Escobar, J; Lissi, EA</t>
  </si>
  <si>
    <t>Thiol induced hemoglobin oxidation</t>
  </si>
  <si>
    <t>REDOX REPORT</t>
  </si>
  <si>
    <t>Addition of cysteine in the mM range to purified oxyhemoglobin, red blood cell lysate or red blood cell suspensions leads to oxidation of the hemoprotein. The rate and extent of the process depend on the initial hemoglobin and cysteine concentrations, and the reaction is limited by the total destruction of the sulfhydryl groups. Similar results are obtained employing glutathione, but the rate of the process is considerably slower. Oxidation of the purified hemoprotein is faster than in the red blood cell lysate. This difference is mainly due to the inhibitory effect of catalase present in the lysate. Addition of sodium azide increases the rate of oxyhemoglobin oxidation in the lysate, while addition of catalase reduces the rate of oxidation of the purified hemoprotein. The results are interpreted in terms of a mechanism comprising the oxidation of the oxyhemoglobin by the -SH group, with concomitant formation of superoxide anion and hydrogen peroxide. These species further contribute to the oxyhemoglobin oxidation. A chain oxidation of the thiol, catalyzed by the hemoprotein, explains the extensive cysteine destruction.</t>
  </si>
  <si>
    <t>1351-0002</t>
  </si>
  <si>
    <t>10.1080/13510002.1996.11747050</t>
  </si>
  <si>
    <t>WOS:A1996UQ74700008</t>
  </si>
  <si>
    <t>Iracheta, A; Linossier, A; Charmin, B</t>
  </si>
  <si>
    <t>Study about the effect of fluoride over surface antigens of S mutans: Serotype e.</t>
  </si>
  <si>
    <t>JOURNAL OF DENTAL RESEARCH</t>
  </si>
  <si>
    <t>0022-0345</t>
  </si>
  <si>
    <t>WOS:A1996VG92601143</t>
  </si>
  <si>
    <t>Aguilar, LF; Sotomayor, CP; Lissi, EA</t>
  </si>
  <si>
    <t>Main phase transition depression by incorporation of alkanols in DPPC vesicles in the gel state: Influence of the solute topology</t>
  </si>
  <si>
    <t>COLLOIDS AND SURFACES A-PHYSICOCHEMICAL AND ENGINEERING ASPECTS</t>
  </si>
  <si>
    <t>Diphenylhexatriene is employed to sense the changes elicited in dipalmitoylphosphatidylcholine large unilamellar vesicles by the incorporation of several alkanols. From the dependence of the observed anisotropy values upon the surfactant concentration, pseudo partition constants of alkanols are obtained under conditions in which the vesicles are intermediate between the gel and liquid crystalline states. These data, together with previous data obtained at lower alkanol concentrations, allow an evaluation of the dependence of the alkanol incorporation on the solute concentration. The effect of the solute topology is investigated by employing linear and highly branched alkanols.</t>
  </si>
  <si>
    <t>Aguilar, Luis/0000-0002-6038-3475</t>
  </si>
  <si>
    <t>0927-7757</t>
  </si>
  <si>
    <t>1873-4359</t>
  </si>
  <si>
    <t>MAR 20</t>
  </si>
  <si>
    <t>2-3</t>
  </si>
  <si>
    <t>10.1016/0927-7757(95)03424-2</t>
  </si>
  <si>
    <t>WOS:A1996UB00800015</t>
  </si>
  <si>
    <t>Paez, MA; Foong, TM; Ni, CT; Thompson, GE; Shimizu, K; Habazaki, H; Skeldon, P; Wood, GC</t>
  </si>
  <si>
    <t>Barrier-type anodic film formation on an Al-3.5 wt% Cu alloy</t>
  </si>
  <si>
    <t>CORROSION SCIENCE</t>
  </si>
  <si>
    <t>Barrier-type anodic film formation on a bulk A1-3.5wt% Cu alloy has been examined by analytical transmission electron microscopy. Anodic alumina Nm formation proceeds in the usual way, with Al3+ egress and O2- ingress across the pre-existing film under the high electric field. Copper species are incorporated into the alumina Nm at the alloy/film interface and have a greater mobility under the held than outwardly mobile aluminium cations; the absence of any enrichment of copper species at the film/electrolyte interface also suggests their direct ejection into the electrolyte. The incorporation of copper species into the alumina film is related to clustering processes at the alloy/film interface which lead to a significant interfacial enrichment of copper and its local oxidation in the form of relatively short-lived copper oxide fingers. The generation of fine clusters and their preferential oxidation, with subsequent reformation as a result of the anodic oxidation of the adjacent aluminium matrix, explain the relatively narrow region of copper enrichment at the alloy/film interface.</t>
  </si>
  <si>
    <t>Pappas, Georgios/F-7194-2014; Paez, Maritza/M-2010-2014; Habazaki, Hiroki/C-5388-2012</t>
  </si>
  <si>
    <t>paez, maritza/0000-0001-5881-884X</t>
  </si>
  <si>
    <t>0010-938X</t>
  </si>
  <si>
    <t>10.1016/0010-938X(96)00102-3</t>
  </si>
  <si>
    <t>WOS:A1996TL61300005</t>
  </si>
  <si>
    <t>SEPULVEDABOZA, S; STATHER, U</t>
  </si>
  <si>
    <t>SYNTHESIS OF FLUOROACETYL DERIVATIVES FROM 5-N-ACETYL-NEURAMIC ACID</t>
  </si>
  <si>
    <t>The reaction of fluoroacetyl imidazolide with N-acetylneuraminic-2-alpha-O-benzylketoside yields a mixture of mono- and difluoroacetyl derivatives at the positions 4 and 9. The use of trifluoroacetyl imidazolide allowed an efficient substitution of the N-acetyl by the N-trifluoroacetyl group (V). The syntheses and spectroscopic data of the products are described.</t>
  </si>
  <si>
    <t>WOS:A1994QE34700008</t>
  </si>
  <si>
    <t>HORVATH, H; TRIER, A; CATALAN, L</t>
  </si>
  <si>
    <t>THE RELATIONSHIP BETWEEN OUTDOOR AND INDOOR SOOT CONCENTRATIONS IN AN URBAN-ENVIRONMENT</t>
  </si>
  <si>
    <t>10.1016/0021-8502(89)90815-X</t>
  </si>
  <si>
    <t>WOS:A1989CN23100105</t>
  </si>
  <si>
    <t>SALAS, CE; LEBOY, PS</t>
  </si>
  <si>
    <t>THE NATURE OF METHYLADENINE-DEFICIENT TRANSFER-RNA IN A MAMMARY ADENOCARCINOMA</t>
  </si>
  <si>
    <t>FEDERATION PROCEEDINGS</t>
  </si>
  <si>
    <t>0014-9446</t>
  </si>
  <si>
    <t>WOS:A1983QM89400757</t>
  </si>
  <si>
    <t>ABUIN, E; LISSI, E; GARGALLO, L; RADIC, D</t>
  </si>
  <si>
    <t>PHOTO-LUMINESCENCE OF BIPHENYL-CONTAINING POLYMERS</t>
  </si>
  <si>
    <t>EUROPEAN POLYMER JOURNAL</t>
  </si>
  <si>
    <t>0014-3057</t>
  </si>
  <si>
    <t>10.1016/0014-3057(82)90162-8</t>
  </si>
  <si>
    <t>WOS:A1982NN74600008</t>
  </si>
  <si>
    <t>Miranda, P; Parra, D</t>
  </si>
  <si>
    <t>Miranda, Pablo; Parra, Daniel</t>
  </si>
  <si>
    <t>Eigenvalue Asymptotics Near a Flat Band in the Presence of a Slowly Decaying Potential</t>
  </si>
  <si>
    <t>ASYMPTOTIC ANALYSIS</t>
  </si>
  <si>
    <t>We provide eigenvalue asymptotics for a Dirac-type operator on Z(n) , n &gt;= 2 , perturbed by multiplication operators that decay as |mu|(-gamma) with gamma &lt; n . We show that the eigenvalues accumulate near the value of the flat band at a semiclassical rate with a constant that encodes the structure of the flat band. Similarly, we show that this behavior can be obtained also for a Laplace operator on a periodic graph.</t>
  </si>
  <si>
    <t>Miranda, Pablo/AAD-3559-2019</t>
  </si>
  <si>
    <t>0921-7134</t>
  </si>
  <si>
    <t>1875-8576</t>
  </si>
  <si>
    <t>2025 MAR 19</t>
  </si>
  <si>
    <t>10.1177/09217134251317876</t>
  </si>
  <si>
    <t>MAR 2025</t>
  </si>
  <si>
    <t>WOS:001458551700001</t>
  </si>
  <si>
    <t>Conejero, JA; Lizama, C; Quijada, D</t>
  </si>
  <si>
    <t>Conejero, J. Alberto; Lizama, Carlos; Quijada, David</t>
  </si>
  <si>
    <t>Dynamical Properties for a Unified Class of One-Dimensional Discrete Maps</t>
  </si>
  <si>
    <t>Currently, despite advances in the analysis of dynamical systems, there are still doubts about the transition between both stable and chaotic behaviors. In this research, we will explain the transition of a system that develops between two dynamic systems that have already been studied: the classical logistic model and a new chaotic system. This research addresses the study of the transition of both the system and its behaviors using computational techniques, where cobweb diagrams, time series, bifurcation diagrams, and even a graphical visualization for the maximum Lyapunov exponent will be visualized. Using a graphical and numerical methodology, bifurcation points were identified that revealed the transition of behaviors at different points. This resulted in a deep understanding of the dynamics of the system, thus highlighting the importance of incorporating computational analysis in dynamic systems, which greatly contributes to the efficient modeling of natural phenomena.</t>
  </si>
  <si>
    <t>Conejero, J. Alberto/A-8589-2008; Lizama, Carlos/E-5909-2011</t>
  </si>
  <si>
    <t>10.3390/math13030518</t>
  </si>
  <si>
    <t>WOS:001418632300001</t>
  </si>
  <si>
    <t>Palominos, P; Mazo, M; Fuertes, G; Alfaro, M</t>
  </si>
  <si>
    <t>Palominos, Pedro; Mazo, Mauricio; Fuertes, Guillermo; Alfaro, Miguel</t>
  </si>
  <si>
    <t>An Improved Marriage in Honey-Bee Optimization Algorithm for Minimizing Earliness/Tardiness Penalties in Single-Machine Scheduling with a Restrictive Common Due Date</t>
  </si>
  <si>
    <t>This study evaluates the efficiency of a swarm intelligence algorithm called marriage in honey-bee optimization (MBO) in solving the single-machine weighted earliness/tardiness problem, a type of NP-hard combinatorial optimization problem. The goal is to find the optimal sequence for completing a set of tasks on a single machine, minimizing the total penalty incurred for tasks being completed too early or too late compared to their deadlines. To achieve this goal, the study adapts the MBO metaheuristic by introducing modifications to optimize the objective function and produce high-quality solutions within reasonable execution times. The novelty of this work lies in the application of MBO to the single-machine weighted earliness/tardiness problem, an approach previously unexplored in this context. MBO was evaluated using the test problem set from Biskup and Feldmann. It achieved an average improvement of 1.03% across 280 problems, surpassing upper bounds in 141 cases (50.35%) and matching or exceeding them in 193 cases (68.93%). In the most constrained problems (h = 0.2 and h = 0.4), the method achieved an average improvement of 3.77%, while for h = 0.6 and h = 0.8, the average error was 1.72%. Compared to other metaheuristics, MBO demonstrated competitiveness, with a maximum error of 1.12%. Overall, MBO exhibited strong competitiveness, delivering significant improvements and high efficiency in the problems studied.</t>
  </si>
  <si>
    <t>Fuertes, Guillermo/Q-2341-2016</t>
  </si>
  <si>
    <t>Fuertes, Guillermo/0000-0003-3044-5919</t>
  </si>
  <si>
    <t>10.3390/math13030418</t>
  </si>
  <si>
    <t>WOS:001418593300001</t>
  </si>
  <si>
    <t>Tapiero, Y; Sánchez, J</t>
  </si>
  <si>
    <t>Tapiero, Yesid; Sanchez, Julio</t>
  </si>
  <si>
    <t>Analysis of a constant-volume diafiltration system with the ability to remove lithium cations when using poly(2-acrylamido-2-methyl-1-propanesulfonic acid) in water</t>
  </si>
  <si>
    <t>JOURNAL OF WATER PROCESS ENGINEERING</t>
  </si>
  <si>
    <t>This study describes the synthesis of a poly(2-acrylamido-2-methyl-1-propanesulfonic acid) (PAMPS) and its application for the removal of Li+ in water using a constant-volume diafiltration system. PAMPS with molecular weights exceeding 100 kDa (88 % w/w), polymerisation yields of 97 % and high acidity was obtained. A block experimental design characterized the diafiltration system reporting: Regenerated cellulose (RC) and polyethersulfone (PES) ultrafiltration membranes with a molecular cut-off of 100 kDa can retain up to 1 % Li+ ions through surface charges. But when PAMPS 2000 kDa was used, 89 % of Li+ was removed (%R). Permeate flux (J(s)) decreases with increasing PAMPS:Li+ ratio, whereas the %R value increases. The filtration process is controlled by diffusion mechanisms according to the Peclet dimensionless number. Using PAMPS 100 kDa with a PAMPS:Li+ ratio (20:1), %R decreases to 76 %, whereas J(s) increases slightly. PAMPS can be reused 3 consecutive times, maintaining a Li+ cation rejection efficiency of &gt;60 %. Additionally, it was found that the percentage of Li+ rejection capacity exercised with PAMPS is reduced to 60 % when Ca2+, K+, Mg2+ and Na+ cations are present.</t>
  </si>
  <si>
    <t>Sanchez, Julio/AEO-4360-2022</t>
  </si>
  <si>
    <t>2214-7144</t>
  </si>
  <si>
    <t>10.1016/j.jwpe.2024.106232</t>
  </si>
  <si>
    <t>WOS:001331120700001</t>
  </si>
  <si>
    <t>Silva, LPP; Najjar, MK; da Costa, BBF; Amario, M; Vasco, DA; Haddad, AN</t>
  </si>
  <si>
    <t>Silva, Luiz Paulo P.; Najjar, Mohammad K.; da Costa, Bruno B. F.; Amario, Mayara; Vasco, Diego A.; Haddad, Assed N.</t>
  </si>
  <si>
    <t>Sustainable Affordable Housing: State-of-the-Art and Future Perspectives</t>
  </si>
  <si>
    <t>Nowadays, there are many studies with a significant focus on affordable housing. The relevance of this theme, which is usually the central object of public housing policies, requires an updated review of the problems and challenges to be overcome, especially in terms of sustainability, in favor of an improvement in the quality of products delivered to beneficiaries. This research concentrates on applying the sustainability concept to affordable housing, emphasizing technical, social, and governance aspects. A novel classification framework is introduced, encompassing these aspects in the context of sustainability integrated with affordable housing. A systematic literature review is conducted and more than 100 articles are examined based on bibliometric and bibliographic analyses to highlight the main dimensions and topics involved in the housing public policy sphere. The study has been elaborated based on collecting relevant materials, building a descriptive analysis of the literature examined, highlighting the classification structure that categorizes the studies examined, and evaluating the material identified based on the classification structure. The outcomes aim to spotlight the diverse dimensions of sustainable affordable housing and associated research themes. Furthermore, the research outlines deficiencies in current approaches and outlines a future research agenda for implementing sustainability in affordable housing. It establishes a strong connection between technical, social, and governance aspects of affordable housing and sustainability, considering anticipated approaches, techniques, and challenges.</t>
  </si>
  <si>
    <t>NAJJAR, MOHAMMAD/X-8305-2019; Vasco, Diego/AAA-4480-2020; Barzellay Ferreira da Costa, Bruno/AAF-5878-2019; Haddad, Assed/C-9206-2014; Amario, Mayara/AAJ-2766-2021</t>
  </si>
  <si>
    <t>Barzellay Ferreira da Costa, Bruno/0000-0003-0242-4205; Haddad, Assed/0000-0002-4793-0905; Vasco, Diego Andres/0000-0001-7456-4683; Amario, Mayara/0000-0002-9726-6205; Najjar, Mohammad/0000-0002-3407-4142; Silva, Luiz Paulo/0009-0007-3636-151X</t>
  </si>
  <si>
    <t>10.3390/su16104187</t>
  </si>
  <si>
    <t>WOS:001231476900001</t>
  </si>
  <si>
    <t>García-Muñoz, F; San Martín, S; Eichman, J</t>
  </si>
  <si>
    <t>Garcia-Munoz, Fernando; San Martin, Sebasttian; Eichman, Josh</t>
  </si>
  <si>
    <t>Empowering Energy Communities by A User-Centric Model for Self-Managed Congestion via Local P2P and Flexibility Markets</t>
  </si>
  <si>
    <t>2024 20TH INTERNATIONAL CONFERENCE ON THE EUROPEAN ENERGY MARKET, EEM 2024</t>
  </si>
  <si>
    <t>International Conference on the European Energy Market</t>
  </si>
  <si>
    <t>20th International Conference on the European Energy Market (EEM)</t>
  </si>
  <si>
    <t>JUN 10-12, 2024</t>
  </si>
  <si>
    <t>Istanbul, TURKEY</t>
  </si>
  <si>
    <t>IEEE,Kadir Has Univ, Ctr Energy &amp; Sustainable Dev,Senkron Energy Digital Serv,IEEE Turkiye Sect,IEEE Power &amp; Energy Soc</t>
  </si>
  <si>
    <t>The expected increase in distributed energy resource (DER) penetration at residential levels is promoting new local market frameworks to manage the use of these resources efficiently and improve users' and energy communities' welfare. In this regard, Peer-to-peer (P2P) energy trading and the flexibility market emerge as tentative solutions to address this purpose, empowering the users and energy communities' role in the electricity markets and in the energy transition. This article introduces a deterministic three-stage optimization model to self-manage congestion arising from the high penetration of DERs within an energy community through a local P2P and flexibility market framework. Thus, under a day-ahead time framework, the initial stage considers that each user minimizes their own objective function, which is the energy bought from the grid. Then, in the second stage, the DSO receives the scheduling dispatch from each user through the local market operator and solves an optimal power flow problem to identify possible congestion line issues. If any congestion appears in the second stage, it is managed in the third stage using the flexibility provided by the DERs and the P2P energy trading, considering the user's preferences derived from the first stage problem. The model has been tested in a modified version of the IEEE 33 bus system and shows the capability to mitigate congestion line issues using the flexibility from the storage and PV systems under a P2P energy trading scheme.</t>
  </si>
  <si>
    <t>García-Muñoz, Fernando/AAX-9963-2020</t>
  </si>
  <si>
    <t>2165-4077</t>
  </si>
  <si>
    <t>979-8-3503-8175-7; 979-8-3503-8174-0</t>
  </si>
  <si>
    <t>10.1109/EEM60825.2024.10609008</t>
  </si>
  <si>
    <t>WOS:001293146800149</t>
  </si>
  <si>
    <t>Lacoste, P; Montoya, S; Videla, M; Salas, A</t>
  </si>
  <si>
    <t>Lacoste, Pablo; Montoya, Sandra; Videla, Marisol; Salas, Alejandro</t>
  </si>
  <si>
    <t>HYDRAULIC FLOUR MILLS: IMPERIAL SOFT POWER AND INDIGENOUS INTEGRATION IN CHILE (16TH CENTURY)</t>
  </si>
  <si>
    <t>REVISTA NOTAS HISTORICAS Y GEOGRAFICAS</t>
  </si>
  <si>
    <t>The role of the hydraulic flour mill is examined from the analytical category of soft power, in the sense of a resource used by the Spanish empire to attract the native population to its colonial project, as a complement to the hard power given by military force. The mill's advantages to building the Hispano-Creole society are investigated. In the analysis of the particular use of mill technology by the indigenous people, we found that it was used to improve their living conditions, which triggered an adoption in Spanish technology and food and economic structures, which generated an impact because not only coercive ways were used so that the original peoples accepted and assimilated the monarchical power, but there was an interest from indigenous to the new technologies Spanish was installing in the territory.</t>
  </si>
  <si>
    <t>Salas Miranda, Alejandro/0000-0001-7410-7968</t>
  </si>
  <si>
    <t>0717-036X</t>
  </si>
  <si>
    <t>0719-4404</t>
  </si>
  <si>
    <t>WOS:001339596200011</t>
  </si>
  <si>
    <t>Muñoz-Parra, C; Valdés-Rojas, C; Alberti-Zurita, L; Leiva-Argandoña, C; Jorquera-Silva, N</t>
  </si>
  <si>
    <t>Munoz-Parra, Carlos; Valdes-Rojas, Carolina; Alberti-Zurita, Liuba; Leiva-Argandona, Catalina; Jorquera-Silva, Natalia</t>
  </si>
  <si>
    <t>Identification and valorization of the vernacular architectural heritage of land in the Elqui Valley, Chile</t>
  </si>
  <si>
    <t>REVISTA GEOGRAFICA VENEZOLANA</t>
  </si>
  <si>
    <t>Throughout the Elqui Valley, in the region of Coquimbo, Chile, there are numerous buildings built with earthen techniques. Particularly important are those that are deteriorating, abandoned or in use, and that have an imminent heritage value. Thanks to the Dicyt-Capital Semilla N degrees 092090MP_ARQ research project of the Vice-Rectory for Research, Development and Innovation of the University of Santiago de Chile-USACH, an investigation was proposed whose objective was to generate rehabilitation guidelines for vernacular buildings on land in Elqui Valley's, based on the identification of those cases, preferably far from urban centers-in this case from the commune of Vicu &amp; ntilde;a- and the selection of representative properties of different types, in order to then be able to establish the degree of valuation by the communities in which that are inserted and specify the level of commitment to their rehabilitation.</t>
  </si>
  <si>
    <t>1012-1617</t>
  </si>
  <si>
    <t>2244-8853</t>
  </si>
  <si>
    <t>WOS:001399855800015</t>
  </si>
  <si>
    <t>THE SEMIDISCRETE DAMPED WAVE EQUATION WITH A FRACTIONAL LAPLACIAN</t>
  </si>
  <si>
    <t>In this paper we completely solve the open problem of finding the fundamental solution of the semidiscrete fractional-spatial damped wave equation. We combine operator theory and Laplace transform methods with properties of Bessel functions to show an explicit representation of the solution when initial conditions are given. Our findings extend known results from the literature and also provide new insights into the qualitative behavior of the solutions for the studied model. As an example, we show the existence of almost periodic solutions as well as their profile in the homogeneous case.</t>
  </si>
  <si>
    <t>1088-6826</t>
  </si>
  <si>
    <t>10.1090/proc/16231</t>
  </si>
  <si>
    <t>WOS:000992714500006</t>
  </si>
  <si>
    <t>Adasme, P; Lisser, A</t>
  </si>
  <si>
    <t>Adasme, Pablo; Lisser, Abdel</t>
  </si>
  <si>
    <t>A stochastic geometric programming approach for power allocation in wireless networks</t>
  </si>
  <si>
    <t>WIRELESS NETWORKS</t>
  </si>
  <si>
    <t>In this paper, we consider the power allocation problem for 5 G wireless networks using massive multiple input multiple output technologies. Two non-linear optimization models are considered to maximize the worst user signal-to-interference noise ratio and the total capacity of the network subject to power constraints. In particular, we transform the first one into a geometric programming (GP) problem. Whereas the second one leads to a signomial programming formulation. The main contributions of the paper are first to propose novel formulations for power allocation in wireless networks while using stochastic, geometric, and signomial programming frameworks altogether. We derive stochastic formulations for each GP model to deal with the uncertainty of wireless channels. Secondly, since solving optimally the stochastic models represents a challenging task, we obtain tight bounds using approximation solution methods. In particular, the piece-wise linear programming and the sequential approximation methods allow us to obtain tight intervals for the objective function values of the stochastic models. Notice that these intervals contain the optimal solutions. In particular, we propose an approximated GP model that allows obtaining lower bounds for the signomial problem. This is achieved by using the arithmetic-geometric mean inequality. Finally, we compare the deterministic and stochastic models and prove the robustness of the stochastic models. Notice that we solve all the instances and obtain near-optimal solutions for most of them.</t>
  </si>
  <si>
    <t>Adasme, Pablo/0000-0003-2500-3294</t>
  </si>
  <si>
    <t>1022-0038</t>
  </si>
  <si>
    <t>1572-8196</t>
  </si>
  <si>
    <t>10.1007/s11276-023-03295-8</t>
  </si>
  <si>
    <t>MAR 2023</t>
  </si>
  <si>
    <t>WOS:000949741100004</t>
  </si>
  <si>
    <t>Bravo, S; Leiva, F; Moya, J; Guzman, O; Vidal, R</t>
  </si>
  <si>
    <t>Bravo, Scarleth; Leiva, Francisco; Moya, Javier; Guzman, Osiel; Vidal, Rodrigo</t>
  </si>
  <si>
    <t>Unveiling the Role of Dynamic Alternative Splicing Modulation After Infestation with Sea Lice (Caligus rogercresseyi) in Atlantic Salmon</t>
  </si>
  <si>
    <t>Sea lice are pathogenic marine ectoparasite copepods that represent a severe risk to the worldwide salmon industry. Several transcriptomic investigations have characterized the regulation of gene expression response of Atlantic salmon to sea lice infestation. These studies have focused on the levels of transcript, overlooking the potentially relevant role of alternative splicing (AS), which corresponds to an essential control mechanism of gene expression through RNA processing. In the present study, we performed a genome-wide bioinformatics characterization of differential AS event dynamics in control and infested C. rogercresseyi Atlantic salmon and in resistant and susceptible phenotypes. We identified a significant rise of alternative splicing events and AS genes after infestation and 176 differential alternative splicing events (DASE) from 133 genes. In addition, a higher number of DASE and AS genes were observed among resistant and susceptible phenotypes. Functional annotation of AS genes shows several terms and pathways associated with behavior, RNA splicing, immune response, and RNA binding. Furthermore, three protein-coding genes were identified undergoing differential transcript usage events, among resistant and susceptible phenotypes. Our findings support AS performing a relevant regulatory role in the response of salmonids to sea lice infestation.</t>
  </si>
  <si>
    <t>10.1007/s10126-023-10196-6</t>
  </si>
  <si>
    <t>JAN 2023</t>
  </si>
  <si>
    <t>WOS:000913839500001</t>
  </si>
  <si>
    <t>de Souza, JC; Irikura, K; Mantilla, HDR; Zanoni, MVB; Salazar, R</t>
  </si>
  <si>
    <t>de Souza, Joao Carlos; Irikura, Kallyni; Mantilla, Hernan Dario Rojas; Zanoni, Maria Valnice Boldrin; Salazar, Ricardo</t>
  </si>
  <si>
    <t>Using 3D printed magnetic platform as support for screen printed electrode applied for p-toluenediamine detection in biological fluid and water samples</t>
  </si>
  <si>
    <t>ANALYTICA CHIMICA ACTA</t>
  </si>
  <si>
    <t>The present work reports the development and application of a new electrochemical sensor for the determination of low concentration levels of p-toluenediamine (PTD) in biological fluids and surface water samples. The pro-posed sensor was developed using a 3D-printed magnetic device as platform for carbon screen printed electrode (CSPE) modified by magnetic nanoparticles functionalized with carboxylic groups and L-cysteine (MNP-CA-CYS). The results obtained from the morphological and electrochemical characterizations of the sensing platform enabled us to confirm the success of the sensor functionalization with L-cysteine and to have a better under-standing of the electrochemical behavior and preconcentration of PTD on the electrode surface. PTD oxidation occurred at 0.24V on MNP-CA-CYS and the mechanism recorded an increase of 51.0% in anodic peak current. Under optimized conditions, the square wave voltammograms obtained for the electrode modified by 40.0 mu L MNP-CA-CYS suspension at 1.0 mg mL-1, with accumulation time of 3 min, presented an analytical curve with linear range of 8.00 x 10-7 to 8.00 x 10-5 mol L-1, represented by the equation Iap = (0.383 +/- 0.011)[PTD] -(8.112 +/- 0.07) x 10-8 (R2 = 0.9994), and detection and quantification limits of 8.53 x 10-8 and 2.56 x 10-7 mol L-1, respectively. Finally, the proposed method was validated through comparison with high performance liquid chromatography coupled to diode array detector (HPLC-DAD) technique and was successfully applied for PTD determination in samples of surface water, tap water, fetal bovine serum and artificial urine.</t>
  </si>
  <si>
    <t>Mantilla, Hernán/AAN-8868-2021; Irikura, Kallyni/H-1243-2014; ZANONI, MARIA VALNICE/ABH-3301-2020; Salazar, Ricardo/L-7870-2013; de Souza, Joao/D-7554-2014</t>
  </si>
  <si>
    <t>de Souza, Joao Carlos/0000-0002-0784-3030; Salazar-Gonzalez, Ricardo/0000-0003-2180-6022; Irikura, Kallyni/0000-0001-6247-9270; Rojas Mantilla, Hernan Dario/0000-0002-9555-5046</t>
  </si>
  <si>
    <t>0003-2670</t>
  </si>
  <si>
    <t>1873-4324</t>
  </si>
  <si>
    <t>FEB 1</t>
  </si>
  <si>
    <t>10.1016/j.aca.2022.340745</t>
  </si>
  <si>
    <t>DEC 2022</t>
  </si>
  <si>
    <t>WOS:000923166000001</t>
  </si>
  <si>
    <t>On a connection between the N-dimensional fractional Laplacian and 1-D operators on lattices</t>
  </si>
  <si>
    <t>We show the remarkable fact that the nonlocal property of the discrete N dimensional fractional Laplacian acting in the second variable of the lattice N x Z(N) can be exchanged with an equivalent memory corresponding to a power of a onedimensional operator that acts only on the first variable of the complete lattice Z x Z(N). This property allows to reduce the number of calculations and leads to more complete analytical solutions of mathematical models on lattices. The connection is established by showing that a first order equation in the first variable, and of fractional order alpha &gt; 0 in the second, has the same solution as another of order 1/alpha in the first variable and integer order in the second. As a result, we provide for the first time the fundamental solution for the N-dimensional heat equation discrete in time and space. (C) 2022 The Author(s). Published by Elsevier Inc.&amp; nbsp;</t>
  </si>
  <si>
    <t>Lizama, Carlos/E-5909-2011; Murillo, Marina/ABI-7284-2020</t>
  </si>
  <si>
    <t>murillo arcila, marina/0000-0001-6589-0452</t>
  </si>
  <si>
    <t>10.1016/j.jmaa.2022.126051</t>
  </si>
  <si>
    <t>FEB 2022</t>
  </si>
  <si>
    <t>WOS:000792720200016</t>
  </si>
  <si>
    <t>Hernández-Vielma, C; Estay, D; Cruchaga, M</t>
  </si>
  <si>
    <t>Hernandez-Vielma, C.; Estay, D.; Cruchaga, M.</t>
  </si>
  <si>
    <t>Response surface methodology calibration for DEM study of the impact of a spherical bit on a rock</t>
  </si>
  <si>
    <t>SIMULATION MODELLING PRACTICE AND THEORY</t>
  </si>
  <si>
    <t>The discrete element method (DEM) is frequently used for the numerical analysis of rock fractures. The DEM model requires the specification of microparameters that cannot be measured and are not directly related to the macroscopic properties of the material. Therefore, a calibration process for the microparameters is required to simulate the rock behavior. Since the calibration is usually performed iteratively using the trial and error method, several DEM simulations are run. Therefore, the calibration process is computationally expensive. In this work, we propose a calibration method based on the response surface methodology (RSM) that significantly reduces the numerical simulations to be performed during the calibration process, and thus, the associated computational cost. This methodology is novelty applied to impact problems and, it is validated by means of a benchmark, the good agreement obtained between the predicted and observed results verifies the applicability of the proposed method. A force penetration curve is obtained through this approach, and the energy-time history is plotted. Moreover, several samples are tested to demonstrate the robustness of the solution. The effect of the stress wave under infinite boundary condition is studied. The method is capable of capturing the stress wave movement, and the velocity of the stress wave computed from the numerical results is in good agreement with experimental data.</t>
  </si>
  <si>
    <t>Vielma, César/ABD-8055-2020; /O-3231-2015; Cruchaga, Marcela/M-7522-2014</t>
  </si>
  <si>
    <t>Hernandez Vielma, Cesar Alejandro/0000-0001-5156-6192; Cruchaga, Marcela/0000-0002-8708-2402</t>
  </si>
  <si>
    <t>1569-190X</t>
  </si>
  <si>
    <t>1878-1462</t>
  </si>
  <si>
    <t>10.1016/j.simpat.2021.102466</t>
  </si>
  <si>
    <t>JAN 2022</t>
  </si>
  <si>
    <t>WOS:000774204800001</t>
  </si>
  <si>
    <t>Beltrán, J; Jara-Reyes, R; Faure, A</t>
  </si>
  <si>
    <t>Rocha, A; Barredo, D; Lopez-Lopez, PC; Puentes-Rivera, I</t>
  </si>
  <si>
    <t>Beltran, Jarnishs; Jara-Reyes, Rene; Faure, Antoine</t>
  </si>
  <si>
    <t>The Emotions of the Outbreak. Topics, Sentiments and Politics on Twitter During Chilean October</t>
  </si>
  <si>
    <t>COMMUNICATION AND SMART TECHNOLOGIES (ICOMTA 2021)</t>
  </si>
  <si>
    <t>Smart Innovation Systems and Technologies</t>
  </si>
  <si>
    <t>International Conference on Communication and Applied Technologies (ICOMTA)</t>
  </si>
  <si>
    <t>SEP 01-03, 2019</t>
  </si>
  <si>
    <t>Bogota, COLOMBIA</t>
  </si>
  <si>
    <t>This paper interrogates the coherence and evolution of emotions circulating on Twitter in a specific context: the social and political outburst of October 2019 in Chile. Starting from the important literature that addresses the relationship between social movements, emotions and social networks, the paper asks about the particularities that this phenomenon in a country where the penetration and use of social networks is intense. By means of a sentiment analysis technique, more than 1,444,344 tweets published during a seven-week period are processed, putting particular interest in the description of the topics and emotions dumped in these messages. In the discussion we estimate how the exercise dialogues with results found in other similar situations, while in the conclusions we ponder its relevance for the analysis of emotions in situations of social conflict.</t>
  </si>
  <si>
    <t>jara reyes, rene/JAZ-0211-2023; Faure, Antoine/M-7944-2019</t>
  </si>
  <si>
    <t>Jara Reyes, Rene Eduardo/0000-0001-8203-5917; Faure, Antoine/0000-0002-9140-5980; beltran, jarnishs/0000-0001-6867-5950</t>
  </si>
  <si>
    <t>2190-3018</t>
  </si>
  <si>
    <t>2190-3026</t>
  </si>
  <si>
    <t>978-981-16-5792-4; 978-981-16-5791-7</t>
  </si>
  <si>
    <t>10.1007/978-981-16-5792-4_22</t>
  </si>
  <si>
    <t>WOS:000867637000022</t>
  </si>
  <si>
    <t>Giannotti, E; Braithwaite, S</t>
  </si>
  <si>
    <t>Giannotti, Emanuel; Braithwaite, Santiago</t>
  </si>
  <si>
    <t>LAND AND HOUSING OCCUPATIONS IN SANTIAGO DE CHILE, 1978-2000</t>
  </si>
  <si>
    <t>ATENEA</t>
  </si>
  <si>
    <t>Land and housing occupations, known in Chile as tomas, have characterized the pobladores movement since the second half of the 20th century. However, the literature indicates that, after the national protests of 1983-1986, these actions have been repeated with less frequency, and have gradually ceased. Through a protest event analysis of the occupations that took place in Santiago between 1978 and 2000, we have shown that these actions have occurred more commonly than thought. Therefore, they could be understood as a part of a unitary period of mobilization for housing. The historical continuity of this form of mobilization throughout very diverse political contexts can be explained because the tomas have largely achieved the objective of the homeless: not so much to settle on a plot of land, but rather to cause a public event, in order to start negotiation with the authorities.</t>
  </si>
  <si>
    <t>Braithwaite, Santiago/LKK-4048-2024</t>
  </si>
  <si>
    <t>0718-0462</t>
  </si>
  <si>
    <t>10.29393/At524-10EGTT20010</t>
  </si>
  <si>
    <t>WOS:000747390900010</t>
  </si>
  <si>
    <t>McSherry, JP</t>
  </si>
  <si>
    <t>McSherry, J. Patrice</t>
  </si>
  <si>
    <t>In Search of the Lost Decade: Everyday Rights in Post-Dictatorship Argentina</t>
  </si>
  <si>
    <t>BULLETIN OF LATIN AMERICAN RESEARCH</t>
  </si>
  <si>
    <t>0261-3050</t>
  </si>
  <si>
    <t>1470-9856</t>
  </si>
  <si>
    <t>10.1111/blar.13305</t>
  </si>
  <si>
    <t>WOS:000703883800014</t>
  </si>
  <si>
    <t>Derpich, I; Herrera, C; Sepúlveda, F; Ubilla, H</t>
  </si>
  <si>
    <t>Derpich, Ivan; Herrera, Carlos; Sepulveda, Felipe; Ubilla, Hugo</t>
  </si>
  <si>
    <t>Complexity indices for the multidimensional knapsack problem</t>
  </si>
  <si>
    <t>CENTRAL EUROPEAN JOURNAL OF OPERATIONS RESEARCH</t>
  </si>
  <si>
    <t>In this article, the concept of conditioning in integer programming is extended to the concept of a complexity index. A complexity index is a measure through which the execution time of an exact algorithm can be predicted. We consider the multidimensional knapsack problem with instances taken from the OR-library and MIPLIB. The complexity indices we developed correspond to the eigenvalues of a Dikin matrix placed in the center of a polyhedron defined by the constraints of the problem relaxed from its binary variable formulation. The lower and higher eigenvalues, as well as their ratio, which we have defined as the slenderness, are used as complexity indices. The experiments performed show a good linear correlation between these indices and a low execution time of the Branch and Bound algorithm using the standard version of CPLEX (R) 12.2. The correlation coefficient obtained ranges between 39 and 60% for the various data regressions, which proves a medium to strong correlation.</t>
  </si>
  <si>
    <t>Sepúlveda, Felipe/HGD-0809-2022; derpich, ivan/T-1160-2019</t>
  </si>
  <si>
    <t>Derpich, Ivan/0000-0001-9759-7285</t>
  </si>
  <si>
    <t>1435-246X</t>
  </si>
  <si>
    <t>1613-9178</t>
  </si>
  <si>
    <t>10.1007/s10100-018-0569-0</t>
  </si>
  <si>
    <t>WOS:000644963900001</t>
  </si>
  <si>
    <t>Gándara, T; Del Barrio, EC; Cruchaga, M; Baiges, J</t>
  </si>
  <si>
    <t>Gandara, Tomas; Castillo Del Barrio, Ernesto; Cruchaga, Marcela; Baiges, Joan</t>
  </si>
  <si>
    <t>Experimental and numerical modeling of a sloshing problem in a stepped based rectangular tank</t>
  </si>
  <si>
    <t>PHYSICS OF FLUIDS</t>
  </si>
  <si>
    <t>In this study, the two-dimensional sloshing of water in a stepped based tank partially filled was analyzed using an arbitrary Lagrangian-Eulerian adaptive fixed-mesh method and including the Smagorinsky turbulence model. The numerical model is verified by contrasting the predictions made by the model with experimental results. The tank was subjected to controlled one-directional motion imposed using a shake table. The free surface evolution was followed using ultrasonic sensors, and a high-speed camera was used to record the experiments. The experimental and numerical analyses include a comparison of the wave height at different control points and snapshots of the free surface evolution for two imposed frequencies. Also, a detailed numerical study of the effects of the frequency of the imposed movement, the step height, and the fluid volume on the wave dynamics was performed. Moreover, the effect of fluid viscosity on the dynamics of the free surface was also studied. In brief, the numerical method proved to be accurate, experimental data were reported, and the effects on the numerical results of different physical and numerical aspects were exhaustively analyzed. The proposed results help to understand the sloshing of stepped geometries.</t>
  </si>
  <si>
    <t>Baiges, Joan/D-3433-2014; Cruchaga, Marcela/M-7522-2014; Castillo, Ernesto/D-1612-2015</t>
  </si>
  <si>
    <t>Cruchaga, Marcela/0000-0002-8708-2402; Gandara Imilqueo, Tomas A./0000-0002-7947-8570; Castillo, Ernesto/0000-0001-7013-6008</t>
  </si>
  <si>
    <t>1070-6631</t>
  </si>
  <si>
    <t>1089-7666</t>
  </si>
  <si>
    <t>10.1063/5.0044682</t>
  </si>
  <si>
    <t>WOS:000632903300001</t>
  </si>
  <si>
    <t>Goycoolea, JF; Inostroza-Ponta, M; Villalobos-Cid, M; Marín, M</t>
  </si>
  <si>
    <t>Fernandez Goycoolea, Jose; Inostroza-Ponta, Mario; Villalobos-Cid, Manuel; Marin, Mauricio</t>
  </si>
  <si>
    <t>Single-solution based metaheuristic approach to a novel restricted clustering problem</t>
  </si>
  <si>
    <t>2021 40TH INTERNATIONAL CONFERENCE OF THE CHILEAN COMPUTER SCIENCE SOCIETY (SCCC)</t>
  </si>
  <si>
    <t>40th International Conference of the Chilean-Computer-Science-Society (SCCC)</t>
  </si>
  <si>
    <t>NOV 15-19, 2021</t>
  </si>
  <si>
    <t>Univ La Serena, La Serena, CHILE</t>
  </si>
  <si>
    <t>Chilean Comp Sci Soc</t>
  </si>
  <si>
    <t>Univ La Serena</t>
  </si>
  <si>
    <t>Clustering problems have been widely studied in the literature. Multiple types of solutions have been devised depending on the specific problem considered, including ad-hoc heuristics and metaheuristic approaches. In this paper, we centre our attention on a particular clustering problem in which the sizes of the individual clusters are fixed a priori and where a membership restriction due to an initial classification is present. A novel formal description of the problem is presented, and an example of how it appears in practice as a post-processing step of non-negative matrix factorisation analysis is described. Adaptations of three classical single-solution based metaheuristic methods are proposed as possible solution strategies for this problem. Experiments are performed using synthetic data and then using a test dataset constructed from repeated NMF extractions of multiple face images. The efficacy of the various approaches is compared and discussed.</t>
  </si>
  <si>
    <t>Marin, Mauricio/GLR-7700-2022; Villalobos-Cid, Manuel/AFK-0866-2022; Inostroza-Ponta, Mario/G-7548-2012; Fernandez Goycoolea, Jose/LZI-2164-2025</t>
  </si>
  <si>
    <t>Marin, Mauricio/0000-0003-0662-7149; Villalobos-Cid, Manuel/0000-0002-1145-2016; Fernandez Goycoolea, Jose/0000-0001-5349-4348</t>
  </si>
  <si>
    <t>978-1-6654-0956-8</t>
  </si>
  <si>
    <t>10.1109/SCCC54552.2021.9650429</t>
  </si>
  <si>
    <t>WOS:000765927700040</t>
  </si>
  <si>
    <t>Campos, JLM; Torres-Ortega, JA</t>
  </si>
  <si>
    <t>Monzon Campos, Jose Luis; Antonio Torres-Ortega, Jorge</t>
  </si>
  <si>
    <t>Social entrepreneurship in vocational training: the case of the Basque Country</t>
  </si>
  <si>
    <t>REVESCO-REVISTA DE ESTUDIOS COOPERATIVOS</t>
  </si>
  <si>
    <t>Enterprises with social purposes or enterprises of the Social Economy have been viewed as an innovative, dynamic, inclusive and self-sustaining response to the main social, economic and environmental challenges facing our societies today. It is precisely by virtue of the relevant social and economic impact generated by business initiatives in the field of social entrepreneurship that supporting the emergence of social entrepreneurs has become a necessity, especially from an early age. Hence the importance of generating data that allows either creating or improving existing entrepreneurial training programs, which include specific training in social entrepreneurship among its objectives. In this line, the main objective of this research is to characterize and compare the students who participate in a training process in entrepreneurship aimed at young people between the ages of 16 and 24 taught at the Professional Training Centers of the Autonomous Community of the Basque Country, Spain. Specifically, it seeks to identify the main personal attributes related to the configuration of entrepreneurial intentions in these young people, as well as which of these traits are most related to intentions to undertake social endeavours, that is, the creation of organizations of the Social Economy. The information from this study was obtained by applying a survey to a sample of 5767 students belonging to different educational centers in the Basque Country. The results obtained reveal that potential entrepreneurs and non-entrepreneurs, as well as potential social entrepreneurs and potential commercial entrepreneurs, constitute quite homogeneous groups. However, the regression analysis revealed that there is a variable that significantly increases the probability of social entrepreneurship, which is precisely one of the factors that has been highlighted as a key characteristic of social entrepreneurship and Social Economy: solidarity.</t>
  </si>
  <si>
    <t>Campos, Jose/A-6893-2017; TORRES-ORTEGA, JORGE/AAP-5339-2020</t>
  </si>
  <si>
    <t>1885-8031</t>
  </si>
  <si>
    <t>1135-6618</t>
  </si>
  <si>
    <t>e73862</t>
  </si>
  <si>
    <t>10.5209/REVE.73862</t>
  </si>
  <si>
    <t>WOS:000625393400006</t>
  </si>
  <si>
    <t>Pino-Rios, R; Cárdenas-Jirón, G; Tiznado, W</t>
  </si>
  <si>
    <t>Pino-Rios, Ricardo; Cardenas-Jiron, Gloria; Tiznado, William</t>
  </si>
  <si>
    <t>Local and macrocyclic (anti)aromaticity of porphyrinoids revealed by the topology of the induced magnetic field</t>
  </si>
  <si>
    <t>PHYSICAL CHEMISTRY CHEMICAL PHYSICS</t>
  </si>
  <si>
    <t>The aromaticity in porphyrinoids results from the pi conjugation through two different annular perimeters: the macrocyclic ring and the local heterocyclic rings appended to it. Analyses, based on aromatic stabilization energies (ASE), indicate that the local circuits (6 pi) are responsible for the significant aromatic stabilization of these systems. This local aromaticity can be coupled with the one from 4n+ 2 pi macrocyclic circuit. It can either compensate for the destabilization due to a 4n pi macrocyclic circuit, or be the only source of aromatic stabilization in porphyrinoids with macrocycles without pi-conjugated bonds. This multifaceted aromatic character of porphyrinoids makes it challenging to analyze their aromaticity using magnetic descriptors because of the intricate interaction of localversusmacro-cyclic circulation. In this contribution, we show that the analysis of the bifurcation of the induced magnetic field,B-ind, allows clear identification and quantification of both local, and macrocyclic aromaticity, in a representative group of porphyrinioids. In porphyrin, bifurcation values accurately predict the local and macrocyclic contribution rate to overall aromatic stabilization determined by ASE.</t>
  </si>
  <si>
    <t>Cardenas-Jiron, Gloria/H-9508-2012; Tiznado, William/G-7479-2014</t>
  </si>
  <si>
    <t>Cardenas-Jiron, Gloria/0000-0003-4305-8088; Tiznado, William/0000-0002-6061-8879; Pino Rios, Ricardo/0000-0003-4756-1115</t>
  </si>
  <si>
    <t>1463-9076</t>
  </si>
  <si>
    <t>1463-9084</t>
  </si>
  <si>
    <t>10.1039/d0cp03272g</t>
  </si>
  <si>
    <t>WOS:000573875300027</t>
  </si>
  <si>
    <t>Corral, C; Cruz, N; González, E</t>
  </si>
  <si>
    <t>Corral, Cristobal; Cruz, Norman; Gonzalez, Esteban</t>
  </si>
  <si>
    <t>Diffusion in unimodular gravity: Analytical solutions, late-time acceleration, and cosmological constraints</t>
  </si>
  <si>
    <t>PHYSICAL REVIEW D</t>
  </si>
  <si>
    <t>Unimodular gravity is an appealing approach to address the cosmological constant problem. In this scenario, the vacuum energy density of quantum fields does not gravitate and the cosmological constant appears merely as an integration constant. Recently, it has been shown that energy diffusion that may arise in quantum gravity and in theories with spontaneous collapse is compatible with this framework by virtue of its restricted diffeomorphism invariance. New studies suggest that this phenomenon could lead to higherorder equations in the context of homogeneous and isotropic Universe, affecting the well-posedness of their Cauchy initial-value problem. In this work, we show that this issue can be circumvented by assuming an equation of state that relates the energy density to the function that characterizes diffusion. As an application, we solve the field equations analytically for an isotropic and homogeneous universe in a barotropic model and in the mass-proportional continuous spontaneous localization (CSL) scenario, assuming that only dark matter develops energy diffusion. Different solutions possessing phase transition from decelerated to accelerated expansion are found. We use cosmological data of type Ia supernovae and observational Hubble data to constrain the free parameters of both models. It is found that very small but nontrivial energy nonconservation is compatible with the barotropic model. However, for the CSL model, we find that the best-fit values are not compatible with previous laboratory experiments. We comment on this fact and propose future directions to explore energy diffusion in cosmology.</t>
  </si>
  <si>
    <t>Corral, Cristobal/KEH-1224-2024; González, Esteban/AGF-1575-2022</t>
  </si>
  <si>
    <t>Cruz, Norman/0000-0002-0737-3497; Corral, Cristobal/0000-0002-4503-4154; Gonzalez Banda, Esteban/0000-0001-6769-5722</t>
  </si>
  <si>
    <t>2470-0010</t>
  </si>
  <si>
    <t>2470-0029</t>
  </si>
  <si>
    <t>10.1103/PhysRevD.102.023508</t>
  </si>
  <si>
    <t>WOS:000544851600008</t>
  </si>
  <si>
    <t>Verdugo, GB; Ponce, HR</t>
  </si>
  <si>
    <t>Verdugo, Gustavo Barrera; Ponce, Hector R.</t>
  </si>
  <si>
    <t>Gender Differences in Millennial Consumers of Latin America Associated with Conspicuous Consumption of New Luxury Goods</t>
  </si>
  <si>
    <t>GLOBAL BUSINESS REVIEW</t>
  </si>
  <si>
    <t>Conspicuous consumption has been studied in the millennial generation in the United States and Asia; in Latin America, however, it has scarcely been analysed. The purpose of this study is to examine whether conspicuous motivations in millennial consumers are more prominent in men than in women associated with the consumption of new luxury goods in Latin America. A survey was developed to measure conspicuous motivation, more specifically, bandwagon and snob effects. It was responded by 712 university students located in five different cities in Chile. The findings of the study showed that the bandwagon and snob motivations were higher in men than in women. Men also showed a greater tendency than women to purchase and use new luxury products in social contexts. These results suggest that managers could adjust their marketing strategies to better target millennial consumers of new luxury products.</t>
  </si>
  <si>
    <t>Barrera, Gustavo/ABC-4583-2021; Ponce, Hector/H-9545-2019</t>
  </si>
  <si>
    <t>0972-1509</t>
  </si>
  <si>
    <t>0973-0664</t>
  </si>
  <si>
    <t>10.1177/0972150920909002</t>
  </si>
  <si>
    <t>MAR 2020</t>
  </si>
  <si>
    <t>WOS:000523547000001</t>
  </si>
  <si>
    <t>Flores-Kossack, C; Montero, R; Köllner, B; Maisey, K</t>
  </si>
  <si>
    <t>Flores-Kossack, C.; Montero, R.; Koellner, B.; Maisey, K.</t>
  </si>
  <si>
    <t>Chilean aquaculture and the new challenges: Pathogens, immune response, vaccination and fish diversification</t>
  </si>
  <si>
    <t>FISH &amp; SHELLFISH IMMUNOLOGY</t>
  </si>
  <si>
    <t>In Chile, the salmon and trout farmed fishing industries have rapidly grown during the last years, becoming one of the most important economic sources for the country. However, infectious diseases caused by bacteria, virus, mycoses and parasites, result in losses of up to 700 million dollars per year for the Chilean aquaculture production with the consequent increase of antibiotic and antiparasitic usage. After 30 years of its first appearance, the main salmon health problem is still the salmonid rickettsial septicaemia (SRS), which together with other disease outbreaks, reveal that vaccines do not provide acceptable levels of long-lasting immune protection in the field. On the other hand, due to the large dependence of the industry on salmonids production, the Chilean government promoted the Aquaculture diversification program by 2009, which includes new species such as Merluccius australis, Cilus gilberti and Genypterus chilensis, however, specific research regarding the immune system and vaccine development are issues that still need to be addressed and must be considered as important as the farm production technologies for new fish species. Based on the experience acquired from the salmonid fish farming, should be mandatory an effort to study the immune system of the new species to develop knowledge for vaccination approaches, aiming to protect these aquaculture species before diseases outbreaks may occur. This review focuses on the current status of the Chilean aquaculture industry, the challenges related to emerging and re-emerging microbial pathogens on salmonid fish farming, and the resulting needs in the development of immune protection by rational designed vaccines. We also discussed about what we have learn from 25 years of salmonid researches and what can be applied to the new Chilean farmed species on immunology and vaccinology.</t>
  </si>
  <si>
    <t>Maisey, Kevin/AAP-2886-2021</t>
  </si>
  <si>
    <t>Maisey, Kevin/0000-0002-7423-6329; Kossack, Camila/0000-0002-3036-8813; Montero, Ruth Tamara/0000-0002-3019-1800</t>
  </si>
  <si>
    <t>1050-4648</t>
  </si>
  <si>
    <t>1095-9947</t>
  </si>
  <si>
    <t>10.1016/j.fsi.2019.12.093</t>
  </si>
  <si>
    <t>WOS:000516880900007</t>
  </si>
  <si>
    <t>Castro, PP; Espinoza, FH</t>
  </si>
  <si>
    <t>Candia, JG</t>
  </si>
  <si>
    <t>Pasten Castro, Paul; Herrera Espinoza, Freddy</t>
  </si>
  <si>
    <t>THE PBL OR PROJECT BASED LEARNING AS A DIDACTIC STRATEGY TO STIMULATE THE DEVELOPMENT OF JOB SKILLS AND SOFT SKILLS IN THE STUDENTS OF THE FACULTY OF TECHNOLOGY</t>
  </si>
  <si>
    <t>IMPACTO EN EL SABER Y SENTIR DOCENTE: NUEVAS TENDENCIAS Y EXPERIENCIAS SIGNIFICATIVAS EN TEMATICAS DE EDUCACION SUPERIOR, VOL 3</t>
  </si>
  <si>
    <t>The Teaching Innovation Project presented below addresses the teaching and learning process of the Technological Development and Innovation course for students of the Technological Faculty, using the Project-Based Learning Method, in order to Stimulate mainly the development of job skills and soft skills, as well as the knowledge that is taught in the subject. To this end, a microcurricular design was developed during the project that allows planned learning activities, such as Workshops, Controls and Defense of an Innovation Project, to be articulated in the semester so that its development allows students to acquire these skills and that the internalization of this can be appreciated by the teacher in his progress. One of the reasons why the use of ABP or Project Based Learning was proposed is because, this methodology allows to solve situations or problems that arise in reality and that require students to apply the theory or knowledge acquired in the classroom in real situations, which was proposed as a didactic strategy to stimulate the development of job skills and soft skills in the students of the Faculty of Technology. When the project method is used as a strategy, students stimulate their strongest skills and develop some new ones. They are motivated by the interest in learning and a feeling of responsibility and effort. In addition, it should be recognized that this teaching strategy responds to the requirements of the Institutional Educational Model of the University of Santiago de Chile.</t>
  </si>
  <si>
    <t>978-956-6095-00-2; 978-956-303-351-9</t>
  </si>
  <si>
    <t>WOS:000608842500008</t>
  </si>
  <si>
    <t>Sánchez, J; Riffo, L; Salazar, P; Rivas, BL</t>
  </si>
  <si>
    <t>Sanchez, Julio; Riffo, Lina; Salazar, Paula; Rivas, Bernabe L.</t>
  </si>
  <si>
    <t>Removal of molybdate and vanadate ions by a copolymer adsorbent in a ultrafiltration system</t>
  </si>
  <si>
    <t>JOURNAL OF APPLIED POLYMER SCIENCE</t>
  </si>
  <si>
    <t>In this investigation, the removal of Mo and V oxyanions was carried out using the polymer-assisted ultrafiltration technique with a poly(acrylamide-co-diallyldimethylammonium chloride) [P(AAm-DDACl)]. As a result, 100% of the Mo and 80% of the V were removed at pH 9 with a polymer:metal molar ratio of 10:1 and an optimal metal concentration of 60 mg L-1. The presence of competitive ions such as phosphate, sulfate, and chloride affected the retention of Mo, decreasing its retention to 60% in all cases. For the V, all competitive ions behaved in a similar way, producing approximately 50% metal removal. The permeate flux was kept almost constant for all solutions (40 to 80 L hm(-2)), which indicates that the optimal retention conditions are stable over time. In addition, the characterization of the P(AAm-DDACl) was carried out using infrared spectroscopy analysis (FTIR), and the morphology of the membrane before and after use was analyzed using scanning electron microscopy, which showed significant changes in its morphology. The energy-dispersive X-ray spectroscopy analysis indicates the presence of Mo and P(AAm-DDACl) in the membrane after use. (c) 2019 Wiley Periodicals, Inc. J. Appl. Polym. Sci. 2019, 136, 48184.</t>
  </si>
  <si>
    <t>Rivas, Bernabé/D-9945-2015; Sanchez, Julio/AEO-4360-2022</t>
  </si>
  <si>
    <t>0021-8995</t>
  </si>
  <si>
    <t>1097-4628</t>
  </si>
  <si>
    <t>DEC 5</t>
  </si>
  <si>
    <t>10.1002/app.48184</t>
  </si>
  <si>
    <t>JUN 2019</t>
  </si>
  <si>
    <t>WOS:000473554900001</t>
  </si>
  <si>
    <t>Fuentes, LG</t>
  </si>
  <si>
    <t>Contreras, RO; Polloni, DF; Orozco, JLM; Rucker, U; Canal, CY</t>
  </si>
  <si>
    <t>Gonzalez Fuentes, Lorena</t>
  </si>
  <si>
    <t>Culture The concept of culture in Our America and its critical reappropriation from the popular and communal</t>
  </si>
  <si>
    <t>CONCEPTOS CLAVE DE LA GESTION CULTURAL: ENFOQUES DESDE LATINOAMERICA, VOL I</t>
  </si>
  <si>
    <t>978-956-8416-74-4</t>
  </si>
  <si>
    <t>WOS:000480324700005</t>
  </si>
  <si>
    <t>Muñoz, R; Singh, DP; Kumar, R; Matsuda, A</t>
  </si>
  <si>
    <t>Swain, SK; Jawaid, M</t>
  </si>
  <si>
    <t>Munoz, Romina; Pratap Singh, Dinesh; Kumar, Rajesh; Matsuda, Atsunori</t>
  </si>
  <si>
    <t>Graphene Oxide for Drug Delivery and Cancer Therapy</t>
  </si>
  <si>
    <t>NANOSTRUCTURED POLYMER COMPOSITES FOR BIOMEDICAL APPLICATIONS</t>
  </si>
  <si>
    <t>Micro &amp; Nano Technologies</t>
  </si>
  <si>
    <t>Kumar, Dr. Rajesh/H-6510-2011; Singh, Dinesh/A-2509-2011</t>
  </si>
  <si>
    <t>978-0-12-816892-9; 978-0-12-816771-7</t>
  </si>
  <si>
    <t>10.1016/B978-0-12-816771-7.00023-5</t>
  </si>
  <si>
    <t>10.1016/C2017-0-04742-0</t>
  </si>
  <si>
    <t>WOS:000664842300023</t>
  </si>
  <si>
    <t>Battaglia, L; Cruchaga, M; Storti, M; D'Elía, J; Aedo, JN; Reinoso, R</t>
  </si>
  <si>
    <t>Battaglia, Laura; Cruchaga, Marcela; Storti, Mario; D'Elia, Jorge; Nunez Aedo, Jonathan; Reinoso, Ricardo</t>
  </si>
  <si>
    <t>Numerical modelling of 3D sloshing experiments in rectangular tanks</t>
  </si>
  <si>
    <t>This work encompasses numerical and experimental studies of three-dimensional (3D) sloshing problems. The two-fluid viscous flow, which is solved within a stabilized finite element context, involves liquid and gaseous phases. The free surface is captured with a level set (LS) method, including the bounded renormalization with continuous penalization technique, to avoid the well-known spreading of the marker function. Specifically, this technique is improved with a volume-preserving algorithm for long-term analyses. To verify the numerical model, the responses of free-sloshing cases are compared with analytical solutions and other results computed using a Lagrangian technique. These simulations assess the influence of considering two-dimensional (2D) and 3D analyses, as well as the effects of depth and viscosity. This work presents data obtained from a forced sloshing experiment that is specifically devoted to 3D free surface behaviour. Free surface evolution measurements are used to validate the numerical method. Moreover, the effect of the initial conditions used to promote 3D behaviour in the modelling is evaluated. (C) 2018 Elsevier Inc. All rights reserved.</t>
  </si>
  <si>
    <t>Battaglia, Laura/X-3893-2019; Cruchaga, Marcela/M-7522-2014; Storti, Mario Alberto/E-4646-2012</t>
  </si>
  <si>
    <t>D' Elia, Jorge/0000-0003-2173-0048; Cruchaga, Marcela/0000-0002-8708-2402; Battaglia, Laura/0000-0003-1607-3952; Storti, Mario Alberto/0000-0001-5596-5457; Nunez, Jonathan/0000-0003-2008-5219</t>
  </si>
  <si>
    <t>10.1016/j.apm.2018.01.033</t>
  </si>
  <si>
    <t>WOS:000431934400020</t>
  </si>
  <si>
    <t>Broitman, C; Kreimer, P</t>
  </si>
  <si>
    <t>Broitman, Claudio; Kreimer, Pablo</t>
  </si>
  <si>
    <t>Knowledge Production, Mobilization and Standardization in Chile's HidroAys,n Case</t>
  </si>
  <si>
    <t>MINERVA</t>
  </si>
  <si>
    <t>The Ays,n Hydroelectric Project in Chilean Patagonia proposed the construction of the country's largest power facility to supply its capital, nearly 2,000 kilometres away. We seek to explain the way science, politics, law, business and the civilian population are joined up. To this end, we analyse the project's evolution, the construction of techno-scientific arguments by the participants and how Chilean regulations are adapting to this process.</t>
  </si>
  <si>
    <t>; Kreimer, Pablo/IMZ-4804-2023</t>
  </si>
  <si>
    <t>Broitman, Claudio/0000-0002-7192-0512; Kreimer, Pablo/0000-0002-6737-8556</t>
  </si>
  <si>
    <t>0026-4695</t>
  </si>
  <si>
    <t>1573-1871</t>
  </si>
  <si>
    <t>10.1007/s11024-017-9335-z</t>
  </si>
  <si>
    <t>WOS:000431960500004</t>
  </si>
  <si>
    <t>Jara, JL; Saeed, NP; Panerai, RB; Robinson, TG</t>
  </si>
  <si>
    <t>Heldt, T</t>
  </si>
  <si>
    <t>Jara, Jose L.; Saeed, Nazia P.; Panerai, Ronney B.; Robinson, Thompson G.</t>
  </si>
  <si>
    <t>Increasing the Contrast-to-Noise Ratio of MRI Signals for Regional Assessment of Dynamic Cerebral Autoregulation</t>
  </si>
  <si>
    <t>INTRACRANIAL PRESSURE &amp; NEUROMONITORING XVI</t>
  </si>
  <si>
    <t>Acta Neurochirurgica Supplementum</t>
  </si>
  <si>
    <t>16th International Conference on Intracranial Pressure and Neuromonitoring (ICP)</t>
  </si>
  <si>
    <t>JUN 28-JUL 02, 2016</t>
  </si>
  <si>
    <t>Cambridge, MA</t>
  </si>
  <si>
    <t>Objective: To devise an appropriate measure of the quality of a magnetic resonance imaging (MRI) signal for the assessment of dynamic cerebral autoregulation, and propose simple strategies to improve its quality. Materials and methods: Magnetic resonance images of 11 healthy subjects were scanned during a transient decrease in arterial blood pressure (BP). Mean signals were extracted from non-overlapping brain regions for each image. An adhoc contrast-to-noise ratio (CNR) was used to evaluate the quality of these regional signals. Global mean signals were obtained by averaging the set of regional signals resulting after applying a Hampel filter and discarding a proportion of the lower quality component signals. Results: Significant improvements in CNR values of global mean signals were obtained, whilst maintaining significant correlation with the original ones. A Hampel filter with a small moving window and a low rejection threshold combined with a selection of the 50% component signals seems a recommendable option. Conclusions: This work has demonstrated the possibility of improving the quality of MRI signals acquired during transient drops in BP. This approach needs validation at a voxel level, which could help to consolidate MRI as a technological alternative to the standard techniques for the study of cerebral autoregulation.</t>
  </si>
  <si>
    <t>Robinson, Tila/IXN-4785-2023; Jara, JL/J-7254-2015</t>
  </si>
  <si>
    <t>Jara, JL/0000-0002-3348-7017; Robinson, Thompson/0000-0003-2144-2468</t>
  </si>
  <si>
    <t>0065-1419</t>
  </si>
  <si>
    <t>2197-8395</t>
  </si>
  <si>
    <t>978-3-319-65798-1; 978-3-319-65797-4</t>
  </si>
  <si>
    <t>10.1007/978-3-319-65798-1_32</t>
  </si>
  <si>
    <t>WOS:000505806100032</t>
  </si>
  <si>
    <t>Salamea, HT; Ayora, AA; Alvarado-Cando, O; Oñate, CU</t>
  </si>
  <si>
    <t>Callejas, JDC</t>
  </si>
  <si>
    <t>Torres Salamea, Hugo; Auquilla Ayora, Andres; Alvarado-Cando, O.; Urrea Onate, Claudio</t>
  </si>
  <si>
    <t>An industrial application of a human-robot interface for people with physical disabilities using hand gestures</t>
  </si>
  <si>
    <t>2018 IEEE ANDESCON</t>
  </si>
  <si>
    <t>IEEE ANDESCON</t>
  </si>
  <si>
    <t>AUG 22-24, 2018</t>
  </si>
  <si>
    <t>Cali, COLOMBIA</t>
  </si>
  <si>
    <t>Inst Elect &amp; Elect Engineers Colombia Sect,Inst Elect &amp; Elect Engineers Consejo Andino,Inst Elect &amp; Elect Engineers</t>
  </si>
  <si>
    <t>this paper describes a 4DoF SCARA manipulator robot that is controlled by hand gestures using the SDK of the Kinect v2 sensor. A controller system is proposed that facilitates the inclusion of people with physical disabilities in industrial work environments. The entire system was evaluated in a specific sequence controller remotely by a person standing and sitting. The efficiency to complete the process in a low speed is 99% and at high speed is of 95%,</t>
  </si>
  <si>
    <t>Claudio, URREA/KWU-1600-2024; Alvarado Cando, Omar/AAV-9138-2021; Torres, Hugo/AAC-2017-2020</t>
  </si>
  <si>
    <t>Torres Salamea, Hugo Marcelo/0000-0001-7814-6251; Alvarado Cando, Omar/0000-0001-7502-5155</t>
  </si>
  <si>
    <t>978-1-5386-8372-9</t>
  </si>
  <si>
    <t>WOS:000455022400059</t>
  </si>
  <si>
    <t>Prieto-Benavidez, DH; Ramírez-Vélez, R; Correa-Bautista, JE; Garcia-Hermoso, A</t>
  </si>
  <si>
    <t>Prieto-Benavidez, Daniel H.; Ramirez-Velez, Robinson; Correa-Bautista, Jorge E.; Garcia-Hermoso, Antonio</t>
  </si>
  <si>
    <t>Construct Validity And Test-retest Reliability Of The International Fitness Scale (ifis) In Colombian Children And Adolescents Aged 9-17.9 Years: The Fuprecol Study</t>
  </si>
  <si>
    <t>Ramírez-Vélez, Robinson/D-5311-2016; García-Hermoso, Antonio/ADU-2591-2022; Correa-Bautista, Jorge/N-2741-2015; Garcia-Hermoso, Antonio/P-1857-2017</t>
  </si>
  <si>
    <t>10.1249/01.mss.0000519645.63976.08</t>
  </si>
  <si>
    <t>WOS:000415216000433</t>
  </si>
  <si>
    <t>Tordecilla-Sanders, A; Garcia-Hermoso, A; Gonzalez-Ruiz, K; Ramírez-Vélez, R</t>
  </si>
  <si>
    <t>Tordecilla-Sanders, Alejandra; Garcia-Hermoso, Antonio; Gonzalez-Ruiz, Katherine; Ramirez-Velez, Robinson</t>
  </si>
  <si>
    <t>Arterial Stiffness Is Reduced Regardless Of Exercise Training In Obese Paediatric Populations: A Meta-analysis Of Randomised Controlled Trials</t>
  </si>
  <si>
    <t>García-Hermoso, Antonio/ADU-2591-2022; Ramírez-Vélez, Robinson/D-5311-2016; González-Ruíz, Katherine/CAA-4624-2022; Garcia-Hermoso, Antonio/P-1857-2017; Tordecilla-Sanders, Alejandra/O-6276-2017</t>
  </si>
  <si>
    <t>Garcia-Hermoso, Antonio/0000-0002-1397-7182; Tordecilla-Sanders, Alejandra/0000-0002-7461-8124</t>
  </si>
  <si>
    <t>10.1249/01.mss.0000519158.22043.88</t>
  </si>
  <si>
    <t>WOS:000415215700744</t>
  </si>
  <si>
    <t>Corrêa, LD; Inostroza-Ponta, M; Dorn, M</t>
  </si>
  <si>
    <t>Correa, Leonardo de Lima; Inostroza-Ponta, Mario; Dorn, Marcio</t>
  </si>
  <si>
    <t>An evolutionary multi-agent algorithm to explore the high degree of selectivity in three-dimensional protein structures</t>
  </si>
  <si>
    <t>2017 IEEE CONGRESS ON EVOLUTIONARY COMPUTATION (CEC)</t>
  </si>
  <si>
    <t>IEEE Congress on Evolutionary Computation</t>
  </si>
  <si>
    <t>IEEE Congress on Evolutionary Computation (CEC)</t>
  </si>
  <si>
    <t>JUN 05-08, 2017</t>
  </si>
  <si>
    <t>SPAIN</t>
  </si>
  <si>
    <t>IEEE,IEEE Computat Intelligence Soc,Univ Pais Vasco,CEC</t>
  </si>
  <si>
    <t>Tertiary protein structure prediction in silico is one of the most challenging problems in Structural Bioinformatics. The challenge arises due to the combinatorial explosion of plausible shapes, where a long amino acid chain ends up in one out of a vast number of three-dimensional conformations. The rules that govern the biological process are partially known, which difficult the development of robust prediction methods. Many computational methods and strategies were proposed over the last decades. Nevertheless, the problem remains open. The agent-based paradigm has been shown a useful technique for the applications that have repetitive and time-consuming activities, knowledge share and management, such as the integration of different knowledge sources and modeling of complex biological systems. In this paper, we propose a first principle method with database information for the 3-D protein structure prediction problem. We do so by designing a multi-agent approach that uses concepts of evolutionary algorithms to speed up the search phase by improving local candidate solutions from the protein conformational space. To validate our method, we tested our computational strategy on a test bed of eight protein sequences. Predicted structures were analyzed regarding root-mean-square deviation, global distance total score test and secondary structure arrangement. The obtained results were topologically compatible with their correspondent experimental structures, thus corroborating the effectiveness of our proposed method. As observed, the evolutionary multi-agent approach achieved good results in terms of the evaluted measures and was able to efficiently search the roughness of protein energy landscape.</t>
  </si>
  <si>
    <t>Correa, Leonardo/HSF-8697-2023; Inostroza-Ponta, Mario/G-7548-2012; Dorn, Marcio/D-3696-2009</t>
  </si>
  <si>
    <t>Dorn, Marcio/0000-0001-8534-3480; Correa, Leonardo/0000-0001-5183-8581; Inostroza-Ponta, Mario/0000-0003-1295-8972</t>
  </si>
  <si>
    <t>978-1-5090-4601-0</t>
  </si>
  <si>
    <t>WOS:000426929700144</t>
  </si>
  <si>
    <t>Montenegro, RIQ; Valenzuela, X; Sevillano, A; Rivera, D</t>
  </si>
  <si>
    <t>Quintero Montenegro, Rosa Itzela; Valenzuela, Ximena; Sevillano, Alejandrino; Rivera, Dayra</t>
  </si>
  <si>
    <t>PHYSICOCHEMICAL, FUNCTIONAL AND NUTRITIONAL CHARACTERIZATION OF RAW FLOUR OBTAINED FROM DIFFERENT SWEET POTATO (IPOMOEA BATATAS) AND NAMPI (DIOSCOREA TRIFIDA)</t>
  </si>
  <si>
    <t>ANNALS OF NUTRITION AND METABOLISM</t>
  </si>
  <si>
    <t>0250-6807</t>
  </si>
  <si>
    <t>1421-9697</t>
  </si>
  <si>
    <t>144/2264</t>
  </si>
  <si>
    <t>WOS:000415605300697</t>
  </si>
  <si>
    <t>Flores, Z; Martín, DS; Villalobos-Carvajal, R; Tabilo-Munizaga, G; Osorio, F; Leiva-Vega, J</t>
  </si>
  <si>
    <t>Flores, Zoila; San Martin, Diego; Villalobos-Carvajal, Ricardo; Tabilo-Munizaga, Gipsy; Osorio, Fernando; Leiva-Vega, Javier</t>
  </si>
  <si>
    <t>Physicochemical characterization of chitosan-based coating-forming emulsions: Effect of homogenization method and carvacrol content</t>
  </si>
  <si>
    <t>FOOD HYDROCOLLOIDS</t>
  </si>
  <si>
    <t>The effect of carvacrol content and two homogenization methods on the physicochemical properties of chitosan-based coating-forming emulsions were evaluated. Coating-forming emulsions were developed based on chitosan (1.5% w/v) and carvacrol (0.25%, 0.5% and 1.0% v/v) and using two homogenization methods (rotor-stator and rotor-stator followed by high-pressure homogenization). Emulsions were characterized in terms of droplet size, polydispersity index, z-potential, rheological behavior, and surface tension. Wettability was evaluated on the cherry tomato epicarp by measuring the critical surface tension and contact angle. Emulsions with smaller droplet size, lower polydispersity index, and higher zeta-potential were obtained by high-pressure homogenization (HPH). Emulsions viscosity decreased when high pressure was applied. Emulsion wettability improved with carvacrol content and HPH. Incorporating carvacrol and using HPH produced emulsions with better functional properties, which could be used as a coating for fruit and vegetable products. (C) 2016 Elsevier Ltd. All rights reserved.</t>
  </si>
  <si>
    <t>Villalobos-Carvajal, Ricardo/AAO-3646-2021; Martín, David/N-1623-2016; Tabilo-Munizaga, Gipsy/AAM-5457-2021; osorio, fernando/AAY-7304-2021; Villalobos-Carvajal, Ricardo/X-6422-2019</t>
  </si>
  <si>
    <t>osorio, fernando/0000-0001-7206-0924; Villalobos-Carvajal, Ricardo/0000-0002-7471-0211</t>
  </si>
  <si>
    <t>0268-005X</t>
  </si>
  <si>
    <t>1873-7137</t>
  </si>
  <si>
    <t>10.1016/j.foodhyd.2016.07.007</t>
  </si>
  <si>
    <t>WOS:000382253400092</t>
  </si>
  <si>
    <t>Moenne, A; González, A; Sáez, CA</t>
  </si>
  <si>
    <t>Moenne, Alejandra; Gonzalez, Alberto; Saez, Claudio A.</t>
  </si>
  <si>
    <t>Mechanisms of metal tolerance in marine macroalgae, with emphasis on copper tolerance in Chlorophyta and Rhodophyta</t>
  </si>
  <si>
    <t>Green and red macroalgae are closely related organisms, and with terrestrial plants, and constitute the base of marine food webs in coastal ecosystems. Green and red seaweeds, as all living organisms, require essential metals, such as copper, iron, zinc, which can act as co-factors for several proteins and enzymes; however, these metals in excess can induce stress and impair cell viability. Most important negative effects of metal excess are related to the induction of an oxidative stress condition, characterized by the over-accumulation of Reactive Oxygen Species (ROS). In this respect, copper, abundant in wastewaters disposed to coastal environments from domestic and industrial activities, has been one of the most studied metals. Different investigations have provided evidence that green and red macroalgae display several defenses against copper excess to prevent, or at least reduce, stress and damage, among which are cellular exclusion mechanisms, synthesis of metal-chelating compounds, and the activation of the antioxidant system. Most important defense mechanisms identified in green and red seaweed involve: metal-binding to cell wall and epibionts; syntheses of metallothioneins and phytochelatins that accumulate in the cytoplasm; and the increase in the activity of antioxidant enzymes such as superoxide dismutase, ascorbate peroxidase, glutathione peroxidase and catalase, and greater production of antioxidant metabolites as glutathione and ascorbate in organelles and the cytoplasm. In this review, we go through historical records, latest advances, and pending tasks aiming to expand our current knowledge on defense mechanisms to copper excess in green and red macroalgae, with emphasis on biochemical and molecular aspects. (C) 2016 Elsevier B.V. All rights reserved.</t>
  </si>
  <si>
    <t>González, Alberto/IYJ-8593-2023; Sáez, Claudio/AAP-6923-2021</t>
  </si>
  <si>
    <t>Gonzalez Figueroa, Alberto/0000-0002-5777-9022; Moenne, Alejandra/0000-0002-7309-9713; Saez, Claudio/0000-0002-5037-3484</t>
  </si>
  <si>
    <t>10.1016/j.aquatox.2016.04.015</t>
  </si>
  <si>
    <t>WOS:000377734500004</t>
  </si>
  <si>
    <t>Abadias, L; Lizama, C</t>
  </si>
  <si>
    <t>Abadias, Luciano; Lizama, Carlos</t>
  </si>
  <si>
    <t>Almost automorphic mild solutions to fractional partial difference-differential equations</t>
  </si>
  <si>
    <t>APPLICABLE ANALYSIS</t>
  </si>
  <si>
    <t>We study existence and uniqueness of almost automorphic solutions for nonlinear partial difference-differential equations modeled in abstract form as [GRAPHICS] for [GRAPHICS] where [GRAPHICS] is the generator of a [GRAPHICS] -semigroup defined on a Banach space [GRAPHICS] , [GRAPHICS] denote fractional difference in Weyl-like sense and [GRAPHICS] satisfies Lipchitz conditions of global and local type. We introduce the notion of [GRAPHICS] -resolvent sequence [GRAPHICS] and we prove that a mild solution of [GRAPHICS] corresponds to a fixed point of [GRAPHICS] We show that such mild solution is strong in case of the forcing term belongs to an appropriate weighted Lebesgue space of sequences. Application to a model of population of cells is given.</t>
  </si>
  <si>
    <t>0003-6811</t>
  </si>
  <si>
    <t>1563-504X</t>
  </si>
  <si>
    <t>JUN 2</t>
  </si>
  <si>
    <t>10.1080/00036811.2015.1064521</t>
  </si>
  <si>
    <t>WOS:000372982900011</t>
  </si>
  <si>
    <t>Pszczólkowski, P; Lacoste, P</t>
  </si>
  <si>
    <t>Pszczolkowski, Philippo; Lacoste, Pablo</t>
  </si>
  <si>
    <t>Nativevarieties, an opportunity for Chilean pisco</t>
  </si>
  <si>
    <t>A critical analysis of the varieties used in the production of pisco in Chile is done, making some comparisons with other South American spirits such as pisco of Peru and Bolivia singani. It is found that in the Chilean case, 99.7% of the surface corresponds toMuscat of Alexandria (14.0%) and native varieties (85.7%), with low percentage of varieties associated to the French paradigm (0,21%). It aims to define the Chilean pisco as an Andean spirit made from native and historical varieties of Spanish colony, which would position the Chilean pisco to the Andean territory by traditionally and genetic material.</t>
  </si>
  <si>
    <t>0370-4661</t>
  </si>
  <si>
    <t>WOS:000378604400017</t>
  </si>
  <si>
    <t>Farrokhseresht, N; Chávez, H; Hesamzadeh, MR</t>
  </si>
  <si>
    <t>Farrokhseresht, Nakisa; Chavez, Hector; Hesamzadeh, Mohammad Reza</t>
  </si>
  <si>
    <t>Economic Impact of Wind Integration on Primary Frequency Response</t>
  </si>
  <si>
    <t>2015 IEEE EINDHOVEN POWERTECH</t>
  </si>
  <si>
    <t>PowerTech, 2015 IEEE Eindhoven</t>
  </si>
  <si>
    <t>JUN 29-JUL 02, 2015</t>
  </si>
  <si>
    <t>Eindhoven, NETHERLANDS</t>
  </si>
  <si>
    <t>In order to have a reliable and secure power system, frequency stability should be guaranteed. Primary Frequency Response (PFR) is used to arrest the frequency deviation upon a contingency. The significant penetration of wind generation in power grids has negative effect on the PFR, as the contribution of wind machines to the total system inertia is low and classical wind turbines do not have PFR capabilities. This study uses two metrics of frequency control, ROCOF and frequency Nadir to analyze the cost increase for maintaining adequacy in the presence of wind power. The Nordic 32-A test grid, representing the Swedish grid is used as case study on which the method is applied.</t>
  </si>
  <si>
    <t>Farrokhseresht, Nakisa/0000-0002-9968-075X</t>
  </si>
  <si>
    <t>978-1-4799-7695-9</t>
  </si>
  <si>
    <t>WOS:000380546800455</t>
  </si>
  <si>
    <t>Castro, G; Jorquera, E; Navas, A</t>
  </si>
  <si>
    <t>Castro, Gonzalo; Jorquera, Eduardo; Navas, Andres</t>
  </si>
  <si>
    <t>Sharp regularity for certain nilpotent group actions on the interval</t>
  </si>
  <si>
    <t>MATHEMATISCHE ANNALEN</t>
  </si>
  <si>
    <t>According to the classical Plante-Thurston Theorem, all nilpotent groups of C-2-diffeomorphisms of the closed interval are Abelian. Using techniques coming from the works of Denjoy and Pixton, Farb and Franks constructed a faithful action by C-1-diffeomorphisms of [0, 1] for every finitely-generated, torsion-free, non-Abelian nilpotent group. In this work, we give a version of this construction that is sharp in what concerns the Holder regularity of the derivatives. Half of the proof relies on results on random paths on Heisenberg-like groups that are interesting by themselves.</t>
  </si>
  <si>
    <t>0025-5831</t>
  </si>
  <si>
    <t>1432-1807</t>
  </si>
  <si>
    <t>10.1007/s00208-013-0995-1</t>
  </si>
  <si>
    <t>WOS:000339343700004</t>
  </si>
  <si>
    <t>Cortés, Y; Hormazábal, E; Leal, H; Urzúa, A; Mutis, A; Parra, L; Quiroz, A</t>
  </si>
  <si>
    <t>Cortes, Yurima; Hormazabal, Emilio; Leal, Hellmuth; Urzua, Alejandro; Mutis, Ana; Parra, Leonardo; Quiroz, Andres</t>
  </si>
  <si>
    <t>Novel antimicrobial activity of a dichloromethane extract obtained from red seaweed Ceramium rubrum (Hudson) (Rhodophyta: Florideophyceae) against Yersinia ruckeri and Saprolegnia parasitica, agents that cause diseases in salmonids</t>
  </si>
  <si>
    <t>ELECTRONIC JOURNAL OF BIOTECHNOLOGY</t>
  </si>
  <si>
    <t>Background: Enteric red mouth disease and Saprolegniasis, which are caused by the bacteria Yersinia ruckeri and the oomycete Saprolegnia parasitica, respectively, are important illnesses that affect salmonid farming. Sanitary problems in farms are addressed by the prevention of disease outbreaks or by the treatment of diseases with chemicals. Environmental and governmental restrictions, toxicity and high treatment costs limit the use of drugs. Marine organisms, such as algae, sponges and corals, have developed an antimicrobial defense strategy based on the production of bioactive metabolites. Among these organisms, seaweeds offer a particularly rich source of potential new drugs. Hence, many pharmacologically active substances have been isolated from seaweeds. In the Ceramium genus, Ceramium rubrum has been emphasized by several authors for its antimicrobial properties. Based on this background, the present study focused on the antimicrobial activity of a lipophilic extract of C. rubrum on Y. ruckeri and S. parasitica. Results: The alga, collected from the Pacific coast of Chile, underwent an ethanol extraction, and the concentrated extract was partitioned between water and dichloromethane. From the dichloromethane extract, fatty acids, fatty acid esters, one hydrocarbon and phytol were identified by Gas Chromatography-Mass Spectrometry (GC/MS) analysis. The antimicrobial study showed that the whole extract was more active than the individual components, which suggests a strong synergistic effect among the components. Conclusions: These results may constitute a basis for promising future applied research that could investigate the use of C. rubrum seaweed as a source of antimicrobial compounds against fish pathogens. (C) 2014 Pontificia Universidad Catolica de Valparaiso. Production and hosting by Elsevier B.V. All rights reserved.</t>
  </si>
  <si>
    <t>Quiroz, Andres/I-2748-2018</t>
  </si>
  <si>
    <t>Urzua, Alejandro/0000-0003-2638-0921; Hormazabal, Emilio/0000-0003-2205-8505</t>
  </si>
  <si>
    <t>0717-3458</t>
  </si>
  <si>
    <t>MAY 15</t>
  </si>
  <si>
    <t>10.1016/j.ejbt.2014.04.005</t>
  </si>
  <si>
    <t>WOS:000342851400004</t>
  </si>
  <si>
    <t>Bello-Villanueva, AM; Oviedo-Trespalacios, O; Vera-Villarroel, P; Oviedo, O; Rodriguez-Diaz, M; Celis-Atenas, K; Pavez, P</t>
  </si>
  <si>
    <t>Mercedes Bello-Villanueva, Ana; Oviedo-Trespalacios, Oscar; Vera-Villarroel, Pablo; Oviedo, Oscar; Rodriguez-Diaz, Melissa; Celis-Atenas, Karem; Pavez, Paula</t>
  </si>
  <si>
    <t>Presentation of an Attitudes and Beliefs Scale to Assess Adolescent Sexuality and Reproductive Health of Young Males in the Caribbean Region</t>
  </si>
  <si>
    <t>UNIVERSITAS PSYCHOLOGICA</t>
  </si>
  <si>
    <t>This paper presents the construction and testing of the reliability of an instrument to assess attitudes and subjective norms sexual and reproductive behavior of young males. The scale was administered to 965 male students (From of 11 to 19 years) enrolled at school in the Colombian Caribbean region. This work includes two independent studies, in the Study 1 (pilot) the questionnaire consisted of 150 items and it was reduced to 78. In the protective attitude scale (Mean = 4.1 and SD = 1.07) was obtained Cronbach's alpha of 0.93 and for the abstinence/delay attitude (Mean = 3.6 and SD = 1.26) an alpha of 0.88 with high homogeneity. The total correlation item was greater than 0.6 for all the attitude scales. On the scale of beliefs represented by the subjective norms (Mean = 3.79 and SD = 1.08) the estimation of Cronbach's alpha was 0.98 with correlations above 0.66. In Study 2 (final stop), the construct validity assessment using factorial analysis and principal components analysis with VARIMAX rotation reported a satisfactory fit of the data to the array factor. In conclusion, the instrument has a reliable and stable structure for the measurement of attitudes and subjective norms for sexuality and reproductive health, and it is useful to help in the setting of programs.</t>
  </si>
  <si>
    <t>Vera-Villarroel, Pablo/AAQ-8476-2020; pavez, paula/ITT-0755-2023; Oviedo, Oscar/MFJ-2848-2025; Oviedo-Trespalacios, Oscar/IUQ-1875-2023; Vera-Villarroel, Pablo/A-1134-2011; Oviedo-Trespalacios, Oscar/K-2462-2012</t>
  </si>
  <si>
    <t>Vera-Villarroel, Pablo/0000-0001-9187-8414; Pavez Salinas, Paula Andrea/0000-0001-7829-8490; Oviedo-Trespalacios, Oscar/0000-0001-5916-3996</t>
  </si>
  <si>
    <t>1657-9267</t>
  </si>
  <si>
    <t>JAN-MAR</t>
  </si>
  <si>
    <t>WOS:000345097900005</t>
  </si>
  <si>
    <t>Castro, JF; Parra, C; Yáñez-S, M; Rojas, J; Mendonça, RT; Baeza, J; Freer, J</t>
  </si>
  <si>
    <t>Castro, Jean F.; Parra, Carolina; Yanez-S, Mauricio; Rojas, Jonathan; Teixeira Mendonca, Regis; Baeza, Jaime; Freer, Juanita</t>
  </si>
  <si>
    <t>Optimal Pretreatment of Eucalyptus globulus by Hydrothermolysis and Alkaline Extraction for Microbial Production of Ethanol and Xylitol</t>
  </si>
  <si>
    <t>INDUSTRIAL &amp; ENGINEERING CHEMISTRY RESEARCH</t>
  </si>
  <si>
    <t>Fractionation of Eucalyptus globulus wood chips is mandatory for developing a biorefinery process. In order to achieve this, products released from hydrothermolysis pretreatment were studied within the severity (log R-0) range 3.3-4.5. The highest solubilized xylose yield was 56% (DWB) at log R-0 3.9. Values higher than log R-0 4.1 have led to high xylose dehydration rates. Detoxification steps applied to the liquor removed acetic acid (55%), furfural (94%), and hydroxymethylfurfural (HMF) (31%). Fermentation of liquor with Candida guilliermondii resulted in a xylitol yield of 0.37 g of xylitol produced per gram of xylose consumed (equivalent to 71% of the control with pure xylose). Pulp-1 (from hydrothermolysis pretreatment) was further pretreated with NaOH for lignin removal (obtaining Pulp-2). Cellulose composition in Pulp-1 and Pulp-2 remains almost unaltered; lignin content in Pulp-2 was 50% lower than in Pulp-1. Simultaneous saccharification and fermentation (SSF) experiments for both pulps reached similar ethanol yields of 0.76 and 0.70 g of ethanol produced per gram of ethanol potentially produced from wood, respectively. Recovery of hemicellulose at the beginning of the process is a key step for getting pulps with high cellulose composition available for developing a biorefinery process of E. globulus.</t>
  </si>
  <si>
    <t>Teixeira Mendonça, Regis/G-5174-2011; Parra, Carolina/J-2993-2017</t>
  </si>
  <si>
    <t>Teixeira Mendonca, Regis/0000-0002-6004-3841; Parra, Carolina/0000-0003-2710-462X</t>
  </si>
  <si>
    <t>0888-5885</t>
  </si>
  <si>
    <t>APR 24</t>
  </si>
  <si>
    <t>10.1021/ie301859x</t>
  </si>
  <si>
    <t>WOS:000318204900025</t>
  </si>
  <si>
    <t>Adasme, P; Lisser, A; Soto, I</t>
  </si>
  <si>
    <t>Adasme, Pablo; Lisser, Abdel; Soto, Ismael</t>
  </si>
  <si>
    <t>A quadratic semidefinite relaxation approach for resource allocation in orthogonal frequency division multiple access</t>
  </si>
  <si>
    <t>NETWORKS</t>
  </si>
  <si>
    <t>International Network Optimization Conference (INOC)</t>
  </si>
  <si>
    <t>APR 26-29, 2009</t>
  </si>
  <si>
    <t>Pisa, ITALY</t>
  </si>
  <si>
    <t>This paper proposes two binary quadratically constrained quadratic programs for minimizing power subject to bit rate and subcarrier allocation constraints over wireless orthogonal frequency division multiple access. The first model represents a restricted case in which users are allowed to use only one modulation size in each subcarrier while the second, a more flexible real case in which they can use any size. We propose two semidefinite programming relaxations and compare with the linear programs obtained by applying Fortet linearization method. Numerical results show a total average tightness gain of 42.78 and 97.17% for the first and second quadratic model, respectively. Moreover, we get in average, near optimal lower bounds of 0.5 and 1% for the second model over random and realistic data, respectively. (C) 2011 Wiley Periodicals, Inc. NETWORKS, Vol. 59(1), 3-12 2012</t>
  </si>
  <si>
    <t>Adasme, Pablo/0000-0003-2500-3294; Soto, Ismael/0000-0002-5501-5651</t>
  </si>
  <si>
    <t>0028-3045</t>
  </si>
  <si>
    <t>1097-0037</t>
  </si>
  <si>
    <t>10.1002/net.20475</t>
  </si>
  <si>
    <t>WOS:000298087600002</t>
  </si>
  <si>
    <t>Hugo, E; Abuin, E; Lissi, E; Alarcón, E; Edwards, AM</t>
  </si>
  <si>
    <t>Hugo, Estefania; Abuin, Elsa; Lissi, Eduardo; Alarcon, Emilio; Edwards, Ana M.</t>
  </si>
  <si>
    <t>Effect of temperature on the photobehavior of Rose Bengal associated with dipalmitoylphosphatidyl choline liposomes</t>
  </si>
  <si>
    <t>JOURNAL OF LUMINESCENCE</t>
  </si>
  <si>
    <t>The association and photobehavior of Rose Bengal (RB) in the presence of dipalmitoylphosphatidyl choline (DPPC) small unilamellar liposomes is determined by the temperature. At temperatures above the main phase transition of the bilayer, the incorporation of the dye is ca. 2.5 times more efficient than that taking place when the bilayer is in the gel state. In both temperature ranges, adsorption isotherms show a noticeable anti-cooperativity that can be related to electrostatic repulsion between bound molecules. The photophysics and the photocheinistry of the bound dye molecules also depend on the bilayer status. In particular, in the liquid crystalline state the surrounding of the dye is more polar and production of singlet oxygen is less efficient (Phi similar to 0.1). This reduced singlet oxygen production is partially due to a low triplet yield (Phi(T)=0.35) and triplet self-quenching due to a high local RB concentration. In spite of these, tryptophan is efficiently photobleached when RB is associated to liposomes in the liquid crystalline state, probably due to a Type I mechanism favored by its high local concentration in the sensitized surroundings. (C) 2011 Elsevier B.V. All rights reserved.</t>
  </si>
  <si>
    <t>Alarcon, Emilio/A-7285-2011</t>
  </si>
  <si>
    <t>Edwards-Mujica, Ana M./0000-0002-4637-1013</t>
  </si>
  <si>
    <t>0022-2313</t>
  </si>
  <si>
    <t>1872-7883</t>
  </si>
  <si>
    <t>10.1016/j.jlumin.2011.06.021</t>
  </si>
  <si>
    <t>WOS:000294877500006</t>
  </si>
  <si>
    <t>Díaz, GA; Yañez, L; Latorre, BA</t>
  </si>
  <si>
    <t>Diaz, Gonzalo A.; Yanez, Lina; Latorre, Bernardo A.</t>
  </si>
  <si>
    <t>Low Occurrence of Patulin-Producing Strains of Penicillium in Grapes and Patulin Degradation during Winemaking in Chile</t>
  </si>
  <si>
    <t>AMERICAN JOURNAL OF ENOLOGY AND VITICULTURE</t>
  </si>
  <si>
    <t>Penicillium expansum has emerged as the cause of storage decay of table grapes (Vitis vinifera) and has been frequently isolated from apparently healthy clusters of grapes in Chile. The objectives of this study were to identify patulin-producing strains of Penicillium associated with winegrapes and wineries in Chile and to determine the potential presence of patulin in wines made with grapes infected with P. expansum. In this study, P. brevicompactum, P. expansum, and P. glabrum were identified on apparently healthy grape clusters and in the air of vineyards and wineries. Of 132 Penicillium isolates, 4 P. brevicompactum and 11 P. expansum strains were patulin-producing, determined by HPLC-UV/DAD. Patulin was also detected in Cabernet Sauvignon musts produced with grapes contaminated with a patulin-producing strain of P. expansum. However, patulin concentrations decreased during fermentation by 67.3 to 83.3%. Overall, the frequency of P. expansum isolation from grapes was relatively low; thus, considering the rapid degradation of patulin produced during fermentation, the risk of patulin contamination of bottled wine appears to be low.</t>
  </si>
  <si>
    <t>Díaz, Gonzalo/JAX-3959-2023</t>
  </si>
  <si>
    <t>Diaz Ulloa, Gonzalo/0000-0002-7719-5251</t>
  </si>
  <si>
    <t>0002-9254</t>
  </si>
  <si>
    <t>1943-7749</t>
  </si>
  <si>
    <t>10.5344/ajev.2011.11034</t>
  </si>
  <si>
    <t>WOS:000298125500014</t>
  </si>
  <si>
    <t>Cornejo, J; Ordoñez, S; Iturriza, I</t>
  </si>
  <si>
    <t>Cornejo, J.; Ordonez, S.; Iturriza, I.</t>
  </si>
  <si>
    <t>Microstructural evolution of SiC/Cu-Si composites obtained through reactive infiltration</t>
  </si>
  <si>
    <t>REVISTA DE METALURGIA</t>
  </si>
  <si>
    <t>The microstructural evolution of composites of SiC/Cu-Si alloys obtained through process of reactive infiltration to 1400 degrees C was studied. Three zones were detected in the obtained composites: the reaction zone, the transition zone and the infiltrated zone. In the reaction zone and transition zone the resulting microstructure was composed of a metallic phase, graphite laminae and SiC particles. It was found that SiC decomposes into these areas because of the alloy Cu-Si, so the available Si forms a liquid solution that a room temperature consisted of a a solid solution and a gamma phase (Cu(5)Si). The carbon resulting from the decomposition of SiC precipitated as graphite laminae. In addition, the SiC decomposition was decreasing as the initial amount of Si in the alloy increased.</t>
  </si>
  <si>
    <t>Iturriza, Inigo/ABK-3882-2022</t>
  </si>
  <si>
    <t>Inigo, Iturriza/0000-0003-1662-4945</t>
  </si>
  <si>
    <t>0034-8570</t>
  </si>
  <si>
    <t>10.3989/revmetalm.0942</t>
  </si>
  <si>
    <t>WOS:000282461300005</t>
  </si>
  <si>
    <t>Hernández, ME; Henríquez, HR</t>
  </si>
  <si>
    <t>Hernandez, Eduardo M.; Henriquez, Hernan R.</t>
  </si>
  <si>
    <t>Existence Results for Second Order Differential Equations with Nonlocal Conditions in Banach Spaces</t>
  </si>
  <si>
    <t>FUNKCIALAJ EKVACIOJ-SERIO INTERNACIA</t>
  </si>
  <si>
    <t>This work is concerned with implicit second order abstract differential equations with nonlocal conditions. Assuming that the involved operators satisfy sonic compactness properties, we establish the existence of local mild solutions, the existence of global mild solutions and the existence of asymptotically almost periodic solutions.</t>
  </si>
  <si>
    <t>0532-8721</t>
  </si>
  <si>
    <t>WOS:000265283400007</t>
  </si>
  <si>
    <t>Pedreschi, F; Zúñiga, RN</t>
  </si>
  <si>
    <t>Sahin, S; Sumnu, S</t>
  </si>
  <si>
    <t>Pedreschi, Franco; Zuniga, Rommy N.</t>
  </si>
  <si>
    <t>Kinetics of Quality Changes During Frying</t>
  </si>
  <si>
    <t>ADVANCES IN DEEP-FAT FRYING OF FOODS</t>
  </si>
  <si>
    <t>Contemporary Food Engineering</t>
  </si>
  <si>
    <t>Zuniga, Rommy/0000-0002-4195-8085</t>
  </si>
  <si>
    <t>2155-336X</t>
  </si>
  <si>
    <t>978-1-4200-5558-0</t>
  </si>
  <si>
    <t>WOS:000266750000005</t>
  </si>
  <si>
    <t>Pocivavsek, L; Leahy, B; Holten-Andersen, N; Lin, BH; Lee, KYC; Cerda, E</t>
  </si>
  <si>
    <t>Pocivavsek, Luka; Leahy, Brian; Holten-Andersen, Niels; Lin, Binhua; Lee, Ka Yee C.; Cerda, Enrique</t>
  </si>
  <si>
    <t>Geometric tools for complex interfaces: from lung surfactant to the mussel byssus</t>
  </si>
  <si>
    <t>SOFT MATTER</t>
  </si>
  <si>
    <t>Interfaces are ubiquitous in nature and absolutely key for life as illustrated by such complex interfaces as the cell membrane and the endothelial and epithelial linings of tissues. The mechanical properties of these interfaces play an important role in their biological functions. In this highlight, we describe our recent work (Pocivavsek et al., Science, 2008, 320, 912) using geometry as a tool for studying the behavior of complex interfaces. General scaling laws emerging from studying the shape of elastic interfaces can in turn be used in their characterization. Interfacial wrinkling is a well known phenomenon, however, the geometric patterns seen at biological interfaces are often far from idealized sinusoidal wrinkles. We show how more complex and non-linear patterns naturally emerge from wrinkles and how material properties can be extracted from these non-linear geometries.</t>
  </si>
  <si>
    <t>1744-683X</t>
  </si>
  <si>
    <t>1744-6848</t>
  </si>
  <si>
    <t>10.1039/b817513f</t>
  </si>
  <si>
    <t>WOS:000266005400002</t>
  </si>
  <si>
    <t>Castro, SA; Jaksic, FM</t>
  </si>
  <si>
    <t>Castro, Sergio A.; Jaksic, Fabian M.</t>
  </si>
  <si>
    <t>How general are global trends in biotic homogenization? Floristic tracking in Chile, South America</t>
  </si>
  <si>
    <t>GLOBAL ECOLOGY AND BIOGEOGRAPHY</t>
  </si>
  <si>
    <t>Aim To quantify the occurrence of floristic change in the vascular flora of Chile. We test whether continental areas have experienced floristic modification leading to either homogenization, differentiation or tracking. Location Continental Chile. Methods On the basis of the geographical distribution of native (1806 species) and naturalized plants (552 species) in continental Chile, we quantified change between two floristic stages: (1) pre-European flora, including native extant and extinct species; and (2) current flora, including native and naturalized species, but excluding extinct plants. We compared changes in compositional similarity (calculated by Jaccard's index, Delta J) between pairs of regions, and similarity decay with respect to geographical distance. Additionally, by means of Whittaker's index, we examined species turnover, distinguishing between native and naturalized plants. Results Between floristic stages (pre-European vs. current flora) no significant changes in floristic similarity were noted at national or regional scales. Similarity decay showed no statistical differences between pre-European and current flora. Analysing patterns of geographical turnover, we found that species turnover of naturalized plants over their geographical range is similar to that of native plants. Conclusions The composition of the continental flora of Chile does not show significant modifications in similarity patterns after considering naturalized species, thus indicating floristic tracking. The causes of this phenomenon may be related to the current geographical distribution of naturalized plants, which closely parallels that of native plants. Our results differ from those obtained in Northern Hemisphere continents, thus indicating that trends of biotic change may differ between hemispheres.</t>
  </si>
  <si>
    <t>Jaksic, Fabian M./G-1705-2014</t>
  </si>
  <si>
    <t>Jaksic, Fabian M./0000-0003-0098-0291</t>
  </si>
  <si>
    <t>1466-822X</t>
  </si>
  <si>
    <t>1466-8238</t>
  </si>
  <si>
    <t>10.1111/j.1466-8238.2008.00392.x</t>
  </si>
  <si>
    <t>WOS:000256614700007</t>
  </si>
  <si>
    <t>Letelier, MF; Siginer, DA</t>
  </si>
  <si>
    <t>Letelier, Mario F.; Siginer, Dennis A.</t>
  </si>
  <si>
    <t>On the flow of a class of viscoinelastic-viscoplastic fluids in tubes of non-circular contour</t>
  </si>
  <si>
    <t>INTERNATIONAL JOURNAL OF ENGINEERING SCIENCE</t>
  </si>
  <si>
    <t>A unified analysis based on natural coordinates is presented for a class of viscoinelastic-viscoplastic fluids for the case of nearly viscometric flows driven by steady pressure gradients in straight ducts of arbitrary cross-sectional contour. General relationships which give phenomenological insight and which yield qualitative information, and some quantitative information as well, concerning the velocity and shear-stress fields of the family of fluids considered in this paper are derived for the case of flow in tubes of non-circular contour, and several applications are discussed. (C) 2007 Elsevier Ltd. All rights reserved.</t>
  </si>
  <si>
    <t>0020-7225</t>
  </si>
  <si>
    <t>1879-2197</t>
  </si>
  <si>
    <t>10.1016/j.ijengsci.2007.07.002</t>
  </si>
  <si>
    <t>WOS:000250590900001</t>
  </si>
  <si>
    <t>Prado, A; Andrades, P; Danilla, S; Castillo, P; Benitez, S</t>
  </si>
  <si>
    <t>Prado, Arturo; Andrades, Patricio; Danilla, Stefan; Castillo, Paulo; Benitez, Susana</t>
  </si>
  <si>
    <t>Nonresective shrinkage of the septum and fat compartments of the upper and lower eyelids: A comparative study with carbon dioxide laser and Colorado needle - Reply</t>
  </si>
  <si>
    <t>PLASTIC AND RECONSTRUCTIVE SURGERY</t>
  </si>
  <si>
    <t>0032-1052</t>
  </si>
  <si>
    <t>10.1097/01.prs.0000261065.04552.8f</t>
  </si>
  <si>
    <t>WOS:000246669000052</t>
  </si>
  <si>
    <t>Arriagada, O; Constandil, L; Hernández, A; Barra, R; Soto-Moyano, R; Laurido, C</t>
  </si>
  <si>
    <t>Arriagada, Osvaldo; Constandil, Luis; Hernandez, Alejandro; Barra, Rafael; Soto-Moyano, Ruben; Laurido, Claudio</t>
  </si>
  <si>
    <t>Effects of interleukin-1β on spinal cord nociceptive transmission in intact and propentofylline-treated rats</t>
  </si>
  <si>
    <t>INTERNATIONAL JOURNAL OF NEUROSCIENCE</t>
  </si>
  <si>
    <t>To investigate the contribution of glial cells in the spinal cord nociceptive transmission, the effect of intrathecally administered interleukin-1 beta (IL-1 beta) was studied in rats treated with the glial cell inactivator propentotylline and submitted to a C-fiber-mediated reflex paradigm evoked by single and repetitive (wind-up) electric stimulation, Intrathecal IL-1 beta did not modify the C reflex integrated activity in either group of animals, while producing increased wind-up in intact and decreased wind-up in propentofylline pre-treated rats. Results suggest that the excitatory effect of IL-1 beta on spinal wind-up activity in healthy rats is produced by a glial mediator, whereas the inhibitory effect resulted from a direct effect of the cytokine on dorsal horn neurons.</t>
  </si>
  <si>
    <t>Hernandez, Alejandro/M-4796-2019</t>
  </si>
  <si>
    <t>Constandil, Luis/0000-0002-2504-0119; Hernandez, Alejandro/0000-0001-9222-6522</t>
  </si>
  <si>
    <t>0020-7454</t>
  </si>
  <si>
    <t>10.1080/00207450600773806</t>
  </si>
  <si>
    <t>WOS:000246155400006</t>
  </si>
  <si>
    <t>Landeros, P; Allende, S; Escrig, J; Salcedo, E; Altbir, D; Vogel, EE</t>
  </si>
  <si>
    <t>Landeros, P.; Allende, S.; Escrig, J.; Salcedo, E.; Altbir, D.; Vogel, E. E.</t>
  </si>
  <si>
    <t>Reversal modes in magnetic nanotubes</t>
  </si>
  <si>
    <t>APPLIED PHYSICS LETTERS</t>
  </si>
  <si>
    <t>The magnetic switching of ferromagnetic nanotubes is investigated as a function of their geometry. Two independent methods are used: Numerical simulations and analytical calculations. It is found that for long tubes the reversal of magnetization is achieved by two mechanisms: The propagation of a transverse domain wall or propagation of a vortex domain wall depending on the internal and external radii of the tube. (c) 2007 American Institute of Physics.</t>
  </si>
  <si>
    <t>Salcedo, Evy/C-9674-2013; Landeros, Pedro/B-4603-2012; Escrig, Juan/N-4304-2015; Altbir, Dora/R-6781-2018</t>
  </si>
  <si>
    <t>Landeros, Pedro/0000-0002-0927-1419; Salcedo, Evy/0000-0002-7765-3419; Vogel, Eugenio/0000-0002-1701-3030; Escrig, Juan/0000-0002-3958-8185; Altbir, Dora/0000-0002-2945-4909</t>
  </si>
  <si>
    <t>0003-6951</t>
  </si>
  <si>
    <t>1077-3118</t>
  </si>
  <si>
    <t>MAR 5</t>
  </si>
  <si>
    <t>10.1063/1.2437655</t>
  </si>
  <si>
    <t>WOS:000244791700063</t>
  </si>
  <si>
    <t>Pancetti, F; Olmos, C; Dagnino-Subiabre, A; Rozas, C; Morales, B</t>
  </si>
  <si>
    <t>Pancetti, Floria; Olmos, Cristina; Dagnino-Subiabre, Alexies; Rozas, Carlos; Morales, Bernardo</t>
  </si>
  <si>
    <t>Noncholinesterase effects induced by organophosphate pesticides and their relationship to cognitive processes: Implication for the action of acylpeptide hydrolase</t>
  </si>
  <si>
    <t>JOURNAL OF TOXICOLOGY AND ENVIRONMENTAL HEALTH-PART B-CRITICAL REVIEWS</t>
  </si>
  <si>
    <t>Organophosphate pesticides have been classically described as inhibitors of acetylcholinesterase (AChE) activity in insects and invertebrates. However, there is now more evidence supporting the hypothesis that these compounds also act through noncholinergic pathways, especially those related to cognitive processes. The enzyme acylpeptide hydrolase was identified as a new target for organophosphate pesticides. This enzyme is more sensitive than AChE to some organophosphates (OP), including dichlorvos, which is the parent compound for metrifonate, a therapeutic agent used in the treatment of cognitive impairment associated to Alzheimer's disease. Therefore, there is some doubt as to whether the mechanism of action of this drug is mediated by a potentiation of cholinergic transmission. However, the direct action of acylpeptide hydrolase in cognitive processes and the physiological and molecular mechanisms underlying subacute exposure to OP have yet to be demonstrated. This review deals with evidence demonstrating the existence of mechanisms of actions of OP, which are independent of cholinergic pathway potentiation and which have an effect on cognitive processes. In addition, the possible participation of the enzyme acylpeptide hydrolase in these processes is also discussed. Finally, the possibility of using this enzyme activity as a new biomarker for exposure to OP is considered.</t>
  </si>
  <si>
    <t>Morales Castañeda, Bernardo/GPP-1642-2022; Pancetti, Floria/A-2491-2013</t>
  </si>
  <si>
    <t>Pancetti, Floria/0000-0002-6990-9832; Rozas, Carlos/0000-0002-6422-9600; Dagnino Subiabre, Alexies/0000-0002-9909-9826</t>
  </si>
  <si>
    <t>1093-7404</t>
  </si>
  <si>
    <t>1521-6950</t>
  </si>
  <si>
    <t>10.1080/10937400701436445</t>
  </si>
  <si>
    <t>WOS:000251287600005</t>
  </si>
  <si>
    <t>Amat, S; Busquier, S; Plaza, S</t>
  </si>
  <si>
    <t>A construction of attracting periodic orbits for some classical third-order iterative methods</t>
  </si>
  <si>
    <t>JOURNAL OF COMPUTATIONAL AND APPLIED MATHEMATICS</t>
  </si>
  <si>
    <t>11th International Congress on Computational and Applied Mathematics</t>
  </si>
  <si>
    <t>JUL 26-30, 2004</t>
  </si>
  <si>
    <t>Univ Leuven, Louvain, BELGIUM</t>
  </si>
  <si>
    <t>Univ Leuven</t>
  </si>
  <si>
    <t>We use a family of root-finding iterative methods for finding roots of nonlinear equations. We present a procedure for constructing polynomials so that superattracting periodic orbits of any prescribed period occur when these methods are applied. This family includes Chebyshev's method, Halley's method, the super-Halley method, and the c-methods, as particular cases. (c) 2005 Elsevier B.V. All rights reserved.</t>
  </si>
  <si>
    <t>Sáez, Sonia/AAA-6148-2019</t>
  </si>
  <si>
    <t>0377-0427</t>
  </si>
  <si>
    <t>1879-1778</t>
  </si>
  <si>
    <t>10.1016/j.cam.2005.03.049</t>
  </si>
  <si>
    <t>WOS:000235816600003</t>
  </si>
  <si>
    <t>Comman, H; Fagnola, F</t>
  </si>
  <si>
    <t>C*-algebras of quadratures</t>
  </si>
  <si>
    <t>JOURNAL OF OPERATOR THEORY</t>
  </si>
  <si>
    <t>Quadrature operators are the q(theta) = (e(-itheta) a + e(itheta) a*)/root2 where a and a* are the annihilation and creation operators on L 2 (R). The structure of the C*-algebra generated by operators f(q(theta)) for f continuous function vanishing at infinity and theta in any subset Theta of] - pi,pi[with Card(Theta) greater than or equal to 2 is studied. It is shown that it contains all compact operators and it is a C*-algebra of type I. Its atomic representation and the structure of its spectrum is explicitely given. A trace formula for the operators f (q(theta1),)g(q(theta2)) is proved.</t>
  </si>
  <si>
    <t>Fagnola, Franco/AAF-8451-2020</t>
  </si>
  <si>
    <t>Fagnola, Franco/0000-0002-1661-0992</t>
  </si>
  <si>
    <t>0379-4024</t>
  </si>
  <si>
    <t>FAL</t>
  </si>
  <si>
    <t>WOS:000227462600003</t>
  </si>
  <si>
    <t>Romero, JL; Roa, L; Retamal, JC; Saavedra, C</t>
  </si>
  <si>
    <t>Entanglement purification in cavity QED using local operations</t>
  </si>
  <si>
    <t>We study a physical implementation of an entanglement purification protocol using a cavity quantum electrodynamics based proposal, in both the microwave and the optical domain. The protocol consists of local quantum operations of each particle of an entangled system with one auxiliary particle (ancilla). After the above interaction a measurement on ancillas is carried out. In the microwave region the quantum information is stored in field states inside two distant cavities. We also give a procedure for quantifying the degree of entanglement between quantum fields, which allows verifying the efficiency of the purification process. In the optical domain, we study a setup of cold trapped ions inside cavities, where quantum bits are defined by two electronic levels of ions. This latter proposal is extended to create multiparticle entangled states among distant quantum systems. Entanglement is achieved through a set of local measurements on pairs of entangled particles.</t>
  </si>
  <si>
    <t>Saavedra, Carlos/C-4262-2008; Retamal, Juan/G-6425-2010; Roa, Luis/F-9884-2010</t>
  </si>
  <si>
    <t>Retamal Abarzua, Juan Carlos/0000-0002-7174-7879; Saavedra, Carlos/0000-0003-3156-3853</t>
  </si>
  <si>
    <t>A</t>
  </si>
  <si>
    <t>10.1103/PhysRevA.65.052319</t>
  </si>
  <si>
    <t>WOS:000175743800059</t>
  </si>
  <si>
    <t>Sepúlveda-Boza, S; Walizei, GH; Rezende, MC; Vásquez, Y; Mascayano, C; Mejías, L</t>
  </si>
  <si>
    <t>The preparation of new isoflavones</t>
  </si>
  <si>
    <t>SYNTHETIC COMMUNICATIONS</t>
  </si>
  <si>
    <t>The synthesis of ten new isoflavones in good yield is described. The method, involving intermediate 2-hydroxybenzyl ketones, did not require protection of the hydroxyl groups of the starting polyphenols.</t>
  </si>
  <si>
    <t>Caroli, Marcos/H-3570-2019</t>
  </si>
  <si>
    <t>Vasquez Martinez, Yesseny Amneris/0000-0002-4184-9815; Rezende, Marcos/0000-0003-2040-9009; Mascayano Collado, Carolina Lorena/0000-0002-3488-9309</t>
  </si>
  <si>
    <t>0039-7911</t>
  </si>
  <si>
    <t>10.1081/SCC-100104346</t>
  </si>
  <si>
    <t>WOS:000170087700022</t>
  </si>
  <si>
    <t>Chornik, B; Fuenzalida, VA; Grahmann, CR; Labbe, R</t>
  </si>
  <si>
    <t>Water adsorption properties of amorphous BaTiO3 thin films</t>
  </si>
  <si>
    <t>VACUUM</t>
  </si>
  <si>
    <t>Amorphous barium titanate films were flash evaporated on silicon and studied with X-ray photoelectron spectroscopy. After water adsorption, the surface oxygen Is photoelectron peak reveals the presence of hydroxyl groups. A thermal desorption experiment on a similar thin film evaporated on rhenium shows one peak of water partial pressure at abo ut 480 K, wh ich decreases after repeated cycles of adsorption and thermal desorption, suggesting that oxygen vacancies are filled up during desorption. (C) 1997 Elsevier Science Ltd.</t>
  </si>
  <si>
    <t>Chornik, Boris/I-9192-2016; Fuenzalida, Victor/A-5244-2013; Labbe, Raul/C-4581-2008</t>
  </si>
  <si>
    <t>Labbe, Raul/0000-0003-4233-8387</t>
  </si>
  <si>
    <t>0042-207X</t>
  </si>
  <si>
    <t>10.1016/S0042-207X(96)00249-7</t>
  </si>
  <si>
    <t>WOS:A1997WH19000010</t>
  </si>
  <si>
    <t>Matsuhiro, B; Zuniga, E; Jashes, M; Guacucano, M</t>
  </si>
  <si>
    <t>Sulfated polysaccharides from Durvillaea antarctica</t>
  </si>
  <si>
    <t>HYDROBIOLOGIA</t>
  </si>
  <si>
    <t>Durvillaea antarctica was extracted with hot water and a sulfate containing polymer was obtained after separation of laminaran and alginic acid with cetrimide and 2% calcium chloride solutions, respectively. Gel electrophoresis showed that the acidic polysaccharide (23.5% sulfate, 4.5% uronic acid) was not homogeneous. It was fractionated by anion-exchange chromatography on DEAE Sephadex with increasing concentrations of KCI solutions affording seven fractions. All the fractions showed blood-anticoagulant activity. The fraction eluted with 1.2 M KCI (34.85% sulfate, 1.4% uronic acid) showed the highest thrombin time. The plaque inhibition and the transcription assays of the whole acidic polysaccharide and the partial hydrolysis product against the infectious pancreatic necrosis virus showed a slight antiviral effect. The fucose-containing polymer from D. antarctica is a mixture of sulfated polysaccharides with a different content of sulfate groups and uronic acids. A correlation was observed between the anticoagulant effect and uronic acids content.</t>
  </si>
  <si>
    <t>0018-8158</t>
  </si>
  <si>
    <t>MAR 8</t>
  </si>
  <si>
    <t>10.1007/BF00018679</t>
  </si>
  <si>
    <t>WOS:A1996UF88300009</t>
  </si>
  <si>
    <t>Bustos, RO; Romo, CR</t>
  </si>
  <si>
    <t>Stabilisation of trypsin-like enzymes from Antarctic krill: Effect of polyols, polysaccharides and proteins</t>
  </si>
  <si>
    <t>The stabilisation of trypsin-like enzymes purified from krill processing wastewater was studied using different proteins, polyols and polysaccharides. The effect of the different stabilisers was evaluated both in solution and in dry samples of the enzymes. In 40% (w/v) stabiliser solutions, the increase in half-life of enzyme activity followed the pattern: sorbitol &gt; xylitol &gt; glycerol &gt; sucrose &gt; maltodextrins, when polyols and polysaccharides were used. In 3% (w/v) protein solutions, the stabilising effect followed the order: hydrolysed collagen &gt; bovine serum albumin &gt; casein. The best result was obtained in a 50% (w/v) sorbitol solution where a 12-fold half-life increase was achieved. Different mechanisms of stabilisation were observed for these two groups of substances. In 50% (w/w) dry enzyme/stabiliser mixtures, the increase in half-life of krill trypsin-like enzymes was: maltodextrins &gt; sucrose &gt; sorbitol &gt; mannitol &gt; xylitol. Dry samples were also prepared by coprecipitation of the enzyme/stabiliser mixture with 95% ethanol, followed by oven drying of the coprecipitates. Under these conditions, the modified maltodextrin PSM 10 (Reppe-Glykos AB, Sweden) gave the best result with a 25-fold half-life increase. The relevance of this result for the industrial application of krill trypsin-like enzymes is discussed.</t>
  </si>
  <si>
    <t>Bustos, Ruben/AAM-2029-2020</t>
  </si>
  <si>
    <t>Bustos, Ruben/0000-0003-0183-0324</t>
  </si>
  <si>
    <t>10.1002/(SICI)1097-4660(199602)65:2&lt;193::AID-JCTB398&gt;3.0.CO;2-T</t>
  </si>
  <si>
    <t>WOS:A1996TV53000013</t>
  </si>
  <si>
    <t>FAUNDEZABANS, M; DESOUZA, RE</t>
  </si>
  <si>
    <t>THE REDSHIFT OF 12 SOUTHERN RING GALAXIES</t>
  </si>
  <si>
    <t>ASTROPHYSICS AND SPACE SCIENCE</t>
  </si>
  <si>
    <t>In this work the redshift of twelve southern Ring Galaxies observed at the Laboratorio Nacional de Astrofisica, Brasil is obtained. The classical distances to these objects are also presented.</t>
  </si>
  <si>
    <t>0004-640X</t>
  </si>
  <si>
    <t>10.1007/BF00658021</t>
  </si>
  <si>
    <t>WOS:A1993LV12800001</t>
  </si>
  <si>
    <t>ZANLUNGO, AB; CEREZO, AS</t>
  </si>
  <si>
    <t>PROTON-NMR STUDIES OF SOME N-ACETYLGLYCOFURANOSYLAMINES AND OF THEIR ACYLATED DERIVATIVES</t>
  </si>
  <si>
    <t>CARBOHYDRATE RESEARCH</t>
  </si>
  <si>
    <t>0008-6215</t>
  </si>
  <si>
    <t>10.1016/S0008-6215(00)84607-8</t>
  </si>
  <si>
    <t>WOS:A1981LB49700012</t>
  </si>
  <si>
    <t>LISSI, E; ABUIN, E; GARGALLO, L; RADIC, D</t>
  </si>
  <si>
    <t>UNUSUAL PHOTO-LUMINESCENT BEHAVIOR OF PHENYL METHACRYLATE COPOLYMERS</t>
  </si>
  <si>
    <t>JOURNAL OF POLYMER SCIENCE PART C-POLYMER LETTERS</t>
  </si>
  <si>
    <t>0887-6258</t>
  </si>
  <si>
    <t>10.1002/pol.1979.130170514</t>
  </si>
  <si>
    <t>WOS:A1979GS98100014</t>
  </si>
  <si>
    <t>Kumar, S; Hegade, NN; Visuri, AM; Bhargava, BA; Hernandez, JFR; Solano, E; Albarrán-Arriagada, F; Barrios, GA</t>
  </si>
  <si>
    <t>Kumar, Shubham; Hegade, Narendra N.; Visuri, Anne-Maria; Bhargava, Balaganchi A.; Hernandez, Juan F. R.; Solano, E.; Albarran-Arriagada, F.; Barrios, G. Alvarado</t>
  </si>
  <si>
    <t>Digital-analog quantum computing of fermion-boson models in superconducting circuits</t>
  </si>
  <si>
    <t>NPJ QUANTUM INFORMATION</t>
  </si>
  <si>
    <t>High-fidelity quantum simulations demand hardware-software co-design architectures, which are crucial for adapting to complex problems such as strongly correlated dynamics in condensed matter. By leveraging co-design strategies, we can enhance the performance of state-of-the-art quantum devices in the noisy intermediate quantum (NISQ) and early error-correction regimes. In this direction, we propose a digital-analog quantum algorithm for simulating the Hubbard-Holstein model, describing strongly correlated fermion-boson interactions, in a suitable architecture with superconducting circuits. It comprises a linear chain of qubits connected by resonators, emulating electron-electron (e-e) and electron-phonon (e-p) interactions, as well as fermion tunneling. Our approach is adequate for digital-analog quantum computing (DAQC) of fermion-boson models, including those described by the Hubbard-Holstein model. We show the reduction in the circuit depth of the DAQC algorithm, a sequence of digital steps and analog blocks, outperforming the purely digital approach. We exemplify the quantum simulation of a half-filled two-site Hubbard-Holstein model. In this example, we obtain time-dependent state fidelities larger than 0.98, showing that our proposal is suitable for studying the dynamical behavior of solid-state systems. Our proposal opens the door to computing complex systems for chemistry, materials, and high-energy physics.</t>
  </si>
  <si>
    <t>Hegade, Narendra/AAR-6940-2021; Alvarado, Gabriel/GLS-6513-2022; Kumar, Shubham/HKO-2143-2023</t>
  </si>
  <si>
    <t>Visuri, Anne-Maria/0000-0002-4167-7769</t>
  </si>
  <si>
    <t>2056-6387</t>
  </si>
  <si>
    <t>MAR 11</t>
  </si>
  <si>
    <t>10.1038/s41534-025-01001-4</t>
  </si>
  <si>
    <t>WOS:001441861800001</t>
  </si>
  <si>
    <t>El Haouti, K; El Aiss, H; Barra, A</t>
  </si>
  <si>
    <t>El Haouti, Kawtar; El Aiss, Hicham; Barra, Adil</t>
  </si>
  <si>
    <t>Input output stability analysis of delayed descriptor systems according to free weighting matrices</t>
  </si>
  <si>
    <t>INTERNATIONAL JOURNAL OF DYNAMICS AND CONTROL</t>
  </si>
  <si>
    <t>This study's main goal is to examine the stability of descriptor systems with time-varying delays. One approached this investigation utilizing an input-output methodology centered around a three-term approximation model. Within this context, a novel delay-dependent condition was developed, integrating the concept of free-weighting matrices. It's worth noting that while incorporating weighting matrices could be similar to introduce flexibility into the condition, the obtained results reveal that this is not always the case. In fact, the inclusion of weighting matrices can sometimes introduce additional complexity rather than granting more freedom to the system. As a result, the paper will present two distinct developed conditions: where the first is incorporating weighting matrices, while the second is not. Both of these established conditions are formulated as linear matrix inequalities, which are applied to facilitate analysis and computation. In the concluding sections of this paper, we will provide numerical examples to illustrate the practicality, effectiveness, and validity of both of these developed conditions, offering insights into their real-world applicability.</t>
  </si>
  <si>
    <t>El Aiss, Hicham/AAD-6510-2022</t>
  </si>
  <si>
    <t>El Haouti, Kawtar/0000-0002-4309-0718</t>
  </si>
  <si>
    <t>2195-268X</t>
  </si>
  <si>
    <t>2195-2698</t>
  </si>
  <si>
    <t>10.1007/s40435-024-01581-7</t>
  </si>
  <si>
    <t>WOS:001398290100008</t>
  </si>
  <si>
    <t>Vasconcellos, C; Job, S; Melo, F</t>
  </si>
  <si>
    <t>Vasconcellos, Carlos; Job, Stephane; Melo, Francisco</t>
  </si>
  <si>
    <t>One-dimensional stepped chain of beads as a broadband acoustic diode</t>
  </si>
  <si>
    <t>NONLINEAR DYNAMICS</t>
  </si>
  <si>
    <t>Asymmetric transmission of waves has received considerable attention in the last few decades, inspired by numerous applications in the domains of optics and wave communications. A possible way to achieve such asymmetry in wave propagation is through the violation of reciprocity. We explore asymmetric propagation in an acoustic diode made of two segments of equal sphere sizes but different elastic properties, in which both chains obey Hertzian's contact law. In the forward configuration, the first chain acts as the nonlinear medium, ensuring the suitable generation of a self-demodulated signal, while the second chain, made of soft spheres, provides the low-pass filter. It is shown that both large nonlinearity and low dispersion cause the smallest distortion of the wave envelope, therefore optimizing the transmission of information through the system.</t>
  </si>
  <si>
    <t>Melo, Francisco/M-3923-2014; Job, Stephane/D-9735-2011</t>
  </si>
  <si>
    <t>Vasconcellos, Carlos/0000-0001-8786-4095; Melo, Francisco Esteban/0000-0001-6818-5476; Job, Stephane/0000-0003-2853-1893</t>
  </si>
  <si>
    <t>0924-090X</t>
  </si>
  <si>
    <t>1573-269X</t>
  </si>
  <si>
    <t>10.1007/s11071-024-10207-8</t>
  </si>
  <si>
    <t>SEP 2024</t>
  </si>
  <si>
    <t>WOS:001321444000001</t>
  </si>
  <si>
    <t>Monarde, STG</t>
  </si>
  <si>
    <t>Monarde, Simon Timichelle Gonzalez</t>
  </si>
  <si>
    <t>The diaspora of the Chilean revolutionary left in the exile letters of Luis Vitale between 1974 and 1980</t>
  </si>
  <si>
    <t>This research analyzes the correspondence of the Chilean-Argentine historian Luis Vitale during his exile in Germany and Venezuela between 1974 and 1980. Here we identify a network of exchange composed of intellectuals, militants and political leaders of the Chilean left who were articulated in the context of the reconfiguration of political parties and alliances during the dictatorship. We paid attention to the reconstruction of the political organizations of Chilean socialism, in relation to the strategies of the revolutionary left to create an organization that would allow the unification of its different political tendencies. As a result, we reconstructed the political fabric in which the idea of forming a platform for discussion and convergence of the revolutionary left emerged, through the Center for Social Studies on the Latin American Reality created in Caracas during 1978.</t>
  </si>
  <si>
    <t>WOS:001342497100002</t>
  </si>
  <si>
    <t>Acuña-Fontecilla, A; Bruna, J; Ganga, MA; Godoy, L</t>
  </si>
  <si>
    <t>Acuna-Fontecilla, Andrea; Bruna, Julio; Ganga, Maria Angelica; Godoy, Liliana</t>
  </si>
  <si>
    <t>Antimicrobial Activity of Leaf Aqueous Extract of Schinus polygamus (Cav.) Cabrera against Pathogenic Bacteria and Spoilage Yeasts</t>
  </si>
  <si>
    <t>PLANTS-BASEL</t>
  </si>
  <si>
    <t>The antimicrobial activity of an aqueous extract of the leaves of Schinus polygamus (cav.) Cabrera against microorganisms of food importance was evaluated. First, the leaf aqueous extract of Schinus polygamus was characterized, quantifying hydroxycinnamic acids and phenolic compounds. Then, a battery of strains was tested, including Escherichia coli ATCC 25922, Salmonella Typhimurium ATCC 14028, and Listeria monocytogenes ATCC 13932. Also, we tested wine spoilage yeasts such as Brettanomyces bruxellensis LAMAP2480, B. bruxellensis LAMAP1359, B. bruxellensis CECT1451, and Pichia guilliermondii NPCC1051. Tests were conducted using the kinetic curve of growth and cell viability counts. The results indicate that with 10% v/v of concentrated extract, it is possible to observe growth inhibition of all microorganisms studied, with statistically significant differences during the whole measurement time (70 h for bacteria and 145 h for yeast).</t>
  </si>
  <si>
    <t>bruna, julio/AAM-6867-2021; Ganga, Maria/S-8176-2019; Olivares, Liliana/AAB-6276-2020</t>
  </si>
  <si>
    <t>Bruna, Julio E./0000-0001-9656-6022; Godoy Olivares, Liliana/0000-0001-5110-5978</t>
  </si>
  <si>
    <t>2223-7747</t>
  </si>
  <si>
    <t>10.3390/plants13162248</t>
  </si>
  <si>
    <t>WOS:001307399900001</t>
  </si>
  <si>
    <t>Montenegro-Pohlhammer, N; Palomino, CM; Calzado, CJ</t>
  </si>
  <si>
    <t>Montenegro-Pohlhammer, Nicolas; Palomino, Carlos M.; Calzado, Carmen J.</t>
  </si>
  <si>
    <t>Exploring the potential as molecular quantum-dot cellular automata of a mixed-valence Ru2 complex deposited on a Au(111) surface (vol 10, pg 2484, 2023)</t>
  </si>
  <si>
    <t>INORGANIC CHEMISTRY FRONTIERS</t>
  </si>
  <si>
    <t>Correction for 'Exploring the potential as molecular quantum-dot cellular automata of a mixed-valence Ru2 complex deposited on a Au(111) surface' by Nicolas Montenegro-Pohlhammer et al., Inorg. Chem. Front., 2023, 10, 2484-2492, https://doi.org/10.1039/D2QI02647C.</t>
  </si>
  <si>
    <t>Palomino, Carlos/LVQ-9260-2024; Montenegro-Pohlhammer, Nicolas/HJZ-2914-2023; Calzado, Carmen/D-1159-2011</t>
  </si>
  <si>
    <t>2052-1553</t>
  </si>
  <si>
    <t>JUN 25</t>
  </si>
  <si>
    <t>10.1039/d4qi90040e</t>
  </si>
  <si>
    <t>JUN 2024</t>
  </si>
  <si>
    <t>WOS:001239556300001</t>
  </si>
  <si>
    <t>Parra, M; Aldabaldetrecu, M; Arce, P; Soto-Aguilera, S; Vargas, R; Guerrero, J; Tello, M; Modak, B</t>
  </si>
  <si>
    <t>Parra, Mick; Aldabaldetrecu, Maialen; Arce, Pablo; Soto-Aguilera, Sarita; Vargas, Rodrigo; Guerrero, Juan; Tello, Mario; Modak, Brenda</t>
  </si>
  <si>
    <t>[Cu(NN1)2]ClO4, a Copper (I) Complex as an Antimicrobial Agent for the Treatment of Piscirickettsiosis in Atlantic Salmon</t>
  </si>
  <si>
    <t>Piscirickettsia salmonis is the pathogen that most affects the salmon industry in Chile. Large quantities of antibiotics have been used to control it. In search of alternatives, we have developed [Cu(NN1)(2)]ClO4 where NN1 = 6-((quinolin-2-ylmethylene)amino)-2H-chromen-2-one. The antibacterial capacity of [Cu(NN1)(2)]ClO4 was determined. Subsequently, the effect of the administration of [Cu(NN1)(2)]ClO4 on the growth of S. salar, modulation of the immune system and the intestinal microbiota was studied. Finally, the ability to protect against a challenge with P. salmonis was evaluated. The results obtained showed that the compound has an MIC between 15 and 33.9 mu g/mL in four isolates. On the other hand, the compound did not affect the growth of the fish; however, an increase in the transcript levels of IFN-gamma, IL-12, IL-1 beta, CD4, lysozyme and perforin was observed in fish treated with 40 mu g/g of fish. Furthermore, modulation of the intestinal microbiota was observed, increasing the genera of beneficial bacteria such as Lactobacillus and Bacillus as well as potential pathogens such as Vibrio and Piscirickettsia. Finally, the treatment increased survival in fish challenged with P. salmonis by more than 60%. These results demonstrate that the compound is capable of protecting fish against P. salmonis, probably by modulating the immune system and the composition of the intestinal microbiota.</t>
  </si>
  <si>
    <t>Tello, Mario/0000-0003-4573-6460</t>
  </si>
  <si>
    <t>10.3390/ijms25073700</t>
  </si>
  <si>
    <t>WOS:001201576600001</t>
  </si>
  <si>
    <t>Zuchel, L; González, L</t>
  </si>
  <si>
    <t>Zuchel, Lorena; Gonzalez, Lorena</t>
  </si>
  <si>
    <t>Cultural Experience and Coexistence in Chile: Some Ideas from Intercultural Philosophy</t>
  </si>
  <si>
    <t>REVISTA GUILLERMO DE OCKHAM</t>
  </si>
  <si>
    <t>Intercultural philosophy has taken as its philosophical goal the coexistence between cultures and, within it, the question of whether people and communities of diverse traditions can understand each other and live together, transcending the act of sharing geographical limits in a given time. Indeed, intercultural philosophy has inquired into this coexistence in a more demanding sense than other naturalistic or political-philosophical currents, which have remained in the foundation of coexistence from human necessity or tolerance. The demand that intercultural philosophy has proposed since the nineties emphasizes what Ra &amp; uacute;l Fornet-Betancourt called quality of coexistence or conviviality. In this paper, we go deeper into these ideas, showing the implications and challenges that the understanding of interculturality has had in Chile, in one way or another.</t>
  </si>
  <si>
    <t>Zuchel, Lorena/JKJ-3942-2023</t>
  </si>
  <si>
    <t>Zuchel, Lorena/0000-0002-4793-595X</t>
  </si>
  <si>
    <t>2256-3202</t>
  </si>
  <si>
    <t>10.21500/22563202.6678</t>
  </si>
  <si>
    <t>WOS:001309429600014</t>
  </si>
  <si>
    <t>Amiri, A; Sáez, BD; Ghorbani, K</t>
  </si>
  <si>
    <t>Amiri, Amir; Saez, Bastian Diaz; Ghorbani, Karim</t>
  </si>
  <si>
    <t>(sub)GeV dark matter in the U(1)X Higgs portal model</t>
  </si>
  <si>
    <t>In this research we consider a U(1)X gauge boson acting as a dark matter candidate. The vector dark matter (DM) gets mass when a complex singlet scalar breaks the gauge symmetry spontaneously, adding a second Higgs boson to the spectra. The dark matter candidates communicate with the SM particles via a scalar-Higgs portal. In this work, we concentrate on the masses of the vector dark matter and the scalar mediator below 10 GeV, aka light dark matter. Although we assume thermal freeze-out for the vector DM using the zero-moment of the full Boltzmann equation to calculate the relic abundance, we explore the effects of the second-moment when the vector DM annihilates resonantly. As typically light DM is highly sensitive to CMB bounds, we focus on two thermal mechanisms which alleviate this bound: dark matter annihilation via forbidden channels and near a pole. Other bounds from colliders, thermalization conditions, beam-dump experiments, and astrophysical observations are imposed. Taking into account all the bounds including the direct detection upper limits, the viable space is achieved.(c) 2023 The Author(s). Published by Elsevier B.V. This is an open access article under the CC BY license (http://creativecommons .org /licenses /by /4 .0/). Funded by SCOAP3.</t>
  </si>
  <si>
    <t>Ghorbani, Karim/AAJ-8935-2021; Diaz, Bastian/IAQ-2272-2023</t>
  </si>
  <si>
    <t>Ghorbani, Karim/0000-0002-1441-0014; amiri, amir/0000-0003-2479-4207</t>
  </si>
  <si>
    <t>SEP 10</t>
  </si>
  <si>
    <t>10.1016/j.physletb.2023.138119</t>
  </si>
  <si>
    <t>AUG 2023</t>
  </si>
  <si>
    <t>WOS:001122733000001</t>
  </si>
  <si>
    <t>Herrera-Lavados, C; Tabilo-Munizaga, G; Rivera-Tobar, D; Carvajal-Mena, N; Palma-Acevedo, A; Moreno-Osorio, L; Pérez-Won, M</t>
  </si>
  <si>
    <t>Herrera-Lavados, Carolina; Tabilo-Munizaga, Gipsy; Rivera-Tobar, Daniela; Carvajal-Mena, Nailin; Palma-Acevedo, Anais; Moreno-Osorio, Luis; Perez-Won, Mario</t>
  </si>
  <si>
    <t>Development of bean-based emulgels for 3D printing applications: Feasibility for dysphagia diets</t>
  </si>
  <si>
    <t>Emulgels could be used as edible inks for individuals with special needs. The purpose of this work was to formulate a 3D printable low-oil emulgel by evaluating the effect of incorporating gelatin in a bean-based nanoemulsion stabilized by high-pressure homogenization (HPH) suitable for a dysphagia diet. The effect of physicochemical properties and printing parameters of the emulsion network were evaluated for printability, dimensional stability, and textural properties. HPH produced stable nanoemulsions using pressures &gt;200 MPa and 5% bean protein. Adding gelatin decreased NH and COO vibrations, increased hydrogen bonding, and created self-supporting emulgels when the gelatin concentration was &gt;1.5%. Printing performance, dimensional stability, and textural properties depended on the gelatin concentration and printing parameters, whose improvement enabled precise, time-stable, and swallow-safe shapes with 2.5% gelatin. In conclusion, stable emulgels can be used in 3D printing, facilitating the design of colloidal food systems with customized textures and nutritional properties for individuals with dysphagia.</t>
  </si>
  <si>
    <t>Tabilo-Munizaga, Gipsy/AAM-5457-2021</t>
  </si>
  <si>
    <t>Tabilo-Munizaga, Gipsy/0000-0003-4422-3452; Rivera, Daniela/0000-0002-6625-5220</t>
  </si>
  <si>
    <t>10.1016/j.jfoodeng.2023.111687</t>
  </si>
  <si>
    <t>WOS:001065345700001</t>
  </si>
  <si>
    <t>Aburto, I; Martínez-Gómez, F; Aliaga, C; Domínguez, M</t>
  </si>
  <si>
    <t>Aburto, Ignacio; Martinez-Gomez, Fabian; Aliaga, Carolina; Dominguez, Moises</t>
  </si>
  <si>
    <t>Ferrocene analogs of Brooker's merocyanine: a new library of organometallic inverted solvatochromic dyes</t>
  </si>
  <si>
    <t>ORGANIC CHEMISTRY FRONTIERS</t>
  </si>
  <si>
    <t>Four organometallic dyes with ferrocene as the electron donor group and pyridinium or quinolinium acceptor groups were synthesized and their spectral behavior was recorded in various solvents with different polarities. Based on the degree of annulation of the acceptor moiety or the orientation of the donor/acceptor pair, the four dyes studied showed inverted solvatochromism at different solvent polarities. A multiparametric study of the dyes' solvatochromic band showed that solvent acidity, dipolarity, and polarizability were mainly responsible for their inverted behavior, which originated from an internal charge transfer from the ferrocene fragment to the acceptor group. H-1 NMR at various temperatures and EPR spectra showed no isomeric contamination or iron oxidation in their inverted solvatochromism. Finally, the present series illustrates a method to synthesize novel ferrocene-based inverted dyes by replacing the phenolate, a well-known organic electron donor group traditionally used in solvatochromic inverted dyes, with a ferrocene moiety, which proved to be an effective electron donor group.</t>
  </si>
  <si>
    <t>Domínguez, Moisés/P-2227-2019</t>
  </si>
  <si>
    <t>Martinez, Fabian/0000-0001-5802-9816; Dominguez, Moises/0000-0002-8444-3065</t>
  </si>
  <si>
    <t>2052-4129</t>
  </si>
  <si>
    <t>JUN 27</t>
  </si>
  <si>
    <t>10.1039/d3qo00648d</t>
  </si>
  <si>
    <t>WOS:000997422700001</t>
  </si>
  <si>
    <t>Monardes, V; Sepúlveda, JM</t>
  </si>
  <si>
    <t>Monardes, Vinka; Sepulveda, Juan M.</t>
  </si>
  <si>
    <t>Multi-Criteria Analysis for Circular Economy Promotion in the Management of Tailings Dams: A Case Study</t>
  </si>
  <si>
    <t>Copper ore is a non-renewable resource with lower ore grades, which means that the extraction of more rock material is required to produce the same amount of copper, implying a greater consumption of materials, reagents, water, and energy. Since there is a greater amount of copper sulfide present in nature, concentration using the bubble flotation method will generate a greater number of tailings. This article discusses the environmental issues resulting from tailings dams and how multi-criteria decision analysis can help prioritize those sites in order to promote circular economy measures to compensate for and reduce the impacts of this type of waste generated by the copper mining industry. This work aims to contribute to this purpose by taking information from abandoned and non-active tailings, which are currently present as a result of the lack of regulations in times prior to environmental obligations and because they are metallurgical waste from old operations that had metal recovery rates that were much lower than the current rates. We propose a model based on the multi-criteria Promethee method to prioritize the tailings dams according to the commercial value of the existing materials in the deposits. A case study with an application of the model to 103 dams in the mining region of Coquimbo in northern Chile is shown.</t>
  </si>
  <si>
    <t>Monardes, Vinka/IQV-2211-2023</t>
  </si>
  <si>
    <t>Monardes, Vinka/0000-0002-4434-0301; Sepulveda, Juan M./0000-0003-3755-0981</t>
  </si>
  <si>
    <t>10.3390/min13040486</t>
  </si>
  <si>
    <t>WOS:000976453500001</t>
  </si>
  <si>
    <t>Guzmán-Soria, A; Moreno-Serna, V; Canales, DA; García-Herrera, C; Zapata, PA; Orihuela, PA</t>
  </si>
  <si>
    <t>Guzman-Soria, Aldo; Moreno-Serna, Viviana; Canales, Daniel A.; Garcia-Herrera, Claudio; Zapata, Paula A.; Orihuela, Pedro A.</t>
  </si>
  <si>
    <t>Effect of Electrospun PLGA/Collagen Scaffolds on Cell Adhesion, Viability, and Collagen Release: Potential Applications in Tissue Engineering</t>
  </si>
  <si>
    <t>POLYMERS</t>
  </si>
  <si>
    <t>The development of scaffolding obtained by electrospinning is widely used in tissue engineering due to porous and fibrous structures that can mimic the extracellular matrix. In this study, poly (lactic-co-glycolic acid) (PLGA)/collagen fibers were fabricated by electrospinning method and then evaluated in the cell adhesion and viability of human cervical carcinoma HeLa and NIH-3T3 fibroblast for potential application in tissue regeneration. Additionally, collagen release was assessed in NIH-3T3 fibroblasts. The fibrillar morphology of PLGA/collagen fibers was verified by scanning electron microscopy. The fiber diameter decreased in the fibers (PLGA/collagen) up to 0.6 mu m. FT-IR spectroscopy and thermal analysis confirmed that both the electrospinning process and the blend with PLGA give structural stability to collagen. Incorporating collagen in the PLGA matrix promotes an increase in the material's rigidity, showing an increase in the elastic modulus (38%) and tensile strength (70%) compared to pure PLGA. PLGA and PLGA/collagen fibers were found to provide a suitable environment for the adhesion and growth of HeLa and NIH-3T3 cell lines as well as stimulate collagen release. We conclude that these scaffolds could be very effective as biocompatible materials for extracellular matrix regeneration, suggesting their potential applications in tissue bioengineering.</t>
  </si>
  <si>
    <t>García-Herrera, Claudio/ABE-8991-2020; Guzman Soria, Aldo/MDT-1845-2025; Canales Arévalo, Daniel/HSG-6748-2023; Moreno Serna, Viviana/LZI-3166-2025</t>
  </si>
  <si>
    <t>Orihuela, Pedro/0000-0002-4238-0932; Moreno Serna, Viviana/0000-0001-9042-1738; Garcia-Herrera, Claudio/0000-0002-1283-8551; Canales, Daniel A./0000-0002-2691-6864; Zapata, Paula Andrea/0000-0003-3361-6226</t>
  </si>
  <si>
    <t>2073-4360</t>
  </si>
  <si>
    <t>10.3390/polym15051079</t>
  </si>
  <si>
    <t>WOS:000947480000001</t>
  </si>
  <si>
    <t>Pérez, TC; Márquez, MM</t>
  </si>
  <si>
    <t>Perez, Teresa Castro; Marquez, Mauricio Moya</t>
  </si>
  <si>
    <t>Pedagogical support in on-site and virtual professional practice</t>
  </si>
  <si>
    <t>FORO EDUCACIONAL</t>
  </si>
  <si>
    <t>We frame our research on future teachers' need for accompani-ment during their formative process. Until 2019, most profes-sional trainings were face-to-face in the Practice Centers and UCSH's workshop activities. Derived from the COVID-19 pan-demic, a new form of educational accompaniment appeared in 2020, online work with students. As references to this study, we established aspects we learned during the health crisis, such as collaborative work, adaptation, and flexibility. The UCSH For-mative Model considers the three fundamental pillars: identity, quality, and responsibility. The dimensions of Salesian accompa-niment are anthropological, educational, and theological. Final-ly, the relevant competencies proposed by CASEL are considered from the socioemotional area. Our work methodology follows participatory action research, which considers the review of background information related to the research topic, the elabo-ration, and application of questionnaires, and online interviews, to then continue analyzing comparative and qualitative data. We aim to arrive at the proposal of pedagogical accompaniment and the evaluation phase that would correspond once implemented. Our main results show that there has been an evolution of the student's perceptions about professional practice since 2019, where this instance was associated with stress, insecurity, and even failure. During the years 2020 and 2021, the students value the accompaniment and feedback positively from both the col-laborating teachers (guides) and the internship teachers (super-visors).</t>
  </si>
  <si>
    <t>0717-2710</t>
  </si>
  <si>
    <t>0718-0772</t>
  </si>
  <si>
    <t>10.29344/07180772.39.3127</t>
  </si>
  <si>
    <t>WOS:000917257300002</t>
  </si>
  <si>
    <t>Higgs, DR; Sandino, AM; Imarai, M; Vallejos-Vidal, E</t>
  </si>
  <si>
    <t>Ruiz Higgs, Daniela; Maria Sandino, Ana; Imarai, Monica; Vallejos-Vidal, Eva</t>
  </si>
  <si>
    <t>Modulation of the expression of i1/i2 axis genes in Atlantic salmon head kidney induced by IL 4/13A and antagonized by IFNγ</t>
  </si>
  <si>
    <t>Vallejos-Vidal, Eva/R-9606-2019</t>
  </si>
  <si>
    <t>Vallejos-Vidal, Eva/0000-0002-3091-2700</t>
  </si>
  <si>
    <t>P-22</t>
  </si>
  <si>
    <t>WOS:001050952100023</t>
  </si>
  <si>
    <t>Torrent, JCR; Rojas, CB; Calderón, CO</t>
  </si>
  <si>
    <t>Rodriguez Torrent, Juan Carlos; Broitman Rojas, Claudio; Ortiz Calderon, Claudia</t>
  </si>
  <si>
    <t>Pollution, Place Attachment, Risk and Circulation of knowledge in the mining region of Atacama (Chile)</t>
  </si>
  <si>
    <t>The work is about the Atacama mining region. We located our ground field in the main urban concentration points on polluting sources for studying the relationship between extractive industry and communities. We considered the perception locally held and its impact in territorial terms and the social space, within conditions of risk and vulnerability generated by task and tailings deposits, exacerbated by climate change. Based on these precedents, and based on interviews and focus groups conducted in field works, localized life is tensioned with the circulation of knowledge, gathering analytically the sources of discursive enunciation.</t>
  </si>
  <si>
    <t>WOS:000852265900017</t>
  </si>
  <si>
    <t>Letelier, MF; Siginer, DA; Stockle, JS</t>
  </si>
  <si>
    <t>Letelier, Mario F.; Siginer, Dennis A.; Stockle, Juan S.</t>
  </si>
  <si>
    <t>Stagnation Zone Near A Corner In Viscoplastic Fluid Flow</t>
  </si>
  <si>
    <t>JOURNAL OF FLUIDS ENGINEERING-TRANSACTIONS OF THE ASME</t>
  </si>
  <si>
    <t>The shape, size and location of the stagnation zone between flat non-parallel walls that make up the corner of a tube with non-circular cross section through which a phase change material of the Bingham plastic type flows is investigated. We show that the stagnant area is bounded by a convex meniscus whose size depends on the degree of plasticity and the vertex angle. The maximum and minimum energy dissipation occurs at the wall and at the bisectrix, respectively. The stagnant zone can be altogether avoided by modifying the shape of the wall in the corner area. A new design of the cross section of the tube that allows reducing or eliminating this area to optimize the mass transport is developed. Two optimal solutions, a vertex with a straight cut and a concavely curved vertex, are proposed.</t>
  </si>
  <si>
    <t>0098-2202</t>
  </si>
  <si>
    <t>1528-901X</t>
  </si>
  <si>
    <t>10.1115/1.4053165</t>
  </si>
  <si>
    <t>WOS:000799420900009</t>
  </si>
  <si>
    <t>Miranda, AS; González, NAS; Videla, M; Muñoz, SCM; Lacoste, P</t>
  </si>
  <si>
    <t>Salas Miranda, Alejandro; Soto Gonzalez, Natalia Andrea; Videla, Marisol; Montoya Munoz, Sandra Cristina; Lacoste, Pablo</t>
  </si>
  <si>
    <t>Mills in Charcas, Cordoba and Buenos Aires (1550-1600)</t>
  </si>
  <si>
    <t>This paper examines the expansion of flour mills in the Audiencia de Charcas during the second half of the 16th century. The largest hydro-milling center in the Americas emerged in Alto Peru (present-day Bolivia), around Chuquisaca and Cochabamba, where about a hundred mills operated. The technology spread southward, particularly to Cordoba. The mills had a social impact, consolidating a stately society with strongly defined hierarchies. Politically, their significance was in the status that the technology brought to cities, which then became the seat of audencias and universities.</t>
  </si>
  <si>
    <t>e5128</t>
  </si>
  <si>
    <t>10.22199/issn.0718-1043-2022-0016</t>
  </si>
  <si>
    <t>WOS:000889614200001</t>
  </si>
  <si>
    <t>León, PG; Guzmán, PM</t>
  </si>
  <si>
    <t>Gonzalez Leon, Paula; Morales Guzman, Paulina</t>
  </si>
  <si>
    <t>From the opening to the other: the paradox of the relationship with the other in Blanchot and Merleau-Ponty</t>
  </si>
  <si>
    <t>HYBRIS-REVISTA DE FILOSOFIA</t>
  </si>
  <si>
    <t>In this article we propose to carry out an examination of the notions of 'other' based on the philosophical proposals of Maurice Merleau-Ponty and Maurice Blanchot. It seeks to show the common point between both thoughts, from a proposal in which the other is understood as a dislocation, which manifests itself in the way of an opening. For this reason, the notion of opening becomes the central element of this analysis, from which the other manifests itself in an ambiguous way. To this end, the proposals of both authors will be analyzed separately, however, highlighting and relating to each other their respective conceptions of opening and the implications they have regarding the question of the other.</t>
  </si>
  <si>
    <t>MEZA, PAULINA/Q-6253-2016</t>
  </si>
  <si>
    <t>0718-8382</t>
  </si>
  <si>
    <t>10.5281/zenodo.5873449</t>
  </si>
  <si>
    <t>WOS:000746296900001</t>
  </si>
  <si>
    <t>Leiva, F; Bravo, S; Garcia, KK; Moya, J; Guzman, O; Bascuñan, N; Vidal, R</t>
  </si>
  <si>
    <t>Leiva, Francisco; Bravo, Scarlet; Garcia, Killen Ko; Moya, Javier; Guzman, Osiel; Bascunan, Nicolas; Vidal, Rodrigo</t>
  </si>
  <si>
    <t>Temporal genome-wide DNA methylation signature of post-smolt Pacific salmon challenged with Piscirickettsia salmonis</t>
  </si>
  <si>
    <t>EPIGENETICS</t>
  </si>
  <si>
    <t>Piscirickettsiosis is the most important bacterial disease in the Chilean salmon industry, which has sorted several efforts to its control, generating enormous economic losses. Epigenetic alterations, such as DNA methylation, can play a relevant role in the modulation of the metazoans response to pathogens. Bacterial disease may activate global and local immune responses generating intricate responses with significant biological impact in the host. However, it is scarcely understood how bacterial infections influence fish epigenetic alterations. In the present study, we utilized Pacific salmon and Piscirickettsiosis as model, to gain understanding into the dynamics of DNA methylation among fish-bacterial infection interactions. A genome-wide analysis of DNA methylation patterns in female spleen tissue of Pacific salmon was achieved by reduced representation bisulphite sequencing from a time course design. We determined 2,251, 1,918, and 2,516 differentially methylated regions DMRs among infected and control Pacific salmon in 1 dpi, 5 dpi, and 15 dpi, respectively. The mean methylation difference per DMR among control and infected groups was of similar to 35%, with an oscillatory pattern of hypo, hyper, and hypomethylation across the disease. DMCs, among the control and infected group, showed that they were statistically enriched in intergenic regions and depleted in exons. Functional annotation of the DMR genes demonstrated three KEGG principal categories, associated directly with the host response to pathogens infections. Our results provide the first evidence of epigenetic variation in fish provoked by bacterial infection and demonstrate that this variation can be modulated across the disease.</t>
  </si>
  <si>
    <t>1559-2294</t>
  </si>
  <si>
    <t>1559-2308</t>
  </si>
  <si>
    <t>DEC 2</t>
  </si>
  <si>
    <t>10.1080/15592294.2020.1864166</t>
  </si>
  <si>
    <t>JAN 2021</t>
  </si>
  <si>
    <t>WOS:000603828600001</t>
  </si>
  <si>
    <t>Mesa, ST; Flórez-Méndez, J; López, J; Bustos, R</t>
  </si>
  <si>
    <t>Troncoso Mesa, Sebastian; Florez-Mendez, Jennyfer; Lopez, Jessica; Bustos, Ruben</t>
  </si>
  <si>
    <t>Optimization of conventional solid-liquid extraction and microwave-assisted extraction of polyphenols and antioxidant compounds of blueberry (Vaccinium corymbosum) pomace through response surface methodology</t>
  </si>
  <si>
    <t>JOURNAL OF BERRY RESEARCH</t>
  </si>
  <si>
    <t>BACKGROUND: Blueberries contain large amounts of phenolic compounds as well as a higher concentration of anthocyanins than other berries. The peel of these fruits contains most of the anthocyanins and therefore pomace is left with the largest quantity of valuable phenolic compounds. Extraction is the most critical step to obtain such compounds. OBJECTIVE: This study aims to optimize the extraction of polyphenols and antioxidant compounds from blueberry pomace by solid-liquid extraction (SLE) and microwave-assisted extraction (MAE). METHODS: A Pareto chart was used to confirm the factor with the highest impact, response surface for analyzing the effect of extraction conditions on total phenol content (TPC) (through Folin-Ciocalteu), total anthocyanin content (TAC) (through differential pH), antioxidant capacity (AC) (through DPPH assay) and the Box-Behnken matrix to determine the optimal conditions for marc extraction with each method. RESULTS: Ethanol concentration is an impact factor for both methods, as well as irradiation method, radiation power for MAE and temperature for SLE. Regarding SLE and MAE extraction, under optimal conditions, a TCP content of 335.95 and 426.19 (mg GAE/100 g), TAC 272.69 and 389.64 (mg Cyn-3-glu/100 g), and CA 528.96 and 654.11 (mg TE/100 g) was obtained, respectively. CONCLUSIONS: The performance of phenolic compound extraction via MAE method is better than that of SLE.</t>
  </si>
  <si>
    <t>Lopez, Jessica/IQT-7114-2023; Bustos, Ruben/AAM-2029-2020</t>
  </si>
  <si>
    <t>Florez Mendez, Jennyfer/0000-0003-1515-6262; Lopez, Jessica/0000-0001-5064-4486; Bustos, Ruben/0000-0003-0183-0324</t>
  </si>
  <si>
    <t>1878-5093</t>
  </si>
  <si>
    <t>1878-5123</t>
  </si>
  <si>
    <t>10.3233/JBR-210007</t>
  </si>
  <si>
    <t>WOS:000731754100008</t>
  </si>
  <si>
    <t>Abejón, R; Laso, J; Rodrigo, M; Ruiz-Salmón, I; Mañana, M; Margallo, M; Aldaco, R</t>
  </si>
  <si>
    <t>Abejon, Ricardo; Laso, Jara; Rodrigo, Marta; Ruiz-Salmon, Israel; Manana, Mario; Margallo, Maria; Aldaco, Ruben</t>
  </si>
  <si>
    <t>Toward Energy Savings in Campus Buildings under a Life Cycle Thinking Approach</t>
  </si>
  <si>
    <t>Featured Application Energy impacts and material resources used in the operation phase of a building should be considered to obtain more precise energy certifications than the current practical and regulatory schemes. Recent studies have identified that buildings all over the world are great contributors to energy consumption and greenhouse gas emissions. The relationship between the building industry and environmental pollution is continuously discussed. The building industry includes many phases: extraction of raw materials, manufacturing, construction, use, and demolition. Each phase consumes a large amount of energy, and subsequent emissions are released. The life cycle energy assessment (LCEA) is a simplified version of the life cycle assessment (LCA) that focuses only on the evaluation of energy inputs for different phases of the life cycle. Operational energy is the energy required for day-to-day operation processes of buildings, such as heating, cooling and ventilation systems, lighting, as well as appliances. This use phase accounts for the largest portion of energy consumption of the life cycle of conventional buildings. In addition, energy performance certification of buildings is an obligation under current European legislation, which promotes efficient energy use, so it is necessary to ensure that the energy performance of the building is upgraded to meet minimum requirements. For this purpose, this work proposes the consideration of the energy impacts and material resources used in the operation phase of a building to calculate the contribution of these energy impacts as new variables for the energy performance certification. The application of this new approach to the evaluation of university buildings has been selected as a case study. From a methodological point of view, the approach relied on the energy consumption records obtained from energy and materials audit exercises with the aid of LCA databases. Taking into practice the proposed methodology, the primary energy impact and the related emissions were assessed to simplify the decision-making process for the energy certification of buildings. From the results obtained, it was concluded that the consumption of water and other consumable items (paper) are important from energy and environmental perspectives.</t>
  </si>
  <si>
    <t>Rodrigo, Marta/KII-9900-2024; Ruiz, Israel/LQK-6570-2024; Abejon, Ricardo/I-7171-2019; Aldaco, Rubén/F-2314-2016; Laso Cortabitarte, Jara/C-8108-2019; Manana, Mario/D-5905-2017</t>
  </si>
  <si>
    <t>Laso Cortabitarte, Jara/0000-0003-4442-6786; Ruiz Salmon, Israel/0000-0001-7058-605X; Manana, Mario/0000-0001-6886-8170; ABEJON, Ricardo/0000-0002-8030-7752</t>
  </si>
  <si>
    <t>10.3390/app10207123</t>
  </si>
  <si>
    <t>WOS:000584788300001</t>
  </si>
  <si>
    <t>G-Poblete, C; Peña-Moreno, IC; de Morais, MA; Moreira, S; Ganga, MA</t>
  </si>
  <si>
    <t>G-Poblete, Camila; Pena-Moreno, Irina Charlot; de Morais Jr, Marcos Antonio; Moreira, Sandra; Angelica Ganga, Maria</t>
  </si>
  <si>
    <t>Biodiversity among Brettanomyces bruxellensis Strains Isolated from Different Wine Regions of Chile: Key Factors Revealed about Its Tolerance to Sulphite</t>
  </si>
  <si>
    <t>MICROORGANISMS</t>
  </si>
  <si>
    <t>Brettanomyces bruxellensis is regarded as the main spoilage microorganism in the wine industry, owing to its production of off-flavours. It is difficult to eradicate owing to its high tolerance of adverse environmental conditions, such as low nutrient availability, low pH, and high levels of ethanol and SO2. In this study, the production of volatile phenols and the growth kinetics of isolates from various regions of Chile were evaluated under stressful conditions. Through randomly amplified polymorphic DNA (RAPD) analysis, 15 strains were identified. These were grown in the presence of p-coumaric acid, a natural antimicrobial and the main precursor of off-flavours, and molecular sulfur dioxide (mSO(2)), an antimicrobial synthetic used in the wine industry. When both compounds were used simultaneously, there were clear signs of an improvement in the fitness of most of the isolates, which showed an antagonistic interaction in which p-coumaric acid mitigates the effects of SO2. Fourteen strains were able to produce 4-vinylphenol, which showed signs of phenylacrylic acid decarboxylase activity, and most of them produced 4-ethylphenol as a result of active vinylphenol reductase. These results demonstrate for the first time the serious implications of using p-coumaric acid, not only for the production of off-flavours, but also for its protective action against the toxic effects of SO2.</t>
  </si>
  <si>
    <t>Ganga, Maria/S-8176-2019; de Morais Jr, Marcos Antonio/CAF-4868-2022; González, Camila/JDC-3277-2023</t>
  </si>
  <si>
    <t>de Morais Jr, Marcos Antonio/0000-0002-9727-0300</t>
  </si>
  <si>
    <t>2076-2607</t>
  </si>
  <si>
    <t>10.3390/microorganisms8040557</t>
  </si>
  <si>
    <t>WOS:000533510400040</t>
  </si>
  <si>
    <t>Richards, H</t>
  </si>
  <si>
    <t>Richards, Howard</t>
  </si>
  <si>
    <t>Moral economy and emancipation</t>
  </si>
  <si>
    <t>JOURNAL OF CRITICAL REALISM</t>
  </si>
  <si>
    <t>Andrew Sayer and Dave Elder-Vass are both advocates of 'moral economy'. To this end, Elder-Vass offers a theory of appropriative practices that enables us to evaluate the enormous variety of forms of provisioning - market and non-market - that are actually found in the world. Andrew Sayer, in the view of the present author, has devoted himself to correcting a great historical error. The error has been trying to do radical political economy without explicitly proposing normatively superior alternatives that are based on objective ethics committed to meeting needs and diminishing suffering. There follow five suggestions regarding how to integrate moral economy with the views on emancipation expressed in early Bhaskar. Perhaps the most important of these suggestions is that to achieve emancipation, rather than over-emphasising relations of production, we should instead identify - in order to, if necessary, transform - the deep moral and legal structures that frame markets.</t>
  </si>
  <si>
    <t>1476-7430</t>
  </si>
  <si>
    <t>1572-5138</t>
  </si>
  <si>
    <t>MAR 14</t>
  </si>
  <si>
    <t>10.1080/14767430.2020.1734745</t>
  </si>
  <si>
    <t>WOS:000520352800001</t>
  </si>
  <si>
    <t>Játiva, PP; Seguel, F; Adasme, P</t>
  </si>
  <si>
    <t>Velazquez, R</t>
  </si>
  <si>
    <t>Jativa, Pablo Palacios; Seguel, Fabian; Adasme, Pablo</t>
  </si>
  <si>
    <t>Evaluation of Intelligent Reflecting Surfaces for Diffuse Visible Light Communications Link</t>
  </si>
  <si>
    <t>2020 IEEE LATIN-AMERICAN CONFERENCE ON COMMUNICATIONS (LATINCOM 2020)</t>
  </si>
  <si>
    <t>IEEE Latin American Conference on Communications</t>
  </si>
  <si>
    <t>IEEE Latin-American Conference on Communications (LATINCOM)</t>
  </si>
  <si>
    <t>NOV 18-20, 2020</t>
  </si>
  <si>
    <t>In this article we evaluate the impact of using intelligent reflecting surfaces in a diffuse visible light communications link. We propose a propagation model in order to consider different types of reflective surfaces, namely, diffuse, specular and glossy. Computational simulations where carried out in order to determine the impact of using IRS for diffuse VLC link. It was demonstrated that the usage of IRS enhance the channel impulse response of the VLC link.</t>
  </si>
  <si>
    <t>Adasme, Pablo/U-1735-2019; Seguel, Fabian/ABC-4765-2020; Palacios Játiva, Pablo/AAE-8235-2019</t>
  </si>
  <si>
    <t>2330-989X</t>
  </si>
  <si>
    <t>978-1-7281-8903-1</t>
  </si>
  <si>
    <t>WOS:000926136200018</t>
  </si>
  <si>
    <t>Mera-Adasme, R; Domínguez, M; Denis-Alpizar, O</t>
  </si>
  <si>
    <t>Mera-Adasme, Raul; Dominguez, Moises; Denis-Alpizar, Otoniel</t>
  </si>
  <si>
    <t>A benchmark for the size of the QM system required for accurate hybrid QM/MM calculations on the metal site of the protein copper, zinc superoxide dismutase</t>
  </si>
  <si>
    <t>JOURNAL OF MOLECULAR MODELING</t>
  </si>
  <si>
    <t>The protein superoxide dismutase 1 (SOD1) is a copper and zinc-binding protein that has been implicated in the pathogenesis of amyotrophic lateral sclerosis (ALS). The Zn(II) binding to SOD1 is critical for the stability of the protein, and has been by itself implicated in ALS pathogenesis. Hence, the quantum mechanical (QM) study of the Zn(II)-site of SOD1 is relevant for understanding ALS. The hybrid QM-molecular mechanics (QM/MM) approach commonly employed for the QM study of proteins is highly dependent on the size of the sub-system treated quantum-mechanically. The size of the QM system also determines the computational feasibility of a given method. In the present work, we compare optimized geometries for the metal site and Zn(II) dissociation energies obtained with a QM/MM methodology employing different sizes for the QM sub-system. We find that geometries converge rapidly to RMSDs of around 0.3 angstrom, and fails to converge further, while a QM system of 480 atoms was required for converging the Zn(II) interaction energy of SOD1 to within 5kcal*mol(-1), and a 611-atoms QM system for a 1kcal*mol(-1) convergence with respect to our reference, 1280 QM-atoms system.</t>
  </si>
  <si>
    <t>Domínguez, Moisés/P-2227-2019; Mendizabal, Fernando/M-3408-2014; Denis Alpizar, Otoniel/L-3558-2014</t>
  </si>
  <si>
    <t>Dominguez, Moises/0000-0002-8444-3065; Denis Alpizar, Otoniel/0000-0002-0686-6927</t>
  </si>
  <si>
    <t>1610-2940</t>
  </si>
  <si>
    <t>0948-5023</t>
  </si>
  <si>
    <t>10.1007/s00894-019-4066-8</t>
  </si>
  <si>
    <t>WOS:000469889200002</t>
  </si>
  <si>
    <t>Castillo, E; Cruchaga, MA; Baiges, J; Flores, J</t>
  </si>
  <si>
    <t>Castillo, Ernesto; Cruchaga, Marcela A.; Baiges, Joan; Flores, Jose</t>
  </si>
  <si>
    <t>An oil sloshing study: adaptive fixed-mesh ALE analysis and comparison with experiments</t>
  </si>
  <si>
    <t>COMPUTATIONAL MECHANICS</t>
  </si>
  <si>
    <t>We report in this work a numerical analysis of the sloshing of a squared tank partially filled with a domestic vegetable oil. The tank is subject to controlled motions with a shake table. The free-surface evolution is captured using ultrasonic sensors and an image capturing method. Only confirmed data within the error range is reported. Filling depth, imposed amplitude and frequency effects on the sloshing wave pattern are specifically evaluated. The experiments also reveal the nonlinear wave behavior. The numerical model is based on a stabilized finite element method of the variational multi-scale type. The free-surface is captured using a level set technique developed to be used with adaptive meshes in Arbitrary Lagrangian-Eulerian framework. The numerical results are compared with the experiments for different sloshing conditions near the first sloshing mode. The simulations satisfactorily match the experiments, providing a reliable tool for the analysis of this kind of problems.</t>
  </si>
  <si>
    <t>Cruchaga, Marcela/M-7522-2014; Castillo, Ernesto/D-1612-2015; Baiges, Joan/D-3433-2014</t>
  </si>
  <si>
    <t>Cruchaga, Marcela/0000-0002-8708-2402; Castillo, Ernesto/0000-0001-7013-6008; Baiges, Joan/0000-0002-3940-5887</t>
  </si>
  <si>
    <t>0178-7675</t>
  </si>
  <si>
    <t>1432-0924</t>
  </si>
  <si>
    <t>10.1007/s00466-018-1633-2</t>
  </si>
  <si>
    <t>WOS:000463666600011</t>
  </si>
  <si>
    <t>Diaz, M; Ibacetal, E; Duran, A; Melendez, C; Urrutia, M; Rojas, F</t>
  </si>
  <si>
    <t>Diaz, Matias; Ibacetal, Efrain; Duran, Alberto; Melendez, Carlos; Urrutia, Matias; Rojas, Felix</t>
  </si>
  <si>
    <t>Field Oriented Control of a Modular Multilevel Matrix Converter based Variable Speed Drive</t>
  </si>
  <si>
    <t>2019 21ST EUROPEAN CONFERENCE ON POWER ELECTRONICS AND APPLICATIONS (EPE '19 ECCE EUROPE)</t>
  </si>
  <si>
    <t>European Conference on Power Electronics and Applications</t>
  </si>
  <si>
    <t>21st European Conference on Power Electronics and Applications (EPE ECCE Europe)</t>
  </si>
  <si>
    <t>SEP 03-05, 2019</t>
  </si>
  <si>
    <t>Genova, ITALY</t>
  </si>
  <si>
    <t>The Modular Multilevel Matrix Converter (M3C) has been proposed as an appropriate alternative to driving high-power machines due to characteristics such as modularity, medium-voltage operation, high power quality, reliability. Nevertheless, the control of M3C is complicated, especially in variable-speed applications, because large voltage oscillations can be produced in the floating capacitors. Therefore, this paper presents a vector control system that allows decoupled regulation of the floating capacitors of the M3C, whereas Field Oriented Control (FOC) is applied to regulate an induction machine. The effectiveness of the proposed control system is validated through M3C simulation model composed of 63 power cells M3C driving a 1250 HP induction machine.</t>
  </si>
  <si>
    <t>Rojas, Felix/U-3305-2019; Diaz, Matias/R-7570-2018</t>
  </si>
  <si>
    <t>Rojas, Felix/0000-0001-6145-2826; Diaz, Matias/0000-0003-4489-9532</t>
  </si>
  <si>
    <t>2325-0313</t>
  </si>
  <si>
    <t>978-9-0758-1531-3</t>
  </si>
  <si>
    <t>WOS:000515073401104</t>
  </si>
  <si>
    <t>Gómez, CAT; Morales, MPS</t>
  </si>
  <si>
    <t>Tejeda Gomez, Cristian Andres; Sobarzo Morales, Mario Patricio</t>
  </si>
  <si>
    <t>Satis amplam libertatem: an interpretation of Spinoza's Political Treatise</t>
  </si>
  <si>
    <t>ANALES DEL SEMINARIO DE HISTORIA DE LA FILOSOFIA</t>
  </si>
  <si>
    <t>Within Spinoza's mature work Ethics and Theologico-political treatise (TTP) have been thoroughly analyzed. However, Political treatise (TP) has been considered a minor piece for being an unfinished work which contains some structural problems. Despite these flaws, we claim that TP contains Spinoza's most accomplished political theory since all the consequences of being guided by a strictly immanent notion of politics are drawn in this piece of work. In this sense, TP follows the program outlined by Spinoza's fundamental doctrine found in Ethics more consistently than TTP does. This leads to the consideration of politics as tendency in two opposite directions: power expansion and power concentration.</t>
  </si>
  <si>
    <t>Tejeda, Cristian/O-5517-2018</t>
  </si>
  <si>
    <t>0211-2337</t>
  </si>
  <si>
    <t>1988-2564</t>
  </si>
  <si>
    <t>10.5209/ASHF.58610</t>
  </si>
  <si>
    <t>WOS:000474451700003</t>
  </si>
  <si>
    <t>Acuña-Alegri, L; Salinas-Lintz, C; Sepulveda-Villarroel, V; Vasco-Calle, D; Ananías, RA</t>
  </si>
  <si>
    <t>Acuna-Alegri, Luis; Salinas-Lintz, Carlos; Sepulveda-Villarroel, Victor; Vasco-Calle, Diego; Ananias, Ruben A.</t>
  </si>
  <si>
    <t>Inverse determination of thermal conductivity in wood of Pinus rathata</t>
  </si>
  <si>
    <t>MADERAS-CIENCIA Y TECNOLOGIA</t>
  </si>
  <si>
    <t>Laboratory scale experiments are performed in order to characterize the artificial wood drying of Pinus radiata at conventional temperatures and accelerated temperatures. The experimental data allow determining the wood thermal conductivity through inverse methodology. The comparative analysis shows that the implementation of the developed inverse methodology is consistent with information available in the specialized literature; which means increased thermal conductivities with increased humidity and temperature, whose values oscillate between 0,34 and 0,56 (W/m K) to moisture variations between 22% and 64%; and temperatures between 70 degrees C and 90 degrees C, respectively.</t>
  </si>
  <si>
    <t>Ananias, Ruben/B-9518-2009</t>
  </si>
  <si>
    <t>Vasco, Diego Andres/0000-0001-7456-4683</t>
  </si>
  <si>
    <t>0717-3644</t>
  </si>
  <si>
    <t>0718-221X</t>
  </si>
  <si>
    <t>10.4067/S0718-221X2018005004701</t>
  </si>
  <si>
    <t>WOS:000450125000008</t>
  </si>
  <si>
    <t>Fernández-García, MP; Vallejo-Seco, G; Livácic-Rojas, P; Tuero-Herrero, E</t>
  </si>
  <si>
    <t>Fernandez-Garcia, Maria P.; Vallejo-Seco, Guillermo; Livacic-Rojas, Pablo; Tuero-Herrero, Ellian</t>
  </si>
  <si>
    <t>The (Ir)Responsibility of (Under)Estimating Missing Data</t>
  </si>
  <si>
    <t>FRONTIERS IN PSYCHOLOGY</t>
  </si>
  <si>
    <t>It is practically impossible to avoid losing data in the course of an investigation, and it has been proven that the consequences can reach such magnitude that they could even invalidate the results of the study. This paper describes some of the most likely causes of missing data in research in the field of clinical psychology and the consequences they may have on statistical and substantive inferences. When it is necessary to recover the missing information, analyzing the data can become extremely complex. We summarize the experts' recommendations regarding the most powerful procedures for performing this task, the advantages each one has over the others, the elements that can or should influence our choice, and the procedures that are not a recommended option except in very exceptional cases. We conclude by offering four pieces of advice, on which all the experts agree and to which we must attend at all times in order to proceed with the greatest possible success. Finally, we show the pernicious effects produced by missing data on the statistical result and on the substantive or clinical conclusions. For this purpose we have planned to lose data in different percentage rates under two mechanisms of loss of data, MCAR andMAR in the complete data set of two very different real researchs, and we proceed to analyze the set of the available data, listwise deletion. One study is carried out using a quasi-experimental non-equivalent control group design, and another study using a experimental design completely randomized.</t>
  </si>
  <si>
    <t>Vallejo, Guillermo/B-8233-2011; Herrero, Ellián/AAA-4397-2019; Fernandez, Paula/I-1881-2015</t>
  </si>
  <si>
    <t>Fernandez, Paula/0000-0003-0140-7702; Vallejo, Guillermo/0000-0002-8010-6854; Tuero Herrero, Ellian/0000-0002-5988-5996</t>
  </si>
  <si>
    <t>1664-1078</t>
  </si>
  <si>
    <t>APR 20</t>
  </si>
  <si>
    <t>10.3389/fpsyg.2018.00556</t>
  </si>
  <si>
    <t>WOS:000430547700001</t>
  </si>
  <si>
    <t>Córdova, F; Cifuentes, F; Atero, R</t>
  </si>
  <si>
    <t>Dzitac, I; Filip, FG; Manolescu, MJ; Dzitac, S; Oros, H; Dzitac, D</t>
  </si>
  <si>
    <t>Cordova, Felisa; Cifuentes, Fernando; Atero, Rogers</t>
  </si>
  <si>
    <t>Hilbert Huang Transform (HHT) Applied to Memorization of Objects using the Tactile Sense</t>
  </si>
  <si>
    <t>2018 7TH INTERNATIONAL CONFERENCE ON COMPUTERS COMMUNICATIONS AND CONTROL (ICCCC 2018)</t>
  </si>
  <si>
    <t>7th International Conference on Computers Communications and Control (ICCCC)</t>
  </si>
  <si>
    <t>MAY 08-12, 2018</t>
  </si>
  <si>
    <t>Oradea, ROMANIA</t>
  </si>
  <si>
    <t>IEEE,IEEE Reg 08,Agora Univ Oradea,R &amp; D Agora, Cercetare Dezvoltare Agora</t>
  </si>
  <si>
    <t>The information given by the evolution of a natural system is generally a non-linear, non-recurrent and non-stationary temporal series. Therefore, when analyzing these data with linear and stationary formalism (such as FFT) or a normative base (FFT, Wavelet), signals is introduced that are not part of the original set, and their interpretation is inadequate. So, it is necessary to introduce an adaptive and empirical formalism, which allows analyzing an non stationary and non-linear signal, breaking in sub signals of intrinsic mode (IMF) characterized by its frequency and instantaneous amplitude. The temporal analysis of the frequency is useful because in certain phenomena, the evolution of it gives valuable information on the analyzed system. In the process, the tactile perception associated with the capture of information excites the sensory synapse, activating for approx. 1-2 seconds the sensory memory (SeM) and if a level of sufficient attention is exceeded, the sensory information is encoded and controlled by the working memory (WoM), activating actions of knowledge registration in the synaptic mental form, enabling the process storage of this information, in the long-term memory. In this context, this paper presents the analysis of an EEG signal through the Hilbert Huang Transform (HHT), applied to memorization of objects using the tactile sense that is, depriving the individual of vision and hearing. An empirical mode decomposition (EMD) is developed and the Hilbert spectral analysis is obtained revealing the temporal-frequency energy distribution of phenomena. As a result of this process an activity marker appears that can be associated to the wait (timeout) between the memorization of two objects corresponding to 0.2 sec. The activity marker is located in the second component of signal intrinsic mode (IMF2). When observing the instantaneous frequency, after the subject in study leaves a first object and prepares to receive the second, it is perceived that this frequency varies between 3 and 7 Hz for the channels AF3, F7, F3, FC5 of the left frontal lobe. This pattern is repeated in the right frontal lobe, but disappears more quickly. Finally, it can be concluded that Hilbert Huang Transform allows discriminating instantaneous frequencies and locating patterns not detectable by traditional systems of signal analysis.</t>
  </si>
  <si>
    <t>CORDOVA, FELISA/S-1093-2019</t>
  </si>
  <si>
    <t>CORDOVA, FELISA/0000-0002-5557-8569</t>
  </si>
  <si>
    <t>978-1-5386-1934-6</t>
  </si>
  <si>
    <t>WOS:000437157500003</t>
  </si>
  <si>
    <t>Fuente, D; Lizama, C; Urchueguía, JF; Conejero, JA</t>
  </si>
  <si>
    <t>Fuente, David; Lizama, Carlos; Urchueguia, Javier F.; Alberto Conejero, J.</t>
  </si>
  <si>
    <t>Estimation of the light field inside photosynthetic microorganism cultures through Mittag-Leffler functions at depleted light conditions</t>
  </si>
  <si>
    <t>JOURNAL OF QUANTITATIVE SPECTROSCOPY &amp; RADIATIVE TRANSFER</t>
  </si>
  <si>
    <t>Light attenuation within suspensions of photosynthetic microorganisms has been widely described by the Lambert-Beer equation. However, at depths where most of the light has been absorbed by the cells, light decay deviates from the exponential behaviour and shows a lower attenuation than the corresponding from the purely exponential fall. This discrepancy can be modelled through the Mittag-Leffler function, extending Lambert-Beer law via a tuning parameter alpha that takes into account the attenuation process. In this work, we describe a fractional Lambert-Beer law to estimate light attenuation within cultures of model organism Synechocystis sp. PCC 6803. Indeed, we benchmark the measured light field inside cultures of two different Synechocystis strains, namely the wild-type and the antenna mutant strain called Olive at five different cell densities, with our in silico results. The Mittag-Leffler hyper-parameter a that best fits the data is 0.995, close to the exponential case. One of the most striking results to emerge from this work is that unlike prior literature on the subject, this one provides experimental evidence on the validity of fractional calculus for determining the light field. We show that by applying the fractional Lambert-Beer law for describing light attenuation, we are able to properly model light decay in photosynthetic microorganisms suspensions. (C) 2017 Elsevier Ltd. All rights reserved.</t>
  </si>
  <si>
    <t>Urchueguia, Javier/AAD-7469-2021; Lizama, Carlos/E-5909-2011; Conejero, J. Alberto/A-8589-2008</t>
  </si>
  <si>
    <t>Conejero, J. Alberto/0000-0003-3681-7533; Fuente, David/0000-0003-4141-7948</t>
  </si>
  <si>
    <t>0022-4073</t>
  </si>
  <si>
    <t>1879-1352</t>
  </si>
  <si>
    <t>10.1016/j.jqsrt.2017.08.012</t>
  </si>
  <si>
    <t>WOS:000414880500004</t>
  </si>
  <si>
    <t>González, FA; Cruchaga, MA; Celentano, DJ</t>
  </si>
  <si>
    <t>Gonzalez, Felipe A.; Cruchaga, Marcela A.; Celentano, Diego J.</t>
  </si>
  <si>
    <t>Analysis of Flow Past Oscillatory Cylinders Using a Finite Element Fixed Mesh Formulation</t>
  </si>
  <si>
    <t>In this work, we propose a fixed mesh finite element formulation to solve the fluid dynamic on an Eulerian mesh dealing with immersed bodies in motion. The study is focused on the computation of the fluid dynamic forces acting on immersed bodies which strongly depend on the evolution of the vortex shedding. The frequency of vortex detachment for flow past cylinder problems can be modified when the cylinder moves, promoting the modification of the wake of vortices. Synchronization phenomena appear when the frequencies of the resulting flow pattern coincide with the frequency of the imposed body motion. To study this problem, we propose to describe the immersed body surface by a collection of markers that moves according to the imposed body motion. The markers are updated using a Lagrangian scheme. In this framework, a distinct aspect of the present work is the imposition of the body velocity as an internal immersed boundary condition for the fluid dynamic analysis. To transfer the body velocity to the fluid along the fluid-solid interface, a restriction on the flow velocity is added into the weak form of the Navier-Stokes equations by means of a penalty technique. This work encompasses the study of flows past a crossflow, streamwise, and rotational oscillating cylinders. The results are satisfactorily compared with numerical data reported in the literature, showing a proper behavior for the analysis of long-term vibrating systems at low Reynolds numbers.</t>
  </si>
  <si>
    <t>10.1115/1.4036247</t>
  </si>
  <si>
    <t>WOS:000403876900007</t>
  </si>
  <si>
    <t>Salinas, SC; Pavelic, MR</t>
  </si>
  <si>
    <t>Salinas, Sylvia Contreras; Pavelic, Monica Ramirez</t>
  </si>
  <si>
    <t>PHENOMENOLOGICAL ANALYSIS OF THE TROPE PASAR A LLEVAR (TOUCH, DRAG, PUSH, ETC. ACCIDENTALLY)</t>
  </si>
  <si>
    <t>This article reports the findings of an ethnographic study whose objective was to appreciate some defining tropes of the existential concerns that are constructed in everyday life of a family that inhabits an urbanised rural area. From here we delve into the trope pasar a llevar which proved a very fruitful research parameter when illustrating various aspects, especially the phenomenology of inequality and exclusion, from its use as unquestionable data in the series of arguments that are revealed in their narratives, building knowledge that is configured in various practices.</t>
  </si>
  <si>
    <t>Ramírez, Mónica/HIU-0655-2022</t>
  </si>
  <si>
    <t>WOS:000407985500014</t>
  </si>
  <si>
    <t>Ramay, A; Loncón, E</t>
  </si>
  <si>
    <t>Ramay, Allison; Loncon, Elisa</t>
  </si>
  <si>
    <t>Constructing Cultural Value for Intercultural Education in Chile: Jimnasia nacional (1914) by Manuel Manquilef</t>
  </si>
  <si>
    <t>WOS:000386762300018</t>
  </si>
  <si>
    <t>Azócar, MI; Aldabaldetrecu, M; Levin, P; Tamayo, L; Guerrero, J; Páez, MA</t>
  </si>
  <si>
    <t>Azocar, Manuel I.; Aldabaldetrecu, Maialen; Levin, Pedro; Tamayo, Laura; Guerrero, Juan; Paez, Maritza A.</t>
  </si>
  <si>
    <t>Correlating light and thermal stability of silver carboxylate complexes by infrared and 13C NMR spectroscopy</t>
  </si>
  <si>
    <t>JOURNAL OF COORDINATION CHEMISTRY</t>
  </si>
  <si>
    <t>Bond nature of carboxylic groups can play an important role in Ag(I)-carboxylate compounds because light and thermal stability are important requirements for future applications such as antibacterial additives. A linear correlation between bond character and light stability of silver carboxylate complexes has been predicted by a direct relationship of infrared and C-13 NMR spectroscopic data. This correlation is in agreement with the thermogravimetric analysis and provides a new approach to explore the interaction and the physical properties of metal-carboxylate bonds. [GRAPHICS] .</t>
  </si>
  <si>
    <t>Paez, Maritza/M-2010-2014; Levín, Pedro/ABG-4500-2020; Tamayo, Laura/I-8942-2018; Azocar, Manuel/I-1226-2013</t>
  </si>
  <si>
    <t>Levin, Pedro/0000-0001-5932-9001; Tamayo, Laura/0000-0003-1159-5305; paez, maritza/0000-0001-5881-884X; Azocar Guzman, Manuel/0000-0003-1098-4659</t>
  </si>
  <si>
    <t>0095-8972</t>
  </si>
  <si>
    <t>1029-0389</t>
  </si>
  <si>
    <t>10.1080/00958972.2016.1234610</t>
  </si>
  <si>
    <t>WOS:000387785800003</t>
  </si>
  <si>
    <t>Córdova, FM; Durán, CA; Galindo, R</t>
  </si>
  <si>
    <t>Gomes, LFAM; Colcher, R; Wolcott, P; HerreraViedma, E; Shi, Y</t>
  </si>
  <si>
    <t>Cordova, Felisa M.; Duran, Claudia A.; Galindo, Raquel</t>
  </si>
  <si>
    <t>The Chilean medium-sized port companies in knowledge management: diagnosis, challenges and trends</t>
  </si>
  <si>
    <t>3RD INTERNATIONAL CONFERENCE ON INFORMATION TECHNOLOGY AND QUANTITATIVE MANAGEMENT, ITQM 2015</t>
  </si>
  <si>
    <t>3rd International Conference on Information Technology and Quantitative Management (ITQM)</t>
  </si>
  <si>
    <t>JUL 21-24, 2015</t>
  </si>
  <si>
    <t>Rio De Janeiro, BRAZIL</t>
  </si>
  <si>
    <t>Int Acad Informat Technol &amp; Quantitat Management,Ibmec,FIRJAN,UFF,SOBRAPO,ASSESPRO,CAPES,FAPERJ,SUCESU RJ,SINDITEC,ANE Natl Acad Engn,Res Ctr Fictitious Econ,Data Sci,Key Lab Big Data Mining &amp; Knowledge Management,Chinese Acad Sci, Sch Management,Univ Chinese Acad Sci, Sch Management,Chinese Acad Sci, Inst Policy &amp; Management,Chinese Soc Management Modernizat,Univ Nebraska</t>
  </si>
  <si>
    <t>This paper presents a study of the behaviour of companies participating in Chilean ports of medium size in the processes of creation, transmission and dissemination of knowledge. A diagnosis of the current situation and the identification of the relevant requirements of knowledge management, through surveys and interviews, were carried out by the main actors of the community. The knowledge management processes related to the intellectual, structural, and social capital that have been developed by the different actors involved in the medium-sized port communities are identified. Also, the stage of externalization of knowledge is examined to find the critical factors of knowledge transference. Meanwhile, the role of the knowledge creation process in innovation, generated by public a private institutional systems, is acknowledged. The results of the analysis show that the competitive and efficient management of a port is mainly based on: knowledge sharing and dissemination, collaboration and team work, knowledge storage and best practices. Then, a model that establishes the stages of development for achieving knowledge management in medium-sized port companies is proposed. With respect to information management and learning, the need of a virtual space with available and continuously updated information and knowledge, that will be useful to the members of this community, has been detected. Finally, the challenges and trends related to integrated logistics, port community and collaborative learning networks, logistic platforms and inter-modality, and creation and dissemination of knowledge are observed. (C) 2015 Published by Elsevier B.V. This is an open access article under the CC BY-NC-ND license (http://creativecommons.org/licenses/by-nc-nd/4.0/).</t>
  </si>
  <si>
    <t>CORDOVA, FELISA/S-1093-2019; Duran, Claudia/S-1175-2019</t>
  </si>
  <si>
    <t>Duran, Claudia/0000-0002-0903-4333; CORDOVA, FELISA/0000-0002-5557-8569</t>
  </si>
  <si>
    <t>10.1016/j.procs.2015.07.082</t>
  </si>
  <si>
    <t>WOS:000360101400127</t>
  </si>
  <si>
    <t>Arredondo, T; Oñate, E; Santander, R; Tomic, G; Silva, JR; Sánchez, E; Acevedo, CA</t>
  </si>
  <si>
    <t>Arredondo, Tomas; Onate, Erwin; Santander, Rocio; Tomic, Gerda; Silva, Jose R.; Sanchez, Elizabeth; Acevedo, Cristian A.</t>
  </si>
  <si>
    <t>Application of Neural Networks and Meta-Learners to Recognize Beef from OTM Cattle by Using Volatile Organic Compounds</t>
  </si>
  <si>
    <t>FOOD AND BIOPROCESS TECHNOLOGY</t>
  </si>
  <si>
    <t>6th International Symposium on Advanced Food Processing and Quality Management</t>
  </si>
  <si>
    <t>NOV 03-07, 2013</t>
  </si>
  <si>
    <t>Guangzhou, PEOPLES R CHINA</t>
  </si>
  <si>
    <t>Cattle with age under 30 months (UTM) are usually slaughtered for human consumption to be not associated of the disease called mad cow. Though the age of the animal can generally be estimated by dentition, this method cannot be applied to a piece of meat from which the teeth have been removed. Since volatile organic compounds have been used to analyze food samples, this technique was used to recognize meat obtained from cattle aged over 30 months (OTM). The monitoring of the volatile organic compounds (VOCs) released by UTM and OTM beef were done by using gas chromatography. A dataset with more than 500 chromatograms (each one with 17 VOCs fully identified) from fresh meat, refrigerated meat and vacuum-packaged meat was used to develop a classifier by using neural networks. Neural networks were trained with backpropagation, and then further optimized by using meta-learners. Optimal configuration of the neural networks allowed discriminating between beef obtained from OTM or UTM cattle with accuracy close to 90 %. Results contrast favorably with more traditional statistical methods such as linear discriminant analysis (LDA), soft independent modeling of class analogies (SIMCA), partial least square discriminate analysis (PLS-DA), and support vector machines (SVM). In conclusion, VOCs can be used as a fingerprint to recognize OTM beef from a pool of meat obtained indistinctly from fresh meat, refrigerated, or vacuum-packaged meat.</t>
  </si>
  <si>
    <t>Santander, Rocio/K-7645-2013; Acevedo, Cristian/D-5133-2011</t>
  </si>
  <si>
    <t>1935-5130</t>
  </si>
  <si>
    <t>1935-5149</t>
  </si>
  <si>
    <t>10.1007/s11947-014-1289-7</t>
  </si>
  <si>
    <t>WOS:000343646100016</t>
  </si>
  <si>
    <t>Araújo, EG; dos Santos, AJ; da Silva, DR; Salazar, R; Martínez-Huitle, CA</t>
  </si>
  <si>
    <t>Araujo, Eliane G.; dos Santos, Alexsandro Jhones; da Silva, Djalma R.; Salazar, Ricardo; Martinez-Huitle, Carlos A.</t>
  </si>
  <si>
    <t>Cysteic Acid-Modified Glassy Carbon Electrode for Monitoring Oxalic Acid (OA) Concentration During Its Electrochemical Oxidation at Ti/Pt Anode</t>
  </si>
  <si>
    <t>ELECTROANALYSIS</t>
  </si>
  <si>
    <t>The aim of this manuscript is to develop a combined method for the detection and elimination of oxalic acid (OA) in aqueous environment. For that, the surface of glassy carbon (GC) electrode has been modified by oxidation of L-cysteine using cyclic voltammetric (CV) technique. After modification, the formation of a compact and uniform cysteic acid layer film was achieved and it was confirmed by surface analysis (scanning electron microscopy (SEM) and atomic force microscopy (AFM)). Estimation of the linear range, calibration function and limit of detection for OA were performed by differential pulse voltammetry using Cysteine-modified electrode (Cysteine-MGC). Due to its stability and sensitive response to OA, it was used for monitoring OA during its electrochemical oxidation at Ti/Pt anode. DPV analyses have been compared with classic titration method and HPLC achieving a good fit, confidence intervals and limits. The results are described and discussed in the light of the existing literature.</t>
  </si>
  <si>
    <t>Martínez-Huitle, Carlos/C-1954-2014; Salazar, Ricardo/L-7870-2013; Silva, Djalma/H-6679-2017; Martinez-Huitle, Carlos Alberto/AAN-9273-2020; Dos Santos, Alexsandro Jhones/Y-6732-2019</t>
  </si>
  <si>
    <t>Martinez-Huitle, Carlos Alberto/0000-0002-6209-5426; Salazar-Gonzalez, Ricardo/0000-0003-2180-6022; Silva, Djalma Ribeiro/0000-0001-6902-149X; Dos Santos, Alexsandro Jhones/0000-0002-5408-2238</t>
  </si>
  <si>
    <t>1040-0397</t>
  </si>
  <si>
    <t>1521-4109</t>
  </si>
  <si>
    <t>10.1002/elan.201300566</t>
  </si>
  <si>
    <t>WOS:000333749500011</t>
  </si>
  <si>
    <t>Vargas, JP; Koppe, JC; Pérez, S</t>
  </si>
  <si>
    <t>Vargas, Juan P.; Koppe, Jair C.; Perez, Sebastian</t>
  </si>
  <si>
    <t>Monte Carlo simulation as a tool for tunneling planning</t>
  </si>
  <si>
    <t>TUNNELLING AND UNDERGROUND SPACE TECHNOLOGY</t>
  </si>
  <si>
    <t>Underground mining involves development of shafts, ramps, drives or other types of excavation to gain access to mineralized zones and later to serve as the infrastructure for mining. Therefore, the time taken to access the excavation becomes a critical factor in mine planning. This work proposes a simulation algorithm based on stochastic probabilistic methods that can provide the best estimation for the opening excavation times when considering the classic methods of drilling and blasting. The proposed methodology is based on stochastic numerical methods, specifically, the Monte Carlo simulation method, together with the technical conditions that affect the tunnel excavation cycle; the simulation is developed using a computational algorithm. To use the Monte Carlo method, the unit operations involved in the underground excavation cycle are identified and assigned probability distributions that, by means of random number generation, make it possible to simulate the total excavation time. The results obtained by this method are compared with a real case, where it can be seen that the times obtained by the simulation are a better fit with the real tunnel construction times than those planned by means of conventional methods. The simulation results generate different scenarios which contain important parameters to use in the decision making in the planning process. (C) 2013 Elsevier Ltd. All rights reserved.</t>
  </si>
  <si>
    <t>; Vargas, Juan Pablo/N-2185-2015</t>
  </si>
  <si>
    <t>Perez Cortes, Sebastian Alexander/0000-0003-0366-1747; Vargas, Juan Pablo/0000-0002-0783-0221</t>
  </si>
  <si>
    <t>0886-7798</t>
  </si>
  <si>
    <t>10.1016/j.tust.2013.10.011</t>
  </si>
  <si>
    <t>WOS:000330150700019</t>
  </si>
  <si>
    <t>Orrite, C; Rodriguez, M; Herrero, E; Rogez, G; Velastin, SA</t>
  </si>
  <si>
    <t>Orrite, Carlos; Rodriguez, Mario; Herrero, Elias; Rogez, Gregory; Velastin, Sergio A.</t>
  </si>
  <si>
    <t>Automatic Segmentation and Recognition of Human Actions in Monocular Sequences</t>
  </si>
  <si>
    <t>2014 22ND INTERNATIONAL CONFERENCE ON PATTERN RECOGNITION (ICPR)</t>
  </si>
  <si>
    <t>International Conference on Pattern Recognition</t>
  </si>
  <si>
    <t>22nd International Conference on Pattern Recognition (ICPR)</t>
  </si>
  <si>
    <t>AUG 24-28, 2014</t>
  </si>
  <si>
    <t>Swedish Soc Automated Image Anal, Stockholm, SWEDEN</t>
  </si>
  <si>
    <t>IEEE Comp Soc,IAPR,Linkopings Univ,Lunds Univ,Uppsala Univ,e Sci Collaborat,Swedish Soc Automated Image Anal,Stockhoms Stad,Swedish e Sci Res Ctr,SICK,Autoliv,IBM Res,Int Journal Automat &amp; Comp</t>
  </si>
  <si>
    <t>Swedish Soc Automated Image Anal</t>
  </si>
  <si>
    <t>This paper addresses the problem of silhouette-based human action segmentation and recognition in monocular sequences. Motion History Images (MHIs), used as 2D templates, capture motion information by encoding where and when motion occurred in the images. Inspired by codebook approaches for object and scene categorization, we first construct a codebook of temporal motion templates by clustering all the MHIs of each particular action. These MHIs capture different actors, speeds and a wide range of camera viewpoints. In this paper, we use a Kohonen's Self-Organizing Map (SOM) to simultaneously cluster the MHI templates and represent them in lower dimensional subspaces. To cope with temporal segmentation, and concurrently carry out action recognition, a new architecture is proposed where the obsrvation MHIs are projected onto all these action-specific manifolds and the Euclidean distance between each MHI and the nearest cluster within each action-manifold constitutes the observation vector of a Markov Model. To estimate the state/action at each time step, we introduce a new method based on Observable Markov Models (OMMs) where the Markov model is augmented with a neutral state. The combination of our action-specific manifolds with the augmented OMM allows to automatically segment and recognize long sequences of consecutive actions, without any prior knowledge about initial and ending frames of each action. Importantly, our method allows to interpolate betweeen training viewpoint and recognizes actions, independently of the camera viewpoint, even from unseen viewpoints.</t>
  </si>
  <si>
    <t>Rodriguez, Mario/S-9475-2019; Herrero Jaraba, Jose Elias/IUP-9834-2023</t>
  </si>
  <si>
    <t>VELASTIN, SERGIO ALEJANDRO/0000-0001-6775-7137; Herrero Jaraba, Jose Elias/0000-0002-9582-8964; Rodriguez, Mario/0000-0001-6324-940X</t>
  </si>
  <si>
    <t>1051-4651</t>
  </si>
  <si>
    <t>978-1-4799-5208-3</t>
  </si>
  <si>
    <t>10.1109/ICPR.2014.723</t>
  </si>
  <si>
    <t>WOS:000359818004059</t>
  </si>
  <si>
    <t>Górka, P; Prado, H; Reyes, EG</t>
  </si>
  <si>
    <t>Gorka, Przemyslaw; Prado, Humberto; Reyes, Enrique G.</t>
  </si>
  <si>
    <t>On a General Class of Nonlocal Equations</t>
  </si>
  <si>
    <t>ANNALES HENRI POINCARE</t>
  </si>
  <si>
    <t>Motivated by recent developments in cosmology and string theory, we introduce a functional calculus appropriate for the study of non-linear nonlocal equations of the form f(Delta)u = U(x, u(x)) on Euclidean space. We prove that under some technical assumptions, these equations admit smooth solutions. We also consider nonlocal equations on compact Riemannian manifolds, and we prove the existence of smooth solutions. Moreover, in the Euclidean case we present conditions on f which guarantee that the solutions we find are, in fact, real-analytic.</t>
  </si>
  <si>
    <t>Reyes, Enrique G./0000-0001-8460-444X; Gorka, Przemyslaw/0000-0002-1943-383X</t>
  </si>
  <si>
    <t>1424-0637</t>
  </si>
  <si>
    <t>1424-0661</t>
  </si>
  <si>
    <t>10.1007/s00023-012-0202-z</t>
  </si>
  <si>
    <t>WOS:000317624200011</t>
  </si>
  <si>
    <t>Campos, AM; Duran, N; Lopez-Alarcón, C; Lissi, E</t>
  </si>
  <si>
    <t>Maria Campos, Ana; Duran, Nicole; Lopez-Alarcon, Camilo; Lissi, Eduardo</t>
  </si>
  <si>
    <t>KINETIC AND STOICHIOMETRIC EVALUATION OF FREE RADICALS SCAVENGERS ACTIVITIES BASED ON DIPHENYL-PICRYL HYDRAZYYL (DPPH) CONSUMPTION</t>
  </si>
  <si>
    <t>Kinetics and stoichiometric measurements based on the reactions of stable free radicals are among the most employed procedures in the evaluation of antioxidant activities of pure compounds and complex mixtures. In the present work it is shown that initial rates of diphenyl-picryl hydrazyl (DPPH) consumption elicited by cinnamic acid derivatives are closely related to their reactivity towards peroxyl radicals. This implies that kinetic data regarding DPPH bleaching can be useful on the evaluation of antioxidant reactivities. On the other hand, data obtained at a single (long) reaction time are unrelated to the reactivity of the antioxidants and mostly reflect the number of phenol groups present in the tested sample</t>
  </si>
  <si>
    <t>Lopez, Camilo/J-5770-2013; Duran, Nicole/ISB-6361-2023</t>
  </si>
  <si>
    <t>Lopez, Camilo/0000-0002-0174-8972</t>
  </si>
  <si>
    <t>10.4067/S0717-97072012000400010</t>
  </si>
  <si>
    <t>WOS:000312620900010</t>
  </si>
  <si>
    <t>Oddershede, AM; Quezada, LE; Cordova, FM; Carrasco, RA</t>
  </si>
  <si>
    <t>Oddershede, Astrid M.; Quezada, Luis E.; Cordova, Felisa M.; Carrasco, Rolando A.</t>
  </si>
  <si>
    <t>Decision Support for Healthcare ICT Network System Appraisal</t>
  </si>
  <si>
    <t>A framework to support the appraisal process to improve the quality of service (QoS) of an Information and Communication Technology (ICT) network system in health care service is presented. Most of health-related activities stand to benefit from ICT endorsement; however, technical problems may appear, as an inadequate physical infrastructure, insufficient access by the user to the hardware/software communication infrastructure and QoS issues. The aim is to develop a prototype assessment model based on data collected from the main users of a health network system An evaluation process is carried out to analyze and assess the support of QoS of ICT, its infrastructure and user interface perception of the QoS offered through case study for hospitals in Chile. Performance has been evaluated by simulation and modelling network Architecture. The Optimization Network Engineering Tool (OPNET) simulation platform is used to examine the network behaviour and performance to ensure consistency and reliability for thousands of staff across the hospital network.</t>
  </si>
  <si>
    <t>CORDOVA, FELISA/S-1093-2019; Quezada, Luis/W-8168-2019</t>
  </si>
  <si>
    <t>Quezada, Luis/0000-0003-1364-9266; CORDOVA, FELISA/0000-0002-5557-8569</t>
  </si>
  <si>
    <t>WOS:000310664900016</t>
  </si>
  <si>
    <t>Vélez, JH; Muena, JP; Aguirre, MJ; Ramírez, G; Herrera, F</t>
  </si>
  <si>
    <t>Velez, J. H.; Muena, J. P.; Aguirre, M. J.; Ramirez, G.; Herrera, Francisco</t>
  </si>
  <si>
    <t>Electrochemical Oxidation of Sulfite in Aqueous Solution by Glassy Carbon Electrode Modified with Polymeric Co(II) Meso-Tetrakis (2-Thienyl)Porphyrin</t>
  </si>
  <si>
    <t>INTERNATIONAL JOURNAL OF ELECTROCHEMICAL SCIENCE</t>
  </si>
  <si>
    <t>Sulfite electro-oxidation mediated by a glassy carbon electrode modified with electropolymerized Co(II) meso-tetrakis (2-thienyl) porphyrin (Co(II)TTP) was studied. The GC/pCo(II) TTP electrode has demonstrated its catalytic capacity toward sulfite oxidation. Besides, the modified electrode is very stable and its activity stays unchanged over more than 21 days of air and light exposure.</t>
  </si>
  <si>
    <t>Aguirre, Maria/A-3935-2013; Cifuentes, Jorge/P-7533-2018</t>
  </si>
  <si>
    <t>Aguirre, Maria/0000-0003-1134-4469; Ramirez, Galo/0000-0002-6217-4730</t>
  </si>
  <si>
    <t>1452-3981</t>
  </si>
  <si>
    <t>WOS:000304413000032</t>
  </si>
  <si>
    <t>Godoy-Guzmán, C; San Martin, S; Pereda, J</t>
  </si>
  <si>
    <t>Godoy-Guzman, C.; San Martin, S.; Pereda, J.</t>
  </si>
  <si>
    <t>Proteoglycan and collagen expression during human air conducting system development</t>
  </si>
  <si>
    <t>EUROPEAN JOURNAL OF HISTOCHEMISTRY</t>
  </si>
  <si>
    <t>The lung is formed from a bud that grows and divides in a dichotomous way. A bud is a new growth center which is determined by epithelial-mesenchymal interactions where proteins of the extracellular matrix (ECM) might be involved. To understand this protein participation during human lung development, we examined the expression and distribution of proteoglycans in relation to the different types of collagens during the period in which the air conducting system is installed. Using light microscopy and immunohistochemistry we evaluate the expression of collagens (I, III and VI) and proteoglycans (decorin, biglycan and lumican) between 8 to 10 weeks post fertilization and 11 to 14 weeks of gestational age of human embryo and fetus lungs. We show that decorin, lumican and all the collagen types investigated were expressed at the epithelium-mesenchymal interface, forming a sleeve around the bronchiolar ducts. In addition, biglycan was expressed in both the endothelial cells and the smooth muscle of the blood vessels. Thus, the similar distribution pattern of collagen and proteoglycans in the early developmental stages of the human lung may be closely related to the process of dichotomous division of the bronchial tree. This study provides a new insight concerning the participation of collagens and proteoglycans in the epithelial-mesenchymal interface during the period in which the air conducting system is installed in the human fetal lung.</t>
  </si>
  <si>
    <t>Godoy-Guzman, Carlos Ignacio/IUO-1065-2023; San Martin, Sebastian/S-5268-2019</t>
  </si>
  <si>
    <t>San Martin, Sebastian/0000-0002-2569-1114; Godoy-Guzman, Carlos/0000-0001-8451-7047</t>
  </si>
  <si>
    <t>1121-760X</t>
  </si>
  <si>
    <t>10.4081/ejh.2012.e29</t>
  </si>
  <si>
    <t>WOS:000314399500005</t>
  </si>
  <si>
    <t>Soto, I; Fernandez, A; Montecinos, C; Carrasco, R</t>
  </si>
  <si>
    <t>Soto, Ismael; Fernandez, Antonio; Montecinos, Cristian; Carrasco, Rolando</t>
  </si>
  <si>
    <t>Modelling QoS of a M2M system over a MVNO using semi-group theory</t>
  </si>
  <si>
    <t>PROCEEDINGS OF THE 2012 8TH INTERNATIONAL SYMPOSIUM ON COMMUNICATION SYSTEMS, NETWORKS &amp; DIGITAL SIGNAL PROCESSING (CSNDSP)</t>
  </si>
  <si>
    <t>8th International Symposium on Communication Systems, Networks &amp; Digital Signal Processing (CSNDSP)</t>
  </si>
  <si>
    <t>JUL 18-20, 2012</t>
  </si>
  <si>
    <t>Poznan Univ Technol, Poznan, POLAND</t>
  </si>
  <si>
    <t>SIT</t>
  </si>
  <si>
    <t>Poznan Univ Technol</t>
  </si>
  <si>
    <t>This paper presents the development of a mathematical model to improve quality of service but including the reduction of the carbon path in a Mobile Virtual Network Operator (MVNO), based on semi-group theory. Through a case study presents the method of construction and calculation of the elements in the kernel that allows disconnection or connection of a cluster head inside the MVNO. Also is presented a sensitivity study of kernel elements in terms of the cut-off factor Q</t>
  </si>
  <si>
    <t>978-1-4577-1473-3</t>
  </si>
  <si>
    <t>WOS:000346139000113</t>
  </si>
  <si>
    <t>Plyushchay, MS; Arancibia, A; Nieto, LM</t>
  </si>
  <si>
    <t>Plyushchay, Mikhail S.; Arancibia, Adrian; Nieto, Luis-Miguel</t>
  </si>
  <si>
    <t>Exotic supersymmetry of the kink-antikink crystal, and the infinite period limit</t>
  </si>
  <si>
    <t>Some time ago, Thies et al. showed that the Gross-Neveu model with a bare mass term possesses a kink-antikink crystalline phase. Corresponding self-consistent solutions, known earlier in polymer physics, are described by a self-isospectral pair of one-gap periodic Lame potentials with a Darboux displacement depending on the bare mass. We study an unusual supersymmetry of such a second-order Lame system, and show that the associated first-order Bogoliubov-de Gennes Hamiltonian possesses its own nonlinear supersymmetry. The Witten index is ascertained to be zero for both of the related exotic supersymmetric structures, each of which admits several alternatives for the choice of a grading operator. A restoration of the discrete chiral symmetry at zero value of the bare mass, when the kink-antikink crystalline condensate transforms into the kink crystal, is shown to be accompanied by structural changes in both of the supersymmetries. We find that the infinite period limit may or may not change the index. We also explain the origin of the Darboux-dressing phenomenon recently observed in a nonperiodic self-isospectral one-gap Poschl-Teller system, which describes the Dashen, Hasslacher, and Neveu kink-antikink baryons.</t>
  </si>
  <si>
    <t>Nieto, Luis M./L-1692-2014; Arancibia, Adrian/W-1889-2018</t>
  </si>
  <si>
    <t>Nieto, Luis M./0000-0002-2849-2647; Arancibia, Adrian/0000-0002-9170-0891</t>
  </si>
  <si>
    <t>1550-7998</t>
  </si>
  <si>
    <t>1550-2368</t>
  </si>
  <si>
    <t>MAR 23</t>
  </si>
  <si>
    <t>10.1103/PhysRevD.83.065025</t>
  </si>
  <si>
    <t>WOS:000288696800007</t>
  </si>
  <si>
    <t>Siginer, DA; Letelier, MF</t>
  </si>
  <si>
    <t>Siginer, Dennis A.; Letelier, Mario F.</t>
  </si>
  <si>
    <t>Heat transfer asymptote in laminar flow of non-linear viscoelastic fluids in straight non-circular tubes</t>
  </si>
  <si>
    <t>The fully developed thermal field in constant pressure gradient driven laminar flow of a class of non-linear viscoelastic fluids with instantaneous elasticity in straight pipes of arbitrary contour OD with constant wall flux is investigated. The non-linear fluids considered are constitutively represented by a class of single mode, non-affine constitutive equations. The driving forces can be large. Asymptotic series in terms of the Weissenberg number Wi are employed to expand the field variables. A continuous one-to-one mapping is used to obtain arbitrary tube contours from a base tube contour partial derivative D-0. The analytical method presented is capable of predicting the velocity and temperature fields in tubes with arbitrary cross-section. Heat transfer enhancement due to shear-thinning is identified together with the enhancement due to the inherent elasticity of the fluid. The latter is to a very large extent the result of secondary flows in the cross-section but there is a component due to first normal stress differences as well. Increasingly large enhancements are computed with increasing elasticity of the fluid as compared to its Newtonian counterpart. Order of magnitude larger enhancements are possible even with slightly viscoelastic fluids. The coupling between inertial and viscoelastic non-linearities is crucial to enhancement. Isotherms for the temperature field are discussed for non-circular contours such as the ellipse and the equilateral triangle together with the behavior of the average Nusselt number Nu, a function of the Reynolds Re, the Prandtl Pr and the Weissenberg Wi numbers. Analytical evidence for the existence of a heat transfer asymptote in laminar flow of viscoelastic fluids in non-circular contours is given for the first time. Nu becomes asymptotically independent from elasticity with increasing Wi, Nu = f(Pe, Wi) -&gt; Nu = f(Pe). This asymptote is the counterpart in laminar flows in non-circular tubes of the heat transfer asymptote in turbulent flows of viscoelastic fluids in round pipes. A different asymptote corresponds to different cross-sectional shapes in straight tubes. The change of type of the vorticity equation governs the trends in the behavior of Nu with increasing Wi and Pe. The implications on the heat transfer enhancement is discussed in particular for slight deviations from Newtonian behavior where a rapid rise in enhancement seems to occur as opposed to the behavior for larger values of the Weissenberg number where the rate of increase is much slower. The asymptotic independence of Nu from elasticity with increasing Wi is related to the extent of the supercritical region controlled by the interaction of the viscoelastic Mach number M and the Elasticity number E, which mitigates and ultimately cancels the effect of the increasingly strong secondary flows with increasing Wi to level off the enhancement. The physics of the interaction of the effects of the Elasticity E. viscoelastic Mach M, Reynolds Re and Weissenberg Wi numbers on generating the heat transfer enhancement is discussed. (C) 2010 Elsevier Ltd. All rights reserved.</t>
  </si>
  <si>
    <t>10.1016/j.ijengsci.2010.07.010</t>
  </si>
  <si>
    <t>WOS:000285955400046</t>
  </si>
  <si>
    <t>On the uniqueness of the second bound state solution of a semilinear equation</t>
  </si>
  <si>
    <t>We establish the uniqueness of the second radial bound state solution of Delta u + f (u) = 0, x is an element of R-n. We assume that the nonlinearity f is an element of C(-infinity, infinity) is an odd function satisfying some convexity and growth conditions of superlinear type, and either has one zero at b &gt; 0, is nonpositive and not identically 0 in (0, b), and is differentiable and positive [b, infinity), or is positive and differentiable in [0, infinity). (C) 2009 Elsevier Masson SAS. All rights reserved.</t>
  </si>
  <si>
    <t>1873-1430</t>
  </si>
  <si>
    <t>NOV-DEC</t>
  </si>
  <si>
    <t>10.1016/j.anihpc.2009.01.004</t>
  </si>
  <si>
    <t>WOS:000272561600003</t>
  </si>
  <si>
    <t>Skurtys, O; Aguilera, JM</t>
  </si>
  <si>
    <t>Skurtys, O.; Aguilera, J. M.</t>
  </si>
  <si>
    <t>Formation of O/W macroemulsions with a circular microfluidic device using saponin and potato starch</t>
  </si>
  <si>
    <t>The formation of O/W macroemulsions stabilized by a non-ionic surfactant (Quillaja saponin) and gelatinized starch was investigated using a flow focusing device consisting of circular microchannels. Droplets of hot oil (T(oil) = 338 K) were dispersed into an aqueous solution of saponin and potato starch granules. The oil fraction varied between 0.9% and 5% (dilute macroemulsions) while the starch-to-saponin concentration ratio, a, ranged between 0 and 187.5. The heat transfer from the hot oil droplet (340 to 725 mu m in diameter) induced the gelatinization of the adjacent starch granules to create a thin-shell around the oil droplet. In order to optimize the droplet generation, the physical properties of fluids were determined and the interactions between saponin and gelatinized starch granules were studied by measuring the specific conductivity. In particular, the onset, peak and end temperatures of starch gelatinization were determined. For various a, the monodispersed regime was determined by measuring the oil droplet volume V(drop). For all cases studied, Vdrop followed a power dependence with the flow rate of the aqueous phase but the exponents were different (0.65 &lt; n &lt; 0.9). The formation process, i.e. the dripping and jetting regime, and the generation time of oil droplets were also detailed. (C) 2009 Elsevier Ltd. All rights reserved.</t>
  </si>
  <si>
    <t>Aguilera, Jose/D-1383-2014; skurtys, olivier/HNS-4835-2023</t>
  </si>
  <si>
    <t>skurtys, olivier/0000-0003-1432-7242; Aguilera, Jose Miguel/0000-0001-5754-2722</t>
  </si>
  <si>
    <t>10.1016/j.foodhyd.2009.01.014</t>
  </si>
  <si>
    <t>WOS:000267478400023</t>
  </si>
  <si>
    <t>Morales, A; Hevia, JF; Santis, D; Cifuentes, G</t>
  </si>
  <si>
    <t>Morales, Alejandro; Fco Hevia, Jose; Santis, Domingo; Cifuentes, Gerardo</t>
  </si>
  <si>
    <t>ANODIC ELECTROLYTIC DISSOLUTION OF COPPER SULPHIDES PRECIPITATED FROM AMMONIACAL LEACHING MEDIA</t>
  </si>
  <si>
    <t>Anodic dissolution of synthetic chalcocite (previously obtained by copper precipitation with S and SO, in ammonia media) in two different electrolytic cells is described, One cell has a circular graphite anode placed horizontally, surrounded by a stainless steel cylinder as cathode, and the other has a rectangular basket-shaped graphite anode. with a rectangular stainless Steel cathode placed in front of it. The electrolysis was performed at 0.2 A and 50 degrees C, the electrolyte contained 20 to 40 L(-1) of Cu and 100 to 160 g L(-1) of H(2)SO(4), and the initial reactions took place at low potential (0.4-0.6 V) until the transformation of Cu(2)S into CuS, detected by the considerable increase in cell potential. Anodic and cathodic efficiencies greater than 100% and 95%. respectively, were obtained. The bight anodic efficiencie is due to faradic and chemical dissolution too. If is also shown that the (CuS) produced as waste material can replace elemental sulphur as copper precipitating agent in ammoniacal media.</t>
  </si>
  <si>
    <t>Cifuentes, Gerardo/AAS-2148-2021</t>
  </si>
  <si>
    <t>Cifuentes, Gerardo/0000-0002-9543-1625</t>
  </si>
  <si>
    <t>WOS:000268073400004</t>
  </si>
  <si>
    <t>Henríquez, HR; Hernández, E</t>
  </si>
  <si>
    <t>Henriquez, Hernan R.; Hernandez M, Eduardo</t>
  </si>
  <si>
    <t>Approximate controllability of second-order distributed implicit functional systems</t>
  </si>
  <si>
    <t>In this paper we study the approximate controllability of control systems with states and controls in Hilbert spaces, and described by a second-order semilinear abstract functional differential equation with infinite delay. Initially we establish a characterization for the approximate controllability of a second-order abstract linear system and, in the last section, we compare the approximate controllability of a semilinear abstract functional system with the approximate controllability of the associated linear system. (C) 2008 Elsevier Ltd. All rights reserved.</t>
  </si>
  <si>
    <t>1873-5215</t>
  </si>
  <si>
    <t>10.1016/j.na.2008.01.029</t>
  </si>
  <si>
    <t>WOS:000261625300035</t>
  </si>
  <si>
    <t>Navas, A</t>
  </si>
  <si>
    <t>Navas, Andres</t>
  </si>
  <si>
    <t>Growth of groups and diffeomorphisms of the interval</t>
  </si>
  <si>
    <t>GEOMETRIC AND FUNCTIONAL ANALYSIS</t>
  </si>
  <si>
    <t>We prove that, for all alpha &gt; 0, every finitely generated group of C1+alpha diffeomorphisms of the interval with sub-exponential growth is almost nilpotent. Consequently, there is no group of C1+alpha interval diffeomorphisms having intermediate growth. In addition, we show that the C1+alpha regularity hypothesis for this assertion is essential by giving a C-1 counter-example.</t>
  </si>
  <si>
    <t>1016-443X</t>
  </si>
  <si>
    <t>1420-8970</t>
  </si>
  <si>
    <t>10.1007/s00039-008-0667-6</t>
  </si>
  <si>
    <t>WOS:000259369900009</t>
  </si>
  <si>
    <t>Cuadros-Melgar, B; Pellicer, CE</t>
  </si>
  <si>
    <t>Cuadros-Melgar, B.; Pellicer, C. E.</t>
  </si>
  <si>
    <t>Instability of the time dependent Horava-Witten model</t>
  </si>
  <si>
    <t>We consider scalar perturbations in the time dependent Horava-Witten model in order to probe its stability. We show that during the nonsingular epoque the model evolves without instabilities until it encounters the curvature singularity where a big crunch is supposed to occur. We compute the frequencies of the scalar field oscillation during the stable period and show how the oscillations can be used to prove the presence of such a singularity.</t>
  </si>
  <si>
    <t>Cuadros-Melgar, Bertha/M-8760-2014</t>
  </si>
  <si>
    <t>Cuadros-Melgar, Bertha/0000-0001-8111-2431</t>
  </si>
  <si>
    <t>10.1103/PhysRevD.77.104030</t>
  </si>
  <si>
    <t>WOS:000257329300074</t>
  </si>
  <si>
    <t>Wastavino, LA; Toledo, BA; Rogan, J; Zarama, R; Muñoz, V; Valdivia, JA</t>
  </si>
  <si>
    <t>Wastavino, L. A.; Toledo, B. A.; Rogan, J.; Zarama, R.; Munoz, V.; Valdivia, J. A.</t>
  </si>
  <si>
    <t>Modeling traffic on crossroads</t>
  </si>
  <si>
    <t>PHYSICA A-STATISTICAL MECHANICS AND ITS APPLICATIONS</t>
  </si>
  <si>
    <t>A simplified traffic model is studied, consisting of two vehicles traveling through a sequence of crossroads regulated by yield signs. A car approaching a yield sign stops if, in the other street, there is a car closer than a certain distance x,., from the intersection. It is shown that the function which maps the state of the vehicles displays a period doubling transition to chaos. An interesting feature of the dynamics is that for extremely cautious drivers (x(tol) too large), the map turns chaotic, thus becoming a potential source of emergent jams. Complex behavior such as the one observed in this simple system seems to be an essential ingredient in traffic patterns, and could be of relevance in studying actual crossroads situations. (c) 2007 Elsevier B.V. All rights reserved.</t>
  </si>
  <si>
    <t>Toledo, Benjamin/HZH-2787-2023; Munoz, Victor/A-2255-2008; Valdivia, Juan/A-3631-2008; Rogan, José/B-8819-2008; Zarama, Roberto/E-3101-2010; Toledo, Benjamin/A-1136-2008</t>
  </si>
  <si>
    <t>Valdivia, Juan Alejandro/0000-0003-3381-9904; Rogan, Jose/0000-0003-1080-2739; Munoz, Victor/0000-0003-1746-4875; Zarama, Roberto/0000-0002-5018-9783; Toledo, Benjamin/0000-0001-5928-2290</t>
  </si>
  <si>
    <t>0378-4371</t>
  </si>
  <si>
    <t>10.1016/j.physa.2007.03.052</t>
  </si>
  <si>
    <t>WOS:000247700900036</t>
  </si>
  <si>
    <t>Alarcón, E; Henríquez, C; Aspée, A; Lissi, EA</t>
  </si>
  <si>
    <t>Alarcon, Emilio; Henriquez, Carola; Aspee, Alexis; Lissi, Eduardo A.</t>
  </si>
  <si>
    <t>Chemiluminescence associated with singlet oxygen reactions with amino acids, peptides and proteins</t>
  </si>
  <si>
    <t>Low level chemiluminescence (CL) is observed after protein oxidation mediated by singlet oxygen produced in Rose Bengal (RB) irradiation. This CL lasts for several minutes after the end of the photolysis. In this work, the mechanism of the process was assessed from the spectral characteristics of the CL and the effect of antioxidants (Trolox or ascorbate), Ebselen (a compound with peroxidase-like activity), azide (a singlet oxygen scavenger) and D2O, added prior to or after RB irradiation. It is concluded that most of the light emission is due to formation of excited states generated in the decomposition of peroxides and/or hydroperoxides accumulated during the photolysis. Experiments carried out in the presence of several amino acids (Cys, Met, His, Tyr and Trp) and di- and tripeptides suggest that peroxides (and/or hydroperoxides) of Trp residues are mainly responsible for the CL observed after singlet oxygen-mediated protein oxidation. The much weaker CL observed after the oxidation of proteins without Trp residues supports this conclusion. A comparison of the results obtained employing free Trp, Ala-Trp and Trp-Ala dipeptides, Ala-Trp-Ala tripeptide and Trp-containing proteins supports the conclusion that blocking the amino group of the Trp moiety strongly increases the efficiency of the chemilummescent process, producing approximate to 2.5x10(-8) photons per oxidized Trp group in Alla-Trp. A mechanism comprising two chemiluminescent oxidation pathways of Trp residues is proposed to explain the results.</t>
  </si>
  <si>
    <t>1751-1097</t>
  </si>
  <si>
    <t>10.1562/2006-07-25-RA-983</t>
  </si>
  <si>
    <t>WOS:000247327400002</t>
  </si>
  <si>
    <t>Correa, F; Nieto, LM; Plyushchay, MS</t>
  </si>
  <si>
    <t>Correa, Francisco; Nieto, Luis-Miguel; Plyushchay, Mikhail S.</t>
  </si>
  <si>
    <t>Hidden nonlinear supersymmetry of finite-gap Lame equation</t>
  </si>
  <si>
    <t>A bosonized nonlinear (polynomial) supersymmetry is revealed as a hidden symmetry of the finite-gap Lame equation. This gives a natural explanation for peculiar properties of the periodic quantum system underlying diverse models and mechanisms in field theory, nonlinear wave physics, cosmology and condensed matter physics. (c) 2006 Published by Elsevier B.V.</t>
  </si>
  <si>
    <t>Correa, Francisco/S-4564-2018; Nieto, Luis M./L-1692-2014</t>
  </si>
  <si>
    <t>Correa, Francisco/0000-0003-1735-2822; Nieto, Luis M./0000-0002-2849-2647</t>
  </si>
  <si>
    <t>10.1016/j.physletb.2006.11.020</t>
  </si>
  <si>
    <t>WOS:000243550200017</t>
  </si>
  <si>
    <t>Cataldo, M; Cruz, N</t>
  </si>
  <si>
    <t>Cataldo, Mauricio; Cruz, Norman</t>
  </si>
  <si>
    <t>Static charged distributions in 2+1 gravity</t>
  </si>
  <si>
    <t>Circularly symmetric charged perfect-fluid distributions are studied in three-dimensional gravity with a cosmological constant. We derive the Tolman-Oppenheimer-Volkoff equation of hydroelectrostatic equilibrium, and we discuss its applicability. A class of charged fluid distributions for p=-rho is considered. In this case, a particular model is obtained which represents a charged distribution whose mass is entirely of electromagnetic origin.</t>
  </si>
  <si>
    <t>10.1103/PhysRevD.73.104026</t>
  </si>
  <si>
    <t>WOS:000237951100057</t>
  </si>
  <si>
    <t>Chandia, NP; Matsuhiro, B; Ortiz, JS; Mansilla, A</t>
  </si>
  <si>
    <t>Carbohydrates from the sequential extraction of Lessonia vadosa (Phaeophyta)</t>
  </si>
  <si>
    <t>Blades of Lessonia vadosa were sequentially extracted with 70% ethanol, followed by 2% CaCl2, solution, diluted HCl (pH 2), and finally with 2% Na2CO3 Solution. D-mannitol was the only low molecular weight carbohydrate obtained from the ethanolic extract. By ion-exhange chromatography of the CaCl2 extract a fraction contaning 36.7% of sulfate group was obtained. Chemical and spectroscopic analysis indicated the presence of a regular polymer of alpha-L-fucopyranose linked 1 -&gt; 3 and sulfated at positions O-2 and O-4. The main fraction isolated from the acidic extract by ion-exchange chromatography was shown to be composed of a complex alpha-L-fucan with 28.9% of sulfate. Alginic acid (17.0% of dry algae) was the major polysaccharide obtained in the sequential extraction.</t>
  </si>
  <si>
    <t>Mansilla, Andres/0000-0003-3505-7018</t>
  </si>
  <si>
    <t>WOS:000229785200012</t>
  </si>
  <si>
    <t>Brañes, MC; Morales, B; Rios, M; Villalón, MJ</t>
  </si>
  <si>
    <t>Regulation of the immunoexpression of aquaporin 9 by ovarian hormones in the rat oviductal epithelium</t>
  </si>
  <si>
    <t>69A</t>
  </si>
  <si>
    <t>WOS:000224648800384</t>
  </si>
  <si>
    <t>Reyes, A; Eckholt, M; Troncoso, F; Efremov, G</t>
  </si>
  <si>
    <t>Drying kinetics sludge from a wastewater treatment plant</t>
  </si>
  <si>
    <t>Drying kinetics of sludge from a municipal sewage treatment plant were determined in a laboratory drying tunnel with parallel airflow at different temperatures and air velocities. The constant drying rate period was identified followed by two failing rate periods. Drying kinetics in these falling rate periods were then satisfactorily modeled using the modified quasi-stationary method and the Fick's second law. The two-period model was used, however, to describe drying kinetics over the entire drying process, and the equation for a generalized drying curve was proposed. The effective diffusivity was also determined from the integrated Fick's equation, and correlated with temperature by an Arrhenius type equation.</t>
  </si>
  <si>
    <t>10.1081/LDRT-200034218</t>
  </si>
  <si>
    <t>WOS:000224973700008</t>
  </si>
  <si>
    <t>Quezada, LE; Córdova, FM; O'Brien, C</t>
  </si>
  <si>
    <t>Application of the analytic hierarchy process in manufacturing strategy formulation</t>
  </si>
  <si>
    <t>INTERNATIONAL JOURNAL OF INDUSTRIAL ENGINEERING-THEORY APPLICATIONS AND PRACTICE</t>
  </si>
  <si>
    <t>This paper analyses the formulation of a manufacturing strategy in five small and medium sized manufacturing companies. The developed methodology uses concepts of the Analytic Hierarchy Process (AHP). A manufacturing strategy is formulated by creating a 5 level hierarchy: focus, company objectives, strategic business units, critical success factors and manufacturing decision areas. It allows a strategic diagnosis of the current manufacturing system and the generation and evaluation of action plans to improve the company competitiveness. The paper concentrates on the way the process was carried out and improved as experience was gained. The results show that the proposed methodology is appropriate for formulating a manufacturing strategy. Significance: This work is centred on the way a methodology for formulating a manufacturing strategy was applied in five companies. The methodology is based on the Analytic Hierarchy Process (AHP).</t>
  </si>
  <si>
    <t>CORDOVA, FELISA/0000-0002-5557-8569; Quezada, Luis/0000-0003-1364-9266</t>
  </si>
  <si>
    <t>1943-670X</t>
  </si>
  <si>
    <t>WOS:000185923400001</t>
  </si>
  <si>
    <t>Bañados, M</t>
  </si>
  <si>
    <t>Selfdual backgrounds in N=2 five-dimensional Chern-Simons supergravity</t>
  </si>
  <si>
    <t>We consider live-dimensional S(2, 2\N) Chern-Simons supergravity on M-4 x S-1. fine-tuning the Kaluza-Klein reduction to make the four-dimensional cosmological constant equal zero, it is shown that selfdual curvatures on M-4 provide exact solutions to the equations of motion if N = 2. (C) 2001 Elsevier Science B.V. All rights reserved.</t>
  </si>
  <si>
    <t>MAR 1</t>
  </si>
  <si>
    <t>10.1016/S0370-2693(01)00098-3</t>
  </si>
  <si>
    <t>WOS:000167350200019</t>
  </si>
  <si>
    <t>Quijada, R; Rojas, R; Narvaez, A; Alzamora, L; Retuert, J; Rabagliati, FM</t>
  </si>
  <si>
    <t>The effect of reaction parameters on catalytic activity in the polymerization of ethylene using supported and unsupported metallocene catalysts</t>
  </si>
  <si>
    <t>APPLIED CATALYSIS A-GENERAL</t>
  </si>
  <si>
    <t>The catalytic activities of two metallocene compounds, EtInd(2)ZrCl(2) and Ind(2)ZrCl(2), in the polymerization of ethylene depend heavily on certain parameters, such as Zr concentration in the reaction, type of the reactor, and stirring speed for homogeneous catalysts. One way or another, all these factors influence the catalytic activity of these systems, but catalyst concentration and stirring speed are the most important ones. In the case of heterogeneous catalysts of the same metallocenes, the most pronounced influence is related to the type of support and its porous nature. The influence of the support on activity and morphology is shown. (C) 1998 Elsevier Science B.V.</t>
  </si>
  <si>
    <t>Rojas, René/C-4921-2009; Narvaez, Ana/AAE-8266-2021; urcia, luis/LFT-2692-2024</t>
  </si>
  <si>
    <t>Rojas, Rene/0000-0002-5292-0816; QUIJADA, RAUL/0000-0003-0791-6954; Narvaez Dinamarca, Ana/0000-0002-6184-7710</t>
  </si>
  <si>
    <t>0926-860X</t>
  </si>
  <si>
    <t>JAN 2</t>
  </si>
  <si>
    <t>10.1016/S0926-860X(97)00259-7</t>
  </si>
  <si>
    <t>WOS:000071345400025</t>
  </si>
  <si>
    <t>Cubillos, FA; Lima, EL</t>
  </si>
  <si>
    <t>Identification and optimizing control of a rougher flotation circuit using an adaptable hybrid-neural model</t>
  </si>
  <si>
    <t>MINERALS ENGINEERING</t>
  </si>
  <si>
    <t>In this paper the identification and control of a rougher flotation process is studied using an adaptable hybrid-neural model. The model is based on first principles and a PCA neural network is used for flotation kinetics estimation. Initially, the hybrid model is used for the identification, from input/output data obtained with a realistic phenomenological model, of a series of four flotation cells. Then, different regulatory and optimizing multivariable control alternatives are developed and tested on the process. The control problem is adaptively solved as an optimization problem, using predictions for the steady state obtained using the hybrid model. Results obtained for different input perturbations, setpoint changes and optimization tests show satisfactory performance, satisfying all required objectives without off-set or oscillation. Based on these results, the hybrid model can be considered an excellent option for the identification and control of flotation plants, from the point of view of flexibility and robustness. (C) 1997 Published by Elsevier Science Ltd.</t>
  </si>
  <si>
    <t>CUBILLOS, FRANCISCO/0000-0001-7863-4394</t>
  </si>
  <si>
    <t>0892-6875</t>
  </si>
  <si>
    <t>10.1016/S0892-6875(97)00050-2</t>
  </si>
  <si>
    <t>WOS:A1997XJ10300005</t>
  </si>
  <si>
    <t>VenegasYazigi, D; Costamagna, J; Latorre, R; Lever, ABP</t>
  </si>
  <si>
    <t>The synthesis, characterisation and electronic structure of o-benzoquinonediimine(dichloro-bis-triphenylphosphine)ruthenium(II).</t>
  </si>
  <si>
    <t>Venegas-Yazigi, Diego/C-5022-2009</t>
  </si>
  <si>
    <t>APR 13</t>
  </si>
  <si>
    <t>INOR</t>
  </si>
  <si>
    <t>WOS:A1997WP18700439</t>
  </si>
  <si>
    <t>Bustos, P; Gajardo, MI; Gomez, C; Goldie, H; Cardemil, E; Jabalquinto, AM</t>
  </si>
  <si>
    <t>Woodward's reagent K reacts with histidine and cysteine residues in Escherichia coli and Saccharomyces cerevisiae phosphoenolpyruvate carboxykinases</t>
  </si>
  <si>
    <t>JOURNAL OF PROTEIN CHEMISTRY</t>
  </si>
  <si>
    <t>The reaction of Woordward's reagent K (WRK) with model amino acids and proteins has been analyzed. Our results indicate that WRK forms 340-nm-absorbing adducts with sulfhydryl- and imidazol-containing compounds, but not with carboxylic acid derivatives, in agreement with Llamas et al. [(1986), J. Am. Chem. Sec. 108, 5543-5548], but not with Sinha and Brewer [(1985), Anal. Biochem. 151, 327-333]. The chemical modification of Escherichia coli and Saccharomyces cerevisiae phosphoenolpyruvate carboxykinases with WRK leads to an increase in the absorption at 340 nm, and we have demonstrated its reaction with His and Cys residues in these proteins. These results caution against claims of glutamic or aspartic acid modification by WRK based on the absorption at 340 nm of protein-WRK adducts.</t>
  </si>
  <si>
    <t>Gomez Alegria, Claudio Jaime/J-1732-2019</t>
  </si>
  <si>
    <t>Gomez Alegria, Claudio Jaime/0000-0003-4572-4283</t>
  </si>
  <si>
    <t>0277-8033</t>
  </si>
  <si>
    <t>10.1007/BF01886854</t>
  </si>
  <si>
    <t>WOS:A1996VK77400007</t>
  </si>
  <si>
    <t>Zagal, JH; delRio, RR; Retamal, BA; Biaggio, SR</t>
  </si>
  <si>
    <t>Stability and electrical properties of polyaniline films formed with EDTA and FeEDTA in the electrolyte</t>
  </si>
  <si>
    <t>JOURNAL OF APPLIED ELECTROCHEMISTRY</t>
  </si>
  <si>
    <t>The incorporation of EDTA and Fe(II/III)EDTA into polyaniline films has been achieved by electropolymerization of aniline in acid solutions at constant potential. The stability and electrical properties of these films have been studied by cyclic voltammetry and electrochemical impedance spectroscopy. The presence of FeEDTA species inhibits the second redox process in the polymer film corresponding to the emeraldine/pernigraniline transition and decreases degradation of these films upon cycling to positive potentials. EDTA increases the degree of cross-linking reactions within the film and leads to less conducting and thinner films compared to those obtained with FeEDTA in the electrolyte.</t>
  </si>
  <si>
    <t>zagal, jose/L-9648-2014; Biaggio, Sonia R./D-9810-2012; Del Rio, Rodrigo/B-2440-2008</t>
  </si>
  <si>
    <t>Biaggio, Sonia R./0000-0003-2127-859X; Del Rio, Rodrigo/0000-0003-0315-6660</t>
  </si>
  <si>
    <t>0021-891X</t>
  </si>
  <si>
    <t>10.1007/BF00248194</t>
  </si>
  <si>
    <t>WOS:A1996TU75000013</t>
  </si>
  <si>
    <t>MASSARDO, F; ZUNIGA, GE; PEREZ, LM; CORCUERA, LJ</t>
  </si>
  <si>
    <t>EFFECTS OF HYDROXAMIC ACIDS ON ELECTRON-TRANSPORT AND THEIR CELLULAR LOCATION IN CORN</t>
  </si>
  <si>
    <t>DIMBOA, the main hydroxamic acid in maize and wheat, is found mainly as a glucoside in intact maize plants; when the tissue is damaged a beta-glucosidase releases DIMBOA from DIMBOA-glucoside. The effects of DIMBOA and its glucoside were studied in maize mitochondria and chloroplasts. DIMBOA reduced electron transport in both mitochondria and chloroplasts with an ID50 of 1.8 and 1.2 mM, respectively. DIMBOA-glucoside had no inhibitory effect. The glucoside and the enzyme were both present in mesophyll parenchyma protoplasts. When these protoplasts were fractionated, DIMBOA-glucoside was found in the extravacuolar fraction, while the DIMBOA-beta-glucosidase was in the vacuole. This seems to be an efficient mechanism to prevent aglycone toxicity in vivo.</t>
  </si>
  <si>
    <t>Corcuera, Luis/G-1714-2014; Zuñiga, Gustavo/P-8306-2015</t>
  </si>
  <si>
    <t>Zuniga, Gustavo/0000-0002-8286-9468</t>
  </si>
  <si>
    <t>10.1016/S0031-9422(00)90629-0</t>
  </si>
  <si>
    <t>WOS:A1994ND08200008</t>
  </si>
  <si>
    <t>RODRIGUEZ, ML; BRITO, I; VILLARROEL, L; TORRES, R</t>
  </si>
  <si>
    <t>STRUCTURE OF DIHYDRODECOMPOSTIN</t>
  </si>
  <si>
    <t>ACTA CRYSTALLOGRAPHICA SECTION C-CRYSTAL STRUCTURE COMMUNICATIONS</t>
  </si>
  <si>
    <t>C17H22O4, M(r) = 290.36, monoclinic, P2(1), alpha = 7.197 (1), b = 8.174 (1), c = 13.649 (1) angstrom, beta = 103.10 (1)-degrees, V = 728.1 angstrom 3, Z = 2, D(x) - 1.233 g cm-3, lambda(Cu K-alpha) = 1.5418 angstrom, mu = 6.92 cm-1, F(000) = 312, room temperature, R = 0.057 for 1168 unique observed reflections. The crystallographic analysis confirms the structure previously assigned to dihydrodecomposition on the basis of spectral data and chemical evidence. In addition it establishes an (S) configuration at C6 for the title compound.</t>
  </si>
  <si>
    <t>BRITO, IVAN/0000-0001-6077-2457</t>
  </si>
  <si>
    <t>0108-2701</t>
  </si>
  <si>
    <t>10.1107/S0108270191008594</t>
  </si>
  <si>
    <t>WOS:A1992HB16300052</t>
  </si>
  <si>
    <t>VARGAS, P; MIRANDA, L; RODRIGUEZ, L; LAGOS, M; ROGAN, J</t>
  </si>
  <si>
    <t>QUANTUM DIFFUSION IN TRANSITION-METALS</t>
  </si>
  <si>
    <t>JOURNAL OF THE LESS-COMMON METALS</t>
  </si>
  <si>
    <t>INTERNATIONAL SYMP ON METAL-HYDROGEN SYSTEMS, FUNDAMENTALS AND APPLICATIONS</t>
  </si>
  <si>
    <t>SEP 02-07, 1990</t>
  </si>
  <si>
    <t>BANFF, CANADA</t>
  </si>
  <si>
    <t>The functions governing the temperature dependence of small-polaron diffusion are calculated by using the phonon dispersion relations with high accuracy for octahedral interstitial sites in copper, palladium, nickel and platinum f.c.c. hosts, as well as for tetrahedral and octahedral sites in tantalum, niobium and vanadium hosts. The current experimental data on the diffusion coefficient for hydrogen in b.c.c. tantalum and niobium, and for positive muons in copper are very well reproduced for all temperature ranges. By comparison with exact calculation, very accurate results are also obtained by using an approximate universal function calculated within the Debye approximation, for which we give a closed analytical formula. This allows manual calculations of the diffusion coefficient for light interstitial impurities in transition metals within the small-polaron model.</t>
  </si>
  <si>
    <t>Rogan, José/B-8819-2008; Vargas, Patricio/AAL-2633-2020</t>
  </si>
  <si>
    <t>vargas, patricio/0000-0001-9235-9747; Rogan, Jose/0000-0003-1080-2739; Lagos, Miguel/0000-0002-6114-0782</t>
  </si>
  <si>
    <t>0022-5088</t>
  </si>
  <si>
    <t>AUG 30</t>
  </si>
  <si>
    <t>WOS:A1991GH22900011</t>
  </si>
  <si>
    <t>VARGAS, JA; ARAYA, LM; COSTAMAGNA, JA</t>
  </si>
  <si>
    <t>SYNTHESIS, CHARACTERIZATION AND PROPERTIES OF PSEUDOTETRAHEDRIC COMPLEXES OF NICKEL(II) WITH SCHIFF-BASES DERIVED FROM BROMINATED SALICYLALDEHYDES AND ALIPHATIC-AMINES</t>
  </si>
  <si>
    <t>WOS:A1988M418700003</t>
  </si>
  <si>
    <t>ABUIN, EB; LISSI, E; ARAUJO, PS; ALEIXO, RMV; CHAIMOVICH, H; BIANCHI, N; MIOLA, L; QUINA, FH</t>
  </si>
  <si>
    <t>SELECTIVITY COEFFICIENTS FOR ION-EXCHANGE IN MICELLES OF HEXADECYLTRIMETHYLAMMONIUM BROMIDE AND CHLORIDE</t>
  </si>
  <si>
    <t>Chaimovich, Hernan/B-5006-2011; Quina, Frank/H-2255-2012</t>
  </si>
  <si>
    <t>Quina, Frank/0000-0003-2981-3390</t>
  </si>
  <si>
    <t>10.1016/0021-9797(83)90031-0</t>
  </si>
  <si>
    <t>WOS:A1983RQ15500030</t>
  </si>
  <si>
    <t>Mella-Romero, J; Veliz, D; Zorondo-Rodríguez, F; Simonetti, JA</t>
  </si>
  <si>
    <t>Mella-Romero, Jorge; Veliz, David; Zorondo-Rodriguez, Francisco; Simonetti, Javier A.</t>
  </si>
  <si>
    <t>Assessing the willingness to accept assisted migration for a sky island lizard</t>
  </si>
  <si>
    <t>HUMAN DIMENSIONS OF WILDLIFE</t>
  </si>
  <si>
    <t>Analyzing the social dimensions of species conservation measures is crucial. For species inhabiting sky islands (high - altitude landscapes), given the pressures of global change, one possible measure to implement is assisted migration. We evaluated the social willingness to accept an assisted migration of Black - green lizard, and determined which sociodemographic variables influenced the acceptance of this measure. This exercise was conducted in Las Cabras, a human settlement surrounding the mountains that could potentially receive assisted migration of the species. We corroborated our hypothesis that there was a willingness to accept assisted migration on public lands and not on private lands, but not regarding the willingness to assist on owned lands. We determined that aesthetic perception was an explanatory variable for willingness to accept assisted migration of Black - green lizard. We suggest that studies like ours can promote the national - level implementation of assisted migrations, contributing to the ongoing global discussion.</t>
  </si>
  <si>
    <t>Zorondo-Rodríguez, Francisco/GWU-8371-2022; Simonetti, Javier/A-4658-2008; Veliz, David/J-4205-2013</t>
  </si>
  <si>
    <t>Veliz, David/0000-0002-5768-9887</t>
  </si>
  <si>
    <t>1087-1209</t>
  </si>
  <si>
    <t>1533-158X</t>
  </si>
  <si>
    <t>2025 APR 5</t>
  </si>
  <si>
    <t>10.1080/10871209.2025.2486815</t>
  </si>
  <si>
    <t>APR 2025</t>
  </si>
  <si>
    <t>WOS:001461325500001</t>
  </si>
  <si>
    <t>Rivera, DR; Moraga, NO</t>
  </si>
  <si>
    <t>Rivera, Diego R.; Moraga, Nelson O.</t>
  </si>
  <si>
    <t>Energy analysis of Single and Dual PCM Trombe Wall configurations for indoor heating considering dynamic scenarios in summer/winter of two different climate regions through CFD modeling</t>
  </si>
  <si>
    <t>JOURNAL OF ENERGY STORAGE</t>
  </si>
  <si>
    <t>Passive systems to achieve thermal comfort in buildings are crucial to overcome the current climate crisis. Direct solar gain systems, such as the Trombe Wall (TW), can significantly reduce heating and cooling demands of buildings, generating substantial economic and environmental value. Although Phase Change Materials (PCMs) have widely demonstrated to enhance the energy storage performance of TW-systems, there still exist a search for the most thermally efficient PCM configuration given specific climate conditions and building demands. The present work numerically studies the energy performance of single- and dual-layer PCM-TW configurations for the heating of a semi-open room in four different climatic scenarios, resulting in a total of 28 cases. Three commercial salt-hydrate PCMs with different melting points, SP21, SP27, and SP31, are investigated in three scenarios for each single- and dual-PCM configuration. Representative days of hot-summer and cold-winter scenarios of two climatic regions with a large difference in latitude, classified as cold arid desert (CR1) and mild temperature cold summer (CR2), are studied. The day-to-night dynamic analysis is performed by an inhouse CFD model with the k-omega SST turbulent model, the net discrete thermal radiation method, and the liquid fraction phase change model for the PCMs. The results indicate that the PCM-configurations with the best combined performance were: for CR1, the Single-PCM with SP31 increased the average air temperature by 21 % in winter, and decreased it by 9 % in summer; while for CR2, the Dual-PCM SP26/SP31 increased the average air temperature by 31 % in winter, and decreased it by 5 % in summer. Overall, the PCMs increased the energy stored by the wall at cost of decreasing the heat provided to the building, which beneficially homogenized the heat fluxes through day to night.</t>
  </si>
  <si>
    <t>Rivera Aguilera, Diego R/0000-0002-7432-5065</t>
  </si>
  <si>
    <t>2352-152X</t>
  </si>
  <si>
    <t>2352-1538</t>
  </si>
  <si>
    <t>10.1016/j.est.2024.114235</t>
  </si>
  <si>
    <t>WOS:001344312400001</t>
  </si>
  <si>
    <t>Poblete, LI; Castillo, E; Moraga, NO</t>
  </si>
  <si>
    <t>Poblete, Luciano I.; Castillo, Ernesto; Moraga, Nelson O.</t>
  </si>
  <si>
    <t>Enhanced numerical modeling of natural heat convective phase change for generalized non-Newtonian fluids at high Rayleigh number</t>
  </si>
  <si>
    <t>INTERNATIONAL JOURNAL OF HEAT AND MASS TRANSFER</t>
  </si>
  <si>
    <t>Numerical modeling of convective heat transfer employing non-Newtonian fluids is a key issue and represent an interesting challenge in many engineering applications. For this reason, this work develops an enhanced numerical model to predict fast and accurately the convective phase change for generalized non-Newtonian fluids. The strongly thermally coupled model is solved by an improved pressure-correction algorithm (SIMPLERnP) and the Finite Volume Method with accuracy of the third order for the transient terms and second order for the convective boundary conditions and the velocity gradients that allows to calculate the apparent viscosity. The study examines the natural heat convective solidification of the ternary Al-27 %Cu-5.25 %Si alloy with the Herschel-Bulkley rheology at a high Rayleigh number (&gt;10(7)). In addressing the main problem, four crucial aspects are discussed: the validation of the numerical scheme with numerical and experimental results; the modeling of the non-linear temperature variation of the liquid phase change fraction; the non-Newtonian effects of the power index (0.1 &lt;= n &lt;= 1.9) and yield stress (0 &lt;=tau(0)&lt;= 5 Pa) on the heat transfer mechanisms; and finally, the time of computation with the high-order numerical scheme and the enhanced pressure-correction algorithm. The main finding is that FVM/SIMPLERnP provides a significant reduction in the time of computation compared to reliable pressure-correction schemes (SIMPLER and IDEAL), being a robust, accurate and efficient scheme to solve complex natural heat convective phase change problems involve generalized non-Newtonian fluids at highRayleigh numbers.</t>
  </si>
  <si>
    <t>MORAGA, NELSON/0000-0002-5208-4221</t>
  </si>
  <si>
    <t>0017-9310</t>
  </si>
  <si>
    <t>1879-2189</t>
  </si>
  <si>
    <t>AUG 15</t>
  </si>
  <si>
    <t>10.1016/j.ijheatmasstransfer.2024.125642</t>
  </si>
  <si>
    <t>MAY 2024</t>
  </si>
  <si>
    <t>WOS:001325609200001</t>
  </si>
  <si>
    <t>Moreno, X; Moreno, F</t>
  </si>
  <si>
    <t>Moreno, Ximena; Moreno, Francisco</t>
  </si>
  <si>
    <t>Attitudes towards seeking psychological help among community dwelling older adults enrolled in primary care in Chile</t>
  </si>
  <si>
    <t>BMC GERIATRICS</t>
  </si>
  <si>
    <t>Background Depression and anxiety are common mental disorders among older adults, but they are frequently underdiagnosed. Attitudes towards seeking professional mental health care is one of the barriers to access to treatment. This study was aimed at assessing the attitudes towards seeking psychological help among older adults who are enrolled in primary care in Chile, and to determine the associated factors.Methods This cross-sectional study recruited 233 primary care users aged 65 or more years. The Attitudes Towards Seeking Professional Psychological Help was used. Reliability and factor analysis of this scale were carried out. The average scores of the scale and factors were calculated and compared, by selected variables. Multivariate linear regression was estimated to determine factors associated with attitudes towards seeking psychological help.Results Three factors were identified in the attitudes towards seeking psychological help: confidence in psychologists, coping alone with emotional problems, and predisposition to seek psychological help. On average, participants had a favorable attitude towards seeking psychological help, compared with previous research. Lower level of education, and risk of social isolation were inversely associated with these attitudes.Conclusion Strategies to improve mental health literacy and social connection among older adults, could have an impact on factors that mediate the access to mental health care, such as attitudes towards seeking psychological help, among people who have a lower level of education or are at risk of social isolation.</t>
  </si>
  <si>
    <t>Moreno, Ximena/0000-0002-0586-4364; Moreno, Francisco/0000-0001-9637-0919</t>
  </si>
  <si>
    <t>1471-2318</t>
  </si>
  <si>
    <t>10.1186/s12877-024-04986-3</t>
  </si>
  <si>
    <t>WOS:001225925400004</t>
  </si>
  <si>
    <t>Multifunctional Plants: Ecosystem Services and Undervalued Knowledge of Biocultural Diversity in Rural Communities-Local Initiatives for Agroecological Transition in Chile</t>
  </si>
  <si>
    <t>LAND</t>
  </si>
  <si>
    <t>With the aim of contributing to the understanding of plants' multifunctionality for sustainable agroecosystem management, the first part of this paper addresses the importance of functional biodiversity in the design of agroecological systems, including the local context in the generation of situated knowledge. The second part describes three participatory research experiences with local farmers across three locations in Chile. The first experience reports on the use of Dasyphyllum diacanthoides (endemic tree) as fodder. A second experience focuses on the establishment of Rosa spp. (invasive species) as an agroforestry system integrated into the landscape. Both experiences were collaborative efforts with farmer communities of the Andean Mountains in southern Chile. The final experience describes the use of different spontaneous aromatic and medicinal plants through biological corridors to encourage beneficial insects as natural controllers. All three research experiences reveal a lack of knowledge, decontextualization, and undervaluation of the biocultural diversity present in some traditional Chilean agroecosystems.</t>
  </si>
  <si>
    <t>2073-445X</t>
  </si>
  <si>
    <t>10.3390/land13010039</t>
  </si>
  <si>
    <t>WOS:001151529500001</t>
  </si>
  <si>
    <t>Romero-Gilbert, S; Castro-García, M; Díaz-Chamorro, H; Marambio, OG; Sánchez, J; Martin-Trasancos, R; Inostroza, M; García-Herrera, C; Pizarro, GD</t>
  </si>
  <si>
    <t>Romero-Gilbert, Sebastian; Castro-Garcia, Matias; Diaz-Chamorro, Hector; Marambio, Oscar G.; Sanchez, Julio; Martin-Trasancos, Rudy; Inostroza, Matias; Garcia-Herrera, Claudio; Pizarro, Guadalupe del C.</t>
  </si>
  <si>
    <t>Synthesis, Characterization and Catechol-Based Bioinspired Adhesive Properties in Wet Medium of Poly(2-Hydroxyethyl Methacrylate-co-Acrylamide) Hydrogels</t>
  </si>
  <si>
    <t>Hydrogels consist of crosslinked hydrophilic polymers from which their mechanical properties can be modulated for a wide variety of applications. In the last decade, many catechol-based bioinspired adhesives have been developed following the strategy of incorporating catechol moieties into polymeric backbones. In this work, in order to further investigate the adhesive properties of hydrogels and their potential advantages, several hydrogels based on poly(2-hydroxyethyl methacrylate-co-acrylamide) with N ' N-methylene-bisacrylamide (MBA), without/with L-3,4-dihydroxyphenylalanine (DOPA) as a catecholic crosslinker, were prepared via free radical copolymerization. 2-Hydroxyethyl methacrylate (HEMA) and acrylamide (AAm) were used as comonomers and MBA and DOPA both as crosslinking agents at 0.1, 0.3, and 0.5 mol.-%, respectively. The polymeric hydrogels were characterized by Fourier transform infrared spectroscopy (FT-IR), thermal analysis and swelling behavior analysis. Subsequently, the mechanical properties of hydrogels were determined. The elastic properties of the hydrogels were quantified using Young's modulus (stress-strain curves). According to the results herein, the hydrogel with a feed monomer ratio of 1:1 at 0.3 mol.-% of MBA and DOPA displayed the highest rigidity and higher failure shear stress (greater adhesive properties). In addition, the fracture lap shear strength of the biomimetic polymeric hydrogel was eight times higher than the initial one (only containing MBA); however at 0.5 mol.-% MBA/DOPA, it was only two times higher. It is understood that when two polymer surfaces are brought into close contact, physical self-bonding (Van der Waals forces) at the interface may occur in an -OH interaction with wet contacting surfaces. The hydrogels with DOPA provided an enhancement in the flexibility compared to unmodified hydrogels, alongside reduced swelling behavior on the biomimetic hydrogels. This approach expands the possible applications of hydrogels as adhesive materials, in wet conditions, within scaffolds that are commonly used as biomaterials in cartilage tissue engineering.</t>
  </si>
  <si>
    <t>Sanchez, Julio/AEO-4360-2022; Martin Trasancos, Rudy/ITV-2921-2023; PIZARRO, GUADALUPE/V-3353-2017; García-Herrera, Claudio/ABE-8991-2020</t>
  </si>
  <si>
    <t>Sanchez, Julio/0000-0003-4245-0096; Garcia-Herrera, Claudio/0000-0002-1283-8551</t>
  </si>
  <si>
    <t>10.3390/polym16020187</t>
  </si>
  <si>
    <t>WOS:001152936700001</t>
  </si>
  <si>
    <t>Vallejo, F; Díaz-Robles, L; Carné-Seco, V; Pino-Cortés, E; Espinoza-Pérez, A; Espinoza-Pérez, L</t>
  </si>
  <si>
    <t>Vallejo, Fidel; Diaz-Robles, Luis; Carne-Seco, Valentina; Pino-Cortes, Ernesto; Espinoza-Perez, Andrea; Espinoza-Perez, Lorena</t>
  </si>
  <si>
    <t>Hybrid porous media gasification of urban solid waste pre-treated by hydrothermal carbonization</t>
  </si>
  <si>
    <t>Global population growth and rising consumption levels have significantly increased resource use and energy demand, leading to higher greenhouse gas concentrations and increased waste output. As a result, alternative waste treatment methods for sustainable municipal solid waste (MSW) management are crucial. This research evaluates the efficiency of integrating hydrothermal carbonization (HTC) and gasification for an optimized MSW biomass blend. HTC was conducted for one hour at 220 degrees C in a 5 L reactor, followed by gasification in a hybrid porous medium gasifier. The study investigated the effects of different filtration speeds on combustion temperature and hydrogen concentrations. The results showed that a filtration speed of 35 cm/s resulted in a maximum combustion temperature of 1035.7 degrees C. The temperature remained consistent across filter speeds, while higher velocities yielded higher hydrogen concentrations. Additionally, increasing the filtration velocity raised temperatures in the hybrid bed while increasing the volumetric fraction of biomass decreased maximum temperatures. This research contributes to the understanding of merging HTC and gasification for MSW biomass blend treatment, aiming to reduce environmental impacts and costs while promoting renewable resources for long-term energy production.</t>
  </si>
  <si>
    <t>Cortés, Ernesto/Z-2777-2019; Espinoza, Lorena/GVU-7778-2022; Vallejo, Fidel/AAM-6353-2020; Espinoza Perez, Andrea Teresa/M-4426-2014</t>
  </si>
  <si>
    <t>Pino-Cortes, Ernesto/0000-0001-5133-2812; Vallejo, Fidel Ernesto/0000-0001-5835-298X; Espinoza Perez, Lorena/0000-0001-6737-8479; Espinoza Perez, Andrea Teresa/0000-0002-6362-9100</t>
  </si>
  <si>
    <t>SEP 20</t>
  </si>
  <si>
    <t>e0291838</t>
  </si>
  <si>
    <t>10.1371/journal.pone.0291838</t>
  </si>
  <si>
    <t>WOS:001088222800055</t>
  </si>
  <si>
    <t>Riquelme, N; Savignones, C; López, A; Zúñiga, RN; Arancibia, C</t>
  </si>
  <si>
    <t>Riquelme, Natalia; Savignones, Constanza; Lopez, Ayelen; Zuniga, Rommy N.; Arancibia, Carla</t>
  </si>
  <si>
    <t>Effect of Gelling Agent Type on the Physical Properties of Nanoemulsion-Based Gels</t>
  </si>
  <si>
    <t>COLLOIDS AND INTERFACES</t>
  </si>
  <si>
    <t>Senior populations may experience nutritional deficiencies due to physiological changes that occur during aging, such as swallowing disorders, where easy-to-swallow foods are required to increase comfort during food consumption. In this context, the design of nanoemulsion-based gels (NBGs) can be an alternative for satisfying the textural requirements of seniors. This article aimed to develop NBGs with different gelling agents, evaluating their physical properties. NBGs were prepared with a base nanoemulsion (d = 188 nm) and carrageenan (CA) or agar (AG) at two concentrations (0.5-1.5% w/w). The color, rheology, texture, water-holding capacity (WHC) and FT-IR spectra were determined. The results showed that the CA-based gels were more yellow than the AG ones, with the highest hydrocolloid concentration. All gels showed a non-Newtonian flow behavior, where the gels' consistency and shear-thinning behavior increased with the hydrocolloid concentration. Furthermore, elastic behavior predominated over viscous behavior in all the gels, being more pronounced in those with AG. Similarly, all the gels presented low values of textural parameters, indicating an adequate texture for seniors. The FT-IR spectra revealed non-covalent interactions between nanoemulsions and hydrocolloids, independent of their type and concentration. Finally, the CA-based gels presented a higher WHC than the AG ones. Therefore, NBG physical properties can be modulated according to gelling agent type in order to design foods adapted for seniors.</t>
  </si>
  <si>
    <t>Riquelme Hinojosa, Natalia Andrea/0000-0003-3490-1045; Arancibia, Carla/0000-0002-2174-3474; Zuniga, Rommy/0000-0002-4195-8085</t>
  </si>
  <si>
    <t>2504-5377</t>
  </si>
  <si>
    <t>10.3390/colloids7030049</t>
  </si>
  <si>
    <t>WOS:001071263900001</t>
  </si>
  <si>
    <t>Sánchez, CG; Orellana, SV; Contuliano, SV; Villavicencio, F; Olsen, M; Quintanilla, R; Cisternas, FO</t>
  </si>
  <si>
    <t>Sanchez, C. Guevara; Orellana, S. Vicencio; Contuliano, S. Vejar; Villavicencio, F.; Olsen, M.; Quintanilla, R.; Cisternas, F. Ortiz</t>
  </si>
  <si>
    <t>Is TGFß-1-signaling required for Nrf2-antioxidant pathway activation in a murine model of multiple sclerosis?</t>
  </si>
  <si>
    <t>GLIA</t>
  </si>
  <si>
    <t>16th European Meeting on Glial Cells in Health and Disease</t>
  </si>
  <si>
    <t>JUL 08-11, 2023</t>
  </si>
  <si>
    <t>Berlin, GERMANY</t>
  </si>
  <si>
    <t>Quintanilla, Ramon/D-9439-2011</t>
  </si>
  <si>
    <t>0894-1491</t>
  </si>
  <si>
    <t>1098-1136</t>
  </si>
  <si>
    <t>T16-020A</t>
  </si>
  <si>
    <t>E838</t>
  </si>
  <si>
    <t>WOS:001191372500701</t>
  </si>
  <si>
    <t>Beltrán, J; Walker, P; Jara, R</t>
  </si>
  <si>
    <t>Beltran, Jarnishs; Walker, Paula; Jara, Rene</t>
  </si>
  <si>
    <t>Hate and Incivilities in Hashtags against Women Candidates in Chile (2021-2022)</t>
  </si>
  <si>
    <t>SOCIAL SCIENCES-BASEL</t>
  </si>
  <si>
    <t>This study is interested in the phenomenon of violence in social networks against women who hold political office in the framework of the Chilean constitutional process (2021-2022). To study this major socio-political phenomenon, we have used the tracking database Women and Politics, composed of 2,912,732 Twitter posts mentioning women candidates and collected between July 2021 and September 2022. Based on this data, we analyzed the network of hashtags by electoral list at points in time: all 2021 messages, all 2022 messages and only hate messages published in 2022 (n = 563,223), codified by an automated detection method. The results of the study reveal that hashtags extracted from messages containing hate speech are better understood under the concept of incivilities. These were expressed in a two-phase electoral process: the presidential election and the constitutional plebiscite. The implications and limits of this study are discussed and considered in context in the conclusion.</t>
  </si>
  <si>
    <t>jara reyes, rene/JAZ-0211-2023</t>
  </si>
  <si>
    <t>beltran, jarnishs/0000-0001-6867-5950; Jara Reyes, Rene Eduardo/0000-0001-8203-5917</t>
  </si>
  <si>
    <t>2076-0760</t>
  </si>
  <si>
    <t>10.3390/socsci12030180</t>
  </si>
  <si>
    <t>WOS:000959904800001</t>
  </si>
  <si>
    <t>Fuentes, R; Cerda, J; Rigotti, A; Ferrari, G</t>
  </si>
  <si>
    <t>Fuentes, Rodrigo; Cerda, Jaime; Rigotti, Attilio; Ferrari, Gerson</t>
  </si>
  <si>
    <t>Association Between Perceived Neighborhood Built Environment And Domain-specific Physical Activity In Chilean Adults</t>
  </si>
  <si>
    <t>MEDICINE &amp; SCIENCE IN SPORTS &amp; EXERCISE</t>
  </si>
  <si>
    <t>Ferrari, Gerson/HHM-6173-2022; Ferrari, Gerson/P-1152-2014</t>
  </si>
  <si>
    <t>Ferrari, Gerson/0000-0003-3177-6576</t>
  </si>
  <si>
    <t>WOS:000888056602072</t>
  </si>
  <si>
    <t>Palma, JG</t>
  </si>
  <si>
    <t>Gabriel Palma, Jose</t>
  </si>
  <si>
    <t>Latin America is the region with the lowest productivity growth in the world since the neoliberal reforms. The new middle income trap: Easy rents do not exactly generate Schumpeterian elites</t>
  </si>
  <si>
    <t>TRIMESTRE ECONOMICO</t>
  </si>
  <si>
    <t>The middle-income trap in Latin America is about its inability to redesign productive strategies when the existing ones have become exhausted. Indolent elites, accustomed to living off easy rents, and neophobic states have become again the main obstacle to change. It already happened during the period of import substitution, and it is now happening again when the merely extractive model in the South of the region and the assembly model in the North have become exhausted. Instead of reigniting productivity growth by adding value to primary exports and strengthening backward linkages in extractive activities in one, or of deepening assembly manufacturing in the other-along with transforming the green issue into a new engine of productivity growth-what continues to prevail in the region is the more of the same but, hopefully, better, preached by orthodox economists and reinforced by new investment-protection treaties. All of this traps the region in an interregnum where the old fades away (since it gave all it could offer), but the new fails to be born-a scenario I have called our Gramscian moment. Despite a diversity of new progressive discourses, in Latin America (as in Hotel California), we are all just prisoners here, of our own device, with our social imagination still trapped in the absolute certainties of the still hegemonic neoliberal ideology- as if the region was in a state of addiction to an impoverished life. Perhaps this is what the young, women, and native people rebelled against in Chile in the social outbreak of October 2019.</t>
  </si>
  <si>
    <t>0041-3011</t>
  </si>
  <si>
    <t>10.20430/ete.v89i355.1595</t>
  </si>
  <si>
    <t>WOS:000822837400009</t>
  </si>
  <si>
    <t>Espinoza, LU</t>
  </si>
  <si>
    <t>Ubilla Espinoza, Lorena</t>
  </si>
  <si>
    <t>INCORRIGIBLE ROGUES AND MOTHS. REPRESENTATIONS, CRIMES AND CHILD DELINQUENCY IN CHILE, 1900-1930</t>
  </si>
  <si>
    <t>In the first three decades of the twentieth century there was a growing public interest in the living conditions of lower-class children in Chile. Official and mass media reported on and applauded the setting-up of new institutions devoted to reforming those who committed crimes or used the streets as their space for working, getting about and socializing. Based on the analysis of representations of delinquent children published by the press, the Boletin de la Policia de Santiago and the Sucesos magazine, this article discusses that the strategies to reform the lives of lower-class children, were to eliminate vagrancy and to adopt work ethics. In the context of the cuestion social y politica, both goals conveyed the association of poverty with crime, which was a common view among the ruling classes.</t>
  </si>
  <si>
    <t>WOS:000976783400007</t>
  </si>
  <si>
    <t>Bachelet, VC; Silva-Ayarza, I; Lizana, FJ; Gomolán, P; Silva-Villalobos, D; Navarrete, MS</t>
  </si>
  <si>
    <t>Bachelet, Vivienne C.; Silva-Ayarza, Ignacio; Lizana, Francisca J.; Gomolan, Patricio; Silva-Villalobos, Diego; Navarrete, Maria S.</t>
  </si>
  <si>
    <t>SARS-CoV-2 humoral immune response in patients with cardiovascular risk factors: the COmmunity Cohort Study protocol</t>
  </si>
  <si>
    <t>BMJ OPEN</t>
  </si>
  <si>
    <t>Introduction The COmmunity Cohort Study aims to determine, after natural exposure to SARS-CoV-2 or anti-SARS-CoV-2 vaccines deployed in Chile to prevent COVID-19 in the context of the current pandemic, the strength and duration of detectable neutralising antibodies in adult ambulatory primary care patients with cardiovascular risk factors. Methods and analysis We will set up a community-based longitudinal, prospective cohort study. The study will be conducted in two public outpatient clinics located in the southern district of Santiago, Chile. We expect to begin recruitment in the second quarter of 2022. Each patient will be followed up for at least 1 year after inclusion in the cohort. The eligible population will be adult patients registered in the Cardiovascular Health Programme. Exposure in this study is defined as any event where participants have contact with SARS-CoV-2 antigens from natural exposure or vaccination. The primary outcomes are seroconversion and strength and duration of the neutralising IgG antibodies to SARS-CoV-2. Secondary outcomes are any COVID-19-related event or intercurrent morbidities or death. Data will be collected by extracting serial blood samples and administering a questionnaire at the first face-to-face contact and monthly follow-up time points. The sample size estimated for this study is 1060. We will characterise the cohort, determine the seroprevalence rate of neutralising antibodies at baseline and determine the rates of antibody decline using a longitudinal mixed-effects model. Ethics and dissemination The Scientific Ethics Committee of the South Metropolitan Health Care Service approved the study protocol (Memorandum No 191/2021). We will present the results in two peer-reviewed publications and national and international professional and academic meetings. We will organise seminars with relevant stakeholders and hold town hall meetings with the local community. We will set up a COmmunity Cohort Study website at www.communitystudy.cl to disseminate the study purpose, research team and milestones.</t>
  </si>
  <si>
    <t>Bachelet, Vivienne/JAN-7158-2023; NAVARRETE, MARISOL/AAG-4222-2020; Silva Ayarza, Ignacio/KYQ-4699-2024</t>
  </si>
  <si>
    <t>Silva Villalobos, Diego/0000-0002-8986-669X; Bachelet, Vivienne C./0000-0002-5715-9755; Silva Ayarza, Ignacio/0000-0002-6996-3695; Navarrete, Maria S/0000-0002-5411-4498</t>
  </si>
  <si>
    <t>2044-6055</t>
  </si>
  <si>
    <t>e061345</t>
  </si>
  <si>
    <t>10.1136/bmjopen-2022-061345</t>
  </si>
  <si>
    <t>WOS:000798799500013</t>
  </si>
  <si>
    <t>Derpich, I; Sepúlveda, JM; Barraza, R; Castro, F</t>
  </si>
  <si>
    <t>Derpich, Ivan; Sepulveda, Juan M.; Barraza, Rodrigo; Castro, Fernanda</t>
  </si>
  <si>
    <t>Warehouse Optimization: Energy Efficient Layout and Design</t>
  </si>
  <si>
    <t>It has been widely demonstrated by many research works that the distribution of a factory can condition its productivity. Because of this, a factory in Santiago, Chile, asked the authors for advice to evaluate the current situation in the company and what alternatives could be proposed to improve performance by increasing productivity without incurring too high costs. Among the most important requirements requested was a study of the current design of the raw materials warehouse within the plant since this is a main pillar in the design of the plant. For this purpose, the current layout ws analyzed and alternative designs were proposed under two scenarios: use the same area that is currently available or make the design from scratch considering land purchases to build the warehouse. In order to give a precise answer to many possible design decisions, formulations were developed and deduced to calculate the optimal dimensions of the warehouse, and qualitative criteria were incorporated for decision making.</t>
  </si>
  <si>
    <t>derpich, ivan/T-1160-2019; Barraza, Rodrigo/HDN-4798-2022</t>
  </si>
  <si>
    <t>Castro, Fernanda/0000-0001-5476-9091; Derpich, Ivan/0000-0001-9759-7285; Barraza, Rodrigo/0000-0002-8777-2083; Sepulveda, Juan M./0000-0003-3755-0981</t>
  </si>
  <si>
    <t>10.3390/math10101705</t>
  </si>
  <si>
    <t>WOS:000801342800001</t>
  </si>
  <si>
    <t>Lavín, SO; Velásquez, D</t>
  </si>
  <si>
    <t>Osorio Lavin, Sebastian; Velasquez, Diego</t>
  </si>
  <si>
    <t>The union power during the Social Outburst in Chile. The general strike in November 2019</t>
  </si>
  <si>
    <t>The protest wave in October 2019 in Chile has been described as a spontaneous and unorganized event. However, an in-depth analysis shows the active participation of trade unions. To understand the specific unionism's role in the revolt, this research investigate how power resources' deployment impacted on the force that the general strike had on the political arena. Results suggest that the strike' success was based on associative resource, which allowed an extraordinary participation of workers from different economic sectors; and societal resource, that allowed a massive protest through the alliance with other social actors, generating a pressure which forces the political system to open a constituent process, and reaffirming the relevance of trade unionism and the strike as the main protest tactic in a social mobilization context.</t>
  </si>
  <si>
    <t>Velasquez, Diego/GQB-5513-2022</t>
  </si>
  <si>
    <t>Velasquez, Diego/0000-0001-5351-1961</t>
  </si>
  <si>
    <t>10.22325/fes/res.2022.91</t>
  </si>
  <si>
    <t>WOS:000740277000014</t>
  </si>
  <si>
    <t>Macía, YM; Machuca, PR; Soto, AAR; Campos, RC</t>
  </si>
  <si>
    <t>Masip Macia, Yunesky; Rodriguez Machuca, Pablo; Rodriguez Soto, Angel Alexander; Carmona Campos, Roberto</t>
  </si>
  <si>
    <t>Green Hydrogen Value Chain in the Sustainability for Port Operations: Case Study in the Region of Valparaiso, Chile</t>
  </si>
  <si>
    <t>The paper presents a complete value chain for the use of green hydrogen in a port facility. The main objective was to propose the sizing of the main components that make up green hydrogen to ensure the supply of 1 MWe in replacing the diesel generator. The energy demand required for the port was determined by establishing the leading small and large-scale conventional energy-consuming equipment. Hence, 60 kg(H2) was required to ensure the power supply. The total electrical energy to produce all the hydrogen was generated from photovoltaic solar energy, considering three-generation scenarios (minimum, maximum and the annual average). In all cases, the energy supply in the electrolyzer was 3.08 MWe. In addition, the effect of generating in the port facility using a diesel generator and a fuel cell was compared. The cost of 1 kg(H2) could be 4.09 times higher than the cost of 1 L of diesel, meaning that the output kWh of each system is economically similar. In addition, the value of electrical energy through a Power Purchase Agreement (PPA) was a maximum of 79.79 times the value of a liter of diesel. Finally, the Levelized Cost of Energy (LCOE) was calculated for two conditions in which the MWe was obtained from the fuel cell without and with the photovoltaic solar plant.</t>
  </si>
  <si>
    <t>Rodríguez Soto, Angel/JZD-8317-2024; Macía, Yunesky/D-5888-2016</t>
  </si>
  <si>
    <t>Masip Macia, Yunesky/0000-0003-4455-1819; Rodriguez, Pablo/0009-0007-8365-8201; Rodriguez Soto, Angel Alexander/0000-0002-5512-9288</t>
  </si>
  <si>
    <t>10.3390/su132413681</t>
  </si>
  <si>
    <t>WOS:000742877400001</t>
  </si>
  <si>
    <t>Ferreira, MC; Ubilla, P</t>
  </si>
  <si>
    <t>Ferreira, Marcelo C.; Ubilla, Pedro</t>
  </si>
  <si>
    <t>A Critical Concave-Convex Kirchhoff-Type Equation in R4 Involving Potentials Which May Vanish at Infinity</t>
  </si>
  <si>
    <t>We establish the existence and multiplicity of solutions for a Kirchhoff-type problem in R-4 involving a critical and concave-convex nonlinearity. Since in dimension four, the Sobolev critical exponent is 2* = 4, there is a tie between the growth of the nonlocal term and the critical nonlinearity. This turns out to be a challenge to study our problem from the variational point of view. Some of the main tools used in this paper are the mountain-pass and Ekeland's theorems, Lions' Concentration Compactness Principle and an extension to RN of the Struwe's global compactness theorem.</t>
  </si>
  <si>
    <t>Ferreira, Marcelo/0000-0001-6573-0635</t>
  </si>
  <si>
    <t>10.1007/s00023-021-01105-5</t>
  </si>
  <si>
    <t>SEP 2021</t>
  </si>
  <si>
    <t>WOS:000691966300001</t>
  </si>
  <si>
    <t>Salazar, DB; Williams, C</t>
  </si>
  <si>
    <t>Barrera Salazar, Daniel; Williams, Chris</t>
  </si>
  <si>
    <t>Parabolic eigenvarieties via overconvergent cohomology</t>
  </si>
  <si>
    <t>Let G be a connected reductive group over Q such that G = G/Q(p) is quasi-split, and let Q subset of G be a parabolic subgroup. We introduce parahoric overconvergent cohomology groups with respect to Q, and prove a classicality theorem showing that the small slope parts of these groups coincide with those of classical cohomology. This allows the use of overconvergent cohomology at parahoric, rather than Iwahoric, level, and provides flexible lifting theorems that appear to be particularly well-adapted to arithmetic applications. When Q is a Borel, we recover the usual theory of overconvergent cohomology, and our classicality theorem gives a stronger slope bound than in the existing literature. We use our theory to construct Q-parabolic eigenvarieties, which parametrise p-adic families of systems of Hecke eigenvalues that are finite slope at Q, but that allow infinite slope away from Q.</t>
  </si>
  <si>
    <t>Williams, Chris/0000-0001-8545-0286; Barrera Salazar, daniel/0000-0002-5677-2339</t>
  </si>
  <si>
    <t>10.1007/s00209-021-02707-9</t>
  </si>
  <si>
    <t>WOS:000625342900002</t>
  </si>
  <si>
    <t>Pizarro, C; Escudey, M; Bravo, C; Gacitua, M; Pavez, L</t>
  </si>
  <si>
    <t>Pizarro, Carmen; Escudey, Mauricio; Bravo, Camila; Gacitua, Manuel; Pavez, Lynda</t>
  </si>
  <si>
    <t>Sulfate Kinetics and Adsorption Studies on a Zeolite/Polyammonium Cation Composite for Environmental Remediation</t>
  </si>
  <si>
    <t>Sulfide mineral mining produces highly sulfate-contaminated wastewater which needs to be treated before disposal. A composite material was made from natural zeolite (NZ) and Superfloc(R) SC-581, a polyammonium cationic polymer. The resulting modified zeolite (MZ) demonstrated improved capacity for sulfate abatement from wastewater compared to NZ. Above pH 4.0, MZ retained positive surface charge while NZ remained negative. The effect of the ionic strength on the adsorption process was evaluated. Sulfate adsorption capacity was assessed and revealed MZ to be superior to NZ in all cases. Adsorption kinetics reached equilibrium after 10-12 h, with MZ adsorption being twice that of NZ; data fitted a pseudo-second order kinetic model. Adsorption isotherms reflected the high capacity of MZ for sulfate adsorption with maximum of 3.1 mg g(-1), while NZ only achieved 1.5 mg g(-1). The process corresponds to heterogeneous partially reversible adsorption of ionic species over the solid adsorbent. Langmuir-Freundlich parameters revealed that adsorption over MZ corresponds to an interaction eight times stronger than that on NZ. The sulfate adsorption pattern changes with ionic strength. Taken together, the composite formed between natural zeolite and polyammonium represents an adsorbent that maintains the adsorption capacity of zeolite and proves suitable for anionic species removal. Further prospect considers the testing of the composite with other anionic pollutants (arsenate, phosphate, perchlorate, etc.)</t>
  </si>
  <si>
    <t>Pavez, Lynda/KFQ-7462-2024; Gacitua, Manuel/R-8868-2019</t>
  </si>
  <si>
    <t>Gacitua, Manuel/0000-0003-0807-2677; Pavez, Lynda/0000-0002-4010-1768; Pizarro, Carmen/0000-0003-4927-5681</t>
  </si>
  <si>
    <t>10.3390/min11020180</t>
  </si>
  <si>
    <t>WOS:000622846700001</t>
  </si>
  <si>
    <t>Becerra, CGH</t>
  </si>
  <si>
    <t>Mirow, MC; Domingo, R</t>
  </si>
  <si>
    <t>Garcia-Huidobro Becerra, Cristobal</t>
  </si>
  <si>
    <t>Justo Donoso Vivanco (Chile, 1800-68)</t>
  </si>
  <si>
    <t>LAW AND CHRISTIANITY IN LATIN AMERICA: The Work of Great Jurists</t>
  </si>
  <si>
    <t>Law and Religion</t>
  </si>
  <si>
    <t>978-1-003-02025-7; 978-0-367-89641-6</t>
  </si>
  <si>
    <t>WOS:000749002300007</t>
  </si>
  <si>
    <t>Parra, M; Espinoza, D; Valdes, N; Vargas, R; Gonzalez, A; Modak, B; Tello, M</t>
  </si>
  <si>
    <t>Parra, Mick; Espinoza, Daniela; Valdes, Natalia; Vargas, Rodrigo; Gonzalez, Alex; Modak, Brenda; Tello, Mario</t>
  </si>
  <si>
    <t>Microbiota Modulates the Immunomodulatory Effects of Filifolinone on Atlantic Salmon</t>
  </si>
  <si>
    <t>Filifolinone is an aromatic geranyl derivative, a natural compound isolated fromHeliotropum sclerocarpum, which has immunomodulatory effects on Atlantic salmon, upregulating cytokines involved in Th1-type responses through a mechanism that remains unknown. In this work, we determined whether the immunomodulatory effects of filifolinone depend on the host microbiotic composition. We evaluated the effect of filifolinone on immune genes and intestinal microbiotic composition of normal fish and fish previously treated with bacitracin/neomycin. Filifolinone induced the early expression of IFN-alpha 1 and TGF-beta, followed by the induction of TNF-alpha, IL-1 beta, and IFN-gamma. A pre-treatment with antibiotics modified this effect, mainly changing the expression of IL-1 beta and IFN-gamma. The evaluation of microbial diversity shows that filifolinone modifies the composition of intestinal microbiota, increasing the abundance of immunostimulating organisms like yeast and firmicutes. We identified 69 operational taxonomic units (OTUs) associated with filifolinone-induced IFN-gamma. Our results indicate that filifolinone stimulates the immune system in two ways, one dependent on fish microbiota and the other not. To our knowledge, this is the first report of microbiota-dependent immunostimulation in Salmonids.</t>
  </si>
  <si>
    <t>Vargas, Rodrigo/C-4720-2008; Tello, Mario/N-4198-2019; González, Alex/GYU-3220-2022; Valdes, Natalia/AAI-8151-2021</t>
  </si>
  <si>
    <t>Modak Canobra, Brenda/0000-0001-5292-0480; Espinoza, Daniela/0000-0002-9765-7468; Gonzalez, Alex/0000-0001-9968-8623; valdes parra, Natalia/0000-0002-6884-7799; Tello, Mario/0000-0003-4573-6460</t>
  </si>
  <si>
    <t>10.3390/microorganisms8091320</t>
  </si>
  <si>
    <t>WOS:000581974700001</t>
  </si>
  <si>
    <t>Sepulveda, J; Bull, J</t>
  </si>
  <si>
    <t>Ahram, T; Karwowski, W; Pickl, S; Taiar, R</t>
  </si>
  <si>
    <t>Sepulveda, Juan; Bull, Jessica</t>
  </si>
  <si>
    <t>A Model-Driven Decision Support System for Aid in a Natural Disaster</t>
  </si>
  <si>
    <t>HUMAN SYSTEMS ENGINEERING AND DESIGN II</t>
  </si>
  <si>
    <t>Advances in Intelligent Systems and Computing</t>
  </si>
  <si>
    <t>2nd International Conference on Human Systems Engineering and Design (IHSED) - Future Trends and Applications</t>
  </si>
  <si>
    <t>SEP 16-18, 2019</t>
  </si>
  <si>
    <t>Univ Bundeswehr Munchen, Munich, GERMANY</t>
  </si>
  <si>
    <t>Univ Bundeswehr Munchen</t>
  </si>
  <si>
    <t>This article deals with the architecture of a support system for helping decision makers in optimizing aid distribution during natural disaster situations. In such type of events, one of the critical tasks is the transportation of staff, people, food and medicines. Given the complexity of the operations scheduling, the article proposes a model-driven decision support system with an embedded module for solving a vehicle routing problem.</t>
  </si>
  <si>
    <t>Sepulveda, Juan M./0000-0003-3755-0981</t>
  </si>
  <si>
    <t>2194-5357</t>
  </si>
  <si>
    <t>2194-5365</t>
  </si>
  <si>
    <t>978-3-030-27928-8; 978-3-030-27927-1</t>
  </si>
  <si>
    <t>10.1007/978-3-030-27928-8_79</t>
  </si>
  <si>
    <t>WOS:000625366900079</t>
  </si>
  <si>
    <t>Ortega, CMV; Galaz, CPM; Rivas, CAH; Silva, CH</t>
  </si>
  <si>
    <t>Vanegas Ortega, Carlos Mario; Martinez Galaz, Carolina Paz; Henriquez Rivas, Carolina Andrea; Hernandez Silva, Carla</t>
  </si>
  <si>
    <t>Trainers in didactic of sciences and mathematics: The inter-institutional collaborative self-study as an engine of transformation of university teaching</t>
  </si>
  <si>
    <t>REVISTA IBEROAMERICANA DE EDUCACION</t>
  </si>
  <si>
    <t>Within the framework of the professional challenges posed by university teaching today, in this article we characterize the reflexive processes that we live as didactics of experimental sciences and mathematics, when we develop an inter-institutional collaborative self-study. For this, we have adapted the Deweynian cycle according to two reflexive processes: the first, of self-confrontation about what happens in our university classes in contrast to the points made by students using tickets out, and the second, of resignification of university teaching with critics friends. The results show that each didact underwent different processes of reflection regarding the dimensions related to the students, the context, the specific teaching and professionalism. In addition, we demonstrate that didactic knowledge allows the configuration of differentiating reflective and identity processes that are key in the understanding and resignification of pedagogical practices.</t>
  </si>
  <si>
    <t>Vanegas-Ortega, Carlos/N-2296-2014; Hernández Silva, Carla/O-5942-2019</t>
  </si>
  <si>
    <t>1022-6508</t>
  </si>
  <si>
    <t>1681-5653</t>
  </si>
  <si>
    <t>JAN-APR</t>
  </si>
  <si>
    <t>10.35362/rie8213684</t>
  </si>
  <si>
    <t>WOS:000508019600004</t>
  </si>
  <si>
    <t>Vidal, M; Pastenes, C; Rezende, MC; Aliaga, C; Domínguez, M</t>
  </si>
  <si>
    <t>Vidal, Matias; Pastenes, Camila; Caroli Rezende, Marcos; Aliaga, Carolina; Dominguez, Moises</t>
  </si>
  <si>
    <t>The inverted solvatochromism of protonated ferrocenylethenyl-pyrimidines: the first example of the solvatochromic reversal of a hybrid organic/inorganic dye</t>
  </si>
  <si>
    <t>Five new solvatochromic 2,6-diaryl-4-ferrocenylethenylpyrimidines were synthesized and their spectral variations in solution investigated in twenty-seven solvents of variable polarity. Their observed positive solvatochromism in HBD- and non-HBD-solvents changed to an inverted behavior upon protonation of the pyrimidine ring by the addition of trifluoroacetic acid. Multiparametric analysis of the solvatochromic band of the protonated dyes showed that the solvent acidity and polarizability were mainly responsible for their inverted behavior, which arose from an internal charge-transfer from the ferrocene fragment to the pyrimidinium acceptor, confirmed by theoretical calculations.</t>
  </si>
  <si>
    <t>Caroli, Marcos/H-3570-2019; Domínguez, Moisés/P-2227-2019</t>
  </si>
  <si>
    <t>Dominguez, Moises/0000-0002-8444-3065</t>
  </si>
  <si>
    <t>DEC 7</t>
  </si>
  <si>
    <t>10.1039/c9qo01043b</t>
  </si>
  <si>
    <t>WOS:000498642500013</t>
  </si>
  <si>
    <t>Candia-Onfray, C; Espinoza, N; da Silva, EBS; Toledo-Neira, C; Espinoza, LC; Santander, R; García, V; Salazar, R</t>
  </si>
  <si>
    <t>Candia-Onfray, Christian; Espinoza, Nicole; Sabino da Silva, Evanimek B.; Toledo-Neira, Carla; Carolina Espinoza, L.; Santander, Rocio; Garcia, Veronica; Salazar, Ricardo</t>
  </si>
  <si>
    <t>Treatment of winery wastewater by anodic oxidation using BDD electrode</t>
  </si>
  <si>
    <t>CHEMOSPHERE</t>
  </si>
  <si>
    <t>The effective removal of organics from winery wastewater was obtained in real residual effluents from the wine industry using anodic oxidation (AO). The effluent had an initial organic load of [COD](0) of 3490 mg L-1 equal to [TOC](0) of 1320 mg L-1. In addition, more than 40 organic compounds were identified by means of GC-MS. Different density currents as well as the addition of electrolytes were tested during electrolysis. The results show the decay of [COD](t) by 63.6% when no support electrolyte was added, whereas almost total mineralization and disinfection was reached after adding of 50 mM of sodium sulfate and sodium chloride and applying higher density currents. The presence of sulfate and chloride in large concentration favors the production of oxidants such as hydroxyl radicals and active chlorine species that react with organics in solution. Moreover, the addition of a supporting electrolyte to industrial wastewater increases conductivity, reduces cell potential and therefore, decreases the energy consumption of the AO process. (C) 2018 Elsevier Ltd. All rights reserved.</t>
  </si>
  <si>
    <t>García, Verónica/AAM-1175-2021; Villalobos, Nicole/AAK-2521-2021; da Silva, Evanimek/AAC-3106-2019; Espinoza, Carolina/HSH-9507-2023; Santander, Rocio/K-7645-2013; Salazar, Ricardo/L-7870-2013; Candia-Onfray, Christian/AHB-7261-2022</t>
  </si>
  <si>
    <t>garcia, veronica/0000-0002-5312-925X; Salazar-Gonzalez, Ricardo/0000-0003-2180-6022; Onfray, Christian/0000-0001-5485-9169; Sabino da Silva, Evanimek Bernardo/0000-0002-9668-8801; Toledo Neira, Carla Beatriz/0000-0003-2872-3043; Espinoza, L. Carolina/0000-0002-6021-0742</t>
  </si>
  <si>
    <t>0045-6535</t>
  </si>
  <si>
    <t>1879-1298</t>
  </si>
  <si>
    <t>10.1016/j.chemosphere.2018.04.175</t>
  </si>
  <si>
    <t>WOS:000436215600079</t>
  </si>
  <si>
    <t>Valdebenito, OF; Tapia, AMF; Durán, CJ</t>
  </si>
  <si>
    <t>Figueroa Valdebenito, Oriana; Fernandez Tapia, Ana Maria; Jara Duran, Carolina</t>
  </si>
  <si>
    <t>Why Are We Unfaithful? Initial Application of a Scale to Estimate the Reasons why Men and Women Are Unfaithful</t>
  </si>
  <si>
    <t>REVISTA IBEROAMERICANA DE DIAGNOSTICO Y EVALUACION-E AVALIACAO PSICOLOGICA</t>
  </si>
  <si>
    <t>This research aimed at generating a scale about the reasons for infidelity in men and women, from an evolutionary perspective. The Reasons for Infidelity Scale (RPI) was administered to 311 undergraduate and graduate students from Universidad de Santiago de Chile. The results exhibited acceptable internal consistency and moderate temporal stability 40 days after the initial application. An exploratory factor analysis resulted in two dimensions to account for the 12 items in the final scale: relationship dissatisfaction and sexuality. A positive association of the dimension of sexuality of the RPI and sociosexuality, as well as a negative correlation of the dimension of sexuality of the RPI and relationship quality evidenced the convergent validity of the scale. Sex differences were observed in the dimension of sexuality. These results are consistent with the predictions in which the study is based.</t>
  </si>
  <si>
    <t>Figueroa, Oriana/IRZ-9301-2023; Fernandez, Ana Maria/E-6429-2011</t>
  </si>
  <si>
    <t>Fernandez, Ana Maria/0000-0003-4132-5891; Figueroa, Oriana/0000-0003-0571-9826</t>
  </si>
  <si>
    <t>2183-6051</t>
  </si>
  <si>
    <t>10.21865/RIDEP48.3.02</t>
  </si>
  <si>
    <t>WOS:000440873000003</t>
  </si>
  <si>
    <t>Guerrero, C; Vera, C; Illanes, A</t>
  </si>
  <si>
    <t>Guerrero, Cecilia; Vera, Carlos; Illanes, Andres</t>
  </si>
  <si>
    <t>Selective bioconversion with yeast for the purification of raw lactulose and transgalactosylated oligosaccharides</t>
  </si>
  <si>
    <t>INTERNATIONAL DAIRY JOURNAL</t>
  </si>
  <si>
    <t>Raw transgalactosylated oligosaccharides (raw TOS) obtained by enzymatic synthesis with Aspergillus oryzae beta-galactosidase were purified by selective bioconversion with Saccharomyces cerevisiae ATCC4126 and Kluyveromyces marxianus NRLLY-1109. Monosaccharides were completely removed by S. cerevisiae and K. marxianus from raw TOS without any nutrient supplementation. The effect of the biomass to carbohydrate mass ratio on the purity and specific productivity of removal of sugars was assessed with S. cerevisiae, where both effects were significant. Purity obtained with a collection strain of S. cerevisiae and bakers' yeast was compared, the latter being higher after 24 h of bioconversion. A product free of monosaccharides was obtained with a purity (0.48; 28% lactulose and 20% oligosaccharides), similar to that of commercial galacto-oligosaccharide preparations. The possibility of yeast recovery and reuse in sequential batch operation was assessed: two batches could be performed before a significant reduction in monosaccharide removal was seen. (c) 2018 Elsevier Ltd. All rights reserved.</t>
  </si>
  <si>
    <t>vera, Carlos/G-5240-2019</t>
  </si>
  <si>
    <t>Vera Vera, Carlos Felipe/0000-0003-2179-9467; Guerrero, Cecilia/0000-0002-4701-3525</t>
  </si>
  <si>
    <t>0958-6946</t>
  </si>
  <si>
    <t>1879-0143</t>
  </si>
  <si>
    <t>10.1016/j.idairyj.2018.02.003</t>
  </si>
  <si>
    <t>WOS:000428922700017</t>
  </si>
  <si>
    <t>Hàn, H; Jiménez, A</t>
  </si>
  <si>
    <t>Hiep Han; Jimenez, Andrea</t>
  </si>
  <si>
    <t>Maximum number of sum-free colorings in finite abelian groups</t>
  </si>
  <si>
    <t>ISRAEL JOURNAL OF MATHEMATICS</t>
  </si>
  <si>
    <t>An r-coloring of a subset A of a finite abelian group G is called sum-free if it does not induce a monochromatic Schur triple, i.e., a triple of elements a, b, c a A with a + b = c. We investigate kappa (r) ,G, the maximum number of sum-free r-colorings admitted by subsets of G, and our results show a close relationship between kappa (r) ,G and largest sum-free sets of G. Given a sufficiently large abelian group G of type I, i.e., |G| has a prime divisor q with q ae 2 (mod 3). For r = 2, 3 we show that a subset A aS, G achieves kappa (r) ,G if and only if A is a largest sum-free set of G. For even order G the result extends to r = 4, 5, where the phenomenon persists only if G has a unique largest sum-free set. On the contrary, if the largest sum-free set in G is not unique, then A attains kappa (r) ,G if and only if it is the union of two largest sum-free sets (in case r = 4) and the union of three (independent) largest sum-free sets (in case r = 5). Our approach relies on the so called container method and can be extended to larger r in case G is of even order and contains sufficiently many largest sum-free sets.</t>
  </si>
  <si>
    <t>Jimenez, Andrea/R-9186-2017; Han, Hiep/IVV-0527-2023</t>
  </si>
  <si>
    <t>Jimenez, Andrea/0000-0002-6671-1599; Han, Hiep/0000-0001-7757-7244</t>
  </si>
  <si>
    <t>0021-2172</t>
  </si>
  <si>
    <t>1565-8511</t>
  </si>
  <si>
    <t>10.1007/s11856-018-1705-1</t>
  </si>
  <si>
    <t>WOS:000437012800001</t>
  </si>
  <si>
    <t>Barbay, J; Perez-Lantero, P; Rojas-Ledesma, J</t>
  </si>
  <si>
    <t>Wang, L; Zhu, D</t>
  </si>
  <si>
    <t>Barbay, Jeremy; Perez-Lantero, Pablo; Rojas-Ledesma, Javiel</t>
  </si>
  <si>
    <t>Computing Coverage Kernels Under Restricted Settings</t>
  </si>
  <si>
    <t>COMPUTING AND COMBINATORICS (COCOON 2018)</t>
  </si>
  <si>
    <t>24th International Computing and Combinatorics Conference (COCOON)</t>
  </si>
  <si>
    <t>JUL 02-04, 2018</t>
  </si>
  <si>
    <t>Qing Dao, PEOPLES R CHINA</t>
  </si>
  <si>
    <t>We consider the MINIMUM COVERAGE KERNEL problem: given a set B of d-dimensional boxes, find a subset of B of minimum size covering the same region as B. This problem is NP-hard, but as for many NP-hard problems on graphs, the problem becomes solvable in polynomial time under restrictions on the graph induced by B. We consider various classes of graphs, show that MINIMUM COVERAGE KERNEL remains NP-hard even for severely restricted instances, and provide two polynomial time approximation algorithms for this problem.</t>
  </si>
  <si>
    <t>978-3-319-94776-1; 978-3-319-94775-4</t>
  </si>
  <si>
    <t>10.1007/978-3-319-94776-1_16</t>
  </si>
  <si>
    <t>WOS:000489763300016</t>
  </si>
  <si>
    <t>Volochinsky, DP; Soto, RV; Winkler, MI</t>
  </si>
  <si>
    <t>Pasmanik Volochinsky, Diana; Villarroel Soto, Raul; Ines Winkler, Maria</t>
  </si>
  <si>
    <t>GIFTS AND CONFLICTS OF INTEREST: IN SHADES OF GRAY?</t>
  </si>
  <si>
    <t>Gifts are a regular practice within the relationships established by business world stakeholders with the professionals that may be instrumental in promoting their sales. Consequently, gifts are a potential source of conflicts of interest. This article is the result of a bibliographic study of papers addressing gifts, published in scientific journals which was carried out with the aim of identifying what kinds of professions address the issue and in what ways, in order to reach conclusions that may enhance reflection and contribute to professional training. The research was carried out using the SciELO, PsychNet, IEEE, and Proquest databases and yielded 59 publications that span the period between 1998 and 2015. Results show a remarkable concentration in health-related professions, mainly in their relationships with the pharmaceutical industry. Nevertheless, an emerging presence is being observed in other professional fields. Starting from a philosophical conceptualization of the gift as a present, the results suggest that it is not this conception of gift but rather the exchange rationality that is reflected in these practices, thus becoming an ethically gray, i.e., uncertain area, that cannot be disregarded when it comes to training in professional ethics.</t>
  </si>
  <si>
    <t>10.4067/S1726-569X2018000100095</t>
  </si>
  <si>
    <t>WOS:000434512900011</t>
  </si>
  <si>
    <t>Saavedra-Olavarría, J; Madrid-Rojas, M; Almodovar, I; Hermosilla-Ibáñez, P; Pérez, EG</t>
  </si>
  <si>
    <t>Saavedra-Olavarria, Jorge; Madrid-Rojas, Matias; Almodovar, Iriux; Hermosilla-Ibanez, Patricio; Perez, Edwin G.</t>
  </si>
  <si>
    <t>Synthesis of β-alkoxy-N-protected phenethylamines via one-pot copper-catalyzed aziridination and ring opening</t>
  </si>
  <si>
    <t>RSC ADVANCES</t>
  </si>
  <si>
    <t>A regioselective, copper-catalyzed, one-pot aminoalkoxylation of styrenes using primary and secondary alcohols and three different iminoiodanes as alkoxy and nitrogen sources respectively, is reported. The beta-alkoxy-N-protected phenethylamines obtained were used to synthesise beta-alkoxy-N-benzylphenethylamines which are interesting new compounds that could act as possible neuronal ligands.</t>
  </si>
  <si>
    <t>Perez, Edwin/KVY-5791-2024; Hermosilla-Ibanez, Patricio/Y-7454-2018</t>
  </si>
  <si>
    <t>Saavedra-Olavarria, Jorge/0000-0002-2536-3065; Perez, Edwin/0000-0002-3777-6297; Hermosilla-Ibanez, Patricio/0000-0002-2272-9690</t>
  </si>
  <si>
    <t>2046-2069</t>
  </si>
  <si>
    <t>10.1039/c8ra03815e</t>
  </si>
  <si>
    <t>WOS:000442078800033</t>
  </si>
  <si>
    <t>Huiliñir, C; Pinto-Villegas, P; Castillo, A; Montalvo, S; Guerrero, L</t>
  </si>
  <si>
    <t>Huilinir, Cesar; Pinto-Villegas, Paula; Castillo, Alejandra; Montalvo, Silvio; Guerrero, Lorna</t>
  </si>
  <si>
    <t>Biochemical methane potential from sewage sludge: Effect of an aerobic pretreatment and fly ash addition as source of trace elements</t>
  </si>
  <si>
    <t>WASTE MANAGEMENT</t>
  </si>
  <si>
    <t>The effect of aerobic pretreatment and fly ash addition on the production of methane from mixed sludge is studied. Three assays with pretreated and not pretreated mixed sludge in the presence of fly ash (concentrations of 0, 10, 25, 50, 250 and 500 mg/L) were run at mesophilic condition. It was found that the combined use of aerobic pretreatment and fly ash addition increases methane production up to 70% when the fly ash concentrations were lower than 50 mg/L, while concentrations higher than 250 mg/L cause up to 11% decrease of methane production. For the anaerobic treatment of mixed sludge without pretreatment, the fly ash improved methane generation at all the concentrations studied, with a maximum of 56%. The removal of volatile solids does not show an improvement compared to the separate use of an aerobic pre-treatment and fly ash addition. Therefore, the combined use of the aerobic pre-treatment and fly ash addition improves only the production of methane. (C) 2017 Elsevier Ltd. All rights reserved.</t>
  </si>
  <si>
    <t>Huilinir, Cesar/IYS-6899-2023</t>
  </si>
  <si>
    <t>Huilinir, Cesar/0000-0002-3487-684X</t>
  </si>
  <si>
    <t>0956-053X</t>
  </si>
  <si>
    <t>10.1016/j.wasman.2017.03.023</t>
  </si>
  <si>
    <t>WOS:000403862100016</t>
  </si>
  <si>
    <t>Travieso-Torres, JC; Duarte-Mermoud, MA; Beytia, O</t>
  </si>
  <si>
    <t>Travieso-Torres, J. C.; Duarte-Mermoud, M. A.; Beytia, O.</t>
  </si>
  <si>
    <t>Combining Fractional Order Operators and Adaptive Passivity-Based Controllers: An Application to the Level Regulation of a Conical Tank</t>
  </si>
  <si>
    <t>CONTROL ENGINEERING AND APPLIED INFORMATICS</t>
  </si>
  <si>
    <t>In this paper, fractional order (FO) operators and adaptive passivity-based controllers (APBC) are combined. The main aim is to explore possible advantages of combining FO operators and APBC over the use of integer order APBC. The proposed technique is experimentally applied to the level regulation of a conical tank. For comparison purposes, integer order (classical) Proportional Integer (PI) controller and FO-PI controller are also experimentally applied and studied. Results showed that the design of FO-PI controller is simpler than classical PI controller design, since it uses a single set of parameters for the whole operational range of the plant; whereas three different set of parameters were adjusted for the classical PI controller. The design of FO-APBC and APBC is similar, and simpler than FO-PI and classical PI controllers design, not needing to know the plant parameters. Moreover, the proposed FO-APBC is more robust than APBC under plant parameter variations.</t>
  </si>
  <si>
    <t>Travieso Torres, Juan carlos/N-6437-2019; Duarte-Mermoud, Manuel A./I-2693-2013</t>
  </si>
  <si>
    <t>Travieso Torres, Juan carlos/0000-0002-9246-4827; Duarte-Mermoud, Manuel A./0000-0003-2367-4553</t>
  </si>
  <si>
    <t>1454-8658</t>
  </si>
  <si>
    <t>WOS:000404695500001</t>
  </si>
  <si>
    <t>Moraga, NO; Parada, GP; Vasco, DA</t>
  </si>
  <si>
    <t>Moraga, Nelson O.; Parada, German P.; Vasco, Diego A.</t>
  </si>
  <si>
    <t>Power law non-Newtonian fluid unsteady conjugate three-dimensional natural convection inside a vessel driven by surrounding air thermal convection in a cavity</t>
  </si>
  <si>
    <t>INTERNATIONAL JOURNAL OF THERMAL SCIENCES</t>
  </si>
  <si>
    <t>This paper presents the results of a numerical study on the unsteady three-dimensional natural convection of a power-law fluid in a thick walled vessel being driven by natural heat convection in the surrounding air inside a cubical cavity. Continuity, linear momentum and energy equations for the internal Otswald the Waele shear thinning fluid, with a power index n = 0.4, are used to describe fluid mechanics and natural heat transfer along the conjugate continuity, Navier Stokes and energy equations for the external Newtonian air flow and the transient heat diffusion equation in the walls of the inner fluid container. Unsteady 3D thermal convection of the inner shear-thinning fluid, with n = 0.4, is analyzed in comparison with the fluid mechanics and heat transfer results for the Newtonian fluid, with n = 1, for two values of the Rayleigh number: Ra = 2.09 x 10(4) and 2.09 x 10(6). Thermo-physical properties of the inner fluid are allowed to change with temperature for the two values of the Rayleigh number and for both the Newtonian and the power law non-Newtonian inner fluids. Numerical simulations were carried out by an-in house- Fortran 90 Finite Volume Method parallelized code. Results of the evolution of the fluid mechanics are described in terms of the streamlines and those related to the unsteady convective heat transfer in terms of the isotherms. (C) 2016 Elsevier Masson SAS. All rights reserved.</t>
  </si>
  <si>
    <t>Vasco, Diego/Y-2934-2019</t>
  </si>
  <si>
    <t>1290-0729</t>
  </si>
  <si>
    <t>1778-4166</t>
  </si>
  <si>
    <t>10.1016/j.ijthermalsci.2016.04.007</t>
  </si>
  <si>
    <t>WOS:000378666400024</t>
  </si>
  <si>
    <t>Araya, AD; Cáceres, PS; Tancara, DS</t>
  </si>
  <si>
    <t>Diaz Araya, Alberto; Salazar Caceres, Pablo; Soto Tancara, Daniel</t>
  </si>
  <si>
    <t>THE WORKERS OF THE VOLCANO. INDIGENOUS PEOPLE AND LABOR TRANSITION PROCESSES IN TACORA AND TAAPACA SULFUR MINES. NORTHERN CHILE (XX CENTURY)</t>
  </si>
  <si>
    <t>During the first decades of the twentieth century, mining at high altitude became important in the Andes of Arica, establishing a series of sulfur mines on the slopes of volcanoes Tacora and Taapaca. Such Extractive activities incorporated Aymara villagers as laborers for work on sulfur mining companies, production that triggered the regional economy. Indigenous workers, mostly of Bolivian origin, part of a process of proletarianisation which was regulated by industrial production, the legal provisions of the Chilean State and the different forms of social organization and trade unions. Based on a corpus of documentary background, this article describes and analyzes these processes, trying to relieve the Andean indigenous population that was incorporated into the wage labor of the sulfur mines and how they interacted with the Chilean authorities and with the industry in an environment of tradition and modernity.</t>
  </si>
  <si>
    <t>DIAZ ARAYA, ALBERTO/IUO-1879-2023</t>
  </si>
  <si>
    <t>U284</t>
  </si>
  <si>
    <t>WOS:000393521400006</t>
  </si>
  <si>
    <t>Design of a Tri-Band Antenna Microstrip for a WBAN the Low SAR</t>
  </si>
  <si>
    <t>2016 IEEE INTERNATIONAL CONFERENCE ON AUTOMATICA (ICA-ACCA)</t>
  </si>
  <si>
    <t>IEEE International Conference on Automatica (ICA-ACCA)</t>
  </si>
  <si>
    <t>OCT 19-21, 2016</t>
  </si>
  <si>
    <t>Univ Talca, Curico, CHILE</t>
  </si>
  <si>
    <t>Univ Talca</t>
  </si>
  <si>
    <t>This paper presents a new design of a Tri-band microstrip antenna for a WBAN (Wireless Body Area Network) low SAR (Specific Absorption Rate). The proposed antenna consists of L-shaped slots have been determined based on the frequency bands. For the integration of these techniques three frequency bands consisting of the ISM band 2.4 GHz and 5.7 GHz, and 3.5 GHz band UWB respectively were considered. The proposed antenna is designed with the purpose of obtaining a low SAR models of the human body, considering both the electromagnetic effect and the shell model in human tissues.</t>
  </si>
  <si>
    <t>978-1-5090-1147-6</t>
  </si>
  <si>
    <t>WOS:000390556300019</t>
  </si>
  <si>
    <t>Reyes, D; Gold, J; González, R; Vidal, R</t>
  </si>
  <si>
    <t>Reyes, Daniela; Gold, John; Gonzalez, Ruth; Vidal, Rodrigo</t>
  </si>
  <si>
    <t>De novo Assembly, Characterization and Functional Annotation of Southern Hake (Merluccius australis) Transcriptome</t>
  </si>
  <si>
    <t>FRONTIERS IN MARINE SCIENCE</t>
  </si>
  <si>
    <t>Southern hake (Merluccius australis) is an ecological and economically important demersal fish in Chile and Argentina. Notwithstanding, genetic resource for genetic or ecological studies on this species are scarce. Consequently, here we present transcriptome sequencing results (RNA-Seq) for spleen and liver tissues with the 454 FLX titanium platform. The de novo transcriptome assembly generated 10,314 unigenes, with an average length of 510 bp, N50 of 572 bp and 3171 annotated sequences. A specific Gadiform BLAST search, with focus on immune genes, showed 186 (56%) genes homologous to those of Atlantic cod. A total of 2302 microsatellites were detected in 1687 unigenes and 741 presented adequate flanking sequences for primer design. In total, these potential molecular markers and transcriptome characterization represent an important resource for genetic and ecological studies on southern hake.</t>
  </si>
  <si>
    <t>2296-7745</t>
  </si>
  <si>
    <t>10.3389/fmars.2016.00216</t>
  </si>
  <si>
    <t>WOS:000457358000212</t>
  </si>
  <si>
    <t>Escobar, A; Celentano, D; Cruchaga, M; Schulz, B</t>
  </si>
  <si>
    <t>Escobar, Alex; Celentano, Diego; Cruchaga, Marcela; Schulz, Bernd</t>
  </si>
  <si>
    <t>On the Effect of Pouring Temperature on Spheroidal Graphite Cast Iron Solidification</t>
  </si>
  <si>
    <t>METALS</t>
  </si>
  <si>
    <t>This work is focused on the effect of pouring temperature on the thermal-microstructural response of an eutectic spheroidal graphite cast iron (SGCI). To this end, experiments as well as numerical simulations were carried out. Solidification tests in a wedge-like part were cast at two different pouring temperatures. Five specific locations exhibiting distinct cooling rates along the sample were chosen for temperature measurements and metallographic analysis to obtain the number and size of graphite nodules at the end of the process. The numerical simulations were performed using a multinodular-based model. Reasonably good numerical-experimental agreements were obtained for both the cooling curves and the graphite nodule counts.</t>
  </si>
  <si>
    <t>Celentano, Diego/JQW-5027-2023; Schulz, Bernd/AAA-2480-2019; Cruchaga, Marcela/M-7522-2014</t>
  </si>
  <si>
    <t>2075-4701</t>
  </si>
  <si>
    <t>10.3390/met5020628</t>
  </si>
  <si>
    <t>WOS:000357508400009</t>
  </si>
  <si>
    <t>Rabagliati, FM; Zapata, PA; Orihuela, GP; Galvez, P; Canales, D; Cardenas, H</t>
  </si>
  <si>
    <t>Rabagliati, Franco M.; Zapata, Paula A.; Pedro Orihuela, G.; Galvez, Paula; Canales, Daniel; Cardenas, Hugo</t>
  </si>
  <si>
    <t>Preparation and characterization of a new polymer/pharmaceutical-based composite. Part I: Meloxicam</t>
  </si>
  <si>
    <t>POLYMER BULLETIN</t>
  </si>
  <si>
    <t>Composites of low-density polyethylene (LDPE), poly(ethylene-co-vinyl acetate) (EVA), poly(ethylene-co-octadecene), and an LDPE/EVA blend were prepared with different amounts of meloxicam (1, 3 and 5 wt %) by the melt blending process. Meloxicam was homogenously dispersed in polymer matrices. The polymer-meloxicam composites showed thermal behavior and thermal characteristics similar to those of the original polymers. Meloxicam release from the composites was examined in vitro for 50 days. The composites were incubated in phosphate-buffered solution and meloxicam concentration was determined by high-performance liquid chromatography. The prolonged release of the drug indicates that meloxicam-loaded plastic rings offer potential for control of reproduction and chronic inflammatory conditions.</t>
  </si>
  <si>
    <t>Canales Arévalo, Daniel/HSG-6748-2023</t>
  </si>
  <si>
    <t>Canales, Daniel A./0000-0002-2691-6864; Zapata, Paula Andrea/0000-0003-3361-6226</t>
  </si>
  <si>
    <t>0170-0839</t>
  </si>
  <si>
    <t>1436-2449</t>
  </si>
  <si>
    <t>10.1007/s00289-014-1252-9</t>
  </si>
  <si>
    <t>WOS:000345147100017</t>
  </si>
  <si>
    <t>Parada, L; Sepúlveda, M; Herrera, C; Parada, V</t>
  </si>
  <si>
    <t>Parada, Lucas; Sepulveda, Mauricio; Herrera, Carlos; Parada, Victor</t>
  </si>
  <si>
    <t>Automatic Generation of Algorithms for the Binary Knapsack Problem</t>
  </si>
  <si>
    <t>2013 IEEE CONGRESS ON EVOLUTIONARY COMPUTATION (CEC)</t>
  </si>
  <si>
    <t>JUN 20-23, 2013</t>
  </si>
  <si>
    <t>Cancun, MEXICO</t>
  </si>
  <si>
    <t>IEEE,IEEE Computat Intelligence Soc</t>
  </si>
  <si>
    <t>Because it is classified as NP-hard, the binary knapsack problem is a good example of a combinatorial optimization problem that still presents increased difficulty when attempting to determine the optimal solution for any instance. Although exact and heuristic methods have been developed in an attempt to solve the problem, such methods have been unable to solve even small instances of the problem. In this paper, new algorithms for this problem are automatically generated by means of genetic programming from sets of training instances of different sizes and are then evaluated against other larger sized sets of instances, thereby detecting the robustness of the algorithms for larger instances. Overall, the produced algorithms are able to identify up to 52% of the optimal solutions for the biggest instances used.</t>
  </si>
  <si>
    <t>Herrera, Carlos/0000-0003-1369-9861; Sepulveda, Mauricio/0000-0002-5522-3194</t>
  </si>
  <si>
    <t>978-1-4799-0454-9; 978-1-4799-0453-2</t>
  </si>
  <si>
    <t>WOS:000326235303021</t>
  </si>
  <si>
    <t>Muñoz, R; Llanos, J</t>
  </si>
  <si>
    <t>Munoz, Ricardo; Llanos, Jose</t>
  </si>
  <si>
    <t>Estimation of the lifespan of agricultural tractor using a diffusion model at the aggregate level</t>
  </si>
  <si>
    <t>CIENCIA E INVESTIGACION AGRARIA</t>
  </si>
  <si>
    <t>R. Munoz, and J. LIanos. 2012. Estimation of the lifespan of agricultural tractor using a diffusion model at the aggregate level. Cien. Inv. Agr. 39(3): 557-562. The adoption of agricultural tractors by farms has resulted in different combinations, relationships and established ways of production of localities, regions and countries. The dynamics of the tractorization process are defined by the balance of the units that enter the fleet and those that are removed at the end of their useful life. This study uses a diffusion pattern and aggregated adoption of the agricultural tractor, the parameters of which were determined using a nonlinear estimation procedure and country-level data for Chile. Using the predictive power of the model, a longitudinal series of tractor fleets was estimated, and then the balance was calculated considering the units that were discharged. To more accurately determine the average lifespan of a tractor, successive iterations were performed to reduce differences with respect to a control variable for the number of tractors registered. The estimated average lifespan for agricultural tractors at the aggregate level is 22 years. This type of estimation procedure can be used not only for descriptive purposes, as in this case, but also for predictive purposes.</t>
  </si>
  <si>
    <t>LLANOS, JOSE/AAQ-2569-2021</t>
  </si>
  <si>
    <t>0718-1620</t>
  </si>
  <si>
    <t>10.4067/S0718-16202012000300014</t>
  </si>
  <si>
    <t>WOS:000313400900014</t>
  </si>
  <si>
    <t>Salazar, R; Brillas, E; Sirés, I</t>
  </si>
  <si>
    <t>Salazar, Ricardo; Brillas, Enric; Sires, Ignasi</t>
  </si>
  <si>
    <t>Finding the best Fe2+/Cu2+ combination for the solar photoelectro-Fenton treatment of simulated wastewater containing the industrial textile dye Disperse Blue 3</t>
  </si>
  <si>
    <t>APPLIED CATALYSIS B-ENVIRONMENTAL</t>
  </si>
  <si>
    <t>The performance of the solar photoelectro-Fenton (SPEF) process with Fe2+ and Cu2+ as metal co-catalysts and its application to the treatment of solutions simulating Disperse Blue 3 (DB3) dye bath effluents of a Chilean textile company are reported in this paper. The trials were carried out with 2.51 solutions using a solar pre-pilot plant containing an electrochemical reactor with a 20 cm(2) BDD anode and air-diffusion cathode, coupled to a 600 ml solar photoreactor. DB3 solutions with 0.1 M Na2SO4 at pH 3.0 were electrolyzed to assess the effect of the applied current density, catalyst nature and concentration and dye content on the decolorization rate, dye removal and total organic carbon (TOC) abatement. The SPEF treatments using 0.5 mM Fe2+ +0.1 mM Cu2+ led to the quickest degradation kinetics, mainly due to the concomitant action of UV photolysis and the generated oxidizing hydroxyl radicals on the organic molecules and/or their Cu(II) and Fe(III) complexes. Based on the identification of up to 15 aromatic by-products by GC-MS, a reaction scheme for DB3 degradation has been proposed. The progressive color and TOC removal of DB3 solutions were due to various changes undergone by the initial anthraquinonic structure, including the modification/addition of auxochromes giving 6 anthraquinonic by-products and its cleavage to yield compounds with 2 aromatic rings due to intermolecular cyclization or 1 aromatic ring mainly in the form of phthalic acid derivatives. Upon cleavage of these aromatics, maleic, oxalic, oxamic, pyruvic and acetic acids were formed. NO3- ions were released to a larger extent than NH4+ ions. The great efficacy of SPEF with Fe2+ and Cu2+ was demonstrated for simulated wastewater containing DB3 and industrial surfactants and additives at 50 mA cm(-2), allowing their total decolorization and almost overall mineralization in only 150 and 360 min, with an energy consumption of 11.0 and 26.4 kWh m(-3), respectively. (C) 2011 Elsevier B.V. All rights reserved.</t>
  </si>
  <si>
    <t>Salazar, Ricardo/L-7870-2013; Sires Sadornil, Ignacio/C-7054-2013</t>
  </si>
  <si>
    <t>Salazar-Gonzalez, Ricardo/0000-0003-2180-6022; Sires Sadornil, Ignacio/0000-0001-5508-1774; Brillas, Enric/0000-0001-8147-4651</t>
  </si>
  <si>
    <t>0926-3373</t>
  </si>
  <si>
    <t>1873-3883</t>
  </si>
  <si>
    <t>10.1016/j.apcatb.2011.12.026</t>
  </si>
  <si>
    <t>WOS:000302429600014</t>
  </si>
  <si>
    <t>Araya, D; Lizama, C</t>
  </si>
  <si>
    <t>Araya, Daniela; Lizama, Carlos</t>
  </si>
  <si>
    <t>EXISTENCE OF ASYMPTOTICALLY ALMOST AUTOMORPHIC SOLUTIONS FOR A THIRD ORDER DIFFERENTIAL EQUATION</t>
  </si>
  <si>
    <t>ELECTRONIC JOURNAL OF QUALITATIVE THEORY OF DIFFERENTIAL EQUATIONS</t>
  </si>
  <si>
    <t>This paper deals with results on existence of asymptotically almost automorphic solutions for a third order in time abstract differential equation which model, on one side, high intensity ultrasound in acoustic wave propagation, while on the other side, vibrations of flexible structures possessing internal material damping. We established the asymptotically almost automorphy of the output solution subject to the asymptotically almost automorphy of the input disturbance.</t>
  </si>
  <si>
    <t>1417-3875</t>
  </si>
  <si>
    <t>WOS:000307340000001</t>
  </si>
  <si>
    <t>Velásquez, G; Ureta-Zañartu, MS; López-Alarcón, C; Aspée, A</t>
  </si>
  <si>
    <t>Velasquez, Gabriela; Soledad Ureta-Zanartu, M.; Lopez-Alarcon, Camilo; Aspee, Alexis</t>
  </si>
  <si>
    <t>Electrochemical and Spectroscopic Study of Pyranine Fluorescent Probe: Role of Intermediates in Pyranine Oxidation</t>
  </si>
  <si>
    <t>JOURNAL OF PHYSICAL CHEMISTRY B</t>
  </si>
  <si>
    <t>8-Hydroxy-1,3,6-pyrenetrisulfonic acid (pyranine) is a hydrophilic pyrene derivative, highly reactive toward free radicals, that has been widely used in methodologies for the evaluation of antioxidant capability and the monitoring of free-radical pclymer processes. In this work, we studied and characterized the electrochemical oxidation of pyranine by cyclic voltammetry, chronocoulometry, and spectroelectrochemical techniques. The electrochemical oxidation of pyranine leads to the formation of a pyranine free radical (PyO*) that is easily detectable by spectroelectrochemistry measurements. This oxidation process takes place through a CEC (chemical-electrochemical-chemical) mechanism where the chemical step previous to the oxidation corresponds to an acid-base equilibrium. A reversible diffusion-controlled electron-transfer process observed at high pH suggests that the charge-transfer process is followed by a chemical step associated with secondary PyO* dimerization-disproportionation chemical reactions. Surprisingly, pyranine oxidation mediated by peroxyl radicals showed a change in the stoichiometry of the reaction at pH values close to the pK(a) of pyranine. This behavior was attributed to the different reactivities of the ionized (PyO-) and the nonionized (PyOH) phenolic forms of pyranine for peroxyl radicals, affecting the role of secondary reactions at different pH values and, therefore, the measured stoichiometry.</t>
  </si>
  <si>
    <t>Ureta-Zañartu, Maria/G-5239-2019; Lopez, Camilo/J-5770-2013</t>
  </si>
  <si>
    <t>1520-6106</t>
  </si>
  <si>
    <t>1520-5207</t>
  </si>
  <si>
    <t>MAY 26</t>
  </si>
  <si>
    <t>10.1021/jp112057d</t>
  </si>
  <si>
    <t>WOS:000290652100030</t>
  </si>
  <si>
    <t>Reyes, A; Raffo, M; Masia, G; Siegel, S; Gaete, J; Vergara, J; Torres, J; González, P</t>
  </si>
  <si>
    <t>Reyes D, Andres; Raffo R, Malao; Masia L, Gonzalo; Siegel A, Stephanie; Gaete, Jorge, V; Vergara C, Jorge; Torres R, Joaquin; Gonzalez T, Paula</t>
  </si>
  <si>
    <t>Cutaneous necrosis caused by acenocumarol. Case report</t>
  </si>
  <si>
    <t>REVISTA CHILENA DE CIRUGIA</t>
  </si>
  <si>
    <t>Cutaneous necrosis caused by acenocumarol. Case report Cutaneous necrosis is a rare but serious complication, among patients treated with warfarin or acenocumarol derivatives. We report a 71 years old female with a history of deep venous thrombosis, receiving acenocumarol for three months. The treatment was discontinued, but had to be restarted, due to a new episode of thrombosis. Three days after restarting acenocumarol, the patient consulted for ecchymosis and pain of the right foot. At physical examination, there was distal cyanosis and absence of distal pulses. The patient was subjected to an embolectomy with the suspicion of an acute arterial occlusion, but no emboli were found. Due to the possibility of a cutaneous necrosis caused by Acenocumarol, the medication is discontinued. The cutaneous lesions progressed and eight days after the failed embolectomy, a gangrene of the right foot was diagnosed. The patient did not accept amputation dying fourteen days after the first intervention.</t>
  </si>
  <si>
    <t>0379-3893</t>
  </si>
  <si>
    <t>10.4067/S0718-40262011000200012</t>
  </si>
  <si>
    <t>WOS:000288685300012</t>
  </si>
  <si>
    <t>Cifuentes, G; Simpson, J; Zúñiga, C; Briones, L; Morales, A</t>
  </si>
  <si>
    <t>TMS</t>
  </si>
  <si>
    <t>Cifuentes, Gerardo; Simpson, Jaime; Zuniga, Cesar; Briones, Leoncio; Morales, Alejandro</t>
  </si>
  <si>
    <t>MODEL AND SIMULATION OF AN ION EXCHANGE PROCESS FOR THE EXTRACTION OF ANTIMONY</t>
  </si>
  <si>
    <t>TMS2011 SUPPLEMENTAL PROCEEDINGS, VOL 1: MATERIALS PROCESSING AND ENERGY MATERIALS</t>
  </si>
  <si>
    <t>TMS 140th Annual Meeting and Exhibition</t>
  </si>
  <si>
    <t>FEB 27-MAR 03, 2011</t>
  </si>
  <si>
    <t>San Diego, CA</t>
  </si>
  <si>
    <t>A model is proposed for the removal of Sb by ion exchange from copper refining electrolytes that fits the data from the literature. The correction factors for the MX-2, UR-3300S and Duolite C-467 resins were 0.5531; 0.2839 and 0.5455, respectively. The following variables were studied: volume of resin (bed height), volumetric matter transfer coefficient, and initial antimony concentration in the solution. The model's average percentage error was 3.01%.</t>
  </si>
  <si>
    <t>Zúñiga-Loyola, César/AAN-5621-2021; Cifuentes, Gerardo/AAS-2148-2021</t>
  </si>
  <si>
    <t>978-1-11802-945-9</t>
  </si>
  <si>
    <t>WOS:000327008200027</t>
  </si>
  <si>
    <t>Martinez-Ten, P; Adiego, B; Perez-Pedregosa, J; Illescas, T; Wong, AE; Sepulveda, W</t>
  </si>
  <si>
    <t>Martinez-Ten, Pilar; Adiego, Begona; Perez-Pedregosa, Javier; Illescas, Tamara; Wong, Amy E.; Sepulveda, Waldo</t>
  </si>
  <si>
    <t>First-Trimester Assessment of the Nasal Bones Using the Retronasal Triangle View A 3-Dimensional Sonographic Study</t>
  </si>
  <si>
    <t>JOURNAL OF ULTRASOUND IN MEDICINE</t>
  </si>
  <si>
    <t>Objective. The purpose of this study was to evaluate a new sonographic technique for identifying the nasal bones using the retronasal triangle view, ie, the coronal plane at which the palate and frontal processes of the maxilla are simultaneously visualized. Methods. Three-dimensional (3D) volumes were acquired from women undergoing first-trimester sonographic screening for aneuploidy by 2 accredited operators. Those data sets in which the fetal face was clearly identified were selected for offline analysis by 2 other observers who were unaware of the sonographic or clinical findings. The nasal bones were classified as both present, only 1 present (right or left), or absent according to the presence or absence of 2 small paired echogenic linear structures at the upper tip of the retronasal triangle as determined by 3D navigation in the coronal plane and compared to those findings obtained by 3D navigation in the sagittal plane. Additional 3D data sets involving a subset of 4 first-trimester fetuses with trisomy 21 and absent nasal bones were also analyzed retrospectively and included randomly in the study group. Results. A total of 110 3D data sets were analyzed, of which 86% were obtained transabdominally and 14% transvaginally. The quality of nasal bone identification was classified subjectively by the observers as good in 67% of cases, fair in 29%, and poor in 4%. The nasal bones were classified as at least 1 present in 106 of the cases (96%) and absent in 4 (4%), with complete agreement between observers in both the sagittal and coronal planes (kappa = 1). Discrimination between the right and left nasal bones was possible in 89% and 93% for observer A and in 96% and 96% for observer B by assessing the sagittal and coronal views, respectively (right nasal bone: kappa = 0.90 [95% confidence interval (Cl), 0.79-1]; left nasal bone: kappa = 0.85 [95% Cl, 0.60-0.99]). The nasal bones were not identified at the level of the retronasal triangle view in any of the fetuses with trisomy 21 and absent nasal bones. Conclusions. This study shows that the nasal bones can be confidently identified as paired echogenic structures located at the upper tip of the retronasal triangle. This coronal view of the fetal face offers the possibility of screening for the presence or absence of the nasal bones in the first trimester, especially when the standard midsagittal views of the fetal face are suboptimal because of fetal or maternal factors. Because both nasal bones can be evaluated simultaneously in the coronal plane, the retronasal triangle view may be advantageous over the conventional midsagittal view assessment, in which only 1 of the 2 nasal bones is evaluated.</t>
  </si>
  <si>
    <t>Adiego-Burgos, Begona/I-2742-2018</t>
  </si>
  <si>
    <t>Adiego-Burgos, Begona/0000-0002-8582-1814</t>
  </si>
  <si>
    <t>0278-4297</t>
  </si>
  <si>
    <t>1550-9613</t>
  </si>
  <si>
    <t>10.7863/jum.2010.29.11.1555</t>
  </si>
  <si>
    <t>WOS:000284666900004</t>
  </si>
  <si>
    <t>Sepulveda, W; Rompel, SM; Cafici, D; Carstens, E; Dezerega, V</t>
  </si>
  <si>
    <t>Sepulveda, Waldo; Rompel, Shanna M.; Cafici, Daniel; Carstens, Eduardo; Dezerega, Victor</t>
  </si>
  <si>
    <t>Megacystis Associated With an Umbilical Cord Cyst A Sonographic Feature of a Patent Urachus in the First Trimester</t>
  </si>
  <si>
    <t>Objective. The purpose of this series was to report the first-trimester sonographic findings, antenatal course, and outcome in fetuses with a patent urachus. Methods. We conducted a review of ultrasound reports and medical charts from 3 pregnancies complicated by a congenital patent urachus detected in the first trimester. Results. All 3 fetuses had megacystis and an umbilical cord cyst close to the fetal abdominal insertion that was detected in the first trimester. In 2 cases, the megacystis resolved spontaneously while the umbilical cord cyst worsened in appearance; among them, massive edema of the umbilical cord was documented in 1, and evidence of partial bladder exstrophy was detected in the third trimester in the other. Both cases required neonatal surgery with no complications. In the remaining case, the fetus died in the early second trimester. Postmortem examination confirmed the diagnosis of a patent urachus, an allantoic cyst, and thrombosis of the umbilical vessels. Conclusions. Megacystis is a warning sign of a patent urachus in the first trimester. The prognosis of this condition is generally good; however, fetal death can occur secondary to compression of umbilical vessels due to the expanding allantoic cyst.</t>
  </si>
  <si>
    <t>10.7863/jum.2010.29.2.295</t>
  </si>
  <si>
    <t>WOS:000274307900016</t>
  </si>
  <si>
    <t>Cifuentes, G; Simpson, J; Lobos, F; Briones, L; Morales, A</t>
  </si>
  <si>
    <t>Cifuentes, Gerardo; Simpson, Jaime; Lobos, Francisco; Briones, Leoncio; Morales, Alejandro</t>
  </si>
  <si>
    <t>COPPER ELECTROWINNING BASED ON REACTIVE ELECTRODIALYSIS</t>
  </si>
  <si>
    <t>This paper shows an alternative to the classic electrowinning copper process using a cell based on reactive electrodialysis, which consists of two compartments separated by an anionic membrane, one of which contains the copper sulphate catholyte, where the cathode is located, and the other compartment contains the ferrous sulfate anolyte, where the anode is located. In this type of cell the anodic reaction is the oxidation of iron (Fe(2+) to Fe(3+)), which consumes less energy than the classic water oxidation. Moreover, this new anodic reaction does not produce acid mist.</t>
  </si>
  <si>
    <t>WOS:000273751200002</t>
  </si>
  <si>
    <t>Cuevas, C; Lizama, C</t>
  </si>
  <si>
    <t>Cuevas, Claudio; Lizama, Carlos</t>
  </si>
  <si>
    <t>Almost automorphic solutions to integral equations on the line</t>
  </si>
  <si>
    <t>SEMIGROUP FORUM</t>
  </si>
  <si>
    <t>Given aaL (1)(ae) and A the generator of an L (1)-integrable family of bounded and linear operators defined on a Banach space X, we prove the existence of almost automorphic solution to the semilinear integral equation u(t)=a &lt;&lt; (-a) (t) a(t-s)[Au(s)+f(s,u(s))]ds for each f:aexX -&gt; X almost automorphic in t, uniformly in xaX, and satisfying diverse Lipschitz type conditions. In the scalar case, we prove that aaL (1)(ae) positive, nonincreasing and log-convex is already sufficient.</t>
  </si>
  <si>
    <t>Cuevas, Claudio/A-5896-2012; Lizama, Carlos/E-5909-2011</t>
  </si>
  <si>
    <t>0037-1912</t>
  </si>
  <si>
    <t>1432-2137</t>
  </si>
  <si>
    <t>10.1007/s00233-009-9154-0</t>
  </si>
  <si>
    <t>WOS:000271737700005</t>
  </si>
  <si>
    <t>Iglesias, C; Solórzano, G; Schulz, B</t>
  </si>
  <si>
    <t>Iglesias, C.; Solorzano, G.; Schulz, B.</t>
  </si>
  <si>
    <t>Effect of low nitrogen content on work hardening and microstructural evolution in Hadfield steel</t>
  </si>
  <si>
    <t>MATERIALS CHARACTERIZATION</t>
  </si>
  <si>
    <t>Nitrogen content in austenitic manganese steels is usually not reported nor standardized. The present work has found that it typically ranges between 130 ppm and 200 ppm in solution. Microstructural evolution has been studied by optical microscopy, using mainly differential interference contrast mode. Work hardening was analyzed under compression conditions using Hollomon's fitting and Vickers microindentation hardness measurements at different deformation levels. Even low contents of nitrogen in solution exhibit a significant effect on the slope of stress-strain curves, with strain-hardening exponent values of 0.7, 0.57 and 0.41 for 720 ppm, 130 ppm and 71 ppm of nitrogen, respectively. It was also found that the nitrogen content influences the microstructure of deformed coarse grained polycrystalline austenite, leading to twining and shear bands at the upper level of nitrogen, while it was not clearly found in the samples with lower nitrogen content. (C) 2009 Elsevier Inc. All rights reserved.</t>
  </si>
  <si>
    <t>Schulz, Bernd/AAA-2480-2019</t>
  </si>
  <si>
    <t>1044-5803</t>
  </si>
  <si>
    <t>1873-4189</t>
  </si>
  <si>
    <t>10.1016/j.matchar.2009.03.015</t>
  </si>
  <si>
    <t>WOS:000269284000009</t>
  </si>
  <si>
    <t>Curilem, G; Vergara, J; Fuentealba, G; Acuña, G; Chacón, M</t>
  </si>
  <si>
    <t>Curilem, Gloria; Vergara, Jorge; Fuentealba, Gustavo; Acuna, Gonzalo; Chacon, Max</t>
  </si>
  <si>
    <t>Classification of seismic signals at Villarrica volcano (Chile) using neural networks and genetic algorithms</t>
  </si>
  <si>
    <t>JOURNAL OF VOLCANOLOGY AND GEOTHERMAL RESEARCH</t>
  </si>
  <si>
    <t>Each volcano has its own unique seismic activity. The aim of this work is to construct a system able to classify seismic signals for the Villarrica volcano, one of the most active volcanoes in South America. Since seismic signals are the result of particular processes inside the volcano's structure, they can be used to forecast volcanic activity. This paper describes the different kinds of seismic signals recorded at the Villarrica volcano and their significance. Three kind of signals were considered as most representative of this volcano's activity: the long-period, the tremor, and the energetic tremor signals. A classifier is implemented to read the seismic registers at 30-second intervals, extract the most relevant features of each interval, and classify them into one of the three kinds of signals considered as most representative of this particular volcano. To do so, 1033 different kinds of 30-s signals were extracted and classified by a human expert. A feature extraction process was applied to obtain the main characteristics of each of them. This process was developed using criteria which have been shown by others to effectively classify seismic signals, based on the experience of a human expert. The classifier was implemented with a Multi-Layer Perceptron (MLP) artificial neural network whose architecture and training process were optimized by means of a genetic algorithm. This technique searched for the most adequate MLP configuration to improve the classification performance, optimizing the number of hidden neurons, the transfer functions of the neurons, and the training algorithm. The optimization process also performed a feature selection to reduce the number of signal features, optimizing the number of network inputs. The results show that the optimized classifier reaches more than 93% exactitude. identifying the signals of each kind. The amplitude of the signals is the most important feature for its classification, followed by its frequency content. The described methodology can be used to classify more seismic signals to improve the study of the activity of this volcano or to extend the study to other active volcanoes of the region. (C) 2008 Elsevier B.V. All rights reserved.</t>
  </si>
  <si>
    <t>Vergara, Jorge/AAU-9466-2020</t>
  </si>
  <si>
    <t>Curilem, Millaray/0000-0001-8685-221X; Acuna Leiva, Gonzalo Pedro/0000-0002-0519-7792; Vergara, Jorge R./0000-0001-6699-4181</t>
  </si>
  <si>
    <t>0377-0273</t>
  </si>
  <si>
    <t>1872-6097</t>
  </si>
  <si>
    <t>FEB 20</t>
  </si>
  <si>
    <t>10.1016/j.jvolgeores.2008.12.002</t>
  </si>
  <si>
    <t>WOS:000263694200001</t>
  </si>
  <si>
    <t>Pardey, AJ; Suárez, JD; Gascón, G; Ortega, MC; Longo, C; Moya, SA</t>
  </si>
  <si>
    <t>Pardey, Alvaro J.; Suarez, Jose D.; Gascon, German; Ortega, Marisol C.; Longo, Clementina; Moya, Sergio A.</t>
  </si>
  <si>
    <t>Carbonylation of Naphtha by a Rhodium Complex Immobilized on Poly(4-vinylpyridine)</t>
  </si>
  <si>
    <t>CATALYSIS LETTERS</t>
  </si>
  <si>
    <t>This work describes the carbonylation of hex-1-ene, cyclohexene, 2,3-dimethyl-but-1-ene and 2-methyl-pent-2-ene, their quaternary mixture and a real Venezuelan naphtha, catalyzed by a rhodium(I) [Rh(cod)(4-picoline)(2)](PF(6)) (cod = 1,5-cyclooctadiene) complex immobilized on poly(4-vinylpiridine) (P(4-VP)) in contact with methanol under carbon monoxide atmosphere. The conversion (%) of olefins to carbonylated products for the individual olefins decreases in the order: hex-1-ene (63) &gt; cyclohexene (58) &gt; 2,3-dimethyl-but-1-ene (50) &gt; 2-methyl-pent-2-ene (31), under the following conditions: 0.5 g of P(4-VP) for [Rh] = 2 wt.% (1 x 10(-4) mol), 10 mL of CH(3)OH, [olefin] = 1 x 10(-2) mol, S/C = 100, P(CO) = 33 atm at 110 degrees C for 24 h. Other products such as H(2) and CO(2) coming from the catalysis of the water-gas shift reaction are observed.</t>
  </si>
  <si>
    <t>1011-372X</t>
  </si>
  <si>
    <t>10.1007/s10562-008-9589-z</t>
  </si>
  <si>
    <t>WOS:000260509000017</t>
  </si>
  <si>
    <t>Reyes, EG; Sanchez, G</t>
  </si>
  <si>
    <t>Reyes, Enrique G.; Sanchez, Guillermo</t>
  </si>
  <si>
    <t>Explicit solutions to the Kaup-Kupershmidt equation via nonlocal symmetries</t>
  </si>
  <si>
    <t>INTERNATIONAL JOURNAL OF BIFURCATION AND CHAOS</t>
  </si>
  <si>
    <t>The fifth order Kaup-Kupershmidt equation q(t) = q(xxxxx) + 5qq(xxx) + 25/2q(x)q(xx) + 5q(2)q(x) is a most important example of an integrable partial differential equation. Among other properties, it is integrable via scattering/inverse scattering techniques, it admits a bi-Hamiltonian formulation, and it possesses an infinite number of generalized symmetries. In sharp contrast with other integrable equations, however, it has proven very difficult to exhibit explicit solutions to Kaup-Kupershmidt. In this paper, we present several interesting particular solutions to this equation obtained with the help of nonlocal symmetries.</t>
  </si>
  <si>
    <t>Reyes, Enrique G./0000-0001-8460-444X</t>
  </si>
  <si>
    <t>0218-1274</t>
  </si>
  <si>
    <t>1793-6551</t>
  </si>
  <si>
    <t>10.1142/S0218127407018737</t>
  </si>
  <si>
    <t>WOS:000253285200015</t>
  </si>
  <si>
    <t>Navarro, P; Vargas, C; Alonsol, M; Alguacil, FJ</t>
  </si>
  <si>
    <t>Navarro, Patricio; Vargas, Cristian; Alonsol, Manuel; Alguacil, Francisco Jose</t>
  </si>
  <si>
    <t>Towards a more environmentally friendly process for gold: models on gold adsorption onto activated carbon from ammoniacal thiosulfate solutions</t>
  </si>
  <si>
    <t>DESALINATION</t>
  </si>
  <si>
    <t>9th International Conference on Environmental Science and Technology</t>
  </si>
  <si>
    <t>SEP 01-03, 2005</t>
  </si>
  <si>
    <t>Rhodes Isl, GREECE</t>
  </si>
  <si>
    <t>Global Network Environm Sci &amp; Technol,Univ Aegean, Dept Environm Studies</t>
  </si>
  <si>
    <t>In the context of gold extraction, leaching is the dissolution of the metal or even a mineral in a liquid phase. Thus, it is of a primary concern the dissolution of gold in an aqueous solution, operation which requires both a complexant and an oxidant to achieve acceptable leaching rates and yields. A limited number of ligands form complexes of sufficient stability and at a suitable rate for their use in gold leaching operations. Cyanide is mostly used because of its relatively low cost and great efficiency for gold dissolution. The main disadvantage associated with its use is the extremely toxic character of the reagent. Thus, several other ligands had been considered for gold extraction from ores, regarding to environmental pressures and even restrictions to the use of cyanide, potential of having faster gold leaching kinetics than cyanide, possibility of their use in acidic media, which is suitable in the treatment of refractory ores, and a greater degree of selectivity than cyanide for gold over other metals. Nevertheless, some of them presented some disadvantages which limited their practical use. Ammoniacal thiosulfate leaching has a considerable potential as an effective and less hazardous procedure (than cyanide) for gold extraction from auriferous ores. Once gold is dissolved, separation of the precious metal from the solution can be achieved using different procedures (i.e. adsorption onto activated carbon). In the present investigation, up to fivel models were used to correlate the adsorption of gold onto the carbon, being the Fleming model the one which best fit the experimental results on gold adsorption.</t>
  </si>
  <si>
    <t>Vargas, Cristian/0000-0002-7360-6201; alguacil, francisco jose/0000-0002-0247-3384</t>
  </si>
  <si>
    <t>0011-9164</t>
  </si>
  <si>
    <t>1873-4464</t>
  </si>
  <si>
    <t>JUN 10</t>
  </si>
  <si>
    <t>10.1016/j.desal.2006.03.590</t>
  </si>
  <si>
    <t>WOS:000247826800007</t>
  </si>
  <si>
    <t>Pedreschi, F; Moyano, P; Santis, N; Pedreschi, R</t>
  </si>
  <si>
    <t>Pedreschi, Franco; Moyano, Pedro; Santis, Natalie; Pedreschi, Romina</t>
  </si>
  <si>
    <t>Physical properties of pre-treated potato chips</t>
  </si>
  <si>
    <t>The objective of this research was to study some physical properties of pre-treated potato slices such as moisture and oil content, texture and color during frying at 120, 140, 160 and 180 degrees C. Slices (Desiree variety, diameter: 30 mm, width: 2.0 mm) blanched in hot water at 85 degrees C for 3.5 min were considered as the control. NaCl soaked chips were previously blanched as indicated before and immersed in a 3% NaCl solution for 5 min at 200 rpm of agitation and 25 degrees C. The moisture loss profiles were similar for chips pre-treated in the two ways during frying. Oil uptake increased up to -20% as the frying temperature decreased; soaking of blanched chips in the NaCl solution decreased slightly the oil absorption in similar to 7%. Color values in L*a*b* units were recorded at different sampling times during frying at the four mentioned temperatures using the total color difference (Delta E) and a Minolta colorimeter. Soaking of blanched slices in the NaCl solution producer paler chips after chips diminishing the final values of Delta E in 6%, 16%, 9% and 23% with respect to those corresponding to control chips after frying. Textural changes in fried potato slices were followed by the parameter maximum force (MF). Soaking in NaCl of blanched chips increased its crispness after frying at 120, 140, 160 and 180 degrees C in 15%, 13%, 11% and 11%, respectively. (c) 2006 Elsevier Ltd. All rights reserved.</t>
  </si>
  <si>
    <t>pedreschi, franco/F-8844-2013; Pedreschi, Romina/F-9744-2016</t>
  </si>
  <si>
    <t>Pedreschi, Romina/0000-0001-9927-2919</t>
  </si>
  <si>
    <t>10.1016/j.jfoodeng.2006.04.029</t>
  </si>
  <si>
    <t>WOS:000242649300049</t>
  </si>
  <si>
    <t>Amat, Sergio; Busquier, Sonia; Plaza, Sergio</t>
  </si>
  <si>
    <t>On the dynamics of a family of third-order iterative functions</t>
  </si>
  <si>
    <t>ANZIAM JOURNAL</t>
  </si>
  <si>
    <t>We study the dynamics of a family of third-order iterative methods that are used to find roots of nonlinear equations applied to complex polynomials of degrees three and four. This family includes, as particular cases, the Chebyshev, the Halley and the super-Halley root-finding algorithms, as well as the so-called c-methods. The conjugacy classes of these iterative methods are found explicitly.</t>
  </si>
  <si>
    <t>Sáez, Sonia/AAA-6148-2019; Plata, Sergio/AAA-6144-2019</t>
  </si>
  <si>
    <t>1446-1811</t>
  </si>
  <si>
    <t>1446-8735</t>
  </si>
  <si>
    <t>10.1017/S1446181100003539</t>
  </si>
  <si>
    <t>WOS:000247446700004</t>
  </si>
  <si>
    <t>Vidal, V; Géminard, JC; Divoux, T; Melo, F</t>
  </si>
  <si>
    <t>Vidal, V.; Geminard, J. C.; Divoux, T.; Melo, F.</t>
  </si>
  <si>
    <t>Acoustic signal associated with the bursting of a soap film which initially closes an overpressurized cavity -: Experiment and theory</t>
  </si>
  <si>
    <t>We report an experimental study of the sound produced by the bursting of a thin liquid film, which initially closes an overpressurized cylindrical cavity. There is a need for a deep understanding of the phenomenon, which can be very useful in numerous practical cases. For instance, in the nature, the volcanologists observe the bursting of large, elongated, gas-bubbles at the surface of lava lakes and record the associated sound emission. One can wonder which pieces of information they can get from such acoustic measurements. For a didactic purpose, we provide also the reader with all the theoretical background necessary for the understanding of the physical processes that govern the various characteristics of the acoustic signals: the cavity geometry governs the frequency; the viscous dissipation and the radiation are responsible for the damping; the acoustic energy informs about the characteristic time associated with the film-rupture more than about the energy initially loaded in the cavity.</t>
  </si>
  <si>
    <t>GEMINARD, Jean-Christophe Nicolas Denis/0000-0002-9773-4806; Vidal, Valerie/0000-0002-0413-1601; Divoux, Thibaut/0000-0002-6777-5084; Melo, Francisco Esteban/0000-0001-6818-5476</t>
  </si>
  <si>
    <t>10.1140/epjb/e2006-00450-0</t>
  </si>
  <si>
    <t>WOS:000243467900007</t>
  </si>
  <si>
    <t>Armijo, F; Goya, MC; Gimeno, Y; Arévalo, MC; Aguirre, MJ; Creus, AH</t>
  </si>
  <si>
    <t>Armijo, Francisco; Goya, M. Carmen; Gimeno, Yurima; Arevalo, M. Carmen; Aguirre, M. Jesus; Creus, Alberto Hernandez</t>
  </si>
  <si>
    <t>Study of the electropolymerization of tetrakis(3-aminophenyl) porphyrin Fe(III) chloride on Au electrodes by cyclic voltammetry and STM</t>
  </si>
  <si>
    <t>Conducting tetrakis (3-aminophenyl) porphyrin Fe(III) chloride films are prepared by electropolymerization on Au(111) electrodes in DMF + TBAP solutions by cycling the potential between -1.6 and 1.5 V vs. SCE at 0.2 V s(-1). The film thickness is controlled through the number of cycles and the voltammetric response of the modified electrode is stable and reproducible. STM images show that during the first 20 cycles only 2D islands 0.35 mm high and up to 50 nm long are formed. These islands grow laterally by the incorporation of new oligomers on their borders. When the electrode surface is almost fully covered a transition from 2D to 3D growth is observed. This transition in the growth mode can be followed through the anodic charge of the cyclic voltammograms. (c) 2006 Elsevier B.V. All rights reserved.</t>
  </si>
  <si>
    <t>Arévalo, M./AAY-1729-2020; Armijo, Francisco/G-3391-2013; Aguirre, Maria/A-3935-2013; Hernandez Creus, Alberto/K-3621-2014</t>
  </si>
  <si>
    <t>Arevalo, M. Carmen/0000-0003-4629-1643; Aguirre, Maria/0000-0003-1134-4469; Hernandez Creus, Alberto/0000-0002-8793-6236; Armijo, Francisco/0000-0002-2479-6280</t>
  </si>
  <si>
    <t>10.1016/j.elecom.2006.02.026</t>
  </si>
  <si>
    <t>WOS:000237776300018</t>
  </si>
  <si>
    <t>Rey, S; Del Rio, R; Alcayaga, J; Iturriaga, R</t>
  </si>
  <si>
    <t>Endothelins in the cat petrosal ganglion and carotid body: Effects and immunolocalization</t>
  </si>
  <si>
    <t>BRAIN RESEARCH</t>
  </si>
  <si>
    <t>In response to hypoxia, chemoreceptor cells of the carotid body (CB) release transmitters, which acting on the petrosal ganglion (PG) neuron terminals, increase the chemoafferent discharge. Additionally, vasoactive molecules produced within the CB may modulate hypoxic chemoreception by controlling blood flow and tissue PO2. Endothelin-1 (ET-1) increases basal CB chemosensory discharges in situ, probably due to its vasoconstrictor action. However, the actions of ET-1 on PG neurons or its expression in the PG are not known. Using immunohistochemistry, we found that endothelin-like peptides are expressed in the cat PG and CB under normoxic conditions. Exogenous applications of ET-1 increased the chemosensory activity in the vascularly perfused CB but were ineffective on either the CB or PG superfused preparations, both of which are devoid of vascular control. Thus, our data indicate that the excitatory effect of ET-1 in the carotid chemoreceptor system appears to be mainly due to a vasoconstrictor effect in the CB blood vessels. (c) 2005 Elsevier B.V. All rights reserved.</t>
  </si>
  <si>
    <t>Rey, Sergio/I-4918-2017; Iturriaga, Rodrigo/AAG-1020-2020; Del Rio, Rodrigo/AAF-8763-2020; Alcayaga, Julio/A-5261-2008</t>
  </si>
  <si>
    <t>Alcayaga, Julio/0000-0001-8119-8917; Iturriaga, Rodrigo/0000-0001-5387-9897; Rey, Sergio/0000-0001-8954-7712</t>
  </si>
  <si>
    <t>0006-8993</t>
  </si>
  <si>
    <t>1872-6240</t>
  </si>
  <si>
    <t>JAN 19</t>
  </si>
  <si>
    <t>10.1016/j.brainres.2005.11.051</t>
  </si>
  <si>
    <t>WOS:000235759000018</t>
  </si>
  <si>
    <t>Henríquez, HR; Hernández, ME</t>
  </si>
  <si>
    <t>Stabilization of linear distributed control systems with unbounded delay</t>
  </si>
  <si>
    <t>In this paper we study the asymptotic stabilization of linear distributed parameter control systems with unbounded delay. Assuming that the semigroup of operators associated with the uncontrolled and nondelayed equation is compact and that the phase space is a uniform fading memory space, we characterize those systems that can be stabilized using a feedback control. As consequence we conclude that every system of this type is stabilizable with an appropriated finite dimensional control. (c) 2004 Elsevier Inc. All rights reserved.</t>
  </si>
  <si>
    <t>10.1016/j.jmaa.2004.10.036</t>
  </si>
  <si>
    <t>WOS:000229349600023</t>
  </si>
  <si>
    <t>Caniuguir, A; Cabrera, R; Báez, M; Vásquez, CC; Babul, J; Guixé, V</t>
  </si>
  <si>
    <t>Role of Cys-295 on subunit interactions and allosteric regulation of phosphofructokinase-2 from Escherichia coli</t>
  </si>
  <si>
    <t>FEBS LETTERS</t>
  </si>
  <si>
    <t>In a previous work, chemical modification of Cys-238 of Escherichia coli Pfk-2 raised concerns on the importance of the dimeric state of Pfk-2 for enzyme activity, whereas modification of Cys-295 impaired the enzymatic activity and the MgATP-induced tetramerization of the enzyme. The results presented here demonstrate that the dimeric state of Pfk-2 is critical for the stability and the activity of the enzyme. The replacement of Cys-238 by either Ala or Phe shows no effect on the kinetic parameters, allosteric inhibition, dimer stability and oligomeric structure of Pfk-2. However, the mutation of Cys-295 by either Ala or Phe provokes a decrease in the k(cat) value and an increment in the Km values for both substrates. We suggest that the Cys-295 residue participates in intersubunit interactions in the tetramer since the Cys-295-Phe mutant exhibits higher tetramer stability, which in turn results in an increase in the fructose-6-P concentration required for the reversal of the MgATP inhibition relative to the wild type enzyme. (c) 2005 Federation of European Biochemical Societies. Published by Elsevier B.V. All rights reserved.</t>
  </si>
  <si>
    <t>Cabrera, Ricardo/H-8132-2014; Baez, Mauricio/H-7517-2013; Guixe, Victoria/I-1126-2013</t>
  </si>
  <si>
    <t>Cabrera, Ricardo/0000-0002-8896-3172</t>
  </si>
  <si>
    <t>1873-3468</t>
  </si>
  <si>
    <t>APR 25</t>
  </si>
  <si>
    <t>10.1016/j.febslet.2005.02.078</t>
  </si>
  <si>
    <t>WOS:000228756400012</t>
  </si>
  <si>
    <t>Romero, JL; Retamal, JC; Roa, L; Saavedra, C</t>
  </si>
  <si>
    <t>Quantum entanglement purification in cavities</t>
  </si>
  <si>
    <t>A physical implementation of an entanglement purification protocol is studied using a cavity quantum electrodynamic hased proposal, where the quantum information is stored in quantum field states inside cavities. Also a procedure is given for quantifying the degree of entanglement between quantum fields.</t>
  </si>
  <si>
    <t>Retamal, Juan/G-6425-2010; Saavedra, Carlos/C-4262-2008; Roa, Luis/F-9884-2010</t>
  </si>
  <si>
    <t>WOS:000180065500026</t>
  </si>
  <si>
    <t>Olea-Azar, C; Terraza, C; Guerrero, J; Rigol, C; Recabarren, G</t>
  </si>
  <si>
    <t>Electron spin resonance studies in acrylamide polymerization using rhenium complexes as photosensitizers</t>
  </si>
  <si>
    <t>Acrylamide can be polymerized using new catalytic systems. These are based on rhenium complexes as photosensitizers with triethylamine (TEA). Electron Spin Resonance (ESR) was used for the detection of radicals species which were formed in the polymerization process. Also, we used Spin Trapping to confirm the presence of the acrylamide radical. AM1 and INDO calculations were performed to obtain the optimized geometries and theoretical hyperfine constants of the acrylamide radical. Our results agree with a cyclic process where triethylamine is an electron donor agent reacting with an excited rhenium complex. In this system, we postulate the [Re(II)(CO)(3)L (CF3SO3)]* as the activated species in the catalytic polymerization of acrylamide.</t>
  </si>
  <si>
    <t>Recabarren, Gonzalo/O-1975-2018; OLEA AZAR, CLAUDIO/I-1605-2013</t>
  </si>
  <si>
    <t>Recabarren, Gonzalo/0000-0002-7763-7830; OLEA AZAR, CLAUDIO/0000-0001-5805-0746; Terraza, Claudio/0000-0002-6326-8771</t>
  </si>
  <si>
    <t>WOS:000177975100003</t>
  </si>
  <si>
    <t>Celentano, D; Cruchaga, M</t>
  </si>
  <si>
    <t>A thermally coupled flow formulation with microstructural evolution for hypoeutectic cast-iron solidification</t>
  </si>
  <si>
    <t>A thermally coupled incompressible flow formulation, including microstructural phase-change effects, is presented. The governing equations are written in the framework of the finite-element method using a generalized streamline operator technique. In particular, a hypoeutectic cast-iron microstructural model accounting for primary austenite and eutectic solidification is considered. An inverse lever rule has been employed to describe the austenite formation, while the eutectic (graphite and cementite) fractions are assumed to be governed by nucleation and growth laws. The application of this methodology in the area of casting solidification constitutes an original contribution of this work. Further, an enhanced staggered scheme is also proposed in order to solve the resulting strongly coupled discretized equations. The analysis of a solidification problem, with particular interest in the influence of the natural convection on the microstructural formation, is performed. The numerical results obtained with the present formulation allow prediction of the flow patterns, volume-fraction distributions, and recalescences developed during the process.</t>
  </si>
  <si>
    <t>10.1007/s11663-999-0035-4</t>
  </si>
  <si>
    <t>WOS:000082122700020</t>
  </si>
  <si>
    <t>Urzua, A; Andrade, L; Munoz, E; Rodriguez, ME; Belmonte, E</t>
  </si>
  <si>
    <t>Flavonoids in the trichome resinous exudate from Diplosthepium cinereum</t>
  </si>
  <si>
    <t>BIOCHEMICAL SYSTEMATICS AND ECOLOGY</t>
  </si>
  <si>
    <t>Rodriguez, Michelle/KIA-9175-2024; Andrade, Leticia/JGD-5055-2023</t>
  </si>
  <si>
    <t>Urzua, Alejandro/0000-0003-2638-0921; Belmonte, Eliana/0000-0001-9098-9243</t>
  </si>
  <si>
    <t>0305-1978</t>
  </si>
  <si>
    <t>10.1016/S0305-1978(97)00070-7</t>
  </si>
  <si>
    <t>WOS:A1997YF32500014</t>
  </si>
  <si>
    <t>Sartori, R; Rencoret, G; Rencoret, G; Mora, A; Perez, C; Pastene, R; Sariego, R; Moya, SA</t>
  </si>
  <si>
    <t>The novel use of Rh(I) complexes with naphthyridine ligands and poly(oxyethylene) as antitumorals</t>
  </si>
  <si>
    <t>ANTI-CANCER DRUGS</t>
  </si>
  <si>
    <t>Rh(I) complexes adsorbed on polymers, as a way to improve their transport and solubility properties, were studied as antitumor agents, The binding constants of the complexes to the polymer were evaluated in order to determine the conditions for maximum association to the vehicle, The toxicity of the pure complexes and those bound were determined in vivo using female mice, [Rh(NBD)(2,4N)]ClO4, complex A; where NBD=norbornadiene, (3,4N) = 3,3'-dimethylene-2,2'-di-1,8-naphthyridine, was investigated on primary solid tumors and ascitic tumors, [Rh(NBD)(3,4N)]ClO4, complex B; where (3,4N) = 3,3'-trimethylene-2,2'-di-1,8-naphthyridine, was investigated on ascitic tumors, These Rh(I) complexes appear to be promising drugs because of their solubility in aqueous polymer, which make them easier to handle in comparison with the neutral species, These complexes show a similarity to cisplatin by reducing tumor growth and by increasing the survival life span of mice, Poly (oxyethylene) was used to solubilize these poorly water-soluble compounds and to stabilize the compounds in the solution before injection, These studies suggest that both complexes, A and B, are good candidates for tumor control growth and increase the survival time.</t>
  </si>
  <si>
    <t>PASTENE OLIVARES, RUBEN/0000-0002-7137-0303</t>
  </si>
  <si>
    <t>0959-4973</t>
  </si>
  <si>
    <t>10.1097/00001813-199601000-00010</t>
  </si>
  <si>
    <t>WOS:A1996UC78400010</t>
  </si>
  <si>
    <t>Munoz, M; Rios, M; Spencer, E</t>
  </si>
  <si>
    <t>Characteristics of single- and double-stranded RNA synthesis by a rotavirus SA-11 mutant thermosensitive in the RNA polymerase gene</t>
  </si>
  <si>
    <t>INTERVIROLOGY</t>
  </si>
  <si>
    <t>The phenotype of a rotavirus SA-11 mutant, ts C, which carries a mutation in the gene coding for the viral RNA polymerase was studied in vitro. ts C viral transcription proved to be sensitive to temperature in a different way to that previously described. Like the wild type, the ts C mutant has an optimum for in vitro transcription at 45 degrees, but mRNA synthesis was inhibited at temperatures over 50 degrees. This mutant also showed a higher resistance to transcriptional inhibition by nucleotide analogues than the wild-type strain. The in vitro minus-strand RNA synthesis catalysed by ts C particles indicates that the mutant does not exhibit the expected increased sensitivity to temperatures over 31 degrees shown by the in vivo phenotype. As with plus-strand synthesis, the optimal temperature for the minus-strand synthesis assay was 45 degrees, but for temperatures over 55 degrees, the number of double-stranded RNA products was altered. Our results suggest that when in vitro plus- and minus-strand RNA synthesis in ts C and wild type are compared, the mutated VP1 motif affects both transcription and minus-strand synthesis, but in different ways. In infected cell cultures, the results also show that the phenotype associated with ts C seems to mainly affect the function of plus-strand RNA synthesis.</t>
  </si>
  <si>
    <t>Spencer, Eugenio/0000-0001-6109-140X</t>
  </si>
  <si>
    <t>0300-5526</t>
  </si>
  <si>
    <t>10.1159/000150448</t>
  </si>
  <si>
    <t>WOS:A1995TY48200002</t>
  </si>
  <si>
    <t>RIOS, E; POILLERAT, G; KOENIG, JF; GAUTIER, JL; CHARTIER, P</t>
  </si>
  <si>
    <t>PREPARATION AND CHARACTERIZATION OF THIN CO3O4 AND MNCO2O4 FILMS PREPARED ON GLASS SNO2-F BY SPRAY-PYROLYSIS AT 150-DEGREES-C FOR THE OXYGEN-ELECTRODE</t>
  </si>
  <si>
    <t>THIN SOLID FILMS</t>
  </si>
  <si>
    <t>It is shown that pure Co3O4 and MnCo2O4 films can be prepared at 150 degrees C by spray pyrolysis of the metal nitrate aqueous solutions, provided that the flow rate and concentrations are lowered and optimized in comparison with classical procedures, and that undecomposed nitrates are further eliminated by prolonged washing. High roughness factors are obtained, yielding electrodes with a higher activity for the oxygen evolution reaction than electrodes prepared by conventional spray pyrolysis at higher temperatures.</t>
  </si>
  <si>
    <t>0040-6090</t>
  </si>
  <si>
    <t>AUG 1</t>
  </si>
  <si>
    <t>10.1016/0040-6090(95)06570-9</t>
  </si>
  <si>
    <t>WOS:A1995RU19500004</t>
  </si>
  <si>
    <t>ROJAS, MC; ENCINAS, MV; KEMP, RG; LATSHAW, SP; CARDEMIL, E</t>
  </si>
  <si>
    <t>IDENTIFICATION OF REACTIVE VICINAL CYSTEINES IN SACCHAROMYCES-CEREVISIAE (ATP) AND SYSTOLIC RAT-LIVER (GTP) PHOSPHOENOLPYRUVATE CARBOXYKINASES</t>
  </si>
  <si>
    <t>BIOCHIMICA ET BIOPHYSICA ACTA</t>
  </si>
  <si>
    <t>Saccharomyces cerevisiae (ATP) and cytosolic rat liver (GTP) phosphoenolpyruvate carboxykinases (EC 4.1.1.49/32) have been labeled with N-(1-pyrenyl)-iodoacetamide. Reagent incorporation was completely prevented by the presence of the respective nucleoside diphosphate plus MnCl2. Under appropriate conditions, 2 mol of reagent per mol of enzyme subunit were incorporated. The fluorescence spectra of the labeled proteins showed the pyrene excimer emission band. The pyrenyl-derivatized enzymes were digested with trypsin after carboxymethylation, and two labeled peptides were isolated for each carboxykinase upon reverse-phase high-performance liquid chromatography. Automated Edman degradation of the labeled peptides indicated that cysteines 364 and 457 (yeast enzyme), and cysteines 288 and 413 (rat enzyme) were labeled with the fluorescence SH-specific reagent. The relative reactivity of these residues was characterized. Labeling experiments utilizing the 5,5'-dithiobis(2-nitrobenzoate)-oxidized enzymes suggested that the reactive SH-groups occupy a vicinal position in the tertiary structure of the proteins, probably in the nucleotide-binding region.</t>
  </si>
  <si>
    <t>0006-3002</t>
  </si>
  <si>
    <t>JUL 10</t>
  </si>
  <si>
    <t>WOS:A1993LM60400005</t>
  </si>
  <si>
    <t>ZANOCCO, G; ABUIN, E; LISSI, E; GARGALLO, L; RADIC, D</t>
  </si>
  <si>
    <t>INTERMOLECULAR EXCIMER FORMATION IN POLY(2-NAPHTHYL METHACRYLATE) SOLUTIONS</t>
  </si>
  <si>
    <t>10.1016/0014-3057(82)90203-8</t>
  </si>
  <si>
    <t>WOS:A1982PS54200004</t>
  </si>
  <si>
    <t>von Bernhardi, R; Eugenín, J</t>
  </si>
  <si>
    <t>von Bernhardi, Rommy; Eugenin, Jaime</t>
  </si>
  <si>
    <t>Ageing-related changes in the regulation of microglia and their interaction with neurons</t>
  </si>
  <si>
    <t>NEUROPHARMACOLOGY</t>
  </si>
  <si>
    <t>Ageing is one of the most important risk factors for chronic health conditions, including neurodegenerative diseases. Inflammation is a feature of ageing, as well as a key pathophysiological mechanism for degenerative diseases. Microglia play multiple roles in the central nervous system; their states entail a complex assemblage of responses reflecting the multiplicity of functions they fulfil both under homeostatic basal conditions and in response to stimuli. Whereas glial cells can promote neuronal homeostasis and limit neurodegeneration, agerelated inflammation (i.e. inflammaging) leads to the functional impairment of microglia and astrocytes, exacerbating their response to stimuli. Thus, microglia are key mediators for age-dependent changes of the nervous system, participating in the generation of a less supportive or even hostile environment for neurons. Whereas multiple changes of ageing microglia have been described, here we will focus on the neuron-microglia regulatory crosstalk through fractalkine (CX3CL1) and CD200, and the regulatory cytokine Transforming Growth Factor (31 (TGF(31), which is involved in immunomodulation and neuroprotection. Ageing results in a dysregulated activation of microglia, affecting neuronal survival, and function. The apparent unresponsiveness of aged microglia to regulatory signals could reflect a restriction in the mechanisms underlying their homeostatic and reactive states. The spectrum of functions, required to respond to life-long needs for brain maintenance and in response to disease, would progressively narrow, preventing microglia from maintaining their protective functions.</t>
  </si>
  <si>
    <t>von Bernhardi, Rommy/IAO-3764-2023</t>
  </si>
  <si>
    <t>von Bernhardi, Rommy/0000-0002-9022-7676</t>
  </si>
  <si>
    <t>0028-3908</t>
  </si>
  <si>
    <t>1873-7064</t>
  </si>
  <si>
    <t>10.1016/j.neuropharm.2024.110241</t>
  </si>
  <si>
    <t>DEC 2024</t>
  </si>
  <si>
    <t>WOS:001381353000001</t>
  </si>
  <si>
    <t>Espinoza, D; Laporte, D; Martínez, F; Sandino, AM; Valdés, N; Moenne, A; Imarai, M</t>
  </si>
  <si>
    <t>Espinoza, Daniela; Laporte, Daniel; Martinez, Fabian; Sandino, Ana Maria; Valdes, Natalia; Moenne, Alejandra; Imarai, Monica</t>
  </si>
  <si>
    <t>Lambda carrageenan displays antiviral activity against the infectious pancreatic necrosis virus (IPNV) by inhibiting viral replication and enhancing innate immunity in salmonid cells</t>
  </si>
  <si>
    <t>INTERNATIONAL JOURNAL OF BIOLOGICAL MACROMOLECULES</t>
  </si>
  <si>
    <t>Sulfated polysaccharide lambda carrageenan (lambda-CGN) was evaluated for its antiviral effect against IPNV using the in vitro infection model of CHSE-214 salmonid cells. A plaque reduction lysis assay revealed that lambda-CGN has an IC(50 )of 0.9 mu g center dot mL(- 1), CC50 &gt;128 mu g center dot mL(- 1) and a Selectivity Index (SI) &gt; 142. In comparison, iota, kappa carrageenans and lambda oligo-carrageenan (2-OC) were less effective than lambda-CGN against IPNV. 2-CGN showed no virucidal activity when applied directly to viral particles. Time of addition experiments showed that pretreatment, co-treatment, and post-treatment with lambda-CGN significantly reduced viral RNA copies in the cell supernatant. Additionally, a decrease in intracellular viral RNA was observed with pre-treatment and posttreatment, indicating an impact on different stages of viral replication. Polyacrylamide gel electrophoresis of IPNV genomic RNA in presence of lambda-CGN showed a reduction in the level of viral genomic RNA. Confocal microscopy confirmed the intracellular localization of lambda-CGN, suggesting that lambda-CGN may inhibit the synthesis of IPNV genomic RNA. Moreover, cells pre-treated with lambda-CGN showed an increased expression of innate immunity genes CXCL11, IL1 beta, IFNa, and IRF3. These findings highlight the need for further research to confirm the in vivo pharmacological potential of lambda-CGN as a new antiviral agent in salmonids.</t>
  </si>
  <si>
    <t>Valdes, Natalia/AAI-8151-2021</t>
  </si>
  <si>
    <t>0141-8130</t>
  </si>
  <si>
    <t>1879-0003</t>
  </si>
  <si>
    <t>10.1016/j.ijbiomac.2024.136875</t>
  </si>
  <si>
    <t>WOS:001348866400001</t>
  </si>
  <si>
    <t>Oral administration of a new copper (I) complex with coumarin as ligand: modulation of the immune response and the composition of the intestinal microbiota in Onchorhynchus mykiss</t>
  </si>
  <si>
    <t>FRONTIERS IN CHEMISTRY</t>
  </si>
  <si>
    <t>[Cu(NN1)(2)]ClO4 is a copper (I) complex, where NN1 is an imine ligand 6-((quinolin-2-ylmethylene) amino)-2H-chromen-2-one obtained by derivatization of natural compound coumarin, developed for the treatment of infectious diseases that affect salmonids. In previous research, we showed that the Cu(I) coordination complex possesses antibacterial activity against Flavobacterium psychrophilum, providing protection against this pathogen in rainbow trout during challenge assays (with an RPS of 50%). In the present study, the effects of administering [Cu(NN1)(2)]ClO4 to Oncorhynchus mykiss over a 60-days period were evaluated with regard to systemic immune response and its potential to alter intestinal microbiota composition. In O. mykiss, an immunostimulatory effect was evident at days 30 and 45 after administration, resulting in an increment of transcript levels of IFN-gamma, IL-12, TNF-alpha, lysozyme and perforin. To determine whether these immunomodulatory effects correlated with changes in the intestinal microbiota, we analyzed the metagenome diversity by V4 16S rRNA sequencing. In O. mykiss, both [Cu(NN1)(2)]ClO4 and commercial antibiotic florfenicol had comparable effects at the phylum level, resulting in a predominance of proteobacteria and firmicutes. Nonetheless, at the genus level, florfenicol and [Cu(NN1)(2)]ClO4 complex exhibited distinct effects on the intestinal microbiota of O. mykiss. In conclusion, our findings demonstrate that [Cu(NN1)(2)]ClO4 is capable of stimulating the immune system at a systemic level, while inducing alterations in the composition of the intestinal microbiota in O. mykiss.</t>
  </si>
  <si>
    <t>Modak Canobra, Brenda/0000-0001-5292-0480; Tello, Mario/0000-0003-4573-6460</t>
  </si>
  <si>
    <t>2296-2646</t>
  </si>
  <si>
    <t>MAY 14</t>
  </si>
  <si>
    <t>10.3389/fchem.2024.1338614</t>
  </si>
  <si>
    <t>WOS:001233350400001</t>
  </si>
  <si>
    <t>Avila, MC; Barría, SN</t>
  </si>
  <si>
    <t>Avila, Mariela Cecilia; Barria, Sandra Navarrete</t>
  </si>
  <si>
    <t>Defeat and Feminism: Two Interpretive Keys to the Everyday Experience of Exile in the Narratives of Chilean Women in Revista Hoy</t>
  </si>
  <si>
    <t>ALTRE MODERNITA-RIVISTA DI STUDI LETTERARI E CULTURALI</t>
  </si>
  <si>
    <t>The analysis of the narratives of Chilean women exiled by the dictatorship provides interpretative keys, from which the daily experience of exile is explored in depth. The first section contextualizes the presence of women's exile narratives in the fascicles of the series Vivir sin Chile of Revista Hoy, exposing the characteristics of the textual corpus and categorizing the daily experience for the analysis of the narrative corpus. In the following two sections, defeat and feminism are presented as interpretative keys to the daily experience of exile, based on the analysis of women's narratives. In the conclusion, some of the characteristics and tensions between these keys are presented, as well as some reflections on the theoretical-political contributions that women's narratives provide to the exile field.</t>
  </si>
  <si>
    <t>2035-7680</t>
  </si>
  <si>
    <t>WOS:001416120600025</t>
  </si>
  <si>
    <t>Martínez, L; Reveco-Toledot, F; Guevara, F; Laplagne, C</t>
  </si>
  <si>
    <t>Martinez, Liliana; Reveco-Toledot, Florencia; Guevara, Franco; Laplagne, Cristina</t>
  </si>
  <si>
    <t>Artificial Intelligence in home hospitalisation</t>
  </si>
  <si>
    <t>2024 14TH INTERNATIONAL SYMPOSIUM ON COMMUNICATION SYSTEMS, NETWORKS AND DIGITAL SIGNAL PROCESSING, CSNDSP 2024</t>
  </si>
  <si>
    <t>International Symposium on Communication Systems Networks and Digital Signal Processing</t>
  </si>
  <si>
    <t>14th International Symposium on Communication Systems, Networks and Digital Signal Processing (CSNDSP)</t>
  </si>
  <si>
    <t>JUL 17-19, 2024</t>
  </si>
  <si>
    <t>Rome, ITALY</t>
  </si>
  <si>
    <t>This study explores the integration of artificial intelligence (AI) in home hospitalisation services in San Juan, Argentina. By analysing interdisciplinary team training and data collection methods, the research demonstrates how AI tools enhance patient care. A virtual survey among healthcare professionals highlights the benefits of 24-hour vital signs monitoring, revealing the impact of socio-cultural factors and treatment adjustments. The findings emphasize the transition from traditional data management to AI-driven applications, improving decision-making and patient outcomes.</t>
  </si>
  <si>
    <t>2475-6415</t>
  </si>
  <si>
    <t>979-8-3503-4875-0; 979-8-3503-4874-3</t>
  </si>
  <si>
    <t>10.1109/CSNDSP60683.2024.10636609</t>
  </si>
  <si>
    <t>WOS:001324588800105</t>
  </si>
  <si>
    <t>León, MV; Tonacca, LS; Nápoles, JP; Díaz, MGC</t>
  </si>
  <si>
    <t>Paleo, UF; Castineiras, L</t>
  </si>
  <si>
    <t>Vega Leon, Michely; Saez Tonacca, Luis; Puente Napoles, Jose; Gonzalez-Chavez Diaz, Maribel</t>
  </si>
  <si>
    <t>Cuba's farming market Opportunities for development</t>
  </si>
  <si>
    <t>FAMILY FARMS AND THE CONSERVATION OF AGROBIODIVERSITY IN CUBA: Food Security and Nature</t>
  </si>
  <si>
    <t>Issues in Agricultural Biodiversity</t>
  </si>
  <si>
    <t>978-1-032-56164-6; 978-1-315-18388-6; 978-1-138-73571-2</t>
  </si>
  <si>
    <t>10.4324/9781315183886-15</t>
  </si>
  <si>
    <t>10.4324/9781315183886</t>
  </si>
  <si>
    <t>WOS:001200200000016</t>
  </si>
  <si>
    <t>Villena, MG; Quinteros, MJ</t>
  </si>
  <si>
    <t>Villena, Mauricio G.; Quinteros, Maria Jose</t>
  </si>
  <si>
    <t>Corporate Social Responsibility, Environmental Emissions and Time-Consistent Taxation</t>
  </si>
  <si>
    <t>ENVIRONMENTAL &amp; RESOURCE ECONOMICS</t>
  </si>
  <si>
    <t>We formally model a Cournot duopoly market in which a corporate socially responsible (CSR) firm interacts with a profit-maximizing firm and where the market is regulated with an emission tax. We consider three different kinds of CSR firm behaviors: (i) consumer-friendly; (ii) environmentally-friendly; and (iii) consumer-environmentally friendly. Unlike most theoretical works within this literature, which typically use specific functional forms, we use general structures for the inverse demand function, the cost function, and for emission levels and damage functions. In terms of modeling strategy, we use two game-theoretic approaches: (i) a simultaneous game and (ii) a sequential three-stage ex-post game, in which decisions are time consistent. We found that the optimal emissions taxation rule is modified when considering different CSR motivations. We show that depending upon the CSR motivation and the price elasticity of demand in some cases we can obtain optimal emission tax rates higher, lower, or equal to marginal external emission. Finally, we also found that firms adopting consumer-friendly CSR behavior are more effective in improving the environment compared to environmentally friendly firms.</t>
  </si>
  <si>
    <t>Villena, Mauricio/I-7351-2019; Quinteros, Maria/JJE-1897-2023</t>
  </si>
  <si>
    <t>Villena, Mauricio/0000-0001-6573-9736; Quinteros, Maria J./0000-0001-9326-3640</t>
  </si>
  <si>
    <t>0924-6460</t>
  </si>
  <si>
    <t>1573-1502</t>
  </si>
  <si>
    <t>10.1007/s10640-023-00822-1</t>
  </si>
  <si>
    <t>NOV 2023</t>
  </si>
  <si>
    <t>WOS:001102585000001</t>
  </si>
  <si>
    <t>Gómez, G; Palma, G; González, E; Rincón, A; Cruz, N</t>
  </si>
  <si>
    <t>Gomez, Gabriel; Palma, Guillermo; Gonzalez, Esteban; Rincon, Angel; Cruz, Norman</t>
  </si>
  <si>
    <t>A new parametrization for bulk viscosity cosmology as extension of the ΛCDM model</t>
  </si>
  <si>
    <t>EUROPEAN PHYSICAL JOURNAL PLUS</t>
  </si>
  <si>
    <t>Bulk viscosity in cold dark matter is an appealing feature that introduces distinctive phenomenological effects in the cosmological setting as compared to the Lambda CDM model. Under this view, we propose a general parametrization of the bulk viscosity of the form xi similar to H1-2s rho(s)(m), Some advantages of this novel parametrization are: first, it allows to write the resulting equations of cosmological evolution in the form of an autonomous system for any value of s, so a general treatment of the fixed points and stability can be done, and second, the bulk viscosity effect is consistently handled so that it naturally turns off when matter density vanishes. As a main result we find, based on detailed dynamical system analysis, one-parameter family of de Sitter-like asymptotic solutions with non-vanishing bulk viscosity coefficient during different cosmological periods. Numerical computations are performed jointly along with analytical phase space analysis in order to assess more quantitatively the bulk viscosity effect on the cosmological background evolution. Finally, as a first contact with observation we derive constraints on the free parameters of some bulk viscosity models with specific s-exponents from Supernovae Ia and observations of the Hubble parameter, by performing a Bayesian statistical analysis thought the Markov Chain Monte Carlo method.</t>
  </si>
  <si>
    <t>Rincon, Angel/L-1189-2019; González Banda, Esteban/JFJ-4056-2023; Gomez, Gabriel/MVW-4321-2025</t>
  </si>
  <si>
    <t>Palma, Guillermo/0000-0001-7326-964X; Gonzalez Banda, Esteban/0000-0001-6769-5722; Gomez Diaz, Luis Gabriel/0000-0002-3618-9824</t>
  </si>
  <si>
    <t>2190-5444</t>
  </si>
  <si>
    <t>AUG 23</t>
  </si>
  <si>
    <t>10.1140/epjp/s13360-023-04367-6</t>
  </si>
  <si>
    <t>WOS:001064009200001</t>
  </si>
  <si>
    <t>Dettoni, R; Bahamondes, C; Yevenes, C; Cespedes, C; Espinosa, J</t>
  </si>
  <si>
    <t>Dettoni, Robinson; Bahamondes, Cliff; Yevenes, Carlos; Cespedes, Cristian; Espinosa, Javier</t>
  </si>
  <si>
    <t>The effect of obesity on chronic diseases in USA: a flexible copula approach</t>
  </si>
  <si>
    <t>We analyze the effect of obesity on the incidence of hypertension, hyperlipidemia and diabetes in USA using a health production theoretical framework along with a bivariate flexible semi-parametric recursive copula model that account for endogeneity. In this approach, the effects of control variables are flexibly determined using additive predictors that allow for a variety of effects. Our findings suggest that there exist a positive and significant effect of obesity on the prevalence of all chronic diseases examined. In particular, after endogeneity is accounted for, the probability of having hypertension, hyperlipidemia and diabetes for obese individuals are, respectively, 35%, 28% and 11% higher than those under the obesity threshold. These findings suggest that lowering obesity rates could lead to significant reductions in the morbidity and mortality associated with these diseases.</t>
  </si>
  <si>
    <t>Cespedes Carreno, Cristian/JCD-8625-2023</t>
  </si>
  <si>
    <t>Cespedes-Carreno, Cristian/0000-0002-6547-3445</t>
  </si>
  <si>
    <t>10.1038/s41598-023-28920-6</t>
  </si>
  <si>
    <t>WOS:000954545400042</t>
  </si>
  <si>
    <t>Leal, C; Murillo-Arcila, M</t>
  </si>
  <si>
    <t>Leal, Claudio; Murillo-Arcila, Marina</t>
  </si>
  <si>
    <t>Existence and Uniqueness of Solutions for a Class of Discrete-Time Fractional Equations of order 2 &lt; α ≤ 3</t>
  </si>
  <si>
    <t>APPLIED MATHEMATICS AND OPTIMIZATION</t>
  </si>
  <si>
    <t>In this paper we consider a class of linear difference equations of fractional order 2&lt;= 3 in the sense of Riemann-Liouville. The explicit solution for this model is provided in terms of a fractional resolvent sequence which allows to write the solution to this equation as a variation of constant formula. We also characterize the existence and uniqueness of solutions in l(p)(N-0,X) spaces with X being a UMD-space in terms of the R-boundedness of the operator symbol of the model. Moreover, we are able to relax this condition in the case of Hilbert spaces. Finally, we illustrate our results with an example that involves the generator of a contraction semigroup.</t>
  </si>
  <si>
    <t>Murillo, Marina/ABI-7284-2020</t>
  </si>
  <si>
    <t>0095-4616</t>
  </si>
  <si>
    <t>1432-0606</t>
  </si>
  <si>
    <t>10.1007/s00245-022-09870-3</t>
  </si>
  <si>
    <t>WOS:000807545000007</t>
  </si>
  <si>
    <t>Lacoste, P; Lira, CG</t>
  </si>
  <si>
    <t>Lacoste, Pablo; Lira, Cristian Guerrero</t>
  </si>
  <si>
    <t>THE MULETEERS AND THE INDEPENDENCE OF THE SOUTHERN CONE: TRANS-ANDEAN ROUTES, LOGISTICS AND SECRET SERVICE IN THE ARMY OF THE ANDES</t>
  </si>
  <si>
    <t>A new reading of a specific point in the independence process of the Southern Cone is proposed from a perspective that recognizes the role of the muleteers, particularly in the campaign of the Army of the Andes (1815-1818). As a working hypothesis, considered that the detailed knowledge they had of the Andean landscapes, together with the information networks articulated with grocery stores and tavern keepers, played a relevant role since they not only facilitated the transit of an army but also the circulation of valuable antecedents regarding the enemy forces, necessary for the implementation of military operations. The hypothesis is confronted with the historical documents and sources. It is concluded that the contribution of these subjects was substantial for the success of the liberation campaign in three planes: design of the routes, management of the campaign in the field and articulation of the secret service of the undercover war. Despite their outstanding work, the muleteers were quickly abandoned by the elites and later made invisible by nineteenth-century Chilean and Argentine historiography, which only highlighted the action of the military leaders.</t>
  </si>
  <si>
    <t>WOS:000826787100004</t>
  </si>
  <si>
    <t>Aranda, EA; Alarcón, T; Faúndez, R; Arancibia, M</t>
  </si>
  <si>
    <t>Aranda S, Elisa A.; Alarcon O, Teresa; Faundez H, Rossana; Arancibia S, Margarita</t>
  </si>
  <si>
    <t>Diagnosis of laryngopharyngeal Reflux by Impedance with esophageal pHmetry in children with chronic dysphonia</t>
  </si>
  <si>
    <t>ANDES PEDIATRICA</t>
  </si>
  <si>
    <t>Laryngopharyngeal Reflux (LPR) is the retrograde flow of gastric or duodenal contents into the pharynx and larynx, causing inflammation in the upper aerodigestive tract. Traditionally, a pH monitoring study with an acid reflux index was used. The use of multichannel intraluminal impedance testing with pH monitoring (MII-pH) confirms a causal relationship between suspicious symptoms and LPR. Objectives: To evaluate LPR diagnosed by MII-pH in the pediatric population consulting due to chronic dysphonia and laryngoscopic findings suggestive of LPR, in addition, to measure the concordance between MII-pH and traditional pH monitoring. Patients and Method: Descriptive, prospective study of patients consulting at the Gastroenterology or Otorhinolaryngology polyclinic due to chronic dysphonia, whose nasofibrolaryngoscopy (NFL) was suggestive of LPR. The patients were hospitalized for a 24-hour MII-pH. Patients with a congenital or acquired morbid history were excluded. Pathological LPR was considered if there were 3 or more acid reflux episodes at the proximal level in MII-pH. The frequency of traditional pH monitoring and altered MII-pH and the concordance between both methods were evaluated. Results: 12 patients were recruited, 10 men, 6 to 15 years old. On 9/12, pathological LPR was confirmed by MII-pH, of which 2/9 had traditional pH measurements in normal ranges and 7/9 altered pH measurements. In 3 patients, LPR was ruled out by normal proximal MII-pH. The concordance between MII-pH and traditional pH monitoring was acceptable (kappa 0.4). Conclusions: 75% of the patients with dysphonia and suggestive NFL showed objective evidence of pathological LPR. Since only with the clinical evaluation, NFL and conventional pH monitoring it is not possible to diagnose LPR, we recommend perform MII-pH for greater diagnostic certainty, avoiding unnecessary treatment, and with unwanted effects in 25% of cases.</t>
  </si>
  <si>
    <t>Alarcon, Tomas/D-9083-2013</t>
  </si>
  <si>
    <t>2452-6053</t>
  </si>
  <si>
    <t>10.32641/andespediatr.v92i6.3064</t>
  </si>
  <si>
    <t>WOS:000808831900004</t>
  </si>
  <si>
    <t>Ossandón, RF</t>
  </si>
  <si>
    <t>Ossandon, Rosario Fernandez</t>
  </si>
  <si>
    <t>Power asymmetries and the exercise of authority in paid domestic work</t>
  </si>
  <si>
    <t>The present article aims to stress the assumptions underlying the notion of power in studies on paid domestic work and proposes to include an empirical analysis of the management of power asymmetries through the exercise of authority. The methodology of the article bases on the review and analysis of theoretical and empirical texts on the notions of power and authority in gender studies in general, and studies on domestic work in particular, in particular emphasizing the Chilean context. The analysis shows the relevance of stressing the notion of power as domination and makes a proposal for the study of the exercise of authority on the basis of empirical investigation on the affective and intimate relationships between employers and domestic workers.</t>
  </si>
  <si>
    <t>Fernandez Ossandon, Rosario/GWQ-3876-2022</t>
  </si>
  <si>
    <t>2448-5799</t>
  </si>
  <si>
    <t>AUG 19</t>
  </si>
  <si>
    <t>e15904</t>
  </si>
  <si>
    <t>10.29101/crcs.v28i0.15904</t>
  </si>
  <si>
    <t>WOS:000705366700001</t>
  </si>
  <si>
    <t>Barbay, J; Pérez-Lantero, P; Rojas-Ledesma, J</t>
  </si>
  <si>
    <t>Computing the depth distribution of a set of boxes</t>
  </si>
  <si>
    <t>THEORETICAL COMPUTER SCIENCE</t>
  </si>
  <si>
    <t>Motivated by the analysis of range queries in databases, we introduce the computation of the depth distribution of a set B of n d-dimensional boxes (i.e., axis aligned d-dimensional hyperrectangles), which generalizes the computation of the Klee's measure and maximum depth of B. We present an algorithm to compute thedepth distribution running in time within O(n(d+1/2) log n), using space within O(n log n), and refine these upper bound for various measures of difficulty of the input instances. Moreover, we introduce conditional lower bounds for this problem which not only provide insights on how fast the depth distribution can be computed, but also clarify the relation between the DEPTH DISTRIBUTION problem and other fundamental problems in computer science. (C) 2021 Elsevier B.V. All rights reserved.</t>
  </si>
  <si>
    <t>0304-3975</t>
  </si>
  <si>
    <t>1879-2294</t>
  </si>
  <si>
    <t>SEP 3</t>
  </si>
  <si>
    <t>10.1016/j.tcs.2021.06.007</t>
  </si>
  <si>
    <t>WOS:000685511000005</t>
  </si>
  <si>
    <t>Cortés, SAP; Carvajal, YRA; Norambuena, JPV; Vásquez, JAN; Troncoso, JAJ; Cruz, JPH; Lagos, APM; Muñoz, PPJ</t>
  </si>
  <si>
    <t>Perez Cortes, Sebastian Alexander; Aguilera Carvajal, Yerko Rafael; Vargas Norambuena, Juan Pablo; Norambuena Vasquez, Javier Antonio; Jarufe Troncoso, Juan Andres; Hurtado Cruz, Juan Pablo; Munoz Lagos, Angelica Patricia; Jara Munoz, Pamela Paz</t>
  </si>
  <si>
    <t>Modeling a Fluidized Bed Dryer through Computational Fluid Dynamics and the Discrete Element Method</t>
  </si>
  <si>
    <t>CHEMICAL ENGINEERING &amp; TECHNOLOGY</t>
  </si>
  <si>
    <t>The internal phenomena of a concentrate dryer were studied to significantly improve the modeling and design of a melting process. The present study coupled computational fluid dynamics and the differentiated elements method to obtain detailed information about complex phenomena in the simulated obtention of copper metal while keeping fluids physically stable. It was possible to understand the behavior from the point of view of the fluid and dynamics with acceptable margins of error. The study is part of the critical process line at Caletones Smelter in Chile, which produces ca. 450 000 tons of fine copper per annum, representing 2 % of total annual global copper demand and making the subject of this study highly relevant.</t>
  </si>
  <si>
    <t>Vargas, Juan Pablo/N-2185-2015; Hurtado Cruz, Juan Pablo/K-2568-2013</t>
  </si>
  <si>
    <t>Vargas, Juan Pablo/0000-0002-0783-0221; Munoz, Angelica Patricia/0000-0002-0173-2292; Perez Cortes, Sebastian Alexander/0000-0003-0366-1747; Hurtado Cruz, Juan Pablo/0000-0001-7602-8278; Jara, Pamela/0000-0002-9717-9283; Jarufe Troncoso, juan Andres/0000-0003-2373-785X; Aguilera, Yerko/0000-0001-5470-727X</t>
  </si>
  <si>
    <t>0930-7516</t>
  </si>
  <si>
    <t>1521-4125</t>
  </si>
  <si>
    <t>10.1002/ceat.202100134</t>
  </si>
  <si>
    <t>JUL 2021</t>
  </si>
  <si>
    <t>WOS:000679189200001</t>
  </si>
  <si>
    <t>Cerro, D; Bustos, G; Villegas, C; Buendia, N; Truffa, G; Godoy, MP; Rodríguez, F; Rojas, A; Galotto, MJ; Constandil, L; Yanez-S, M; Romero, J; Torres, A</t>
  </si>
  <si>
    <t>Cerro, Daniela; Bustos, Gonzalo; Villegas, Carolina; Buendia, Nicolas; Truffa, Giannina; Paz Godoy, Maria; Rodriguez, Francisco; Rojas, Adrian; Jose Galotto, Maria; Constandil, Luis; Yanez-S, Mauricio; Romero, Julio; Torres, Alejandra</t>
  </si>
  <si>
    <t>Effect of supercritical incorporation of cinnamaldehyde on physical-chemical properties, disintegration and toxicity studies of PLA/lignin nanocomposites</t>
  </si>
  <si>
    <t>Poly (lactic acid)/lignin nanocomposites (PLA/Lig-Np) containing cinnamaldehyde (Ci) were obtained by a combination of melt extrusion and supercritical impregnation process. In this work, Ci impregnation tests were carried out in a high-pressure cell at 40 degrees C for 3 h using 12 MPa and 1 MPa min(-1) of depressurization rate, obtaining impregnation yields ranging from 5.7 to 10.8% w/w. Thermal, mechanical and colorimetric properties of the developed films were affected by the incorporation of lignin nanoparticles and the active compound, obtaining biodegradable plastic materials with a strong UV-light barrier property compared to PLA films. In addition, disintegrability tests under composting conditions confirmed the biodegradable character of nanocomposites developed. On day 23, a disintegration percentage greater than 90% was determined for all bionanocomposites. Finally, to establish the possible toxicity effect of the nanocomposites obtained, studies in vivo were performed in normal rats. Toxicity studies showed normal blood parameters after a single dose of nanocomposites. PLA/Ci/Lig-Np bionanocomposite films could be potentially applied to design biodegradable UV-light barrier materials for food packaging and biomedical applications. (C) 2020 Elsevier B.V. All rights reserved.</t>
  </si>
  <si>
    <t>Torres, Alejandra/LPQ-5664-2024; Romero, Julio/I-6705-2013; Godoy, Marcos/Q-9774-2019; Rojas, Adrián/AAR-9441-2021; Rodríguez, Francisco/I-5283-2018</t>
  </si>
  <si>
    <t>Bustos Quevedo, Gonzalo Salvador/0000-0001-6956-6609; Constandil, Luis/0000-0002-2504-0119; Romero, Julio/0000-0002-1229-1592; Rodriguez-Mercado, Francisco/0000-0002-0530-6653; Rojas, Adrian/0000-0001-9253-1295</t>
  </si>
  <si>
    <t>10.1016/j.ijbiomac.2020.11.140</t>
  </si>
  <si>
    <t>WOS:000606683200025</t>
  </si>
  <si>
    <t>The Feuilleton Tradition Popular Literature Aimed at the Urban Reader</t>
  </si>
  <si>
    <t>WOS:001178587400008</t>
  </si>
  <si>
    <t>Ibaceta, E; Diaz, M; Uriarte, M; Rojas, F; Letelier, A; Cardenas, R</t>
  </si>
  <si>
    <t>Ibaceta, Efrain; Diaz, Matias; Uriarte, Matias; Rojas, Felix; Letelier, Arturo; Cardenas, Roberto</t>
  </si>
  <si>
    <t>A Power Loss Ride Through Control Strategy for Variable Speed Drives based on the Modular Multilevel Matrix Converter</t>
  </si>
  <si>
    <t>Modern variable-speed drives must be able to deal with ride-through faults with dips of 70-90 % to ensure the continuity of the process without the energy store station discharge and carry out significant effects to its performance. So, the existent contingencies to such case are tripping-method from grid, robust DC-Link with higher capacitors and additional power electronic hardware. Nevertheless, they comprehend a common drawback for being costly in the industry. Therefore, the Power Loss Ride Through behaviour on variable-speed drives is an important feature which is a worst-case where the system can suffer dips near to 99% on grid. Recently, Modular Multilevel Cascade Converters have been applied in Variable-Speed Drives applications due to their capability to operate at high-power rates and features such as enhanced fault-ride through capability during critical dip voltage (e.g., 99% of amplitude) in grid. Therefore, this paper presents a control strategy based on a transition mechanism between outer control loops on the nested control of a Modular Multilevel Matrix Converter drive with the aim to improve the Power Loss Ride-Through performance through keeping the energy store station uniform and stable. Simulation results obtained using PLECS software are presented to validate the effectiveness of the proposed control strategy.</t>
  </si>
  <si>
    <t>Cardenas, Roberto/C-6395-2011; Rojas, Felix/U-3305-2019; Diaz, Matias/R-7570-2018</t>
  </si>
  <si>
    <t>10.1109/ICAACCA51523.2021.9465236</t>
  </si>
  <si>
    <t>WOS:000855764500076</t>
  </si>
  <si>
    <t>Pizarro, P; Ibaceta, E; Díaz, M; Rojas, F; Espinoza, M</t>
  </si>
  <si>
    <t>Pizarro, Patricio; Ibaceta, Efrain; Diaz, Matias; Rojas, Felix; Espinoza, Mauricio</t>
  </si>
  <si>
    <t>A LVRT Control Strategy for a Shunt-Series Modular Multilevel Converter in Wind Energy Conversion System Applications</t>
  </si>
  <si>
    <t>2021 SIXTEENTH INTERNATIONAL CONFERENCE ON ECOLOGICAL VEHICLES AND RENEWABLE ENERGIES (EVER)</t>
  </si>
  <si>
    <t>16th International Conference on Ecological Vehicles and Renewable Energies (EVER)</t>
  </si>
  <si>
    <t>MAY 05-07, 2021</t>
  </si>
  <si>
    <t>IEEE,IEEE Ind Applicat Soc,IEEE Power &amp; Energy Soc,IEEE Tunisia Sect,IEEE France Sect,Monaco Dev Durable,Govt Princier, Principaute Monaco,SMEG,DS Automobiles,Fondat Prince Albert II Monaco,Hyundai</t>
  </si>
  <si>
    <t>Massive wind turbines are currently under development, reaching power ratios above 12 MW and rotors diameters of 220 m. At this power ratio, wind energy conversion system must be equipped with high-power converters featuring redundancy and fault tolerance, high efficiency, controllability and grid voltage fault-ride through capabilities. Consequently, this paper presents the novel application of a Shunt-Series Modular Multilevel Converter based wind energy conversion system, and a decoupled Low Voltage Ride Through control strategy is developed. Simulations results for a 10 MVA are presented to validate the effectiveness of the proposed decoupled control strategy.</t>
  </si>
  <si>
    <t>Rojas, Felix/U-3305-2019; Gonzalez-Pizarro, Patricio/HMD-9320-2023; Espinoza, Mauricio/AAH-8647-2019; Diaz, Matias/R-7570-2018</t>
  </si>
  <si>
    <t>978-1-6654-4902-1</t>
  </si>
  <si>
    <t>10.1109/EVER52347.2021.9456646</t>
  </si>
  <si>
    <t>WOS:000713923900047</t>
  </si>
  <si>
    <t>Tolentino-Toro, K; Naipán-Vásquez, N; Canales-Araya, C; Ortega-Baró, P; Baez-Rojas, C; González-Yáñez, C; Urbano-Moncada, L; Traverso-Caldana, L</t>
  </si>
  <si>
    <t>Gonzalez, RS; Barraza, GM; Magana, FI; Calquin, DC; Castillo, D</t>
  </si>
  <si>
    <t>Tolentino-Toro, Krisna; Naipan-Vasquez, Naiomi; Canales-Araya, Carolina; Ortega-Baro, Paloma; Baez-Rojas, Christian; Gonzalez-Yanez, Constanza; Urbano-Moncada, Linda; Traverso-Caldana, Laura</t>
  </si>
  <si>
    <t>Enclosed techno-teaching: Preliminary dimensions of narrative productions on virtual teaching in times of post social explosion pandemic</t>
  </si>
  <si>
    <t>CHILE EN EL VERTICE DE LA TRANSFORMACION SOCIAL: (Re) Planteamientos Psicosociales en Tiempos de Crisis Global. Aportes y Miradas Con-movedoras sobre Conflictividad Social y Pandemia. (Re) Psychosocial Approaches in Times of Global Crisis. Contributions and Con-moving Looks on Social Conflict and Pandemic</t>
  </si>
  <si>
    <t>978-956-303-478-3</t>
  </si>
  <si>
    <t>WOS:000651158400014</t>
  </si>
  <si>
    <t>Adasme, P; Firoozabadi, AD</t>
  </si>
  <si>
    <t>Adasme, Pablo; Dehghan Firoozabadi, Ali</t>
  </si>
  <si>
    <t>Degree-Constrained k-Minimum Spanning Tree Problem</t>
  </si>
  <si>
    <t>COMPLEXITY</t>
  </si>
  <si>
    <t>Let G(V,E) be a simple undirected complete graph with vertex and edge sets V and E, respectively. In this paper, we consider the degree-constrained k-minimum spanning tree (DCkMST) problem which consists of finding a minimum cost subtree of G formed with at least k vertices of V where the degree of each vertex is less than or equal to an integer value d &lt;= k-2. In particular, in this paper, we consider degree values of d is an element of[2,3]. Notice that DCkMST generalizes both the classical degree-constrained and k-minimum spanning tree problems simultaneously. In particular, when d=2, it reduces to a k-Hamiltonian path problem. Application domains where DCkMST can be adapted or directly utilized include backbone network structures in telecommunications, facility location, and transportation networks, to name a few. It is easy to see from the literature that the DCkMST problem has not been studied in depth so far. Thus, our main contributions in this paper can be highlighted as follows. We propose three mixed-integer linear programming (MILP) models for the DCkMST problem and derive for each one an equivalent counterpart by using the handshaking lemma. Then, we further propose ant colony optimization (ACO) and variable neighborhood search (VNS) algorithms. Each proposed ACO and VNS method is also compared with another variant of it which is obtained while embedding a Q-learning strategy. We also propose a pure Q-learning algorithm that is competitive with the ACO ones. Finally, we conduct substantial numerical experiments using benchmark input graph instances from TSPLIB and randomly generated ones with uniform and Euclidean distance costs with up to 400 nodes. Our numerical results indicate that the proposed models and algorithms allow obtaining optimal and near-optimal solutions, respectively. Moreover, we report better solutions than CPLEX for the large-size instances. Ultimately, the empirical evidence shows that the proposed Q-learning strategies can bring considerable improvements.</t>
  </si>
  <si>
    <t>Dehghan Firoozabadi, Ali/AAD-4858-2019; Adasme, Pablo/U-1735-2019</t>
  </si>
  <si>
    <t>1076-2787</t>
  </si>
  <si>
    <t>1099-0526</t>
  </si>
  <si>
    <t>NOV 9</t>
  </si>
  <si>
    <t>10.1155/2020/7628105</t>
  </si>
  <si>
    <t>WOS:000595644000009</t>
  </si>
  <si>
    <t>Lp-Lq-Well Posedness for the Moore-Gibson-Thompson Equation with Two Temperatures on Cylindrical Domains</t>
  </si>
  <si>
    <t>We examine the Cauchy problem for a model of linear acoustics, called the Moore-Gibson-Thompson equation, describing a sound propagation in thermo-viscous elastic media with two temperatures on cylindrical domains. For an adequate combination of the parameters of the model we prove L-p-L-q-well-posedness, and we provide maximal regularity estimates which are optimal thanks to the theory of operator-valued Fourier multipliers.</t>
  </si>
  <si>
    <t>murillo arcila, marina/0000-0001-6589-0452; Lizama, Carlos/0000-0002-9807-1100</t>
  </si>
  <si>
    <t>10.3390/math8101748</t>
  </si>
  <si>
    <t>WOS:000586997500001</t>
  </si>
  <si>
    <t>Ahumada, RN</t>
  </si>
  <si>
    <t>Nazer Ahumada, Ricardo</t>
  </si>
  <si>
    <t>The Cousino business family and the coal industry in Chile: 1852-1952</t>
  </si>
  <si>
    <t>This article describes and analyzes the trajectory of the Cousino business family and its participation in the development of the coal industry in Chile over a hundred years, where through the creation of a family business it was a pioneer in the exploitation of coal in the area of Arauco, raising a modern industrial mining complex, which had a copper smelter, refractory brick factory, port and a fleet of vapors for the transport of ore and copper, with special emphasis on the evolution of the business and its administration by the Cousino business family in their business succession processes and the management of the mining business over three generations.</t>
  </si>
  <si>
    <t>MAY-AUG</t>
  </si>
  <si>
    <t>WOS:000532723100008</t>
  </si>
  <si>
    <t>Duran, A; Ibaceta, E; Diaz, M; Rojas, F; Cardenas, R; Chavez, H</t>
  </si>
  <si>
    <t>Duran, Alberto; Ibaceta, Efrain; Diaz, Matias; Rojas, Felix; Cardenas, Roberto; Chavez, Hector</t>
  </si>
  <si>
    <t>Control of a Modular Multilevel Matrix Converter for Unified Power Flow Controller Applications</t>
  </si>
  <si>
    <t>ENERGIES</t>
  </si>
  <si>
    <t>The modular multilevel matrix converter has been proposed as a suitable option for high power applications such as flexible AC transmission systems. Among flexible AC transmission systems, the unified power flow controller stands out as the most versatile device. However, the application of the modular multilevel matrix converter has not been thoroughly analyzed for unified power flow controller applications due to the sophisticated control systems that are needed when its ports operate at equal frequencies. In this context, this paper presents a cascaded control structure for a modular multilevel matrix converter based unified power flow controller. The control is implemented in a decoupled reference frame, and it features proportional-integral external controllers and internal proportional multi-resonant controllers. Additionally, the input port of the modular multilevel matrix converter is regulated in grid-feeding mode, and the output port is regulated in grid-forming mode to provide power flow compensation. The effectiveness of the proposed vector control system is demonstrated through simulation studies and experimental validation tests conducted with a 27-cell 5 kW prototype.</t>
  </si>
  <si>
    <t>Rojas, Felix/U-3305-2019; Cardenas, Roberto/C-6395-2011; Diaz, Matias/R-7570-2018</t>
  </si>
  <si>
    <t>Cardenas, Roberto/0000-0003-3853-7703; Rojas, Felix/0000-0001-6145-2826; Diaz, Matias/0000-0003-4489-9532</t>
  </si>
  <si>
    <t>1996-1073</t>
  </si>
  <si>
    <t>10.3390/en13040953</t>
  </si>
  <si>
    <t>WOS:000522492700181</t>
  </si>
  <si>
    <t>Adasme, P; Seguel, F; Firoozabadi, AD</t>
  </si>
  <si>
    <t>Adasme, Pablo; Seguel, Fabian; Firoozabadi, Ali Dehghan</t>
  </si>
  <si>
    <t>On a Clustering Partitioning approach for Wireless Visible Light Communication Networks</t>
  </si>
  <si>
    <t>In this paper, we consider the problem of forming clusters of nodes in a wireless visible light communication (VLC for short) network. More precisely, let G = (V, E) be a complete graph with a set of wireless devices V (nodes) and a set of connection links E (edges) representing the VLC network. We consider the problem of partitioning k &lt;= vertical bar V vertical bar vertices into disjoint cliques of size of at most left perpendicular k/t right perpendicular + 1 nodes where t &lt; k (k, t is an element of Z(+)) such that the total power received plus the residual energy of each of the k chosen nodes is maximized. Recall that clustering the sensor nodes of a network allows handling efficiently problems related to scalability, and routing, to name a few. In order to achieve the grouping task optimally, we propose integer linear and quadratic programming models based on classical combinatorial optimization problems from the literature. In order to compare our proposed models, we assume that every node in the network can communicate through a direct line of sight (DLOS) VLC channel. Our preliminary numerical results indicate that the quadratic model together with its linearized counterpart are the best ones as they allow to solve to optimality all tested instances in significantly less computational effort.</t>
  </si>
  <si>
    <t>Adasme, Pablo/U-1735-2019; Seguel, Fabian/ABC-4765-2020; Dehghan Firoozabadi, Ali/AAD-4858-2019</t>
  </si>
  <si>
    <t>Seguel, Fabian/0000-0001-6567-8988</t>
  </si>
  <si>
    <t>WOS:000926136200047</t>
  </si>
  <si>
    <t>Fuentes-Lemus, E; López-Alarcón, C</t>
  </si>
  <si>
    <t>Hooper, N</t>
  </si>
  <si>
    <t>Fuentes-Lemus, Eduardo; Lopez-Alarcon, Camilo</t>
  </si>
  <si>
    <t>Photo-induced protein oxidation: mechanisms, consequences and medical applications</t>
  </si>
  <si>
    <t>PROTEIN OXIDATION</t>
  </si>
  <si>
    <t>Essays in Biochemistry</t>
  </si>
  <si>
    <t>Irradiation from the sun has played a crucial role in the origin and evolution of life on the earth. Due to the presence of ozone in the stratosphere most of the hazardous irradiation is absorbed, nonetheless UVB, UVA, and visible light reach the earth's surface. The high abundance of proteins in most living organisms, and the presence of chromophores in the side chains of certain amino acids, explain why these macromolecules are principal targets when biological systems are illuminated. Light absorption triggers the formation of excited species that can initiate photo-modification of proteins. The major pathways involve modifications derived from direct irradiation and photo-sensitized reactions. In this review we explored the basic concepts behind these photochemical pathways, with special emphasis on the photosensitized mechanisms (type 1 and type 2) leading to protein oxidation, and how this affects protein structure and functions. Finally, a description of the photochemical reactions involved in some human diseases, and medical applications of protein oxidation are presented.</t>
  </si>
  <si>
    <t>Lopez, Camilo/J-5770-2013; Fuentes Lemus, Eduardo/X-4292-2019</t>
  </si>
  <si>
    <t>Lopez, Camilo/0000-0002-0174-8972; Fuentes Lemus, Eduardo/0000-0002-1465-8466</t>
  </si>
  <si>
    <t>0071-1365</t>
  </si>
  <si>
    <t>1744-1358</t>
  </si>
  <si>
    <t>10.1042/EBC20190044</t>
  </si>
  <si>
    <t>WOS:000537063700003</t>
  </si>
  <si>
    <t>Maximal lp-regularity for discrete time Volterra equations with delay</t>
  </si>
  <si>
    <t>JOURNAL OF DIFFERENCE EQUATIONS AND APPLICATIONS</t>
  </si>
  <si>
    <t>In this paper, we investigate the existence and uniqueness of solutions belonging to the vector-valued space l(p)(Z, X) by using Blunck's theorem on the equivalence between operator-valued l(p)-multipliers and the notion of R-boundedness for the discrete time Volterra equation with delay given by u(n) = Sigma(n)(j=-infinity) b(n - j)Au(j) + Sigma(k)(j=1) beta ju(n - tau(j)) + f (n), n is an element of Z, where A is a closed linear operator with domain D(A) defined on a Banach space X, and b. l(1)(Z) verifies suitable conditions such as 1-regularity. We characterize maximal l(p)-regularity of solutions of such problems in terms of the data and an spectral condition, and we provide optimal estimates. Moreover, we illustrate our results providing different models that label into our general scheme such as the discrete time wave and Kuznetsov equations.</t>
  </si>
  <si>
    <t>Lizama, Carlos/0000-0002-9807-1100; murillo arcila, marina/0000-0001-6589-0452</t>
  </si>
  <si>
    <t>1023-6198</t>
  </si>
  <si>
    <t>1563-5120</t>
  </si>
  <si>
    <t>OCT 3</t>
  </si>
  <si>
    <t>9-10</t>
  </si>
  <si>
    <t>10.1080/10236198.2019.1638916</t>
  </si>
  <si>
    <t>JUL 2019</t>
  </si>
  <si>
    <t>WOS:000478348200001</t>
  </si>
  <si>
    <t>Muñoz-Shugulí, C; Rodríguez, FJ; Bruna, JE; Galotto, MJ; Sarantópoulos, C; Perez, MAF; Padula, M</t>
  </si>
  <si>
    <t>Munoz-Shuguli, Cristina; Rodriguez, Francisco J.; Bruna, Julio E.; Galotto, Maria J.; Sarantopoulos, Claire; Favaro Perez, Mary A.; Padula, Marisa</t>
  </si>
  <si>
    <t>Cetylpyridinium bromide-modified montmorillonite as filler in low density polyethylene nanocomposite films</t>
  </si>
  <si>
    <t>APPLIED CLAY SCIENCE</t>
  </si>
  <si>
    <t>The development of clay polymer nanocomposites has been presented as an interesting alternative for design of new active food packaging materials. In this work, low density polyethylene (LDPE) nanocomposites with cetylpyridinium bromide (CPB) - modified montmorillonite (Mt) were developed. In a first stage, Mt. was modified with different CPB proportions based on cation exchange capacity (1:1 and 2:1), resulting in two different organoclays. These modified clays were hydrophobic and presented a good thermal stability that favored their capacity for extrusion to develop LDPE nanocomposites. Based on the incorporated organoclay, nanocomposite films showed important changes in morphology, and differences in mechanical properties, crystallinity, and gas permeability in comparison to polyethylene. All nanocomposites showed greater opacity than LDPE, however, their color changes did not exceed the visual perception limit. Finally, electrical conductivity (EC) measurements showed that CPB was able to migrate from the nanocomposite films to an aqueous food simulant. This behavior was dependent on the availably of free CPB in the matrix, its disposition in the organoclay and the organoclay distribution into the polymer matrix. These results highlight the migration of the surfactant from LDPE nanocomposites with Mt./CPB organoclays, making montmorillonite a potential surfactant carrier that increases compatibility and function in polymers allowing the generation of novel materials that could be used in the design of food packaging.</t>
  </si>
  <si>
    <t>Muñoz-Shugulí, Cristina/AAO-4231-2020; bruna, julio/AAM-6867-2021; Rodríguez, Francisco/I-5283-2018; Grigoli de Luca Sarantopoulos, Claire Isabel/D-7764-2012</t>
  </si>
  <si>
    <t>Grigoli de Luca Sarantopoulos, Claire Isabel/0000-0002-8172-7177; Munoz Shuguli, Cristina Alejandra/0000-0003-0052-7411; Bruna, Julio E./0000-0001-9656-6022; Rodriguez-Mercado, Francisco/0000-0002-0530-6653; Padula, Marisa/0000-0003-2892-2034</t>
  </si>
  <si>
    <t>0169-1317</t>
  </si>
  <si>
    <t>1872-9053</t>
  </si>
  <si>
    <t>10.1016/j.clay.2018.10.020</t>
  </si>
  <si>
    <t>WOS:000455692700022</t>
  </si>
  <si>
    <t>Chen, DM; Vasco, DA; Di Capua, HM; Guzmán, AM</t>
  </si>
  <si>
    <t>ASME</t>
  </si>
  <si>
    <t>Chen, Daming; Vasco, Diego A.; Mario Di Capua, H.; Guzman, Amador M.</t>
  </si>
  <si>
    <t>ELECTROREPULSION IN NANOFLUIDS: EXPERIMENTAL CHARACTERIZATION FOR A STABLE BEHAVIOR</t>
  </si>
  <si>
    <t>PROCEEDINGS OF THE ASME 6TH INTERNATIONAL CONFERENCE ON MICRO/NANOSCALE HEAT AND MASS TRANSFER, 2019</t>
  </si>
  <si>
    <t>6th ASME International Conference on Micro/Nanoscale Heat and Mass Transfer</t>
  </si>
  <si>
    <t>JUL 08-10, 2019</t>
  </si>
  <si>
    <t>Dalian, PEOPLES R CHINA</t>
  </si>
  <si>
    <t>ASME, Heat Transfer Div,Dalian Maritime Univ,Dalian Univ Technol</t>
  </si>
  <si>
    <t>The present work in nanofluids isfocusing into using the electrokinetic phenomenal occurring around nanoparticles immersed in a basefluid as a method to stabilize a nanofluid and enhance its thermal conductivity. The electro-kinetic physic establishes, that when an electrolyte solution is in contact with a solid, an electric double layer (EDL) is produced on the solid surface. Due to the high concentration of ions with the same charge around of the particle surface, it is possible to stabilize a nanofluid by the action of an electro repulsive force caused by ions over the nanoparticle surface and enhance its thermal conductivity as the concentration ofthe solutions increases. The nanofluid samples were prepared by the two-step method and a continuous ultrasonication, lwt% and 3wt% concentration (mass fraction) of Titanium oxide, Anatase (7O2) nanoparticles, is added in an electrolyte solution (base fluid) made of different concentration ofPotassium Chloride (KCI), and deionized water The pH ofthe base fluid is maintained constant adding HEPES as a buffering agent. To measure the different level ofstabilityfor the nanofluid we used the thermal conductivity enhancement of the base fluid by nanoparticles. The experimental results under controlled temperature condition show that an electrolyte solution with nanoparticles after 20 days of preparation, presents a higher thermal conductivity with respect to the base fluid with an improvement rate ranging from 0.43+0.12% to 0.72+0.12% for lwt%, and 2.15+0.17% to 3.03+0.21% for 3wt% of nanoparticles added respectively. The higher improvement shows sign ofa major level ofhomogeneity of the nanofluid, and this behavior seems to be directly proportional to the KCl concentration.</t>
  </si>
  <si>
    <t>chen, daming/KIC-9013-2024; Vasco, Diego/Y-2934-2019; Guzman, Amador/F-9260-2013</t>
  </si>
  <si>
    <t>chen, daming/0000-0001-9008-5412; Vasco, Diego Andres/0000-0001-7456-4683</t>
  </si>
  <si>
    <t>978-0-7918-5890-5</t>
  </si>
  <si>
    <t>UNSP V001T02A002</t>
  </si>
  <si>
    <t>WOS:000502408800009</t>
  </si>
  <si>
    <t>Flores, PAM; Correa-Llantén, DN; Blamey, JM</t>
  </si>
  <si>
    <t>Flores, Patricio A. M.; Correa-Llanten, Daniela N.; Blamey, Jenny M.</t>
  </si>
  <si>
    <t>A thermophilic microorganism from Deception Island, Antarctica with a thermostable glutamate dehydrogenase activity</t>
  </si>
  <si>
    <t>BIOLOGICAL RESEARCH</t>
  </si>
  <si>
    <t>Background: The Antarctic continent is a source of extreme microorganisms. Millions of years of isolation have produced unique biodiversity with adaptive responses to its extreme environment. Although the Antarctic climate is mainly cold, the presence of several geothermal sites, including thermal springs, fumaroles, hot soils and hydrothermal vents, provides ideal environments for the development of thermophilic and hyperthermophilic microorganisms. Their enzymes, called thermoenzymes, are the focus of interest in both academic and industrial research, mainly due to their high thermal activity and stability. Glutamate dehydrogenase, is an enzyme that plays a key role in the metabolism of carbon and nitrogen catalyzing reversibly the oxidative deamination of glutamate to alpha-ketoglutarate and ammonium. It belongs to the family of oxidoreductases, is widely distributed and it has been highly regarded for use as biosensors, particularly for their specificity and ability to operate in photochemical and electrochemical systems. However, the use of enzymes as biosensors is relatively problematic due to their instability to high temperatures, organic solvents and denaturing agents. The purpose of this study is to present the partial characterization of a thermophilic microorganism isolated from Deception Island, Antarctica, that displays glutamate dehydrogenase activity. Results: In this work, we report the isolation of a thermophilic microorganism called PID15 from samples of Deception Island collected during the Antarctic Scientific Expedition ECA 46. This microorganism is a thermophile that grows optimally at 50 degrees C and pH 8.0. Scanning electron microscopy shows rod cells of 2.0 to 8.0 mu m of length. Phylogenetic analysis of 16S rRNA gene revealed that this microorganism is closely related to Bacillus gelatini. This microorganism contains a thermostable glutamate dehydrogenase with optimal activity at pH 8.0 and temperatures for its activity from 37 to 50 degrees C, range of temperature of interest for biotechnological applications. This glutamate dehydrogenase is a highly thermostable enzyme. Conclusion: This is the first report of a microorganism from Antarctica containing a thermostable glutamate dehydrogenase that maintains its activity in a broad range of temperatures making it of potential interest for biotechnological applications.</t>
  </si>
  <si>
    <t>Blamey, Jenny/M-2637-2014</t>
  </si>
  <si>
    <t>Blamey, Jenny/0000-0002-7640-316X; Flores, Patricio/0009-0004-2489-187X</t>
  </si>
  <si>
    <t>0716-9760</t>
  </si>
  <si>
    <t>0717-6287</t>
  </si>
  <si>
    <t>DEC 8</t>
  </si>
  <si>
    <t>10.1186/s40659-018-0206-3</t>
  </si>
  <si>
    <t>WOS:000452538200001</t>
  </si>
  <si>
    <t>Quijada-Maldonado, E; Sánchez, F; Pérez, B; Tapia, R; Romero, J</t>
  </si>
  <si>
    <t>Quijada-Maldonado, Esteban; Sanchez, Felipe; Perez, Barbara; Tapia, Ricardo; Romero, Julio</t>
  </si>
  <si>
    <t>Task-Specific Ionic Liquids as Extractants for the Solvent Extraction of Molybdenum(VI) from Aqueous Solution Using Different Commercial Ionic Liquids as Diluents</t>
  </si>
  <si>
    <t>In this work, the recovery of molybdenum(VI) (Mo) from aqueous solutions was carried out by solvent extraction (SX) using ammonium and phosphonium-based task-specific ionic liquids (TSILs) as extractants diluted in kerosene and two other hydrophobic room-temperature ionic liquids (RTILs). Four different TSILs were used as extractants: trioctylmethylammonium bis(2-ethylhexyl) phosphate [TOMA] [D2EHP]; trioctylmethylammonium benzoate [TOMA] [BA]; trihexyltetradecylphosphonium bis(2-ethylhexyl) phosphate [P-6,P-6,P-6,P-14] [D2EHP]; and trihexyltetradecylphosphonium benzoate [P-6,P-6,P-6,P-14] [BA]. These TSILs were synthesized to assess the effect of the cation and anion on the SX of Mo(VI). Experimental results indicated that high extraction percentages of Mo(VI) were obtained with all the synthesized TSILs. Besides that, the best cation was [TOMA](+) for all the diluents and [BA] was the best anion when kerosene and 1-octyl-3-methylimidazolium bis(trifluoromethylsulfonyl)imide, [omim] [Tf2N], were the diluents. Furthermore, the SX process using these ionic liquids followed an anion-exchange mechanism for kerosene and [omim] [Tf2N] as diluents. Finally, the stripping was successfully performed with a solution of ammonium carbonate, and the extent of stripping depended on the selected diluent.</t>
  </si>
  <si>
    <t>Romero, Julio/I-6705-2013; Tapia, Ricardo/T-7170-2017; Sánchez, Felipe/JEP-6768-2023</t>
  </si>
  <si>
    <t>Romero, Julio/0000-0002-1229-1592; Tapia, Ricardo/0000-0003-4407-3845; Quijada-Maldonado, Esteban/0000-0003-1411-4327</t>
  </si>
  <si>
    <t>FEB 7</t>
  </si>
  <si>
    <t>10.1021/acs.iecr.7b04147</t>
  </si>
  <si>
    <t>WOS:000424851800028</t>
  </si>
  <si>
    <t>Durán, CA; Palominos, FE</t>
  </si>
  <si>
    <t>DuranFaundez, C; Lefranc, G; FernandezFernandez, M; Munoz, C; Rubio, E</t>
  </si>
  <si>
    <t>Duran, Claudia A.; Palominos, Fredi E.</t>
  </si>
  <si>
    <t>Methodological proposal for decision making soported on ANP and Multidimensional Database</t>
  </si>
  <si>
    <t>2018 IEEE INTERNATIONAL CONFERENCE ON AUTOMATION/XXIII CONGRESS OF THE CHILEAN ASSOCIATION OF AUTOMATIC CONTROL (ICA-ACCA)</t>
  </si>
  <si>
    <t>IEEE International Conference on Automation (ICA) / 23rd Congress of the Chilean-Association-of-Automatic-Control (ACCA)</t>
  </si>
  <si>
    <t>OCT 17-19, 2018</t>
  </si>
  <si>
    <t>Concepcion, CHILE</t>
  </si>
  <si>
    <t>IEEE,IEEE Chile Sect,Chilean Assoc Automat Control,Univ Bio Bio</t>
  </si>
  <si>
    <t>Decision making in a system of private companies and public organizations can be complex, because a large amount of information is permanently transferred between them, which may be relevant to increase competitiveness. For managers to comply with the defined strategic and operational objectives and choose effective alternatives, it is fundamental to have decision support systems (DSS) that calculate indicators for a large amount of transactional data, which have meaning. In this paper, based on the Analytical Networking Methodology (ANP) applied to the opinion of experts, the key KPIs related to the technological and risk aspects for the actors identified, is presented a proposal for the decision-making process, which are then implemented in OLAP cubes on multidimensional databases of the ROLAP type.</t>
  </si>
  <si>
    <t>Duran, Claudia/S-1175-2019; Palominos, Fredi/U-4690-2019</t>
  </si>
  <si>
    <t>Duran, Claudia/0000-0002-0903-4333</t>
  </si>
  <si>
    <t>978-1-5386-5586-3</t>
  </si>
  <si>
    <t>WOS:000458417600020</t>
  </si>
  <si>
    <t>Robles, FAB; Panerai, RB; Pacheco, MC</t>
  </si>
  <si>
    <t>Mendoza, M; Velastin, S</t>
  </si>
  <si>
    <t>Robles, Felipe-Andres Bello; Panerai, Ronney B.; Pacheco, Max Chacon</t>
  </si>
  <si>
    <t>Linear Modelling of Cerebral Autoregulation System Using Genetic Algorithms</t>
  </si>
  <si>
    <t>PROGRESS IN PATTERN RECOGNITION, IMAGE ANALYSIS, COMPUTER VISION, AND APPLICATIONS, CIARP 2017</t>
  </si>
  <si>
    <t>22nd Iberoamerican Congress on Pattern Recognition</t>
  </si>
  <si>
    <t>NOV 07-10, 2017</t>
  </si>
  <si>
    <t>Universidad Technica Federico Santa Maria, Valparaiso, CHILE</t>
  </si>
  <si>
    <t>Universidad Technica Federico Santa Maria</t>
  </si>
  <si>
    <t>Cerebral autoregulation (CA) represents the brain's capacity to maintain the cerebral blood flow constant, independent of the activities realized by an individual. There are pathologies like Alzheimer, vascular dementia, ischemic stroke, subarachnoid haemorrhage and severe brain injury, where a degradation of CA can be found. Despite limited understanding of its physiological basis, assessment of CA is relevant for diagnosis, monitoring and treating some of these pathologies. CA modelling is done by using mean arterial blood pressure (MABP) as input and cerebral blood flow velocity (CBFV) as output; the standard model used is transfer function analysis, although CA has been modelled with support vector machines (SVM) and other methods. In this work a resistive-capacitive model (R-C) is presented where parameters can be estimated from MABP and CBFV signals through Genetic Algorithms (GA), comparing its discrimination capacity against SVM models. Signals from 16 healthy subjects were used with 5 min of spontaneous variations (SV) and 5 min breathing oxygen with 5% of CO2 (hypercapnia). Results show that both models can capture CA and the degradation induced by hypercapnia. Using the autoregulation index (ARI), the R-C model discriminates with a ROC area of 0.89 against 0.72 from SVM, thus representing a promising alternative to assess CA.</t>
  </si>
  <si>
    <t>Bello Robles, Felipe-Andres/0000-0002-7516-2405</t>
  </si>
  <si>
    <t>978-3-319-75192-4; 978-3-319-75193-1</t>
  </si>
  <si>
    <t>10.1007/978-3-319-75193-1_12</t>
  </si>
  <si>
    <t>WOS:001416962800012</t>
  </si>
  <si>
    <t>Vercruysse, F; Cerda, FMC; Petrov, R; Verleysen, P</t>
  </si>
  <si>
    <t>Buzaud, E; Cosculluela, A; Couque, H; Cadoni, E</t>
  </si>
  <si>
    <t>Vercruysse, Florian; Castro Cerda, Felipe M.; Petrov, Roumen; Verleysen, Patricia</t>
  </si>
  <si>
    <t>Static and dynamic response of ultra-fast annealed advanced high strength steels</t>
  </si>
  <si>
    <t>12TH INTERNATIONAL CONFERENCE ON THE MECHANICAL AND PHYSICAL BEHAVIOUR OF MATERIALS UNDER DYNAMIC LOADING (DYMAT 2018)</t>
  </si>
  <si>
    <t>EPJ Web of Conferences</t>
  </si>
  <si>
    <t>12th International Conference on the Mechanical and Physical Behaviour of Materials under Dynamic Loading (DYMAT)</t>
  </si>
  <si>
    <t>SEP 09-14, 2018</t>
  </si>
  <si>
    <t>Arcachon, FRANCE</t>
  </si>
  <si>
    <t>Commissariat Energie Atomique Energies Alternat,French Alternat Energies &amp; Atom Energy Commiss</t>
  </si>
  <si>
    <t>Ultra-fast annealing (UFA) is a viable alternative for processing of 31(1 generation advanced high strength steels (AHSS). Use of heating rates up to 1000 degrees C/s shows a significant grain refinement effect in low carbon steel (0.1 wt.%), and creates multiphase structures containing ferrite, martensite, bainite and retained austenite. This mixture of structural constituents is attributed to carbon gradients in the steel due to limited diffusional time during UFA treatment. Quasi-static (strain rate of 0.0033s(-1)) and dynamic (stain rate 600s(-1)) tensile tests showed that tensile strength of both conventional and UFA sample increases at high strain rates, whereas the elongation at fracture decreases. The ultrafast heated samples are less sensitive to deterioration of elongation at high strain rates then the conventionally heat treated ones. Based on metallographic studies was concluded that the presence of up to 5% of retained austenite together with a lower carbon martensite/bainite fraction are the main reason for the improved tensile properties. An extended stability of retained austenite towards higher strain values was observed in the high strain rate tests which is attributed to adiabatic heating. The extension of the transformation induced plasticity (TRIP) effect towards higher strain values allowed the UFA-samples to better preserve their deformation capacity resulting in expected better crashworthiness.</t>
  </si>
  <si>
    <t>Petrov, Roumen/A-5066-2008; Castro Cerda, Felipe Manuel/Q-2714-2016</t>
  </si>
  <si>
    <t>Petrov, Roumen/0000-0003-0551-9058; Castro Cerda, Felipe Manuel/0000-0001-8126-5593</t>
  </si>
  <si>
    <t>2100-014X</t>
  </si>
  <si>
    <t>978-2-7598-9053-8</t>
  </si>
  <si>
    <t>10.1051/epjconf/201818303017</t>
  </si>
  <si>
    <t>WOS:000570191100146</t>
  </si>
  <si>
    <t>Dávila, G; Quaas, A; Topp, E</t>
  </si>
  <si>
    <t>Davila, Gonzalo; Quaas, Alexander; Topp, Erwin</t>
  </si>
  <si>
    <t>Continuous viscosity solutions for nonlocal Dirichlet problems with coercive gradient terms</t>
  </si>
  <si>
    <t>In this paper we study existence of solutions of nonlocal Dirichlet problems that include a coercive gradient term, whose scaling strictly dominates the one of the integro-differential operator. For such problems the stronger effect of the gradient term may give rise to solutions not attaining the boundary data or discontinuous solutions on the boundary. Our main result states that under suitable conditions over the right-hand side and boundary data, there is a (unique) Holder continuous viscosity solution attaining the boundary data in the classical sense. This result is accomplished by the construction of suitable barriers which, as a byproduct, lead to regularity results up to the boundary for the solution.</t>
  </si>
  <si>
    <t>Quaas, Alexander/JXN-7606-2024</t>
  </si>
  <si>
    <t>Quaas, Alexander/0000-0003-0602-7151; Davila, Gonzalo/0000-0001-9923-2909</t>
  </si>
  <si>
    <t>10.1007/s00208-016-1481-3</t>
  </si>
  <si>
    <t>WOS:000413115900009</t>
  </si>
  <si>
    <t>Müller, MIW; Espejo, MIR</t>
  </si>
  <si>
    <t>Winkler Mueller, Maria Ines; Reyes Espejo, Maria Isabel</t>
  </si>
  <si>
    <t>Diversity acceptance in question: enriching and adverse experiences in training and early professional practice in psychology</t>
  </si>
  <si>
    <t>Faced with an ambiguous regulatory framework of professional practice in the country; and a practice of psychology in the context of a fuzzy professional identity and without clear boundaries with other professions, the importance of knowing crosscutting issues that concern the relationship with the other is relieved. This study explored the perception a group of students and novel psychologists about the training received and their first work experience, specifically in issues of interculturality and ethics; as well as on strengths and weaknesses of the training received. Eighteen individual interviews and two focus groups with 12 participants, from two state universities was conducted (N = 30). A intersubjectively categorical analysis was applied and four main categories emerged: context, positive, and adverse experiences in training, notion of interculturality, and suggestions for training in ethics and interculturality. We conclude on some challenges facing the formation of psychologists in Chile.</t>
  </si>
  <si>
    <t>WOS:000408069000012</t>
  </si>
  <si>
    <t>Palza, H; Rojas, M; Cortez, E; Palma, R; Zapata, P</t>
  </si>
  <si>
    <t>Palza, Humberto; Rojas, Mauricio; Cortez, Elizabeth; Palma, Rodrigo; Zapata, Paula</t>
  </si>
  <si>
    <t>Nanoparticle reinforcement in elastomeric polyethylene composites under tensile tests</t>
  </si>
  <si>
    <t>Two ethylene-1-butene thermoplastic elastomer copolymers were melt mixed with different nanometric fillers such as: multi-walled carbon nanotubes (CNT), thermally reduced graphite oxide (TrGO), and spherical metal nanoparticles. The effect of both the kind and amount of nanoparticles on the tensile mechanical behavior of the matrices was evaluated focusing on the elastic modulus. The low elastic modulus of the pure elastomeric polymers, with values of 50 and 9 MPa depending on the amount of comonomer, can be largely increased by adding nanoparticles although the reinforcement was conditioned by the matrix and kind of filler. For instance, while CNT increased the elastic modulus of the stiffer matrix with a maximum of 80%, this property increased 4,3 times as compared with the pure matrix when added to the softer matrix. Noteworthy, TrGO particles rendered even larger improvements with composites based on the softer matrix reaching values as high as 7 times the modulus of the pure sample at concentrations less than 10 vol%. Spherical metal nanoparticles otherwise rendered outstanding improvements in the elastic modulus (around 60%) at concentrations as low as 2 vol%. These results were explained by micromechanical models stressing the relevance of both the aspect ratio and the mechanical properties of the particle agglomerates rather than of the isolated particles. (C) 2016 Elsevier Ltd. All rights reserved.</t>
  </si>
  <si>
    <t>Palma, Rodrigo/I-2741-2013; Palza, Humberto/H-2782-2014</t>
  </si>
  <si>
    <t>Zapata, Paula Andrea/0000-0003-3361-6226; Palza, Humberto/0000-0001-5246-6791</t>
  </si>
  <si>
    <t>DEC 15</t>
  </si>
  <si>
    <t>10.1016/j.compositesb.2016.09.053</t>
  </si>
  <si>
    <t>WOS:000387523500011</t>
  </si>
  <si>
    <t>Rodríguez, FE; Valenzuela, B; Farías, A; Sandino, AM; Imarai, M</t>
  </si>
  <si>
    <t>Rodriguez, Felipe E.; Valenzuela, Beatriz; Farias, Ana; Maria Sandino, Ana; Imarai, Monica</t>
  </si>
  <si>
    <t>β-1,3/1,6-Glucan-supplemented diets antagonize immune inhibitory effects of hypoxia and enhance the immune response to a model vaccine</t>
  </si>
  <si>
    <t>The diets of farmed salmon are usually supplemented with immunostimulants to improve health status. Because beta-glucan is one of the most common immunostimulants used in diets, here we examined the effect of two beta-1,3/1,6-glucan-supplemented diets on the expression of immune response genes of Atlantic salmon. The relative abundances of IFN-alpha 1, Mx, IFN-gamma, IL-12, TGF-beta 1, IL-10, and CD4 transcripts were evaluated in head kidney by qRT-PCR. We assessed the effects of the diets under normoxia and acute hypoxia, as salmon are especially sensitive to changes in the concentration of dissolved oxygen, which can also affect immunity. These effects were also tested on vaccinated fish, as we expected that beta 1,3/1,6-glucan-supplemented diets would enhance the adaptive immune response to the vaccine. We found that administration of the Bg diet (containing (beta-1,3/1,6-glucan) under normoxia had no effects on the expression of the analyzed genes in the kidney of the diet-fed fish, but under hypoxia/re-oxygenation (90 min of acute hypoxia), the beta g diet affected the expression of the antiviral genes, IFN-alpha 1. and Mx, preventing their decrease caused by hypoxia. The Bax diet, which in addition to beta-1,3/1,6-glucan, contained astaxanthin, increased IL-12 and IFN-gamma in kidneys. With fish exposed to hypoxiaireoxygenation, the diet prevented the decrease of IFN-alpha 1 and Mx levels observed after hypoxia. When fish were vaccinated, only the levels of IL-12 and CD4 transcripts increased, but interestingly if fish were also fed the Bax diet, the vaccination induced a significant increase in all the analyzed transcripts. Finally, when vaccinated fish were exposed to hypoxia, the effect of the Bax diet was greatly reduced for all genes tested and moreover, inducible effects completely disappeared for IL-12, IFN-alpha, and Mx. Altogether, these results showed that the tested beta 3-1,3/1,6-glucan diets increased the levels of transcripts of key genes involved in innate and adaptive immune response of salmon, potentiating the response to a model vaccine and also antagonizing the effects of hypoxia. (C) 2016 Elsevier Ltd. All rights reserved.</t>
  </si>
  <si>
    <t>FARIAS, ANA/N-6416-2019</t>
  </si>
  <si>
    <t>Rodriguez-Tirado, Felipe/0000-0002-6554-8187; SANDINO, ANA MARIA/0000-0002-3862-3743; Farias, Ana/0000-0002-3456-0677; Imarai, Monica/0000-0001-8767-9180</t>
  </si>
  <si>
    <t>10.1016/j.fsi.2016.10.020</t>
  </si>
  <si>
    <t>WOS:000389729100005</t>
  </si>
  <si>
    <t>Hofman, A; Aravena, C; Aliaga, V</t>
  </si>
  <si>
    <t>Hofman, Andre; Aravena, Claudio; Aliaga, Vianka</t>
  </si>
  <si>
    <t>Information and communication technologies and their impact in the economic growth of Latin America, 1990-2013</t>
  </si>
  <si>
    <t>TELECOMMUNICATIONS POLICY</t>
  </si>
  <si>
    <t>This article examines the contribution of information and communications technologies (ICT) to economic growth and productivity in Latin America in the period 1990-2013. Increased ICT investment explains an important part of the acceleration of economic growth in the United States since 1995. An objective of this study is to verify if the same happened in Latin America. The analysis is presented at two levels. First, the study takes into account the aggregate level of the economy, for a set of 18 countries in the region. Second, it analyzes the relationship of ICT, economic growth and productivity by sector in five countries, Argentina, Brazil, Chile, Colombia and Mexico, which are part of a project on sectoral growth analysis using a growth accounting approach (LA-KLEMS project). The decomposition of the factors that determine the gap in GDP per capita with the US showed that improvements in the labor factor have helped to reduce the gap in GDP per capita relative to the US and conversely poor labor productivity has contributed negatively. The main cause that the labor productivity gap remains is the widening gap in ICT capital that counteracts improvements in human capital in Latin America. The role of ICT has been very low, representing less than one sixth of the total capital contribution. The analysis by economic activity, using the LA-KLEMS data base for Argentina, Brazil, Chile, Colombia and Mexico, shows that the contribution of capital is the main source of growth in the fastest growing industry, the transportation industry and communications, and went hand in hand with high investment especially in ICT. (C) 2016 Elsevier Ltd. All rights reserved.</t>
  </si>
  <si>
    <t>0308-5961</t>
  </si>
  <si>
    <t>1879-3258</t>
  </si>
  <si>
    <t>10.1016/j.telpol.2016.02.002</t>
  </si>
  <si>
    <t>WOS:000374808800008</t>
  </si>
  <si>
    <t>Vargas-Straube, MJ; Cámara, B; Tello, M; Montero-Silva, F; Cárdenas, F; Seeger, M</t>
  </si>
  <si>
    <t>Jose Vargas-Straube, Maria; Camara, Beatriz; Tello, Mario; Montero-Silva, Francisco; Cardenas, Franco; Seeger, Michael</t>
  </si>
  <si>
    <t>Genetic and Functional Analysis of the Biosynthesis of a Non-Ribosomal Peptide Siderophore in Burkholderia xenovorans LB400</t>
  </si>
  <si>
    <t>B. xenovorans LB400 is a model bacterium for the study of the metabolism of aromatic compounds. The aim of this study was the genomic and functional characterization of a nonribosomal peptide synthetase containing gene cluster that encodes a siderophore in B. xenovorans LB400. The mba gene cluster from strain LB400 encodes proteins involved in the biosynthesis and transport of a hydroxamate-type siderophore. Strain LB400 has a unique mba gene organization, although mba gene clusters have been observed in diverse Burkholderiales. Bioinformatic analysis revealed the presence of promoters in the mba gene cluster that strongly suggest regulation by the ferric uptake regulator protein (Fur) and by the alternative RNA polymerase extracytoplasmic function sigma factor MbaF. Reverse transcriptase PCR analyses showed the expression of iron-regulated transcriptional units mbaFGHIJKL, mbaN, mbaABCE, mbaO, mbaP and mbaD genes under iron limitation. Chrome azurol S (CAS) assay strongly suggests that strain LB400 synthesized a siderophore under iron limitation. Mass spectrometry ESI-MS and MALDI-TOF-MS analyses revealed that the siderophore is a non-ribosomal peptide, and forms an iron complex with a molecular mass of 676 Da. Based on bioinformatic prediction, CAS assay and MS analyses, we propose that the siderophore is L-N-delta-hydroxy-N-delta-formylOrn-D-beta-hydroxyAsp-L-Ser-L-N-delta-hydroxy-N-delta-formylOrn-1,4-diaminobutane that is closely related to malleobactin-type siderophores reported in B. thailandensis.</t>
  </si>
  <si>
    <t>Silva, Francisco/K-9066-2019; Seeger, Michael/AFK-3436-2022; Tello, Mario/N-4198-2019</t>
  </si>
  <si>
    <t>Vargas Straube, Maria Jose/0000-0002-4932-7384; Montero Silva, Francisco/0000-0001-8367-5123; Camara, Beatriz/0000-0001-5227-7499; Tello, Mario/0000-0003-4573-6460</t>
  </si>
  <si>
    <t>MAR 10</t>
  </si>
  <si>
    <t>e0151273</t>
  </si>
  <si>
    <t>10.1371/journal.pone.0151273</t>
  </si>
  <si>
    <t>WOS:000371993000132</t>
  </si>
  <si>
    <t>Henriquez, HR; Pierri, M; Rolnik, V</t>
  </si>
  <si>
    <t>Henriquez, Hernan R.; Pierri, Michelle; Rolnik, Vanessa</t>
  </si>
  <si>
    <t>Pseudo S-asymptotically periodic solutions of second-order abstract Cauchy problems</t>
  </si>
  <si>
    <t>APPLIED MATHEMATICS AND COMPUTATION</t>
  </si>
  <si>
    <t>In this work we discuss the existence of pseudo S-asymptotically periodic mild solutions for a second order abstract Cauchy problem. In particular, we show that pseudo S-asymptotically omega-periodic cosine functions of operators are omega-periodic. The paper is completed with an application to the nonautonomous wave equation. (C) 2015 Elsevier Inc. All rights reserved.</t>
  </si>
  <si>
    <t>Pierri, Michelle/I-6440-2012; Rolnik, Vanessa/M-8611-2016</t>
  </si>
  <si>
    <t>Rolnik, Vanessa/0000-0002-6327-3343; Pierri, Michelle/0000-0002-8221-3637</t>
  </si>
  <si>
    <t>0096-3003</t>
  </si>
  <si>
    <t>1873-5649</t>
  </si>
  <si>
    <t>10.1016/j.amc.2015.11.034</t>
  </si>
  <si>
    <t>WOS:000367521900052</t>
  </si>
  <si>
    <t>Inestrosa-Izurieta, MJ; Jauregui, P; Soto, L</t>
  </si>
  <si>
    <t>Gutierrez, G; Roa, L</t>
  </si>
  <si>
    <t>Inestrosa-Izurieta, M. J.; Jauregui, P.; Soto, L.</t>
  </si>
  <si>
    <t>Deposition of materials using a plasma focus of tens of joules</t>
  </si>
  <si>
    <t>XIX CHILEAN PHYSICS SYMPOSIUM 2014</t>
  </si>
  <si>
    <t>Journal of Physics Conference Series</t>
  </si>
  <si>
    <t>Symposium on 19th Chilean Physics</t>
  </si>
  <si>
    <t>NOV 26-28, 2014</t>
  </si>
  <si>
    <t>Physical properties of transient plasmas, energetic ions and electrons, as produced in plasma focus (PF) discharges are substantially different than the conventional plasma devices used for plasma nanofabrication. In particular, PF discharges provide new and unique opportunities in processing and synthesis of new materials. Since PF discharges have very short duration and produce plasmas of high ion density, the anode is exposed to a high energy density causing its pulverization and generating a vapour of material that allows a fast deposit. In this paper a table top plasma focus of tens of joules, PF-50J, was used to produce material deposition. First deposits obtained from detached anode material (steel) or a metallic insert (titanium) from the plasma ejected after the pinch in the axial direction are presented.</t>
  </si>
  <si>
    <t>Jauregui, Paula/U-6465-2019; Soto, Leopoldo/A-7084-2012; Inestrosa Izurieta, Maria Jose/I-1360-2015</t>
  </si>
  <si>
    <t>Inestrosa Izurieta, Maria Jose/0000-0003-4225-7106</t>
  </si>
  <si>
    <t>1742-6588</t>
  </si>
  <si>
    <t>1742-6596</t>
  </si>
  <si>
    <t>10.1088/1742-6596/720/1/012045</t>
  </si>
  <si>
    <t>WOS:000443419700045</t>
  </si>
  <si>
    <t>Ciaurri, O; Lizama, C; Roncal, L; Varona, JL</t>
  </si>
  <si>
    <t>Ciaurri, Oscar; Lizama, Carlos; Roncal, Luz; Luis Varona, Juan</t>
  </si>
  <si>
    <t>On a connection between the discrete fractional Laplacian and superdiffusion</t>
  </si>
  <si>
    <t>We relate the fractional powers of the discrete Laplacian with a standard time-fractional derivative in the sense of Liouville by encoding the iterative nature of the discrete operator through a time-fractional memory term. (C) 2015 Elsevier Ltd. All rights reserved.</t>
  </si>
  <si>
    <t>Lizama, Carlos/E-5909-2011; Varona, Juan Luis/G-9030-2015; Roncal, Luz/H-3811-2015</t>
  </si>
  <si>
    <t>Lizama, Carlos/0000-0002-9807-1100; Varona, Juan Luis/0000-0002-2023-9946; Roncal, Luz/0000-0003-0852-3677</t>
  </si>
  <si>
    <t>10.1016/j.aml.2015.05.007</t>
  </si>
  <si>
    <t>WOS:000358630100018</t>
  </si>
  <si>
    <t>García-Hermoso, A; Sánchez-López, M; Martínez-Vizcaíno, V</t>
  </si>
  <si>
    <t>Garcia-Hermoso, Antonio; Sanchez-Lopez, Mairena; Martinez-Vizcaino, Vicente</t>
  </si>
  <si>
    <t>Effects of Aerobic Plus Resistance Exercise on Body Composition Related Variables in Pediatric Obesity: A Systematic Review and Meta-Analysis of Randomized Controlled Trials</t>
  </si>
  <si>
    <t>PEDIATRIC EXERCISE SCIENCE</t>
  </si>
  <si>
    <t>The purpose of this meta-analysis of randomized trials was to determine the effectiveness of aerobic plus resistance exercise interventions on body composition related to variables in overweight and obese youth. A computerized search was made of 7 databases. The analysis was restricted to randomized controlled trials that examined the effect of aerobic and resistance exercise on body composition (body weight, body mass index, fat mass, fat-free mass, and waist circumference) in obese youth. Two independent reviewers screened studies and extracted data. Weighted mean differences (WMD) and 95% confidence intervals were calculated. Nine studies were selected for meta-analysis as they fulfilled the inclusion criteria (n = 365). Aerobic plus resistance exercise interventions (8-24 weeks duration) produced a decrease in body weight (WMD=-3.31 kg), body mass index (WMD=-1.05 kg/m(2)), and fat mass (WMD=-1.93% and 5.05 kg), but changes in fat-free mass and waist circumference were not observed. These changes were accentuated through programs of at least 60 min of exercise per session, generating greater reductions in body weight (WMD=-4.11 kg), fat mass (WMD=-4.07%), and increase in fat-free mass (WMD = 2.45 kg). This meta-analysis provides insight into the effectiveness of short-term aerobic plus resistance exercise interventions for decreasing body weight, body mass index, and fat mass in pediatric obesity.</t>
  </si>
  <si>
    <t>SANCHEZ-LOPEZ, MAIRENA/J-7933-2016; VIZCAINO, VICENTE/R-4336-2017; García-Hermoso, Antonio/ADU-2591-2022; Garcia-Hermoso, Antonio/P-1857-2017</t>
  </si>
  <si>
    <t>Sanchez Lopez, Mairena/0000-0002-0217-0623; Garcia-Hermoso, Antonio/0000-0002-1397-7182</t>
  </si>
  <si>
    <t>0899-8493</t>
  </si>
  <si>
    <t>1543-2920</t>
  </si>
  <si>
    <t>10.1123/pes.2014-0132</t>
  </si>
  <si>
    <t>WOS:000367419300002</t>
  </si>
  <si>
    <t>Maldonado, M; Desbiens, A; Poulin, É; del Villar, R; Riquelme, A</t>
  </si>
  <si>
    <t>Maldonado, M.; Desbiens, A.; Poulin, E.; del Villar, R.; Riquelme, A.</t>
  </si>
  <si>
    <t>Automatic control of bubble size in a laboratory flotation column</t>
  </si>
  <si>
    <t>INTERNATIONAL JOURNAL OF MINERAL PROCESSING</t>
  </si>
  <si>
    <t>Gas dispersion properties play an important role on determining the metallurgical performance of flotation processes. Indeed, bubble surface area flux (S-b) has been found to correlate with the collection zone flotation rate constant and is therefore a potential variable to regulate in order to achieve a target performance. S-b can be calculated as a combination of two other gas dispersion properties, namely, gas superficial velocity and the Sauter bubble mean diameter. This communication describes the design and implementation of a feedback control system for the Sauter bubble mean diameter in an attempt towards controlling S-b. In order to track changes on bubble size, the Sauter bubble mean diameter was derived from an adaptive bubble size probability density function (PDF). A Gaussian mixture model was used to represent the bubble size PDF and its parameters were updated on-line and in real-time by a dedicated computer from sequentially incoming images. To improve bubble size controllability, a frit-and-sleeve sparging device was installed. This device allows modifying bubble size by manipulating the water flow rate circulating through a sleeve surrounding a porous ring (shear water). A Wiener model is used to represent the dynamic relationship between the shear water flow rate and the Sauter bubble mean diameter. A nonlinear control, based on the internal model control (IMC) structure, was designed and implemented. Tracking and regulation performance against gas velocity and unmeasured frother concentration variations were then successfully evaluated in a two-phase system. (C) 2015 Elsevier B.V. All rights reserved.</t>
  </si>
  <si>
    <t>Desbiens, Andre/0000-0002-8492-7633; Poulin, Eric/0000-0002-3859-4129</t>
  </si>
  <si>
    <t>0301-7516</t>
  </si>
  <si>
    <t>1879-3525</t>
  </si>
  <si>
    <t>AUG 10</t>
  </si>
  <si>
    <t>10.1016/j.minpro.2015.06.003</t>
  </si>
  <si>
    <t>WOS:000358270600005</t>
  </si>
  <si>
    <t>Crampon, M; Marquis, L</t>
  </si>
  <si>
    <t>Crampon, Mickael; Marquis, Ludovic</t>
  </si>
  <si>
    <t>THE GEODESIC FLOW OF THE GEOMETRICALLY FINITE QUOTIENTS OF HILBERT GEOMETRIES</t>
  </si>
  <si>
    <t>PACIFIC JOURNAL OF MATHEMATICS</t>
  </si>
  <si>
    <t>0030-8730</t>
  </si>
  <si>
    <t>10.2140/pjm.2014.268.313</t>
  </si>
  <si>
    <t>WOS:000338428200004</t>
  </si>
  <si>
    <t>Folch-Cano, C; Guerrero, J; Speisky, H; Jullian, C; Olea-Azar, C</t>
  </si>
  <si>
    <t>Folch-Cano, Christian; Guerrero, Juan; Speisky, Hernan; Jullian, Carolina; Olea-Azar, Claudio</t>
  </si>
  <si>
    <t>NMR and molecular fluorescence spectroscopic study of the structure and thermodynamic parameters of EGCG/β-cyclodextrin inclusion complexes with potential antioxidant activity</t>
  </si>
  <si>
    <t>JOURNAL OF INCLUSION PHENOMENA AND MACROCYCLIC CHEMISTRY</t>
  </si>
  <si>
    <t>The present study is focused on the characterization of the interaction between (-)-epigallocatechingallate (EGCG) and cyclodextrins like beta-cyclodextrin (beta CD), heptakis(2,6 di-O-methyl)-beta-cyclodextrin (DM beta CD), and hydroxypropyl-beta-cyclodextrin (HP beta CD) in aqueous solution. These inclusion complexes previously demonstrated improvements in the antioxidant activity respect to free EGCG. The structural evidence obtained by 2D-ROESY and selective 1D-ROESY experiments was rationalized by autodock studies and indicates that all the complexes have similar inclusion geometries, but the difference resides on the exposition degree of the antioxidant rings of EGCG, such as pyrogallol and galloyl groups. The thermodynamic study allowed estimating that the inclusion process is entalpically driven for the derivatized cyclodextrins complexes and entropically driven for beta CD complexes due to the predominance of hydrophobic interactions with EGCG.</t>
  </si>
  <si>
    <t>SPEISKY, HERNAN/E-6146-2013; Folch-Cano, Christian/I-2549-2013; OLEA AZAR, CLAUDIO/I-1605-2013</t>
  </si>
  <si>
    <t>Folch-Cano, Christian/0000-0003-4148-5289; OLEA AZAR, CLAUDIO/0000-0001-5805-0746</t>
  </si>
  <si>
    <t>1388-3127</t>
  </si>
  <si>
    <t>1573-1111</t>
  </si>
  <si>
    <t>1-4</t>
  </si>
  <si>
    <t>10.1007/s10847-013-0297-y</t>
  </si>
  <si>
    <t>WOS:000334496700029</t>
  </si>
  <si>
    <t>Quezada, D; Honores, J; Aguirre, MJ; Isaacs, M</t>
  </si>
  <si>
    <t>Quezada, Diego; Honores, Jessica; Jesus Aguirre, Maria; Isaacs, Mauricio</t>
  </si>
  <si>
    <t>Electrocatalytic reduction of carbon dioxide on conducting glass electrode modified with polymeric porphyrin films containing transition metals in ionic liquid medium</t>
  </si>
  <si>
    <t>Electrocatalytic reduction of carbon dioxide has been studied using modified electrodes with conducting polymers from tetra-amino-phenyl porphyrins containing transition metals (Zn(II) and Fe(III)), on an indium tin oxide electrode in BMImBF(4), as solvent and supporting electrolyte. Electropolymerized Fe porphyrin is active toward the reaction under survey, while Zn derivative shows poor activity. Spectroelectrochemistry experiments on electropolymerized Fe porphyrin films have shown intermediary species like Fe-CO2 and Fe-CO at open-circuit potential. Potential-controlled bulk electrolysis carried out in ionic liquid shows that only carbon monoxide can be detected as reaction product in the gas phase and that Fe polymeric film shows a turnover number of 9.18, while the Zn film shows a value of 2.74, corroborating the poor activity observed in cyclic voltammetry.</t>
  </si>
  <si>
    <t>Isaacs, Mauricio/N-3027-2013; Aguirre, Maria/A-3935-2013</t>
  </si>
  <si>
    <t>Quezada, Diego/0000-0001-7661-076X; Quezada, Diego/0009-0003-0231-5866; Aguirre, Maria/0000-0003-1134-4469; Isaacs Casanova, Mauricio/0000-0003-0503-0949; Honores Sotelo, Jessica/0000-0003-1172-4728</t>
  </si>
  <si>
    <t>23-24</t>
  </si>
  <si>
    <t>10.1080/00958972.2014.974581</t>
  </si>
  <si>
    <t>WOS:000345454600026</t>
  </si>
  <si>
    <t>Henríquez, HR; Cuevas, C; Caicedo, A</t>
  </si>
  <si>
    <t>Henriquez, Hernan R.; Cuevas, Claudio; Caicedo, Alejandro</t>
  </si>
  <si>
    <t>ASYMPTOTICALLY PERIODIC SOLUTIONS OF NEUTRAL PARTIAL DIFFERENTIAL EQUATIONS WITH INFINITE DELAY</t>
  </si>
  <si>
    <t>COMMUNICATIONS ON PURE AND APPLIED ANALYSIS</t>
  </si>
  <si>
    <t>In this paper we discuss the existence and uniqueness of asymptotically almost automorphic and S-asymptotically omega-periodic mild solutions to some abstract nonlinear integro-differential equation of neutral type with infinite delay. We apply our results to neutral partial differential equations with infinite delay.</t>
  </si>
  <si>
    <t>1534-0392</t>
  </si>
  <si>
    <t>1553-5258</t>
  </si>
  <si>
    <t>10.3934/cpaa.2013.12.2031</t>
  </si>
  <si>
    <t>WOS:000314021700011</t>
  </si>
  <si>
    <t>Quintanilla, V; Cadiñanos, JA; Latasa, I; Lozano, PJ</t>
  </si>
  <si>
    <t>Quintanilla, Victor; Antonio Cadinanos, Jose; Latasa, Itxaro; Jose Lozano, Pedro</t>
  </si>
  <si>
    <t>BIOGEOGRAPHIC STUDY OF THE FORESTS OF CHILE'S MEDITERRANEAN AREA: INVENTORY AND CHARACTERIZATION</t>
  </si>
  <si>
    <t>BOLETIN DE LA ASOCIACION DE GEOGRAFOS ESPANOLES</t>
  </si>
  <si>
    <t>We present the results of the inventory of different forests or bushy communities located in central Chile from near sea level (palm of El Salto-Quiteno in Valparaiso) to the subalpine belt (forest of Nothofagus obliqua in Alto Huemul) through sclerophylous woods or xerophytes scrubs of Mediterranean enviroment similar or equivalents to the Iberian grove of holm oak and alike communities. This information is essential for geographical characterization and for evaluation following methods in biogeography.</t>
  </si>
  <si>
    <t>Aguirre, Jose/AAA-8025-2019; Latasa, Itxaro/LQJ-9839-2024; Lozano-Valencia, Pedro José/AAB-5623-2019</t>
  </si>
  <si>
    <t>Latasa, Itxaro/0000-0001-7737-1828</t>
  </si>
  <si>
    <t>0212-9426</t>
  </si>
  <si>
    <t>2605-3322</t>
  </si>
  <si>
    <t>10.21138/bage.1500</t>
  </si>
  <si>
    <t>WOS:000311706000005</t>
  </si>
  <si>
    <t>Cepeda, V; Cofre, C; González, R; MacKenzie, S; Vidal, R</t>
  </si>
  <si>
    <t>Cepeda, Victoria; Cofre, Catalina; Gonzalez, Ruth; MacKenzie, Simon; Vidal, Rodrigo</t>
  </si>
  <si>
    <t>Identification of genes involved in immune response of Atlantic salmon (Salmo salar) to IPN virus infection, using expressed sequence tag (EST) analysis</t>
  </si>
  <si>
    <t>AQUACULTURE</t>
  </si>
  <si>
    <t>Atlantic salmon is one of the most important aquaculture fish species in the world. A cDNA library was constructed from splenic leukocytes of Atlantic salmon challenged with infectious pancreatic necrosis virus, and sequenced to collect genomic information and identify genes involved in immune defense response. Sequencing of 1360 clones yielded 1043 high quality ESTs (expressed sequence tags) and these ESTs were assembled into 823 unigenes. BLAST analysis revealed that 203 unigenes were novel genes that had no significant matches to any protein sequences in the public databases. The remaining 586 unigenes were closely matched to the known genes or sequences deposited in public databases and 34 unigenes matched to unknown genes. Among them, GO and KEGG analyses identified several functional categories involved in the innate immune response, with immune response and cytokine activity being predominant. These results provided a useful resource for gene discovery for further research of this species. (C) 2011 Elsevier B.V. All rights reserved.</t>
  </si>
  <si>
    <t>MacKenzie, Simon/Q-2362-2019</t>
  </si>
  <si>
    <t>Mackenzie, Simon/0000-0003-1845-6826; Reyes-Lopez, Felipe E./0000-0002-5001-457X</t>
  </si>
  <si>
    <t>0044-8486</t>
  </si>
  <si>
    <t>1873-5622</t>
  </si>
  <si>
    <t>JUL 27</t>
  </si>
  <si>
    <t>10.1016/j.aquaculture.2011.04.045</t>
  </si>
  <si>
    <t>WOS:000292616000010</t>
  </si>
  <si>
    <t>Chacon, M; Araya, C; Panerai, RB</t>
  </si>
  <si>
    <t>Chacon, Max; Araya, Claudio; Panerai, Ronney B.</t>
  </si>
  <si>
    <t>Non-linear multivariate modeling of cerebral hemodynamics with autoregressive Support Vector Machines</t>
  </si>
  <si>
    <t>MEDICAL ENGINEERING &amp; PHYSICS</t>
  </si>
  <si>
    <t>Cerebral blood flow (CBF) is normally controlled by myogenic and metabolic mechanisms that can be impaired in different cerebrovascular conditions. Modeling the influences of arterial blood pressure (ABP) and arterial CO2 (PaCO2) on CBF is an essential step to shed light on regulatory mechanisms and extract clincially relevant parameters. Support Vector Machines (SVM) were used to model the influences of ABP and PaCO2 on CBFV in two different conditions: baseline and during breathing of 5% CO2 in air, in a group of 16 healthy subjects. Different model structures were considered, including innovative nonlinear multivariate autoregressive (AR) models. Results showed that AR models are significantly superior to finite impulse response models and that non-linear models provide better performance for both structures. Correlation coefficients for multivariate AR non-linear models were 0.71 +/- 0.11 at baseline, reaching 0.91 +/- 0.06 during 5% CO2. These results warrant further work to investigate the performance of autoregressive SVM in patients with cerebrovascular conditions. (C) 2010 IPEM. Published by Elsevier Ltd. All rights reserved.</t>
  </si>
  <si>
    <t>1350-4533</t>
  </si>
  <si>
    <t>1873-4030</t>
  </si>
  <si>
    <t>10.1016/j.medengphy.2010.09.023</t>
  </si>
  <si>
    <t>WOS:000288586300005</t>
  </si>
  <si>
    <t>Pinto, CF; Urzua, A; Niemeyer, HM</t>
  </si>
  <si>
    <t>Pinto, Carlos F.; Urzua, Alejandro; Niemeyer, Hermann M.</t>
  </si>
  <si>
    <t>Sequestration of aristolochic acids from meridic diets by larvae of Battus polydamas archidamas (Papilionidae: Troidini)</t>
  </si>
  <si>
    <t>EUROPEAN JOURNAL OF ENTOMOLOGY</t>
  </si>
  <si>
    <t>Larvae of the butterfly, Battus polydamas archidamas (Papilionidae: Troidini) feed exclusively on aristolochic acid (AAs)-containing Aristolochia species (Aristolochiaceae). The distribution of sequestrated AAs in the tissues (body, integument and osmeterial secretions) of B. polydamas archidamas larvae during their development, when fed on a meridic diet containing either a higher or lower concentration of AAs (AAI and AAII) than occurs naturally in the aerial tissues of their host plant, was determined. Accumulation of AAs in the body and integument was proportional to the weight of larvae and greater in the larvae that fed on the diet containing the higher concentration of AAs. Phenolic AAs (AAIa and AAIVa) not present in the diets were found in all larval tissues examined. Integument and body extracts had a higher AAI/AAII ratio than in the original diet and also a relatively high AAIa/AAIVa ratio, suggesting a preferred AAII to AAIa transformation in those larval tissues. In the osmeterial secretion, the value of the AAI/AAII ratio was similar to that in the diets and the AAIa/AAIVa ratio close to 1, which suggests that hydroxylation of AAI to AAIVa and of AAII to AAIa occur to similar extents. The higher accumulation of AAs and the relatively higher proportion of AAI, one of the most toxic AAs, in the integument, suggest that their role is to deter attacks by natural enemies.</t>
  </si>
  <si>
    <t>; Niemeyer, Hermann/I-1100-2013</t>
  </si>
  <si>
    <t>Pinto Navia, Carlos Fernando/0000-0003-0242-2269; Urzua, Alejandro/0000-0003-2638-0921; Niemeyer, Hermann/0000-0003-2273-1608</t>
  </si>
  <si>
    <t>1802-8829</t>
  </si>
  <si>
    <t>10.14411/eje.2011.005</t>
  </si>
  <si>
    <t>WOS:000285980200005</t>
  </si>
  <si>
    <t>Chaná, P</t>
  </si>
  <si>
    <t>Chana, Pedro</t>
  </si>
  <si>
    <t>Advances in the medical treatment of Parkinson's disease</t>
  </si>
  <si>
    <t>PARKINSONISM &amp; RELATED DISORDERS</t>
  </si>
  <si>
    <t>Parkinson's disease (PD) is a common progressive neurodegenerative disorder. Dopamine replacement therapy considerably reduces motor handicap. Although levodopa continues as the gold standard for efficacy, its chronic use is associated with potentially disabling motor complications. Strategies to treat levodopa-related motor complications are only partially effective. Best results are currently achieved with invasive strategies via subcutaneous (s.c.) or intraduodenal delivery of apomorphine or levodopa, or deep brain stimulation of the subthalamic nucleus. This presentation will develop the current treatment principles for PD: (1) L-dopa does not accelerate disease progression, (2) no treatment modality exerts neuroprotective effects, (3) L-dopa is more effective than dopamine agonists in alleviating motor symptoms and improving the activities of daily living (ADL) score, in parkinsonian patients, (4) Treatment with dopamine agonist is associated with fewer motor complications than L-dopa. (5) Dopamine agonist therapy is associated with more frequent adverse events than L-dopa therapy, such as hallucinations and somnolence. There is no evidence of a long-term benefit with initial dopamine agonist therapy. (C) 2009 Elsevier Ltd. All rights reserved.</t>
  </si>
  <si>
    <t>1353-8020</t>
  </si>
  <si>
    <t>1873-5126</t>
  </si>
  <si>
    <t>S22</t>
  </si>
  <si>
    <t>S25</t>
  </si>
  <si>
    <t>10.1016/S1353-8020(09)70773-4</t>
  </si>
  <si>
    <t>WOS:000576252500005</t>
  </si>
  <si>
    <t>Moraga, NO; Riquelme, JA; Jauriat, LA</t>
  </si>
  <si>
    <t>Moraga, Nelson O.; Riquelme, Jose A.; Jauriat, Leopoldo A.</t>
  </si>
  <si>
    <t>Unsteady conjugate water/air mixed convection in a square cavity</t>
  </si>
  <si>
    <t>Transient natural convection inside an inner thin walled container caused by external mixed convection in a square cavity has been analyzed numerically. Air and water were chosen alternatively as internal and external working fluids. Fluid mechanics and conjugate heat transfer, described in terms of continuity, linear momentum and energy equations, were predicted by using the finite volume method. Streamlines, isotherms, velocity profiles and local Nusselt number time evolution are presented for external flows, of either air or water, with Ri = 1, in two cases: Re = 200 and 500. (C) 2009 Elsevier Ltd. All rights reserved.</t>
  </si>
  <si>
    <t>10.1016/j.ijheatmasstransfer.2009.06.030</t>
  </si>
  <si>
    <t>WOS:000273358700024</t>
  </si>
  <si>
    <t>Morales, A; Hevia, JF; Cifuentes, G</t>
  </si>
  <si>
    <t>Morales, A.; Hevia, J. F.; Cifuentes, G.</t>
  </si>
  <si>
    <t>Ammonia leaching of copper smelter dust and precipitation as copper sulphide</t>
  </si>
  <si>
    <t>The effect of ammonia on the leaching of copper smelter dust and copper precipitation from these solutions as sulphide using sulfur and sulfur dioxide was studied. The precipitation was done in ammoniacal media because this solution produced more satisfactory results at room temperature that a sulphuric media. A solid was precipitated containing 60 % of copper of the dust smelter. The other waste generated contained around 80 % of the arsenic of the original copper smelter dust. Based on the preliminary results obtained in this work it will propose a procedure for the recovery of copper as sulphide from copper smelter dust with parallel confinement of arsenic.</t>
  </si>
  <si>
    <t>10.3989/revmetalm.0822</t>
  </si>
  <si>
    <t>WOS:000274491700002</t>
  </si>
  <si>
    <t>García-Huidobro, M; Yarur, CS</t>
  </si>
  <si>
    <t>Garcia-Huidobro, Marta; Yarur, Cecilia S.</t>
  </si>
  <si>
    <t>On semilinear elliptic problems involving critical exponents</t>
  </si>
  <si>
    <t>In this paper we study Brezis-Nirenberg type results for radial solutions of a semilinear elliptic equation of the form -Delta u = lambda C(vertical bar x vertical bar)u + B(vertical bar x vertical bar)vertical bar u vertical bar(q-2)u, a.e.chi is an element of B-R(0) subset of R-N, R &gt; 0, u = 0, on partial derivative B-R(0) Where lambda is an element of R, q &gt;= 2, and the weights B, C are appropriate positive measurable radially symetric functions. (c) 2008 Elsevier Ltd. All rights reserved.</t>
  </si>
  <si>
    <t>APR 15</t>
  </si>
  <si>
    <t>10.1016/j.na.2008.12.021</t>
  </si>
  <si>
    <t>WOS:000265198500013</t>
  </si>
  <si>
    <t>Eduardo, HM; Sueli, MTA; Henriquez, H</t>
  </si>
  <si>
    <t>Eduardo, Hernandez M.; Sueli, M. Tanaka Aki; Henriquez, Hernan</t>
  </si>
  <si>
    <t>Global solutions for impulsive abstract partial differential equations</t>
  </si>
  <si>
    <t>COMPUTERS &amp; MATHEMATICS WITH APPLICATIONS</t>
  </si>
  <si>
    <t>In this paper, we study the existence of global solutions for a class of impulsive abstract functional differential equation. An application involving a parabolic system With impulses is considered. (c) 2008 Elsevier Ltd. All rights reserved.</t>
  </si>
  <si>
    <t>0898-1221</t>
  </si>
  <si>
    <t>1873-7668</t>
  </si>
  <si>
    <t>10.1016/j.camwa.2008.02.022</t>
  </si>
  <si>
    <t>WOS:000258350000006</t>
  </si>
  <si>
    <t>del Pino, M; Guerra, I</t>
  </si>
  <si>
    <t>del Pino, Manuel; Guerra, Ignacio</t>
  </si>
  <si>
    <t>Ground states of a prescribed mean curvature equation</t>
  </si>
  <si>
    <t>We study the existence of radial ground state solutions for the problem [GRAPHICS] N &gt;= 3, q &gt; 1. It is known that this problem has infinitely many ground states when q &gt;= N+2/N+2 while no N-2 solutions exist if q &lt;= N/N-2. A question raised by Ni and Serrin in [W.-M. Ni, J. Serrin, Existence and nonexistence theorems for ground states for quasilinear partial differential equations, Atti Convegm Lincei 77 (1985) 231-257] is whether or not ground state solutions exist for N/N-2 &lt; q &lt; N+2/N-2 In this paper we prove the existence of a large, finite number of ground states with fast decay O(vertical bar x vertical bar(2-N)) as vertical bar x vertical bar -&gt; +infinity provided that q lies below but close enough to the critical exponent N+2/N-2. These solutions develop a bubble-tower profile as q approaches the critical exponent. (c) 2007 Elsevier Inc. All rights reserved.</t>
  </si>
  <si>
    <t>del Pino, Manuel/Q-6254-2019; del Pino, Manuel/E-6276-2012</t>
  </si>
  <si>
    <t>del Pino, Manuel/0000-0001-6048-0657</t>
  </si>
  <si>
    <t>10.1016/j.jde.2007.06.010</t>
  </si>
  <si>
    <t>WOS:000250232500005</t>
  </si>
  <si>
    <t>Karsulovic, JT; Bozo-González, A; Araya, JE; Vargas, Y; Tejer, B</t>
  </si>
  <si>
    <t>Karsulovic, Jose T.; Bozo-Gonzalez, Alejandro; Araya, Jaime E.; Vargas, Yolanda; Tejer, Bruno</t>
  </si>
  <si>
    <t>Ultrasonic waves as a physical barrier for damage of the subterranean termite Reticulitermes flavipes Kollar (Isoptera: Rhinotermitidae) in wood of Pinus radiata (D. Don)</t>
  </si>
  <si>
    <t>FOREST PRODUCTS JOURNAL</t>
  </si>
  <si>
    <t>The behavior of the subterranean termite Reticulitermes flavipes Kollar (Isoptera: Rhinotermitidae) when applying ultrasonic fields under three single frequencies (100, 500, and 1000 kHz), in order to establish the conditions to create a physical barrier to their action, using I by 4 by 10 cm wood stick probes adapted from the European norm EN 118. The three frequencies inhibited feedino while the acoustic field was kept active, with a lesser feeding rate at 500 kHz, and a greater mortality at 1000 kHz. These results demonstrate that ultrasound affects the physiology and behavior of R. flavipes.</t>
  </si>
  <si>
    <t>0015-7473</t>
  </si>
  <si>
    <t>WOS:000249861200017</t>
  </si>
  <si>
    <t>Dezileau, L; Pizarro, C; Rubio, MA</t>
  </si>
  <si>
    <t>Dezileau, Laurent; Pizarro, Carmen; Rubio, Maria Angelica</t>
  </si>
  <si>
    <t>Sequential extraction of iron in marine sediments from the Chilean continental margin</t>
  </si>
  <si>
    <t>MARINE GEOLOGY</t>
  </si>
  <si>
    <t>Iron content of the bulk marine sediment from the Chilean continental margin has been used to infer millenial-scale climate changes in southeast Pacific [Lamy, F., Klump, J., Hebbeln, D., Wefer, G., 2000. Rapid climate change in northern Chile over the last 80 ka recorded in a marine sediment core. Terra Nova 12: 8-13]. Changes of iron contents have been related to a varying contribution of Andean (Fe-rich) versus Coastal Range (Fe-poor) source rocks ultimately controlled by continental rainfall changes. However, variations observed could also be produced by changes in the proportions of two components in the sediment - a detrital component with low and constant Fe content and an authigenic phase (Fe oxide, pyrite, apatite, etc.) with high Fe content. A sequential extraction has been used to partition the total iron content in the sediment of core GeoB 7101 at the continental margin of Chile. The extraction steps included five fractions: exchangeable, bound to carbonates, bound to Fe-Mn oxides, bound to organic matter, and residual. Iron appeared to be mainly present in the residual fraction, i.e. in the detrital component. Our study indicates that total Fe or Fe/Al may be used to infer millenial-scales climate changes in the southeastern Pacific. (C) 2007 Elsevier B.V. All rights reserved.</t>
  </si>
  <si>
    <t>Bajo, Maria/ABF-6991-2020</t>
  </si>
  <si>
    <t>Pizarro, Carmen/0000-0003-4927-5681</t>
  </si>
  <si>
    <t>0025-3227</t>
  </si>
  <si>
    <t>10.1016/j.margeo.2007.03.006</t>
  </si>
  <si>
    <t>WOS:000247737200008</t>
  </si>
  <si>
    <t>Cárdenas-Jirón, GI; Paredes-García, V; Venegas-Yazigi, D; Zagal, JH; Páez, M; Costamagna, J</t>
  </si>
  <si>
    <t>Cardenas-Jiron, Gloria I.; Paredes-Garcia, Veronica; Venegas-Yazigi, Diego; Zagal, Jose H.; Paez, Maritza; Costamagna, Juan</t>
  </si>
  <si>
    <t>Theoretical modeling of the oxidation of hydrazine by iron(II) phthalocyanine in the gas phase.: Influence of the metal character</t>
  </si>
  <si>
    <t>The hydrazine oxidation by iron(II) phthalocyanine (Fe(II) Pc) has been studied using an energy profile framework through quantum chemistry theoretical models calculated in the gas phase at the density functional theory B3LYP/LACVP(d) level. We applied two models of charge-transfer mechanisms previously reported (J. Phys. Chem. A 2005, 109, 1196) for the hydrazine oxidation mediated by Co(II) Pc. Model 1 consists of an alternated loss of one electron and one proton, involving anionic and neutral species. Model 2 considers an alternated loss of two electrons and two protons and includes anionic, neutral, and cationic species. Both applied models describe how the charge-transfer process occurs. In contrast with the obtained results for Co(II) Pc, we found that the hydrazine oxidation mediated by Fe(II) Pc is a fully through-bond charge-transfer mechanism. On the other hand, the use of different charge-transfer descriptors (spin density, electronic population, condensed Fukui function) showed a major contribution of the iron atom in comparison with the cobalt atom in the above-mentioned process. These results could explain the higher catalytic activity observed experimentally for Fe(II) Pc in comparison with Co(II) Pc. The applied theoretical models are a good starting point to rationalize the charge-transfer process of hydrazine oxidation mediated by Fe( II) Pc.</t>
  </si>
  <si>
    <t>Paez, Maritza/M-2010-2014; Paredes-Garcia, Veronica/C-4415-2011; zagal, jose/L-9648-2014; Cardenas-Jiron, Gloria/H-9508-2012; Venegas-Yazigi, Diego/C-5022-2009</t>
  </si>
  <si>
    <t>paez, maritza/0000-0001-5881-884X; Cardenas-Jiron, Gloria/0000-0003-4305-8088; Venegas-Yazigi, Diego/0000-0001-7816-2841</t>
  </si>
  <si>
    <t>OCT 26</t>
  </si>
  <si>
    <t>10.1021/jp060647r</t>
  </si>
  <si>
    <t>WOS:000241381700011</t>
  </si>
  <si>
    <t>Díaz, EM; Barría, R</t>
  </si>
  <si>
    <t>Diaz, Emilio Moyano; Barria, Rodolfo</t>
  </si>
  <si>
    <t>Suicide and gross domestic product in Chile:: Toward a predictive model</t>
  </si>
  <si>
    <t>In this article suicide is examined from a psychological and economical perspective. Contrasting with the relatively low rates of suicide in Latin America as compared to ex-URSS and other European countries, this phenomenon has experienced a progressive growth in Chile, especially among 15-34 years old population. The analysis of suicide rates in Chile for the 1981-2002 period shows an ascending and uneven curve, which is correlated with some economical indexes, such as GDP (r=0.87). A predictive model that relates GDP and suicide (error of 3.8%) is presented. Chilean global social market economy model has lead to economical growth but it has caused economic and health inequality, precarious labour conditions, and interpersonal distrust, which may explain the poor mental health indicators, as measure by growing suicide rates. In this analysis of suicide, several methodological difficulties were found. First, there is a lack of updated databases, which makes difficult the comparisons among Latin-American countries. Second, it is very difficult to get individual information for most cases of suicide, and, when it is available, the records are incomplete, lacking of epidemiologically relevant data, such a the educational level of the victim. It is concluded that an analysis of suicide in Latin-America should include both a psycho-social and an economical perspective. Researchers, officers and authorities are encouraged to update the databases in the countries of the region.</t>
  </si>
  <si>
    <t>Moyano-Diaz, Emilio/G-9522-2012</t>
  </si>
  <si>
    <t>WOS:000238985100008</t>
  </si>
  <si>
    <t>Yoma, NB; Busso, C; Soto, I</t>
  </si>
  <si>
    <t>Packet-loss modelling in IP networks with state-duration constraints</t>
  </si>
  <si>
    <t>IEE PROCEEDINGS-COMMUNICATIONS</t>
  </si>
  <si>
    <t>A Gilbert-gamma topology is proposed to model packet-loss processes in UDP connections. The proposed topology introduces state duration modelling with gamma distributions. When compared with the ordinary Gilbert model the proposed topology substantially improves the likelihood of observed packet-loss processes, and gives reductions as high as 70% in the subjective estimation of speech quality transmitted over IP networks. The results presented can be easily applied to other real-time applications such as audio and video streaming.</t>
  </si>
  <si>
    <t>Yoma, Nestor/I-8230-2015</t>
  </si>
  <si>
    <t>Soto, Ismael/0000-0002-5501-5651; Busso, Carlos/0000-0002-4075-4072</t>
  </si>
  <si>
    <t>1350-2425</t>
  </si>
  <si>
    <t>WOS:000227948500001</t>
  </si>
  <si>
    <t>Mejias, L; Reihmann, MH; Sepulveda-Boza, S; Ritter, H</t>
  </si>
  <si>
    <t>New polymers from natural phenols using horseradish or soybean peroxidase</t>
  </si>
  <si>
    <t>MACROMOLECULAR BIOSCIENCE</t>
  </si>
  <si>
    <t>Full paper: The flavonol quercetin, its glycoside rutin, the flavanol catechin, the isoflavone daidzein and 5,6,4'-trihydroxyisoflavone can be oxidatively polymerized via a polyrecombination mechanism catalyzed by horseradish or soybean peroxidase in a mixture of phosphate buffer (pH 7) and 1,4-dioxane. The average molecular weights of the polymers were found to be in the range 4000-12000 g/mol. Daidzein derivatives with a methoxy (formononetin) or nitro group or a hydrogen atom at C-4' could not be polymerized under these conditions. These results and molecular modeling studies suggest that polymerisation preferentially occurs via the electron-rich ring B of the isoflavonoids. The polymers were characterized by means of FT-IR and UV spectroscopy, and their redox behavior was analyzed using cyclic voltammetry. Graphical presentation of the HOMO coefficients of daidzein (3a), calculated using the semiempirical AMI method, implemented in SPARTAN Pro 5.0.</t>
  </si>
  <si>
    <t>1616-5187</t>
  </si>
  <si>
    <t>JAN 31</t>
  </si>
  <si>
    <t>10.1002/1616-5195(20020101)2:1&lt;24::AID-MABI24&gt;3.0.CO;2-6</t>
  </si>
  <si>
    <t>WOS:000173936900003</t>
  </si>
  <si>
    <t>Celedón, G; Rodriguez, I; España, J; Escobar, J; Lissi, E</t>
  </si>
  <si>
    <t>Contribution of haemoglobin and membrane constituents modification to human erythrocyte damage promoted by peroxyl radicals of different charge and hydrophobicity</t>
  </si>
  <si>
    <t>FREE RADICAL RESEARCH</t>
  </si>
  <si>
    <t>We have investigated the influence of the free radical initiator characteristics on red blood cell lipid peroxidation, membrane protein modification, and haemoglobin oxidation. 2,2'-Azobis(2-amidinopropane) (AAPH) and 4,4'-azobis(4-cyanovaleric acid) (ACV) were employed as free radical sources. Both azo-compounds are water-soluble, although ACV presents a lowed hydrophilicity, as evaluated from octanol/water partition constants. At physiological pH, they are a di-cation and a di-anion, respectively. AAPH and ACV readily oxidise purified oxyhemoglobin in a very efficient free radical-mediated process, particularly for ACV-derived radicals, where nearly one heme moiety was modified per radical introduced into the system, suggesting that negatively charged radicals react preferentially at the heme group. The radicals derived from both azo-com pounds lead to different oxidation products. Methemoglobin, hemichromes and choleglobin were produced in AAPH-promoted hemoglobin oxidation, while ACV-derived radicals predominantly form hemichromes, with very low production of choleglobin. Red cell damage was evaluated at the level of hemoglobin and membrane constituents modification, and was expressed in terms of free radical doses. Before the onset of the lytic process, ACV leads to more lipid peroxidation than AAPH, and induces a moderate oxidation of intracellular Hb. This intracellular oxidation is markedly increased if ACV hydrophilicity is decreased by lowering the pH. On the other hand, AAPH-derived radicals are considerable more efficient in promoting protein band 3 modification and cell lysis, without significant intracellular hemoglobin oxidation. These results show that the lytic process is not triggered by lipid peroxidation or hemichrome formation, and suggest that membrane protein modification is the relevant factor leading to red blood cell lysis.</t>
  </si>
  <si>
    <t>1071-5762</t>
  </si>
  <si>
    <t>1029-2470</t>
  </si>
  <si>
    <t>10.1080/10715760100300031</t>
  </si>
  <si>
    <t>WOS:000167208300003</t>
  </si>
  <si>
    <t>Herde, O; Peña-Cortés, H; Willmitzer, L; Fisahn, J</t>
  </si>
  <si>
    <t>Remote stimulation by heat induces characteristic membrane-potential responses in the veins of wild-type and abscisic acid-deficient tomato plants</t>
  </si>
  <si>
    <t>PLANTA</t>
  </si>
  <si>
    <t>The systemic induction of proteinase inhibitor genes in tomato plants is either mediated by fast electrical signals or alternatively by chemical messengers. In the present study we analyzed the pathway of the electrical signal. The question of which cell types are involved in this pathway of long-distance signaling within plants is still controversial. To identify these we inserted microelectrodes into the veins of tomato leaves (Lycopersicon esculentum Mill. cv. Moneymaker). A newly developed computer program and microcomputer interface enabled us to position these microelectrodes inside the vein with an accuracy of I mu m. Due to this precision in positioning we were able to demonstrate that the pathway of the electrical signal is not restricted to a specific tissue type, e.g. the phloem. In particular, the entire vein contributes to the propagation of the electrical wave along the plant. Therefore, an apoplastic contribution to the long-distance signal transduction mechanism appears most likely. To furthermore investigate the involvement of cis-abscisic acid (ABA) in this long-distance signal transduction pathway, ABA-deficient tomato mutants (Lycopersicon esculentum cv. Sitiens) were used in comparison to the wild type. Significant differences between the membrane-potential relaxation kinetics of the wild type and the mutants could be detected. Wild-type tomato plants exhibited six characteristic classes of membrane-potential relaxation kinetics following heat treatment. In contrast, the ABA-deficient mutants were more restricted in terms of their relaxation upon heat stimulation. The responses in the membrane potential of all cells within a vein consisted of only three categories. In conclusion, ABA did not affect all cells within the vein in a similar manner. Single cells exhibited different response patterns to systemic heat application in the presence of ABA. Moreover, ABA had a pronounced effect on the resting potentials of individual cells within the veins of tomato.</t>
  </si>
  <si>
    <t>Peña-Cortes, Hugo/A-2758-2012; Willmitzer, Lothar/F-7377-2011</t>
  </si>
  <si>
    <t>0032-0935</t>
  </si>
  <si>
    <t>10.1007/s004250050385</t>
  </si>
  <si>
    <t>WOS:000075123900019</t>
  </si>
  <si>
    <t>CASTILLO, A; CIFUENTES, V</t>
  </si>
  <si>
    <t>PRESENCE OF DOUBLE-STRANDED-RNA AND VIRUS-LIKE PARTICLES IN PHAFFIA-RHODOZYMA</t>
  </si>
  <si>
    <t>CURRENT GENETICS</t>
  </si>
  <si>
    <t>Four double-stranded RNA (dsRNA) molecules were isolated from Phaffia rhodozyma UCD 67-385. Their molecular sizes were approximately 4.3, 3.1, 0.9 and 0.75 kilobase pairs (kbp) as determined by agarose-gel electrophoresis and they were designated as L, M, S-1 and S-2, respectively. By differential centrifugation in sucrose gradients, these dsRNAs copurified with isometric virus-like particles 36 nm in diameter. A cured strain. UV-S2, lacking the S-2-dsRNA was obtained from P. rhodozyma UCD 67-385 by ultraviolet (UV) light treatment. UV-S2 strain contains identical virus-like particles to those from the wild-typo strain, as determined by electron microscopy, suggesting that the S-2-dsRNA was not essential for the expression of mycovirus structural polypeptides. On the other hand, both the UCD 67-385 and UV-S' strains were able to kill P. rhodozyma UCD 67-383, a strain without dsRNAs. These results suggest that the dsRNA molecules also encode a killer system. Finally, the UV-S' strain maintains killer ability, which suggests that S-2-dsRNA is not involved in the killer phenotype expression.</t>
  </si>
  <si>
    <t>Castillo, Antonio/AAE-6832-2020</t>
  </si>
  <si>
    <t>Castillo, Antonio/0000-0003-0639-6045</t>
  </si>
  <si>
    <t>0172-8083</t>
  </si>
  <si>
    <t>1432-0983</t>
  </si>
  <si>
    <t>10.1007/BF00310502</t>
  </si>
  <si>
    <t>WOS:A1994PJ45100012</t>
  </si>
  <si>
    <t>ZAGAL, JH; PAEZ, C; AGUIRRE, MJ; GARCIA, AM; ZAMUDIO, W</t>
  </si>
  <si>
    <t>CATALYTIC ELECTROREDUCTION OF MOLECULAR-OXYGEN ON CU(II)BISDIPYRIDYL AND CU(II)BISPHENANTHROLINE COMPLEXES ADSORBED ON A GRAPHITE ELECTRODE</t>
  </si>
  <si>
    <t>Cu(II)bis(phenanthroline) and Cu(II)bis(dipyridyl) adsorb on an ordinary pyrolytic graphite electrode surface when the potential of the electrode is cycled continuously in deaerated aqueous (pH=10) 10(-4) M solutions of the respective complexes. The cyclic voltammograms show reversible peaks attributed to the Cu(I)/Cu(II) couple of the corresponding adsorbed complexes. Upon saturating the solution with oxygen the electrode presents irreversible waves corresponding to the reduction of O2. The activity of the graphite for O2 reduction is increased by the presence of the copper complexes on the electrode surface. Rotating ring-disk data suggests that the process proceeds via 2-electron to give peroxide and via a direct 4-electron reduction process to give water. The latter predominates at more acidic pH. The catalytic process is controlled by the Cu(I)/(II)redox couple of the metal in the complex as -0.060V/decade Tafel slopes are observed.</t>
  </si>
  <si>
    <t>zagal, jose/L-9648-2014; Aguirre, Maria/A-3935-2013</t>
  </si>
  <si>
    <t>WOS:A1993MA21200007</t>
  </si>
  <si>
    <t>SILVA, E; RUCKERT, V; LISSI, E; ABUIN, E</t>
  </si>
  <si>
    <t>EFFECTS OF PH AND IONIC MICELLES ON THE RIBOFLAVIN-SENSITIZED PHOTOPROCESSES OF TRYPTOPHAN IN AQUEOUS-SOLUTION</t>
  </si>
  <si>
    <t>The effects of pH and ionic micelles on the rates of product formation following irradiation of riboflavin in the presence of tryptophan were investigated by absorption and fluorescence spectroscopy. Under anaerobic conditions, formation of riboflavin-tryptophan adducts was inhibited in acid solutions and by the addition of anionic (sodium dodecylsulphate) and cationic (cetyltrimethylammonium bromide) micelles. The oxidation of tryptophan photoinduced by riboflavin was considerably faster in basic solutions.</t>
  </si>
  <si>
    <t>10.1016/1011-1344(91)80268-M</t>
  </si>
  <si>
    <t>WOS:A1991GH23600005</t>
  </si>
  <si>
    <t>BONILHA, JBS; MARY, R; GEORGETTO, Z; ABUIN, E; LISSI, E; QUINA, F</t>
  </si>
  <si>
    <t>EXCHANGE BETWEEN ALKYLAMMONIUM AND SODIUM-IONS AT THE SURFACE OF DODECYL-SULFATE MICELLES</t>
  </si>
  <si>
    <t>Quina, Frank/H-2255-2012; Naal, Rose Mary/J-5078-2013</t>
  </si>
  <si>
    <t>Quina, Frank/0000-0003-2981-3390; Naal, Rose Mary/0000-0003-3014-6337</t>
  </si>
  <si>
    <t>10.1016/0021-9797(90)90304-7</t>
  </si>
  <si>
    <t>WOS:A1990CP32900023</t>
  </si>
  <si>
    <t>LISSI, EA; ENCINAS, MV; BERTOLOTTI, SG; COSA, JJ; PREVITALI, CM</t>
  </si>
  <si>
    <t>FLUORESCENCE QUENCHING OF INDOLIC COMPOUNDS IN REVERSE MICELLES OF AOT</t>
  </si>
  <si>
    <t>The fluorescence properties of indole, 1,2-dimethylindole and tryptophan have been determined in sodium bis(2-ethylhexyl)sulfosuccinate inverse micelles in heptane. Fluorescence quenching studies were done using CCl4 and acrylamide as quenchers localized in the organic and micellar pseudophase respectively. The Stern-Volmer plots show departure from linearity and are dependent on the emission wavelength. The results were interpreted using a three pseudophases model, 1,2-Dimethylindole is predominantly solubilized in the n-heptane; however a small interaction with the micelles is apparent at high detergent concentration. Indole is distributed between the organic and the interfacial microphase with a partition constant of 34 .+-. 3, independent of the water content. Tryptophan is entirely localized at the interface. However the quenching experiments show that tryptophan molecules are not uniformly distributed in the interfacial pseudophase.</t>
  </si>
  <si>
    <t>10.1111/j.1751-1097.1990.tb01683.x</t>
  </si>
  <si>
    <t>WOS:A1990CJ61600007</t>
  </si>
  <si>
    <t>ENCINAS, MV; LISSI, EA; PREVITALI, CM; COSA, J</t>
  </si>
  <si>
    <t>DEACTIVATION OF NAPHTHALENE AND PYRENE DERIVATIVES BOUND TO AEROSOL OT REVERSE MICELLES BY FUMARONITRILE AND ACRYLONITRILE</t>
  </si>
  <si>
    <t>10.1021/la00087a038</t>
  </si>
  <si>
    <t>WOS:A1989U745300039</t>
  </si>
  <si>
    <t>ENCINAS, MV; LISSI, EA; MAJMUD, C; OLEA, AF</t>
  </si>
  <si>
    <t>REACTIVITY OF TERT-BUTOXY RADICALS TOWARDS THIOLS, ALKYL SULFIDES, AND ALKYL DISULFIDES</t>
  </si>
  <si>
    <t>Olea, Andres/AAF-6955-2019; Encinas, Maria/L-9686-2014</t>
  </si>
  <si>
    <t>10.1002/kin.550210404</t>
  </si>
  <si>
    <t>WOS:A1989T696300003</t>
  </si>
  <si>
    <t>CORREA, R; SEEGER, A</t>
  </si>
  <si>
    <t>SOME TOPOLOGICAL PROPERTIES OF THE SOLUTION SETS OF PARAMETRIZED MINIMAX PROBLEMS</t>
  </si>
  <si>
    <t>10.1007/BF01442647</t>
  </si>
  <si>
    <t>WOS:A1987F677300004</t>
  </si>
  <si>
    <t>MARTINEZ, MA; VEGA, JC</t>
  </si>
  <si>
    <t>SYNTHESIS OF O-ALKYL CARBONOCHLORIDOTHIOATES</t>
  </si>
  <si>
    <t>SYNTHESIS-STUTTGART</t>
  </si>
  <si>
    <t>0039-7881</t>
  </si>
  <si>
    <t>WOS:A1986D928500016</t>
  </si>
  <si>
    <t>GARGALLO, L; RADIC, D; LEON, A</t>
  </si>
  <si>
    <t>POLYMER CONFORMATION AND VISCOMETRIC BEHAVIOR .3. SYNTHESIS, CHARACTERIZATION AND CONFORMATIONAL STUDIES IN POLY(MONO-NORMAL-OCTYL ITACONATE)</t>
  </si>
  <si>
    <t>MAKROMOLEKULARE CHEMIE-MACROMOLECULAR CHEMISTRY AND PHYSICS</t>
  </si>
  <si>
    <t>0025-116X</t>
  </si>
  <si>
    <t>WOS:A1985AMG9200018</t>
  </si>
  <si>
    <t>GILLLAMBIAS, FJ; GARGALLO, L; RADIC, D; ROMAN, E</t>
  </si>
  <si>
    <t>POLYMER-SUPPORTED REDOX CATALYSTS - DETERMINATION OF APPARENT SURFACE COVERAGE</t>
  </si>
  <si>
    <t>10.1002/pol.1983.130211106</t>
  </si>
  <si>
    <t>WOS:A1983RQ80000006</t>
  </si>
  <si>
    <t>Fernández-García, MP; Vallejo-Seco, G; Livácic-Rojas, P; Herrero-Díez, FJ</t>
  </si>
  <si>
    <t>Fernandez-Garcia, Maria Paula; Vallejo-Seco, Guillermo; Livacic-Rojas, Pablo; Herrero-Diez, Francisco Javier</t>
  </si>
  <si>
    <t>Proposal of an alternative way of reporting the results of comparative simulation studies</t>
  </si>
  <si>
    <t>Introduction: Monte Carlo simulation studies allow testing multiple experimental conditions, whose results are often difficult to communicate and visualize to their full extent. Some researchers have proposed alternatives to address this issue, highlighting its relevance. This article develops a new way of observing, analyzing, and presenting the results of simulation experiments and is explained step by step with an example. Methods: A criterion is proposed to decide which results could be averaged and which results should not be averaged. It is also indicated how to construct Traceability Tables. These tables will show the behavior of the different analytical approaches studied under the chosen conditions and their variability under the averaged conditions. A way of observing the influence of the manipulated variables on the performance of the set of analysis approaches studied is also developed, Variability Set. Finally, a way of exposing the procedures that have the best performance in a particular condition is suggested. Results and discussion: This Analysis Plan for reporting the results of simulation studies provides more information than existing alternative procedures, provides valuable information for method researchers, and specifies to applied researchers which statistic they should use in a particular condition. An R Shiny application is provided.</t>
  </si>
  <si>
    <t>Vallejo, Guillermo/B-8233-2011</t>
  </si>
  <si>
    <t>MAR 18</t>
  </si>
  <si>
    <t>10.3389/fpsyg.2025.1549767</t>
  </si>
  <si>
    <t>WOS:001457285700001</t>
  </si>
  <si>
    <t>Gonzalez, S; Tapia, JE</t>
  </si>
  <si>
    <t>Gonzalez, Sebastian; Tapia, Juan E.</t>
  </si>
  <si>
    <t>Forged presentation attack detection for ID cards on remote verification systems</t>
  </si>
  <si>
    <t>PATTERN RECOGNITION</t>
  </si>
  <si>
    <t>This paper introduces anew hybrid two-stage multiclass network for end-to-end Presentation Attack Detection in remote biometric verification systems using ID cards based on MobileNetV2. Using different capture sources, several presentation attacks species such as printing, display, composite (based on cropped and spliced areas), plastic (PVC), and synthetic ID card images. This proposal was developed using a database consisting of 190,000 real-case Chilean ID card images with the support of a third-party company. Also, anew framework called PyPAD, used to estimate multi-class metrics compliant with the ISO/IEC 30107-3 standard, was developed and will be made available for research purposes. Our method is trained on two convolutional neural networks separately, reaching BPCER100 scores on ID card attacks of 1.69% for network 1 and 2.36% for network 2. Using both models, The two-stage concatenated method can achieve a BPCER100 score of 0.92%.</t>
  </si>
  <si>
    <t>Tapia, Juan/KVZ-0330-2024</t>
  </si>
  <si>
    <t>Tapia, Juan/0000-0001-9159-4075</t>
  </si>
  <si>
    <t>0031-3203</t>
  </si>
  <si>
    <t>1873-5142</t>
  </si>
  <si>
    <t>10.1016/j.patcog.2025.111352</t>
  </si>
  <si>
    <t>JAN 2025</t>
  </si>
  <si>
    <t>WOS:001409912700001</t>
  </si>
  <si>
    <t>Lacoste, P; Skewes, JC</t>
  </si>
  <si>
    <t>Lacoste, Pablo; Skewes, Juan Carlos</t>
  </si>
  <si>
    <t>The palace of Palermo, River Plate's Versalles: soft power and heritage in the times of Rosas and Sarmiento</t>
  </si>
  <si>
    <t>During the argentine civiland foreign wars in the 1830s and 1840s, this article examines the mestizo cultural and agro-food heritage promoted by Juan Manuelde Rosas as a strategy of soft power. The role of the Palermo palace as a space of cohesion and nationalunity is highlighted, along with the enhancement of heritage architecture, utensils, food and drink.</t>
  </si>
  <si>
    <t>Skewes, Juan/ACY-4666-2022</t>
  </si>
  <si>
    <t>JAN-DEC</t>
  </si>
  <si>
    <t>e44698</t>
  </si>
  <si>
    <t>10.15448/1980-864X.2025.1.44698</t>
  </si>
  <si>
    <t>WOS:001426672600002</t>
  </si>
  <si>
    <t>Morales, M; Herrera, M; Pérez-Cosgaya, T</t>
  </si>
  <si>
    <t>Morales, Mauricio; Herrera, Mario; Perez-Cosgaya, Teresa</t>
  </si>
  <si>
    <t>Electoral Turnout of Non-Citizens Under Voluntary and Compulsory Voting: Evidence From Chile</t>
  </si>
  <si>
    <t>POLITICS AND GOVERNANCE</t>
  </si>
  <si>
    <t>It is often argued that non-citizens are less interested in the political processes of the host country and, therefore, vote less than citizens. We discuss this using Chile's administrative electoral census for the 2012-2023 elections. We choose Chile for three reasons. First, it is one of the few countries worldwide that allows non-citizens to vote in local and national elections. Second, Chile requires only five years of permanent residence for non-citizens to vote. Third, Chile implemented a voluntary voting system between 2012 and 2021 and a compulsory voting system in 2022. This latter particularity means that voting is compulsory for non-citizens registered on the electoral roll. How much and how did the electoral participation of citizens and non-citizens change with the introduction of compulsory voting? Four results stand out. First, citizen turnout averaged 44.7% under voluntary voting, while non-citizen turnout averaged 17.1%. Second, with the introduction of compulsory voting, the figures narrowed. Citizens averaged 86.3% and non-citizens 60.0%, tripling their turnout compared to elections organised under voluntary voting. Third, there is a gender gap in voter turnout in favour of women, both among citizens and non-citizens. Fourth, since 2020-when a constitutional referendum was held during the Covid-19 pandemic-there has been a higher turnout of young people in citizen and non-citizen groups. These results are beneficial for assessing the institutions that regulate the right and exercise of the vote for non-citizens, the impact of compulsory voting on electoral participation, and the re-boosting of youth participation.</t>
  </si>
  <si>
    <t>2183-2463</t>
  </si>
  <si>
    <t>10.17645/pag.9152</t>
  </si>
  <si>
    <t>WOS:001461785700013</t>
  </si>
  <si>
    <t>Reyes, SA</t>
  </si>
  <si>
    <t>Reyes, Sofia Arevalo</t>
  </si>
  <si>
    <t>The Enigma of the Porcelain Dolls in the Animated Play Non Serviam: The Things You Need in One Place</t>
  </si>
  <si>
    <t>REVISTA KANINA</t>
  </si>
  <si>
    <t>This study delves into the enigma arising from the utilization of porcelain dolls in the Chilean animated theater production Non Serviam: The Things You Need in One Place (2023). The presence of these dolls evokes an ambivalent sense of proximity and distance, fostering an exploration of the symbolic value of the doll figure, its function in childhood, and the unsettling impressions it may elicit. Such reflections serve as a starting point for examining the specific usage of three antique porcelain dolls in the aforementioned animated play and how their mystery is sustained.</t>
  </si>
  <si>
    <t>0378-0473</t>
  </si>
  <si>
    <t>2215-2636</t>
  </si>
  <si>
    <t>10.15517/rk.v48i3.61921</t>
  </si>
  <si>
    <t>WOS:001328956200001</t>
  </si>
  <si>
    <t>Jaramillo, ME; Covarrubias, C; González, EP; Orozco, CPO</t>
  </si>
  <si>
    <t>Jaramillo, Mateo Escobar; Covarrubias, Cristian; Gonzalez, Edwin Patino; Orozco, Claudia Patricia Ossa</t>
  </si>
  <si>
    <t>Optimization by mixture design of chitosan/multi-phase calcium phosphate/BMP-2 biomimetic scaffolds for bone tissue engineering</t>
  </si>
  <si>
    <t>JOURNAL OF THE MECHANICAL BEHAVIOR OF BIOMEDICAL MATERIALS</t>
  </si>
  <si>
    <t>The modulation of cell behavior during culture is one of the most important aspects of bone tissue engineering because of the necessity for a complex mechanical and biochemical environment. This study aimed to improve the physicochemical properties of chitosan/multi-phase calcium phosphate (MCaP) scaffolds using an optimized mixture design experiment and evaluate the effect of biofunctionalization of the obtained scaffolds with the bone morphogenetic protein BMP-2 on stem cell behavior. The present study evaluated the compressive strength, elastic modulus, porosity, pore diameter, and degradation in simulated body fluids and integrated these responses using desirability. The properties of the scaffolds with the best desirability (18.4% of MCaP) were: compressive strength of 23 kPa, elastic modulus of 430 kPa, pore diameter of 163 mu m, porosity of 92%, and degradation of 20% after 21 days. Proliferation and differentiation experiments were conducted using dental pulp stem cells after grafting BMP-2 onto scaffolds via the carbodiimide route. These experiments showed that MCaP promoted cell proliferation and increased alkaline phosphatase activity, whereas BMP-2 enhanced cell differentiation. This study demonstrates that optimizing the composition of a mixture of chitosan and MCaP improves the physicochemical and biological properties of scaffolds, indicating that this solution is viable for application in bone tissue engineering.</t>
  </si>
  <si>
    <t>Orozco, Claudia/AAG-3622-2020</t>
  </si>
  <si>
    <t>Ossa Orozco, Claudia Patricia/0000-0002-0223-4113; Escobar, Mateo/0000-0003-4478-5439</t>
  </si>
  <si>
    <t>1751-6161</t>
  </si>
  <si>
    <t>1878-0180</t>
  </si>
  <si>
    <t>10.1016/j.jmbbm.2024.106423</t>
  </si>
  <si>
    <t>WOS:001172893300001</t>
  </si>
  <si>
    <t>Zamora, EA; Battaglia, L; Cruchaga, M; Storti, M</t>
  </si>
  <si>
    <t>Zamora, Esteban A.; Battaglia, Laura; Cruchaga, Marcela; Storti, Mario</t>
  </si>
  <si>
    <t>Embedded finite volume technique for fluid/rigid-body interaction problems</t>
  </si>
  <si>
    <t>This work describes a formulation for the treatment of submerged rigid solids within the framework of the finite volume method. The proposal consists in considering the solid as a porous region and the hydrodynamic forces that arise from the Darcy terms. The methodology is implemented in an open code that allows largescale calculations. In the present work, we present the methodology and its verification using cases of study, to demonstrate spatio-temporal numerical convergence and the accuracy of the imposition of boundary conditions. For this purpose, cases that have an analytical solution are analyzed, such as the Pouiseuille flow, the first and second Stokes problems, and immersed walls that move with imposed movement generating different pressures between both faces. A moving cylinder analysis is shown to validate the numerical technique in comparison with cases reported in the literature. The analysis leads to stability conditions against external parameters such as permeability. The ability of the method to represent moving walls and immersed bodies with imposed movement is established.</t>
  </si>
  <si>
    <t>Battaglia, Laura/X-3893-2019; Zamora, Esteban/AAL-1731-2020; Cruchaga, Marcela/M-7522-2014; Storti, Mario Alberto/E-4646-2012</t>
  </si>
  <si>
    <t>Cruchaga, Marcela/0000-0002-8708-2402; Storti, Mario Alberto/0000-0001-5596-5457</t>
  </si>
  <si>
    <t>FEB 15</t>
  </si>
  <si>
    <t>10.1016/j.camwa.2023.12.036</t>
  </si>
  <si>
    <t>WOS:001163383000001</t>
  </si>
  <si>
    <t>Pais, MR; Quiroz, JS; Carrasco-Manríquez, C</t>
  </si>
  <si>
    <t>Pais, Marcelo Rioseco; Quiroz, Juan Silva; Carrasco-Manriquez, Claudia</t>
  </si>
  <si>
    <t>Development of Digital Competences in Students of a Public State-Owned Chilean University Considering the Safety Area</t>
  </si>
  <si>
    <t>EDUCATION SCIENCES</t>
  </si>
  <si>
    <t>The present study was carried out in a Chilean public university with the purpose of describing digital competences in safety area and their relationship with contextual variables in first-year students of different programs. In this research study, we processed the competences of the safety area of the COMPDIG-PED test, which is based on the European reference framework for digital skills DIGCOMP. The instrument was applied to 4360 higher education students, attending undergraduate courses in 2021 and 2022. The results indicated a relationship between the context variables analyzed through the COMPDIG-PED test and the digital safety competences. This relationship is linked to higher scores in the female gender, in students with more years of experience in the use of digital technologies, in those who came from private paid or subsidized institutions, and in those who were trained in a humanist scientific education.</t>
  </si>
  <si>
    <t>2227-7102</t>
  </si>
  <si>
    <t>10.3390/educsci13070710</t>
  </si>
  <si>
    <t>WOS:001035153200001</t>
  </si>
  <si>
    <t>Ciriotto, V; Noguera-Santaella, J</t>
  </si>
  <si>
    <t>Ciriotto, Valentina; Noguera-Santaella, Jose</t>
  </si>
  <si>
    <t>The Catching up in Steady State per Capita Income: Latin America and the Caribbean</t>
  </si>
  <si>
    <t>ATLANTIC ECONOMIC JOURNAL</t>
  </si>
  <si>
    <t>This article contributes to the literature on the convergence problem by studying whether there is beta-convergence between the economies of Latin America and the Caribbean by analyzing the trend in beta convergence, calculating regressions between ten-year periods of economic growth and the logarithm of per capita income. Thus, the trend of convergence from 1950 can be studied and any sub-period in which absolute convergence has occurred can be detected. For that purpose, the current study uses data from the Penn World Tables between 1950 and 2019 for all economies in the region. Although wider sample empirical tests in the 1990s found little evidence of unconditional convergence of poor countries from the 1950s on, this study tests whether these results still hold for the subsample of Latin American and Caribbean economies. While the Spanish and Portuguese speaking countries show a divergence pattern, the economic integration among the Caribbean Islands is yielding fruit in terms of sigma-convergence. The main policy implication is that a major integration of Latin American countries would support convergence to a common steady state. Hence, all the countries should implement policies to develop their comparative advantages.</t>
  </si>
  <si>
    <t>Ciriotto, Valentina/0000-0002-3529-696X</t>
  </si>
  <si>
    <t>0197-4254</t>
  </si>
  <si>
    <t>1573-9678</t>
  </si>
  <si>
    <t>10.1007/s11293-023-09762-z</t>
  </si>
  <si>
    <t>WOS:000945981600001</t>
  </si>
  <si>
    <t>Pujolàs, J; Thériault, N</t>
  </si>
  <si>
    <t>Pujolas, Jordi; Theriault, Nicolas</t>
  </si>
  <si>
    <t>Trisections and cubes in elliptic curves</t>
  </si>
  <si>
    <t>JOURNAL OF PURE AND APPLIED ALGEBRA</t>
  </si>
  <si>
    <t>We show how to compute the pre-images of multiplication by 3 in the group of points of an elliptic curve E over a field k of characteristic different from 2 and 3 such that E[3](k)=E[3]. We show Q=(x(Q),y(Q))is an element of[3]E(k) if and only if y(Q)-d-m(x(Q)-c) is a cube in k for every 3-torsion point (c,d)is an element of E[3], where m is the slope of the tangent to E at (c,d). We reduce our problem to the computation of at most 2 independent cubic roots plus a few polynomial operations. (C) 2022 The Author(s) .Published by Elsevier B.V.</t>
  </si>
  <si>
    <t>Theriault, Nicolas/ISB-0405-2023; Pujolàs, Jordi/T-1264-2019; Pujolas, Jordi/E-8688-2011</t>
  </si>
  <si>
    <t>Pujolas, Jordi/0000-0002-1192-8192</t>
  </si>
  <si>
    <t>0022-4049</t>
  </si>
  <si>
    <t>1873-1376</t>
  </si>
  <si>
    <t>10.1016/j.jpaa.2022.107259</t>
  </si>
  <si>
    <t>NOV 2022</t>
  </si>
  <si>
    <t>WOS:000892539300008</t>
  </si>
  <si>
    <t>Cárdenas, M; González, HA; Lara, K; Pino, M</t>
  </si>
  <si>
    <t>Cardenas, Marcela; Gonzalez, Hernan A.; Lara, Kristiansen; Pino, Miguel</t>
  </si>
  <si>
    <t>DC conductance and memory in 3D gravity</t>
  </si>
  <si>
    <t>JOURNAL OF HIGH ENERGY PHYSICS</t>
  </si>
  <si>
    <t>Transport properties are investigated in the two-dimensional dual dynamics of AdS(3) gravity. By providing boundary conditions that deform the ADM lapse and shift functions, we construct a lower dimensional model comprising two copies of chiral boson excitations with anisotropic scaling symmetry. Using bosonization, an electric current is identified. By means of the Kubo formula, we find a DC conductance depending on the level of the theory and the dynamical exponents. The bulk realization of the linear response is related to a type of gravitational memory emerging in the context of near-horizon boundary conditions. The process is adiabatic and represents a permanent spacetime deformation parametrized by anisotropic chiral bosons through a large gauge transformation.</t>
  </si>
  <si>
    <t>González, Hernán Alfredo/S-5915-2019; Pino, Miguel/G-7510-2015; Gonzalez Leiva, Hernan Alfredo/K-2767-2017</t>
  </si>
  <si>
    <t>Gonzalez Leiva, Hernan Alfredo/0000-0001-7025-3116; Pino, Miguel/0000-0002-7612-4515; Cardenas, Marcela/0000-0002-1897-890X</t>
  </si>
  <si>
    <t>1029-8479</t>
  </si>
  <si>
    <t>AUG 4</t>
  </si>
  <si>
    <t>10.1007/JHEP08(2022)074</t>
  </si>
  <si>
    <t>WOS:000836610800009</t>
  </si>
  <si>
    <t>Escobar, J; Jiménez, JL; Artigas, A; Perez-Ipiña, J; Monsalve, A</t>
  </si>
  <si>
    <t>Escobar, Javier; Luis Jimenez, Jose; Artigas, Alfredo; Perez-Ipina, Juan; Monsalve, Alberto</t>
  </si>
  <si>
    <t>Influence of Cold Deformation on Carbide Precipitation Kinetics in a Fe-22Mn-0.45C TWIP Steel</t>
  </si>
  <si>
    <t>MATERIALS</t>
  </si>
  <si>
    <t>The carbide precipitation kinetics in a Fe-22Mn-0.45C TWIP steel subjected to three different cold-deformation levels, annealed at various temperatures, were studied. The studied carbides included chemical compositions, morphology, precipitation sites, volume fraction, and size. Manganese carbides were precipitated in a temperature range between 525 and 650 degrees C. Volume fraction increased with cold-deformation and decreased with annealing temperature. Carbide size increased with cold-deformation and annealing temperatures up to 625 degrees C, suffering a notable reduction at 650 degrees C. Precipitation kinetics were described by means of precipitation curves for 0.1% (vol.) of Fe-Mn-carbides. A kinetic model was used, and two stages were found. Complementarily, austenite grain size and microhardness were also measured. With increases in annealing time, microhardness decreased until it reached a nearly constant value, indicating that recrystallization was complete, while, with increases in annealing temperature, grain size increased.</t>
  </si>
  <si>
    <t>Perez Ipiña, Juan/IZE-2438-2023; Artigas, Alfredo/Y-1185-2019; Perez Ipina, Juan E./N-2620-2016</t>
  </si>
  <si>
    <t>Monsalve, Alberto/0000-0002-5772-8815; Perez Ipina, Juan E./0000-0002-0934-477X</t>
  </si>
  <si>
    <t>1996-1944</t>
  </si>
  <si>
    <t>10.3390/ma15113748</t>
  </si>
  <si>
    <t>WOS:000808719600001</t>
  </si>
  <si>
    <t>Faouzi, T; Firinguetti-Limone, L; Avilez-Bozo, JM; Carvajal-Schiaffino, R</t>
  </si>
  <si>
    <t>Faouzi, Tarik; Firinguetti-Limone, Luis; Avilez-Bozo, Jose Miguel; Carvajal-Schiaffino, Ruben</t>
  </si>
  <si>
    <t>The α-Groups under Condorcet Clustering</t>
  </si>
  <si>
    <t>We introduce a new approach to clustering categorical data: Condorcet clustering with a fixed number of groups, denoted alpha-Condorcet. As k-modes, this approach is essentially based on similarity and dissimilarity measures. The paper is divided into three parts: first, we propose a new Condorcet criterion, with a fixed number of groups (to select cases into clusters). In the second part, we propose a heuristic algorithm to carry out the task. In the third part, we compare alpha-Condorcet clustering with k-modes clustering. The comparison is made with a quality's index, accuracy of a measurement, and a within-cluster sum-of-squares index. Our findings are illustrated using real datasets: the feline dataset and the US Census 1990 dataset.</t>
  </si>
  <si>
    <t>faouzi, tarik/0000-0003-3497-050X</t>
  </si>
  <si>
    <t>10.3390/math10050718</t>
  </si>
  <si>
    <t>WOS:000773637700001</t>
  </si>
  <si>
    <t>Pereira, R; Córdova, FM; Díaz, HA</t>
  </si>
  <si>
    <t>Liu, Y; Shi, Y; Wang, Y; Ergu, D; Berg, D; Tien, J; Li, J; Tian, Y</t>
  </si>
  <si>
    <t>Pereira, Robertino; Cordova, Felisa M.; Diaz, Hernan A.</t>
  </si>
  <si>
    <t>Some experiences in Neuromarketing: moving from White papers to Scientific inquiries</t>
  </si>
  <si>
    <t>8TH INTERNATIONAL CONFERENCE ON INFORMATION TECHNOLOGY AND QUANTITATIVE MANAGEMENT (ITQM 2020 &amp; 2021): DEVELOPING GLOBAL DIGITAL ECONOMY AFTER COVID-19</t>
  </si>
  <si>
    <t>8th International Conference on Information Technology and Quantitative Management (ITQM) - Developing Global Digital Economy after COVID-19</t>
  </si>
  <si>
    <t>JUL 09-11, 2021</t>
  </si>
  <si>
    <t>Chengdu, PEOPLES R CHINA</t>
  </si>
  <si>
    <t>The objective of this paper is to show the added value of using tools such as eyetracking, galvanic skin response, facial coding and others in the field of market research and user experience research. We will present 3 case studies in which these tools have been used successfully. We will give an overview of the background, the objectives, methods and results and how the neuro-tools provided additional insights into consumer behaviour, which would otherwise not have been possible. In this paper we will specifically show cases from packaging design, advertising research and user experience research thus only covering a small part of possible application areas. (C) 2021 The Authors. Published by Elsevier B.V.</t>
  </si>
  <si>
    <t>Córdova, Felisa/AAK-4280-2020</t>
  </si>
  <si>
    <t>10.1016/j.procs.2022.01.178</t>
  </si>
  <si>
    <t>WOS:000765802100181</t>
  </si>
  <si>
    <t>Hinojosa, M; Derpich, I; Alfaro, M; Ruete, D; Caroca, A; Gatica, G</t>
  </si>
  <si>
    <t>Hinojosa, Mauricio; Derpich, Ivan; Alfaro, Miguel; Ruete, David; Caroca, Alejandro; Gatica, Gustavo</t>
  </si>
  <si>
    <t>Student clustering procedure according to dropout risk to improve student management in higher education</t>
  </si>
  <si>
    <t>TEXTO LIVRE-LINGUAGEM E TECNOLOGIA</t>
  </si>
  <si>
    <t>The complex problem of student dropout represents an opportunity for the application of data mining technology and methods in higher education. The objective of this research is to obtain the profile of students at risk of dropping out and thus generate student management plans that impact on the variables that explain this situation. For this, it is proposed to use a CRISP-DM methodological structure, applying statistical tools and unsupervised machine learning. The cross-sectional analysis was carried out on a universe of freshmen day students at a private Chilean university. The sociodemographic and behavioural variables used were based on attrition theory and expert judgment, and the data were obtained from the historical records available at the Institution. To obtain the variables that most influenced dropout, correlation and principal component analyses were performed. The application of agglomerative hierarchical clustering and rough sets technique produced four profiles of students with their respective association rules and five academic variables that allowed the design of a support system to reduce dropout and promote retention.</t>
  </si>
  <si>
    <t>Hinojosa Valenzuela, Mauricio/ABZ-1673-2022; gatica, gustavo/KXR-7308-2024; derpich, ivan/T-1160-2019; Ruete Zuniga, David/AHE-6151-2022</t>
  </si>
  <si>
    <t>Ruete Zuniga, David/0000-0002-7100-9737; Derpich, Ivan/0000-0001-9759-7285; Hinojosa Valenzuela, Mauricio Fernando/0000-0002-8962-7517; Gustavo, Gatica/0000-0002-1816-6856</t>
  </si>
  <si>
    <t>1983-3652</t>
  </si>
  <si>
    <t>e37275</t>
  </si>
  <si>
    <t>10.35699/1983-3652.2022.37275</t>
  </si>
  <si>
    <t>WOS:000766750200001</t>
  </si>
  <si>
    <t>Hudson, E; Porath, W; Ortega-Gunckel, C</t>
  </si>
  <si>
    <t>Hudson, Eileen; Porath, William; Ortega-Gunckel, Constanza</t>
  </si>
  <si>
    <t>Journalism, political sources, and gender in Chile. A disproportionate relationship</t>
  </si>
  <si>
    <t>CUADERNOS INFO</t>
  </si>
  <si>
    <t>Due to the problem of the scarce presence of women as sources in political news in the media, this study observes what type of journalistic treatment is given to political information when its voice is feminine. To do so, we analyzed the content of four newspapers distributed in the capital of Chile and two regional media during 2007, 2011, and 2015 to study the number of sources of both genders present in political information, the amount of space assigned, the type of source, and whether the press uses men and women differently when framing the news with some of the five news frames proposed by Semetko and Valkenburg (2000). This analysis found that of the 2,569 sources analyzed, women appear as sources in 16.8%. In general, journalists does not treat men and women working in politics similarly, except in the case o f the length o f quotations. In light of the results, there is a need to promote a journalism that is more aware and willing to reduce these gaps through the visibility and normalization of women's participation in highly relevant political positions, spaces considered masculine until a few years ago.</t>
  </si>
  <si>
    <t>Porath, William/F-4608-2017</t>
  </si>
  <si>
    <t>Hudson Frias, Eileen/0000-0002-0820-9082; Ortega Gunckel, Constanza/0000-0001-9182-3827</t>
  </si>
  <si>
    <t>0719-3661</t>
  </si>
  <si>
    <t>0719-367X</t>
  </si>
  <si>
    <t>10.7764/cdi.52.37535</t>
  </si>
  <si>
    <t>WOS:000804187900011</t>
  </si>
  <si>
    <t>Lauzurique, Y; Espinoza, LC; Huilinir, C; Garcia, V; Salazar, R</t>
  </si>
  <si>
    <t>Lauzurique, Yeney; Espinoza, Lidia Carolina; Huilinir, Cesar; Garcia, Veronica; Salazar, Ricardo</t>
  </si>
  <si>
    <t>Anodic Oxidation of Industrial Winery Wastewater Using Different Anodes</t>
  </si>
  <si>
    <t>Winery wastewater represents the largest waste stream in the wine industry. This deals with the mineralization of the organic matter present in winery wastewater using anodic oxidation and two types of anodes-namely, a boron-doped diamond electrode (BDD) and two mixed metal oxides (MMO), one with the nominal composition Ti/Ru0.3Ti0.7O2 and the other with Ti/Ir0.45Ta0.55O2. To conduct the study, the variability of different quality parameters for winery wastewater from the Chilean industry was measured during eight months. A composite sample was treated using anodic oxidation without the addition of supporting electrolyte, and the experiments were conducted at the natural pH of the industrial wastewater. The results show that this effluent has a high content of organic matter (up to 3025 +/- 19 mg/L of total organic carbon (TOC)), which depends on the time of the year and the level of wine production. With MMO electrodes, TOC decreased by 2.52% on average after 540 min, which may be attributed to the presence of intermediate species that could not be mineralized. However, when using a BDD electrode, 85% mineralization was achieved due to the higher generation of hydroxyl radicals. The electrolyzed sample contained oxamic, acetic, and propionic acid as well as different ions such as sulfate, chloride, nitrate, and phosphate. These ions can contribute to the formation of different species such as active species of chlorine, persulfate, and perphosphate, which can improve the oxidative power of the system.</t>
  </si>
  <si>
    <t>Salazar, Ricardo/L-7870-2013; García, Verónica/AAM-1175-2021; Huilinir, Cesar/IYS-6899-2023; Espinoza, Carolina/HSH-9507-2023</t>
  </si>
  <si>
    <t>Salazar-Gonzalez, Ricardo/0000-0003-2180-6022; Espinoza, L. Carolina/0000-0002-6021-0742; garcia, veronica/0000-0002-5312-925X; Lauzurique Guerra, Yeney/0000-0003-1354-8721</t>
  </si>
  <si>
    <t>10.3390/w14010095</t>
  </si>
  <si>
    <t>WOS:000758862600001</t>
  </si>
  <si>
    <t>Siginer, DA; Letelier, MF; Stockle, J</t>
  </si>
  <si>
    <t>Siginer, Dennis A.; Letelier, Mario F.; Stockle, Juan</t>
  </si>
  <si>
    <t>A New Approach to the Modeling of Magnetorheological Dampers and Application to Resonance Control</t>
  </si>
  <si>
    <t>A predetermined flow pattern in a magnetorheological damper providing continuously variable resistance to flow is required for efficient damping of a given load. The required predetermined flow pattern rests on the a priori determination of the constitutive properties of the magnetorheological (MR) fluid determined to generate variable resistance to flow. The inverse problem of constructing the predetermined response of the damper with a specific displacement pattern of the piston in the damper for efficient damping of a given load is solved. The MR fluid in the damper is modeled as a Bingham phase change material with time-dependent yield stress offering continuously variable resistance to the flow in the piston to achieve the required specific displacement pattern. The governing equations are solved for any time history of the dimensionless yield stress of the fluid which in turn is determined from the imposed response of the damper. Analytical tools developed can be used in optimizing damper performance. The application of the method to resonance mitigation is illustrated.</t>
  </si>
  <si>
    <t>10.1115/1.4050513</t>
  </si>
  <si>
    <t>WOS:000683485900014</t>
  </si>
  <si>
    <t>Liendo, F; de la Vega, AP; Aguirre, MJ; Godoy, F; Martí, AA; Flores, E; Pizarro, J; Segura, R</t>
  </si>
  <si>
    <t>Liendo, Fabiana; Paz de la Vega, Amaya; Jesus Aguirre, Maria; Godoy, Fernando; Marti, Angel A.; Flores, Erick; Pizarro, Jaime; Segura, Rodrigo</t>
  </si>
  <si>
    <t>A simple graphene modified electrode for the determination of antimony (III) in edible plants and beverage</t>
  </si>
  <si>
    <t>FOOD CHEMISTRY</t>
  </si>
  <si>
    <t>Antimony(III) is a rare electroactive specie present on Earth, whose concentration is not typically determined. The presence of high concentrations of antimony is responsible for a variety of diseases, which makes it desirable to find convenient and reliable methods for its determination. We have developed a convenient glassy carbon modified electrode with electroreduced graphene oxide GC/rGO for the first time determination of Sb(III) in commercial lettuce, celery, and beverages. The surface of the electrode was characterized by scanning electron microscopy (SEM) and cyclic voltammetry, indicating a heterogeneous and rough surface with a real area of 0.28 cm(2), which is similar to 2.5 times the area of GC. The optimal chemical and electrochemical parameters used were: sodium acetate buffer (pH = 4.3), an accumulation potential of 1.0 V and an accumulation time of 150 s. The analytical validation was developed evaluating the linear range (10-60 mu g L-1), limit of detection (2.5 mu g L-1), accuracy, repetibility and reproducibility with satisfactory results (relative standard deviation (RSD) values lower than 10%). All the analyzes performed in real samples by stripping voltammetry were compared with GF-AAS, showing statistically similar values, demonstrating that GC/rGO could be effectively applied in the analysis of food samples.</t>
  </si>
  <si>
    <t>Segura, Rodrigo/J-6696-2016; Aguirre, Maria/A-3935-2013; Flores, Erick/GPK-2155-2022; Marti, Angel/C-2762-2008</t>
  </si>
  <si>
    <t>Paz de la vega Quiroz, Amaya/0000-0003-3249-6568; Segura, Rodrigo/0000-0001-5747-2357; Liendo, Fabiana/0000-0002-7131-4440; Flores, Dr. Erick/0000-0002-2573-6650</t>
  </si>
  <si>
    <t>0308-8146</t>
  </si>
  <si>
    <t>1873-7072</t>
  </si>
  <si>
    <t>10.1016/j.foodchem.2021.130676</t>
  </si>
  <si>
    <t>WOS:000697379800004</t>
  </si>
  <si>
    <t>Majnooni, MB; Fakhri, S; Bahrami, G; Naseri, M; Farzaei, MH; Echeverría, J</t>
  </si>
  <si>
    <t>Majnooni, Mohammad Bagher; Fakhri, Sajad; Bahrami, Gholamreza; Naseri, Maryam; Farzaei, Mohammad Hosein; Echeverria, Javier</t>
  </si>
  <si>
    <t>Alkaloids as Potential Phytochemicals against SARS-CoV-2: Approaches to the Associated Pivotal Mechanisms</t>
  </si>
  <si>
    <t>EVIDENCE-BASED COMPLEMENTARY AND ALTERNATIVE MEDICINE</t>
  </si>
  <si>
    <t>Since its inception, the coronavirus disease 2019 (COVID-19) pandemic has infected millions of people around the world. Therefore, it is necessary to find effective treatments against Severe Acute Respiratory Syndrome Coronavirus-2 (SARS-CoV-2), as it is the viral source of COVID-19. Alkaloids are one of the most widespread plant-derived natural compounds with prominent antiviral effects. Accordingly, these phytochemicals have been promising candidates towards discovering effective treatments for COVID-19. Alkaloids have shown potential anti-SARS-CoV activities via inhibiting pathogenesis-associated targets of the Coronaviridae family that are required for the virus life cycle. In the current study, the chemistry, plant sources, and antiviral effects of alkaloids, as well as their anti-SARS-CoV-2 effect with related mechanisms, are reviewed towards discovering an effective treatment against COVID-19.</t>
  </si>
  <si>
    <t>Echeverría, Javier/AAK-3323-2020; Bahrami, Gholamreza/R-8857-2017; Farzaei, Mohammad/M-5779-2017</t>
  </si>
  <si>
    <t>Majnooni, Mohammad Bagher/0000-0001-5053-333X; Echeverria, Javier/0000-0002-1688-968X</t>
  </si>
  <si>
    <t>1741-427X</t>
  </si>
  <si>
    <t>1741-4288</t>
  </si>
  <si>
    <t>MAY 20</t>
  </si>
  <si>
    <t>10.1155/2021/6632623</t>
  </si>
  <si>
    <t>WOS:000669021800003</t>
  </si>
  <si>
    <t>Vera, C; Illanes, A; Guerrero, C</t>
  </si>
  <si>
    <t>Vera, Carlos; Illanes, Andres; Guerrero, Cecilia</t>
  </si>
  <si>
    <t>Enzymatic production of prebiotic oligosaccharides</t>
  </si>
  <si>
    <t>CURRENT OPINION IN FOOD SCIENCE</t>
  </si>
  <si>
    <t>Prebiotics are health promoting functional food ingredients. Main prebiotics are non-digestible oligosaccharides (NDOs), which are extracted from natural sources or enzymatically synthesized. The presence of equally reactive hydroxyl groups in carbohydrates makes the chemical synthesis of NDOS quite complex, so their enzymatic production is the preferred choice at large scale. The impressive advances in enzyme biocatalysis has allowed the development of robust biocatalysts which are compatible with their use under the rather harsh conditions usually required for the reactions of synthesis. In fact, nowadays several NDOs are being produced enzymatically at industrial level. In this article, the use of glycoside-hydrolases and glycosyltransferases for commercial NDOs production is reviewed.</t>
  </si>
  <si>
    <t>Guerrero, Cecilia/0000-0002-4701-3525; Vera Vera, Carlos Felipe/0000-0003-2179-9467</t>
  </si>
  <si>
    <t>2214-7993</t>
  </si>
  <si>
    <t>2214-8000</t>
  </si>
  <si>
    <t>10.1016/j.cofs.2020.10.013</t>
  </si>
  <si>
    <t>WOS:000635066000023</t>
  </si>
  <si>
    <t>Vidal, J; Báez, ME; Salazar, R</t>
  </si>
  <si>
    <t>Vidal, J.; Baez, Maria E.; Salazar, R.</t>
  </si>
  <si>
    <t>Electro-kinetic washing of a soil contaminated with quinclorac and subsequent electro-oxidation of wash water</t>
  </si>
  <si>
    <t>This work deals with the remediation of a soil that has been enriched with Quinclorac (QNC), one of the herbicides most used in Chile for weed control in rice fields. Quinclorac damages the microflora and macrofauna of soils and is toxic to some susceptible crops, which results in economic loses during crop rotation. Furthermore, Quinclorac a potential contaminant of water resources and soils, given its high mobility and persistence. This has created the need to lower its concentrations in soils intensively cultivated. In this study, an electro-kinetic soil washing system(EKSW) for mobilizing this pesticide in the soil was explored. The performance of this technology was compared by assessing the effect of direct (DP) and reverse (RP) polarity during 15 days under potentiostatic conditions and applying an electric field of 1 V cm(-1) between electrodes. Among the main results, the highest removal of QNC was obtained through the EKSW-RP process, which also contributed to the prevention of acidity and alkaline fronts in the soil, compared to the EKSW-DP system. In both cases, the highest accumulation of QNC occurred in the cathodic well by mobilizing the non-ionized contaminant through the electroosmotic flow (EOF) from anode to cathode. After the treatment with EKSW, the wash water accumulated in the anodic and cathodic wells, which contained an important concentration of pesticide, was subjected to electro-oxidation (EO) by applying different current densities (j). The high generation of center dot OH on the surface of a boron-doped diamond electrode (BDD) allowed for the complete degradation and mineralization of QNC and its major intermediate compounds to CO2. The results of this study show that the application of both coupled stages in this type of remediation technologies would enable the removal of QNC from the soil without altering its chemical and physical properties, constituting an environmentally friendly process. (C) 2020 Elsevier B.V. All rights reserved.</t>
  </si>
  <si>
    <t>Baez Contreras, Maria E/0000-0003-0312-7237; Salazar-Gonzalez, Ricardo/0000-0003-2180-6022; Vidal, Jorge/0000-0002-1334-377X</t>
  </si>
  <si>
    <t>10.1016/j.scitotenv.2020.143204</t>
  </si>
  <si>
    <t>WOS:000607780900020</t>
  </si>
  <si>
    <t>Quiroz, J; Pérez, R; Chávez, H; Matevosyan, J; Sevilla, FRS</t>
  </si>
  <si>
    <t>Quiroz, J.; Perez, R.; Chavez, H.; Matevosyan, Julia; Sevilla, Felix Rafael Segundo</t>
  </si>
  <si>
    <t>A Hardware Implementation of an Online Frequency Dynamic Parameter Estimation</t>
  </si>
  <si>
    <t>2021 IEEE MADRID POWERTECH</t>
  </si>
  <si>
    <t>14th IEEE Madrid PowerTech Conference (IEEE POWERTECH)</t>
  </si>
  <si>
    <t>JUN 28-JUL 02, 2021</t>
  </si>
  <si>
    <t>IEEE,Comillas Univ Pontificia,IEEE Power &amp; Energy Soc,IBERDROLA,CEPSA,REPSOL,RTDS Technologies,EDP,POWERSYS Solut,AXPO,ENGIE</t>
  </si>
  <si>
    <t>The current concerns with inertia and frequency response deterioration have increased the interest in data analytics tools to assess the dynamic state of power systems. These assessments have emerged because of the increasing control room data availability in SCADA and synchrophasor networks. Additionally dynamic metrics and parameters have been proposed to assist power system dynamic operation. This work present an experimental implementation of an online tool to identify inertia and the time constants describing a reduced-order model of system frequency dynamics. The implementation shows empirical results in the Chilean Power System.</t>
  </si>
  <si>
    <t>Quiroz, Juan/IUO-1104-2023</t>
  </si>
  <si>
    <t>Matevosyan, Julia/0000-0003-0391-6076; Segundo Sevilla, Felix Rafael/0000-0002-9562-3547</t>
  </si>
  <si>
    <t>978-1-6654-3597-0</t>
  </si>
  <si>
    <t>10.1109/PowerTech46648.2021.9494789</t>
  </si>
  <si>
    <t>WOS:000848778000041</t>
  </si>
  <si>
    <t>Dintrans, PV; Maddaleno, M; Roman, YG; Delpiano, PV; Castro, A; Vance, C; Castillo, CA</t>
  </si>
  <si>
    <t>Villalobos Dintrans, Pablo; Maddaleno, Matilde; Granizo Roman, Yamileth; Valenzuela Delpiano, Paula; Castro, Arachu; Vance, Carina; Castillo, Claudio A.</t>
  </si>
  <si>
    <t>Interrupcion de servicios de salud para embarazadas, recien nacidos, ninos y ninas, adolescentes y mujeres durante la pandemia de COVID-19: proyecto ISLAC 2020</t>
  </si>
  <si>
    <t>Objective. Describe the perceptions of key actors regarding the disruption of health services for populations that ceased to be prioritized because of the COVID-19 pandemic-pregnant women, newborn, children, adolescents, and women-in countries of Latin America and the Caribbean (LAC) during the first stage of the pandemic. Methods. In this cross-sectional study, a 35-question survey was administered to key actors in 19 LAC countries between July and September 2020. The respondents were asked for their personal perceptions regarding the situation of social and health services in their country before and during the pandemic. They were also asked for a projection of the situation during the post-pandemic period. Results. In the 691 responses received, the main perception was that coverage in the services analyzed had been high before the pandemic, although their quality was not as highly rated. Both the coverage and quality of services were thought to have declined for adolescents and women. The majority of respondents predicted that all services will continue to function at lower than usual coverage levels for another three months (53.1%) and another 12 months (41.3%). Guaranteeing coverage and access to health services was considered the main policy challenge going forward. The next most needed initiatives noted were financing for actions to support women, children, and adolescents, and protection against violence and promotion of measures to combat it. Conclusions. Although the pandemic has struck all countries, its effect on the delivery of services in the populations analyzed differs from country to country and according to the types of service. It is essential to invest in national information systems that will make it possible to monitor the different services and identify the populations that need to be prioritized.</t>
  </si>
  <si>
    <t>Dintrans, Pablo/AAM-6248-2020; Castro, Arachu/L-6664-2014</t>
  </si>
  <si>
    <t>Castro, Arachu/0000-0003-0428-9174; Villalobos Dintrans, Pablo/0000-0002-2236-6447</t>
  </si>
  <si>
    <t>e140</t>
  </si>
  <si>
    <t>10.26633/RPSP.2021.140</t>
  </si>
  <si>
    <t>WOS:000729811900001</t>
  </si>
  <si>
    <t>Tejedor, J; Cóndor, V; Almeida-Naranjo, CE; Guerrero, VH; Villamar, CA</t>
  </si>
  <si>
    <t>Tejedor, J.; Condor, V.; Almeida-Naranjo, C. E.; Guerrero, V. H.; Villamar, C. A.</t>
  </si>
  <si>
    <t>Performance of wood chips/peanut shells biofilters used to remove organic matter from domestic wastewater</t>
  </si>
  <si>
    <t>Biofiltration is one of the main alternatives developed to improve wastewater quality and increase its recyclability. Support materials are extremely important when using this technology since they impact the cost of the treatment. In this work, we study the use of wood chips/peanut shell as support medium within biofilters incorporating microorganisms (BM), plants and microorganisms (BPM), earthworms and microorganisms (BEM) and all organisms (hybrid biofilters, HB). These typologies were evaluated to remove organic matter from synthetic domestic wastewater. For this purpose, twelve biofilters were operated in parallel under three different nominal hydraulic rates (0.5, 1 and 1.5 m(3) m(-2) day(-1)). Previously, support materials were individually characterized and acute/chronic toxicity tests on plants (Eleocharis palustris (L.) Roem. &amp; Schult.) and earthworms (Eisenia foetida Savigny) were driven. Results showed that both materials have good adsorbent properties, providing adequate environmental conditions for biofiltration. Moreover, non toxicological response was reported when a 25 v/v % peanut shell fraction was selected. With this fraction used in every biofilter studied, the average hydraulic conductivity was between 321 and 502 mm h(-1), reaching organic matter removal efficiencies close to 80% (measured as COD), and between 40 and 63% (measured as VS). Higher efficiencies, attributed to the longer contact times, and lower clogging were observed at lower hydraulic rates. The incorporation of earthworms and plants improved the solids removal and reduced clogging. The statistical analysis indicated that the results obtained for biofilters operating at 0.5 m(3) m(-2) day(-1) showed significant differences (p &lt; 0.05) with respect to the other rates. Moreover, BEM were the ones that presented significant differences. As a conclusion, low-cost organic materials (wood chip/peanut shell mix) can be successfully used as support medium, since they provide adequate environmental conditions for plants and earthworms, improving the operation and maintaining contaminant (organic matter) removal within biofiltration typologies. (C) 2020 Elsevier B.V. All rights reserved.</t>
  </si>
  <si>
    <t>Villamar, Cristina-Alejandra/AAB-4154-2019; Guerrero, Victor/AAP-1606-2021</t>
  </si>
  <si>
    <t>Guerrero, Victor/0000-0002-5656-2606; Almeida Naranjo, Cristina Elizabeth/0000-0002-1066-6661; Villamar, Cristina Alejandra/0000-0003-4654-0670; Tejedor Oyos, Jennifer Lorena/0000-0001-9097-9707</t>
  </si>
  <si>
    <t>OCT 10</t>
  </si>
  <si>
    <t>10.1016/j.scitotenv.2020.139589</t>
  </si>
  <si>
    <t>WOS:000568707900006</t>
  </si>
  <si>
    <t>González-Bustamante, B; Astete, M; Orvenes, B</t>
  </si>
  <si>
    <t>Gonzalez-Bustamante, Bastian; Astete, Matias; Orvenes, Berenice</t>
  </si>
  <si>
    <t>SENIOR PUBLIC MANAGERS: A NOVEL DATASET ON MEMBERS OF THE CHILEAN CIVIL SERVICE</t>
  </si>
  <si>
    <t>REVISTA DE GESTION PUBLICA</t>
  </si>
  <si>
    <t>This paper presents a novel dataset of senior public managers in Chile in 2009-2017. This methodological study focuses on demonstrating how data mining and machine learning can be useful for the creation of the dataset and its potential applications. We explain how we created and validated the dataset before going in to present some descriptive applications and non-parametric survival estimates with Kaplan-Meier curves. We hope that this dataset will serve as a relevant resource for gaining a deeper understanding of the Chilean civil service and making different comparisons through which to expand this research line on political and government personnel.</t>
  </si>
  <si>
    <t>González-Bustamante, Bastián/HLQ-1514-2023</t>
  </si>
  <si>
    <t>0719-1820</t>
  </si>
  <si>
    <t>0719-1839</t>
  </si>
  <si>
    <t>10.22370/rgp.2020.9.2.2920</t>
  </si>
  <si>
    <t>WOS:000687823700001</t>
  </si>
  <si>
    <t>Rodríguez-Lavado, J; Lorente, A; Flores, E; Ochoa, A; Godoy, F; Jaque, P; Saitz, C</t>
  </si>
  <si>
    <t>Rodriguez-Lavado, Julio; Lorente, Alejandro; Flores, Erick; Ochoa, Andres; Godoy, Fernando; Jaque, Pablo; Saitz, Claudio</t>
  </si>
  <si>
    <t>Elucidating sensing mechanisms of a pyrene excimer-based calix[4]arene for ratiometric detection of Hg(ii) and Ag(i) and chemosensor behaviour as INHIBITION or IMPLICATION logic gates</t>
  </si>
  <si>
    <t>This article reports the synthesis and characterisation of two lower rim calix[4]arene derivatives with thiourea as spacer and pyrene or methylene-pyrene as fluorophore. Both derivatives exhibit a fluorimetric response towards Hg2+, Ag(+)and Cu2+. Only methylene-pyrenyl derivative2allows for selective detection of Hg(2+)and Ag(+)by enhancement or decrease of excimer emission, respectively. The limits of detection of2are 8.11 nM (Hg2+) and 2.09 nM (Ag+). DFT and TD-DFT computational studies were carried out and used to identify possible binding modes that explain the observed response during fluorescence titrations. Calculations revealed the presence of different binding sites depending on the conformation of2, which suggest a reasonable explanation for non-linear changes in fluorescence depending on the physical nature of the interaction between metal centre and conformer. INHIBITION and IMPLICATION logic gates have also been generated monitoring signal outputs at pyrene monomer (395 nm) and excimer (472 nm) emission, respectively. Thus2is a potential primary sensor towards Ag(+)and Hg(2+)able to configure two different logic gate operations.</t>
  </si>
  <si>
    <t>Jaque, Pablo/C-7803-2011; Flores, Erick/GPK-2155-2022; Rodriguez-Lavado, Julio/AAJ-8422-2021</t>
  </si>
  <si>
    <t>, Alejandro/0000-0002-3266-5336; Jaque, Pablo/0000-0002-4055-3553; Flores, Dr. Erick/0000-0002-2573-6650; Rodriguez-Lavado, Julio/0000-0003-2728-9433; Godoy, Fernando/0000-0002-3916-4753</t>
  </si>
  <si>
    <t>JUN 9</t>
  </si>
  <si>
    <t>10.1039/d0ra04092d</t>
  </si>
  <si>
    <t>WOS:000542724200029</t>
  </si>
  <si>
    <t>Cázares, Y; Vergara, PM; García-Romero, A</t>
  </si>
  <si>
    <t>Cazares, Yilotl; Vergara, Pablo M.; Garcia-Romero, Arturo</t>
  </si>
  <si>
    <t>Regeneration of Quercus spp. along interactive forest boundaries in a fragmented peri-urban landscape of Mexico City</t>
  </si>
  <si>
    <t>ENVIRONMENTAL CONSERVATION</t>
  </si>
  <si>
    <t>Biodiversity conservation in forest fragments surrounded by a low-quality matrix requires an understanding of how ecological conditions prevailing in the matrix enter the fragments and interact with local habitat conditions. We assessed the regeneration of oak species along edge-interior gradients in forest fragments at the periphery of Mexico City. The abundance of oak saplings was sampled along transects to the forest, while the edge effect was analysed using segmented zero-inflated Poisson models for abundance data. Three oak species were dominant in terms of their relative abundances: Quercus laeta, Quercus castanea and Quercus obtusata. Regeneration of nine oak species responded nonlinearly to the edge distance, with greater sapling abundance from the edge up to 10 m into the fragment. Canopy cover and tree height decreased from edge to fragment interior, while saplings increased in open areas within the fragments (i.e., independent of edge distance). A posterior analysis indicated that Q. obtusata reacted positively to edges. These results indicate that oak regeneration is promoted by suitable habitat conditions near the boundaries. Therefore, we suggest that forest management should focus on promoting seed production and oak establishment in forest interior habitats.</t>
  </si>
  <si>
    <t>Vergara, Pablo/F-2519-2010; Garcia-Romero, Arturo/A-1935-2012</t>
  </si>
  <si>
    <t>Vergara, Pablo/0000-0002-0024-1678; Garcia-Romero, Arturo/0000-0002-6339-1577</t>
  </si>
  <si>
    <t>0376-8929</t>
  </si>
  <si>
    <t>1469-4387</t>
  </si>
  <si>
    <t>PII S037689291900033X</t>
  </si>
  <si>
    <t>10.1017/S037689291900033X</t>
  </si>
  <si>
    <t>WOS:000512608100006</t>
  </si>
  <si>
    <t>Ríos-Gómez, J; García-Valverde, MT; López-Lorente, AI; Toledo-Neira, C; Lucena, R; Cárdenas, S</t>
  </si>
  <si>
    <t>Rios-Gomez, Julia; Teresa Garcia-Valverde, Maria; Inmaculada Lopez-Lorente, Angela; Toledo-Neira, Carla; Lucena, Rafael; Cardenas, Soledad</t>
  </si>
  <si>
    <t>Polymeric ionic liquid immobilized onto paper as sorptive phase in microextraction</t>
  </si>
  <si>
    <t>A new planar sorptive phase based on the simple immobilization of polymeric ionic liquids on paper is proposed. The sorptive phase can develop hydrophobic or mixed-mode (combining hydrophobic and ion exchange) interactions with the target analytes. The polymer is prepared by the Radziszewski reaction, which takes place in aqueous media, and it has been thoroughly characterized by different techniques including infrared spectroscopy, matrix-assisted laser desorption/ionization coupled to high-resolution mass spectrometry and proton nuclear magnetic resonance. Three different strategies aimed to immobilize the polymeric ionic liquid on paper have been evaluated. Among them, simple thermal curing at 120 degrees C was selected. The as-prepared paper has been evaluated for the extraction of several non-steroidal anti-inflammatory drugs from urine, the analytes being finally determined by liquid chromatography with tandem mass spectrometry. The method detection limits were 3.8, 7.2, 6.8, 9.4, 15.7, and 5.1 mu g/L for indomethacin, diclofenac, tolmetin, ketoprofen, naproxen, and ibuprofen, respectively. Calibration models were linear (R-2 &gt; 0.9949) up to 1000 mu g/L. The intra-day precision, expressed as relative standard deviation and calculated at three different concentrations levels (limit of quantification, 250 mu g/L, and 1000 mu g/L), varied between 1.1 and 13%. The accuracy, calculated as relative recovery, was in the range from 72 to 95%, thus being considered appropriate. The easiness of polymeric ionic liquid paper synthesis and the multi-sample extraction protocol designed allows the processing of a high number of samples at the same time. (C) 2019 Elsevier B.V. All rights reserved.</t>
  </si>
  <si>
    <t>López-Lorente, Ángela/K-8973-2014; Cardenas Aranzana, Maria Soledad/B-7795-2008; Lucena Rodriguez, Rafael/B-7759-2008</t>
  </si>
  <si>
    <t>Toledo Neira, Carla Beatriz/0000-0003-2872-3043; Garcia, Maria Teresa/0000-0003-3714-8634; Garcia-Valverde, Maria Teresa/0000-0003-4253-3422; Cardenas Aranzana, Maria Soledad/0000-0002-4155-8284; Lucena Rodriguez, Rafael/0000-0002-4625-2460</t>
  </si>
  <si>
    <t>10.1016/j.aca.2019.10.021</t>
  </si>
  <si>
    <t>WOS:000497995900006</t>
  </si>
  <si>
    <t>Bravo, JP; Venegas, T; Correa, E; Alamos, A; Sepúlveda, F; Vasco, DA; Barreneche, C</t>
  </si>
  <si>
    <t>Bravo, Juan Pablo; Venegas, Tomas; Correa, Elizabeth; Alamos, Alejandro; Sepulveda, Francisco; Vasco, Diego A.; Barreneche, Camila</t>
  </si>
  <si>
    <t>Experimental and Computational Study of the Implementation of mPCM-Modified Gypsum Boards in a Test Enclosure</t>
  </si>
  <si>
    <t>BUILDINGS</t>
  </si>
  <si>
    <t>The application of phase change materials (PCM) in the thermal envelope of buildings has proven to be an alternative to reduce energy consumption and to improve thermal comfort conditions. The present work evaluates the thermal behavior of gypsum boards modified with a microencapsulated PCM (mPCM) in a cubic test enclosure, considering the climatic conditions of Santiago de Chile in the September-November period of 2017. The design of the test enclosure was performed considering the minimization of parameters that affect the variation of its inner temperature and favoring the heat flow through the gypsum boards. Experimentally, the results reflect the main effects of the implementation of a mPCM, among which the displacement of the maximum heat load and the decrease in the daily oscillation of the internal temperature of the test enclosure (up to 2 degrees C) stand out. In addition, the mPCM modified gypsum board was thermally characterized to carry out a thermal simulation of the enclosures using EnergyPlus (TM). The obtained numerical results agree with those obtained experimentally, including the behavior of the transient heat flux through the gypsum boards. Moreover, it was found that considering a null infiltration rate gives place to unrealistic results, suggesting that this parameter should be controlled.</t>
  </si>
  <si>
    <t>Vasco, Diego/Y-2934-2019; Barreneche, Camila/AAG-8337-2020; Sepúlveda, Francesca/IZD-9869-2023; Barreneche, Camila/L-3100-2014</t>
  </si>
  <si>
    <t>Barreneche, Camila/0000-0003-3636-3180; Vasco, Diego Andres/0000-0001-7456-4683; Sepulveda Palma, Francisco Hernan/0000-0002-1930-3859</t>
  </si>
  <si>
    <t>2075-5309</t>
  </si>
  <si>
    <t>10.3390/buildings10010015</t>
  </si>
  <si>
    <t>WOS:000514573400005</t>
  </si>
  <si>
    <t>Adasme, P; San Juan, E; Soto, I; Firoozabadi, AD</t>
  </si>
  <si>
    <t>Adasme, Pablo; San Juan, Enrique; Soto, Ismael; Firoozabadi, Ali Dehghan</t>
  </si>
  <si>
    <t>Integer Programming Models for Wireless Networks with Star Backbone Topology</t>
  </si>
  <si>
    <t>In this paper, we propose two mixed integer linear programming (MILP) models for wireless networks (WNs) under star backbone topology configuration. For this purpose, let the graph G(V, E) represent a WN with set of nodes V and edge set E. Set V represents all nodes (wireless devices) which can be part or not of the star backbone whereas set E represents the connection links between all pairs of nodes. Additionally, we consider a set K of users. Only, a subset of nodes from V should be active to form the star backbone and each user should be connected to a unique terminal (leaf) node. This problem represents a more general variant of a previous work reported in the literature where only a fixed number of nodes from V is required to be active. Our first model corresponds to a novel Miller-Tucker-Zemlin constrained version whilst the second one is a novel flow based formulation. Then, we further propose an iterative greedy algorithm that allows to obtain feasible solutions for the problem. Our preliminary numerical results indicate that the flow model allows one to obtain optimal solutions in less CPU time for Euclidean complete and disk graph instances. Whilst the greedy algorithm allows to obtain near optimal and optimal solutions in significantly less computational cost compared to the MILP models and with gap values which are lower than 2% for most tested instances.</t>
  </si>
  <si>
    <t>Dehghan Firoozabadi, Ali/0000-0002-6391-6863</t>
  </si>
  <si>
    <t>10.1109/chilecon47746.2019.8987467</t>
  </si>
  <si>
    <t>WOS:000542919100017</t>
  </si>
  <si>
    <t>Neira, H; Russo, LI; Subiabre, BA</t>
  </si>
  <si>
    <t>Neira, Hernan; Ines Russo, Lorena; Alvarez Subiabre, Bernardita</t>
  </si>
  <si>
    <t>Ecocide</t>
  </si>
  <si>
    <t>REVISTA DE FILOSOFIA</t>
  </si>
  <si>
    <t>Current human technical capacities may produce a world scale ecocide. It is convenient to give a theoretical foundation to the fact that ecocide must be considered a crime that affects the whole humanity. The concept of ecocide arises in the context of war theory and right. Since then, the concept relocates into common language and, recently, into environmental philosophy. Ecocide shares also some aspects of homicide and ecological suicide and, therefore, it is linked with the theory willing death and with that one of self exposition to death risk, not of an individual, but of humanity.</t>
  </si>
  <si>
    <t>0034-8236</t>
  </si>
  <si>
    <t>0718-4360</t>
  </si>
  <si>
    <t>WOS:000594488700009</t>
  </si>
  <si>
    <t>Velásquez-Yévenes, L; Torres, D; Toro, N</t>
  </si>
  <si>
    <t>Velasquez-Yevenes, L.; Torres, David; Toro, Norman</t>
  </si>
  <si>
    <t>Leaching of chalcopyrite ore agglomerated with high chloride concentration and high curing periods</t>
  </si>
  <si>
    <t>HYDROMETALLURGY</t>
  </si>
  <si>
    <t>It is well known that the leaching of chalcopyrite has very slow kinetics. The generally higher reactivity of chalcopyrite in chloride as opposed to sulfate solutions has resulted in many studies of chloride systems for the hydrometallurgical treatment of chalcopyrite. Despite much progress on the chloride leaching process, agglomeration and curing has received less attention over the past years. This paper reports a study on the effect of addition of chloride ion in the agglomeration and the effect of curing time on the overall leaching process of chalcopyrite ore. The work involved leaching tests carried out in columns containing 3.0 kg of agglomerated ore irrigated with raffinate solution under ambient conditions. Experiments with agglomerates produced at different concentration of chloride (20, 50 and 70 kg/t) leach at approximately the same rate. It has been demonstrated that chloride ions presence is necessary to improve the leaching kinetics, but high concentrations of chloride are not essential under ambient conditions. The rate of dissolution of chalcopyrite ore agglomerated with high concentrations of acid and chloride ions increases as the curing period increases from 15 to 80 days observing extraction of copper up to 60% in 20 days of leaching. In all experiments, the shape of the leach curves indicate that the copper that has been solubilized during the curing period is rapidly leached followed by continuous slow leaching thereafter. This study supports the addition of chloride at the agglomeration stage as a viable route for the treatment of low-grade copper sulfide ore.</t>
  </si>
  <si>
    <t>Toro, Norman/AAK-7766-2020; , LILIAN/JGD-3871-2023</t>
  </si>
  <si>
    <t>, LILIAN/0000-0002-2617-8566; Torres, David/0000-0002-4811-0562; Toro Villarroel, Norman Rodrigo/0000-0003-4273-3563</t>
  </si>
  <si>
    <t>0304-386X</t>
  </si>
  <si>
    <t>1879-1158</t>
  </si>
  <si>
    <t>10.1016/j.hydromet.2018.10.004</t>
  </si>
  <si>
    <t>WOS:000449893400027</t>
  </si>
  <si>
    <t>Guzmán, CF; Yuan, S; Duchêne, L; Flares, EIS; Habraken, AM</t>
  </si>
  <si>
    <t>Felipe Guzman, Carlos; Yuan, Sibo; Duchene, Laurent; Saavedra Flares, Erick I.; Habraken, Anne Marie</t>
  </si>
  <si>
    <t>Damage prediction in single point incremental forming using an extended Gurson model</t>
  </si>
  <si>
    <t>INTERNATIONAL JOURNAL OF SOLIDS AND STRUCTURES</t>
  </si>
  <si>
    <t>10th International Conference and Workshop on Numerical Simulation of 3D Sheet Metal Forming Processes (NUMISHEET)</t>
  </si>
  <si>
    <t>SEP 04-09, 2016</t>
  </si>
  <si>
    <t>Bristol, ENGLAND</t>
  </si>
  <si>
    <t>AutoForm,ESI Grp,JSTAMP,Univ W England,Univ Porto,Swansea Univ,CROWN,Alcoa,Brunel Univ,Jaguar,Land Rover,Univ Warwick,Univ Bretagne Sud,Inst Rech Dupuy Lome,Univ Porto, Fac Engn</t>
  </si>
  <si>
    <t>Single point incremental forming (SPIF) has several advantages over traditional forming. such as the high formability attainable by the material. Different hypotheses have been proposed to explain this behavior, but there is still no straightforward relation between the particular stress and strain state induced by PIE and the material degradation leading to localization and fracture. A systematic review of the state of the art about formability and damage in SPIF is presented and an extended Gurson-Tvergaard-Needleman (GTN) model was applied to predict damage in SPIF through finite element (FE) simulations. The line test was used to validate the simulations by comparing force and shape predictions with experimental results. To analyze the failure prediction. several simulations of SPIF cones at different wall angles were performed. It is concluded that the GTN model underestimates the failure angle on SPIF due to wrong coalescence modeling. A physically-based Thomason coalescence criterion was then used leading to an improvement on the results by delaying the onset of coalescence. (C) 2017 Elsevier Ltd. All rights reserved.</t>
  </si>
  <si>
    <t>Duchêne, Laurent/AAB-9158-2021; Guzman, Carlos Felipe/D-7722-2013</t>
  </si>
  <si>
    <t>Guzman, Carlos Felipe/0000-0002-5537-3854</t>
  </si>
  <si>
    <t>0020-7683</t>
  </si>
  <si>
    <t>1879-2146</t>
  </si>
  <si>
    <t>10.1016/j.ijsolstr.2017.04.013</t>
  </si>
  <si>
    <t>WOS:000447577700005</t>
  </si>
  <si>
    <t>Henriques, DK; Silva, BGC; Zuñiga, GE; Câmara, PEAS</t>
  </si>
  <si>
    <t>Henriques, Diego Knop; Costa Silva, Barbara Guedes; Zuniga, Gustavo Emilio; Aguiar Saraiva Camara, Paulo Eduardo</t>
  </si>
  <si>
    <t>Contributions to the bryological knowledge of ASPA 125, Fildes Peninsula, King George Island</t>
  </si>
  <si>
    <t>Background: With 29 Km(2), the Fildes Peninsula is the largest ice free area in King George Island and probably in Antarctica. The region is house of six permanent bases including the only airport in the South Shetlands, which led to impacts on its original landscape and vegetation. In recognition for the need to protect natural values, an Antarctic Specially Protected Area (ASPA 125) was established in the region. Focused mostly on protecting the fossils, the ASPA also plays a role in protecting the vegetation but so far, the management plan for the area does not contain a list of moss species present there. Results: We provided an updated study and checklist of mosses present in ASPA 125. A key to species identification and photographs of main morphological features are also available in this paper. Also, six new occurrences are reported for Fildes Peninsula. Conclusion: Considering the scarce knowledge about specific local floras in Antarctica associated with highly impacted area, of which only a fraction is protected, it is suggested the necessity to invest in detailed sampling studies, as well as in a better understanding of the local floras interactions in Antarctica.</t>
  </si>
  <si>
    <t>Zuñiga, Gustavo/P-8306-2015; Camara, Paulo/GPP-2054-2022; Henriques, Diego/LJK-7315-2024; Camara, Paulo/J-5482-2014</t>
  </si>
  <si>
    <t>Camara, Paulo/0000-0002-3944-996X; Zuniga, Gustavo/0000-0002-8286-9468; Henriques, Diego Knop/0000-0003-2839-8877</t>
  </si>
  <si>
    <t>10.1186/s40659-018-0178-3</t>
  </si>
  <si>
    <t>WOS:000443121000001</t>
  </si>
  <si>
    <t>Feron, S; Cordero, RR</t>
  </si>
  <si>
    <t>Feron, Sarah; Cordero, Raul R.</t>
  </si>
  <si>
    <t>Is Peru Prepared for Large-Scale Sustainable Rural Electrification?</t>
  </si>
  <si>
    <t>Peru has historically been among the Latin-American countries with a low rural electrification rate. Aiming to improve this situation, the country conducted several electrification efforts in the last few decades that included off-grid photovoltaic (PV) solutions for remote areas (where the grid expansion was unviable). More recently, the government has also sponsored a 'massive program' that aims to deploy a minimum of 150,000 off-grid PV solutions in the upcoming years. In this paper, we assess the sustainability of rural electrification programs in Peru, paying special attention to the ongoing massive program. Our assessment considers four dimensions of sustainability (institutional, economic, environmental, and socio-cultural) and is based on an exhaustive qualitative document analysis complemented by semi-structured expert interviews. We found that the lack of strong formal institutions with a flexible and decentralized structure seriously compromises the sustainability of rural electrification efforts in Peru. Staff rotation and overlapping competences have caused disturbing changes and inhibited following a strategic line, while widespread outsourcing combined with weak controls have often affected the reliability of the deployed systems. Although cross subsidies have made off-grid PV systems affordable for users, systems often fell short of energy demand. Notably, we found that Peruvian officials appear to be unaware of the importance of local participation, and there is a significant mistrust between the government and the rural population (especially in areas where mining is extensive). As a consequence, most of the projects are still designed without the participation and engagement of the communities, which has frequently led to project failures, payment defaults, and inhibited seizing opportunities regarding productive uses of off-grid PV systems. We expect that our findings may help Peruvian institutions to address the most severe drawbacks affecting their rural electrification efforts based on off-grid PV systems.</t>
  </si>
  <si>
    <t>Cordero, Raul R./0000-0001-7607-7993; Feron, Sarah/0000-0002-0572-5639</t>
  </si>
  <si>
    <t>10.3390/su10051683</t>
  </si>
  <si>
    <t>WOS:000435587100379</t>
  </si>
  <si>
    <t>Berríos, C; Tapia, T</t>
  </si>
  <si>
    <t>Berrios, Camila; Tapia, Takuri</t>
  </si>
  <si>
    <t>Secondary Movement in Chile: political demands and organizational logics</t>
  </si>
  <si>
    <t>Berrios, Camila/HZL-8600-2023</t>
  </si>
  <si>
    <t>WOS:000440942900010</t>
  </si>
  <si>
    <t>Yedinak, E; Venegas, CJ; Brito, TP; Ruiz-León, D; Bollo, S</t>
  </si>
  <si>
    <t>Yedinak, E.; Venegas, C. J.; Brito, T. P.; Ruiz-Leon, D.; Bollo, S.</t>
  </si>
  <si>
    <t>Co2SnO4/Carbon Nanotubes Composites: A Novel Approach for Electrochemical Sensing of Hydrogen Peroxide</t>
  </si>
  <si>
    <t>For the first time Co2SnO4 (CTO)/Carbon nanotubes (CNT) composites were prepared and used to modify glassy carbon electrodes for the amperometric determination of hydrogen peroxide. The catalytic activity of composites towards the oxidation of hydrogen peroxide was dependent on the quantity of CNT present in the composite and to the pH of the medium. The pure cobalt stannate phase with a ratio of 3:1 (CTO:CNT) exhibited the best catalytic activity towards hydrogen peroxide oxidation at low potentials (0.200 and 0.500V). A linear relationship between current and hydrogen peroxide concentration was obtained with a sensitivity of 95 and 258AmM(-1) and a detection limit of 0.130 and 0.08M respectively.</t>
  </si>
  <si>
    <t>Bollo, Soledad/B-5257-2011; León, Domingo/AAE-7630-2019; Venegas Alburquenque, Constanza/ISV-5989-2023</t>
  </si>
  <si>
    <t>Venegas Alburquenque, Constanza J./0000-0002-4303-7319; Bollo, Soledad/0000-0003-0868-4294; Brito, Tania/0000-0002-9279-835X</t>
  </si>
  <si>
    <t>10.1002/elan.201700551</t>
  </si>
  <si>
    <t>WOS:000419697700005</t>
  </si>
  <si>
    <t>Arancibia, C; Riquelme, N; Zúñiga, R; Matiacevich, S</t>
  </si>
  <si>
    <t>Arancibia, Carla; Riquelme, Natalia; Zuniga, Rommy; Matiacevich, Silvia</t>
  </si>
  <si>
    <t>Comparing the effectiveness of natural and synthetic emulsifiers on oxidative and physical stability of avocado oil-based nanoemulsions</t>
  </si>
  <si>
    <t>INNOVATIVE FOOD SCIENCE &amp; EMERGING TECHNOLOGIES</t>
  </si>
  <si>
    <t>18th World Congress of Food Science and Technology (IUFoST)</t>
  </si>
  <si>
    <t>AUG 21-25, 2016</t>
  </si>
  <si>
    <t>Inst Food Sci &amp; Technol Ireland, Dublin, IRELAND</t>
  </si>
  <si>
    <t>Inst Food Sci &amp; Technol Ireland</t>
  </si>
  <si>
    <t>Food industries search for replace synthetic surfactant with natural ingredients, but emulsifier type has an impact on lipid oxidation and stability of emulsions. The aim of the study was to evaluate the emulsifier type and concentration effect on avocado oil-based nanoemulsion development, specifically on physical and oxidative stability. O/W nanoemulsions were prepared with 10% avocado oil using natural (lecithin) and synthetic (Tween 80) emulsifiers at different concentrations (2.5-10%). Results showed that nanoemulsions exhibited anionic (Z-potential: - 26 to - 59 mV) lipid droplets with particle size between 103 and 249 nm. Emulsifier type and concentration affected physical stability, being the most stable at 7.5-10% Tween 80 (15 days) and 7.5-10% lecithin (10 days). Meanwhile, emulsifier concentration affected oxidative stability of nanoemulsions, being the most unstable at 2.5% Tween 80 and 10% lecithin. Finally, although Tween 80 was more effective than lecithin, it also could be used to develop natural nanoemulsions with good physical properties.</t>
  </si>
  <si>
    <t>Zuniga, Rommy/0000-0002-4195-8085; Riquelme Hinojosa, Natalia Andrea/0000-0003-3490-1045</t>
  </si>
  <si>
    <t>1466-8564</t>
  </si>
  <si>
    <t>1878-5522</t>
  </si>
  <si>
    <t>10.1016/j.ifset.2017.06.009</t>
  </si>
  <si>
    <t>WOS:000418217000022</t>
  </si>
  <si>
    <t>Henríquez, HR; Poblete, V</t>
  </si>
  <si>
    <t>Henriquez, Hernan R.; Poblete, Veronica</t>
  </si>
  <si>
    <t>Periodic solutions of neutral fractional differential equations</t>
  </si>
  <si>
    <t>MATHEMATISCHE NACHRICHTEN</t>
  </si>
  <si>
    <t>We characterize the existence of periodic solutions for some abstract neutral functional fractional differential equations with finite delay when the underlying space is a UMD space.</t>
  </si>
  <si>
    <t>Poblete, Veronica/D-8810-2015</t>
  </si>
  <si>
    <t>0025-584X</t>
  </si>
  <si>
    <t>1522-2616</t>
  </si>
  <si>
    <t>17-18</t>
  </si>
  <si>
    <t>10.1002/mana.201600214</t>
  </si>
  <si>
    <t>WOS:000419959100012</t>
  </si>
  <si>
    <t>Fernández, W; Rodriguez, A</t>
  </si>
  <si>
    <t>Fernandez, W.; Rodriguez, A.</t>
  </si>
  <si>
    <t>Analysis of the Regulatory Requirements for the Smart Grid in Chile</t>
  </si>
  <si>
    <t>IEEE LATIN AMERICA TRANSACTIONS</t>
  </si>
  <si>
    <t>In this article are analyzed and discussed what should be the rules that must be applied in Chile to deploy the smart grid. It examines what kinds of standards can be applied in various systems of the mains: in the generation, transmission and distribution are the characteristics of the rules for the transmission of data. It analyzes the characteristics of the network of smart meters, and there are regulations that must be met.</t>
  </si>
  <si>
    <t>Rodriguez, Arturo/I-7205-2016</t>
  </si>
  <si>
    <t>1548-0992</t>
  </si>
  <si>
    <t>10.1109/TLA.2017.7827883</t>
  </si>
  <si>
    <t>WOS:000394600100006</t>
  </si>
  <si>
    <t>Rossi, JD; Topp, E</t>
  </si>
  <si>
    <t>Rossi, Julio D.; Topp, Erwin</t>
  </si>
  <si>
    <t>Large solutions for a class of semilinear integro-differential equations with censored jumps</t>
  </si>
  <si>
    <t>We study existence of large solutions, that is, solutions that verify u(x) -&gt; +infinity as x -&gt; partial derivative Omega, for equations like -I(u, x) + u(x)(p) = 0, x is an element of Omega, where Omega is a bounded smooth domain in R-N, p &gt; 1 and I is a nonlocal operator of the form I(u, x) = P.V. integral(vertical bar z vertical bar &lt;=rho(x)) [u(x + z) - u(x)]vertical bar z vertical bar(-(N+alpha))dz, where alpha is an element of (0, 2) and rho : (Omega) over bar -&gt; R is a function whose main particularity is that 0 &lt; rho(x) &lt;= dist(x, partial derivative Omega). We also obtain uniqueness of the solution in a class of large solutions whose blow-up rate depends on p, alpha and the rate at which rho shrinks near the boundary. (C) 2016 Elsevier Inc. All rights reserved.</t>
  </si>
  <si>
    <t>Rossi, Julio/I-8710-2012</t>
  </si>
  <si>
    <t>MAY 5</t>
  </si>
  <si>
    <t>10.1016/j.jde.2016.01.016</t>
  </si>
  <si>
    <t>WOS:000371649400005</t>
  </si>
  <si>
    <t>Palma, C; Lloret, L; Puen, A; Tobar, M; Contreras, E</t>
  </si>
  <si>
    <t>Palma, Carolyn; Lloret, Lucia; Puen, Antonio; Tobar, Maira; Contreras, Elsa</t>
  </si>
  <si>
    <t>Production of carbonaceous material from avocado peel for its application as alternative adsorbent for dyes removal</t>
  </si>
  <si>
    <t>CHINESE JOURNAL OF CHEMICAL ENGINEERING</t>
  </si>
  <si>
    <t>Adsorption processes have received special attention for contaminants removal thanks to their capability to generate effluents with high quality as well as their simple design. In the current work, the agro-waste residue avocado peel is proposed to be used as alternative to conventional activated carbons whose use is sometimes restricted to high costs, upgraded by their exhausting after long term operations. The carbonization procedure was optimized and analyzed through factorial design and response surface methodology by evaluating temperature (400-900 degrees C) and time (30-90 min) effects: optimal conditions were found at 900 degrees C and 65 min, generating an adsorbent with 87.52 m(2).g(-1) of BET surface area, a mesopore volume of 74% and a zero point charge at 8.6. The feasibility of the carbonaceous material was proved for the removal of a variety of dyes by investigating substrate (10-50 mg.L-1) and solid (0.5-20 g.L-1) concentration effects and statistical significance: complete removal of Naphthol Blue Black and Reactive Black 5 was reached under optimal conditions (10 mg.L-1 and 20 g.L-1 of dye and solid, respectively), while Basic Blue 41 was eliminated by using 13.4 g.L-1 of the adsorbent. Overall, dyes removal by adsorption on carbonized avocado peel is presented as a promising technology due to the low cost and easy availability of the precursor, as well as the straightforward generation, the satisfactory characteristics and the proved adsorption capacity of the adsorbent. (C) 2015 The Chemical Industry and Engineering Society of China, and Chemical Industry Press. All rights reserved.</t>
  </si>
  <si>
    <t>1004-9541</t>
  </si>
  <si>
    <t>2210-321X</t>
  </si>
  <si>
    <t>10.1016/j.cjche.2015.11.029</t>
  </si>
  <si>
    <t>WOS:000376436000012</t>
  </si>
  <si>
    <t>Arancibia, C; Navarro-Lisboa, R; Zúñiga, RN; Matiacevich, S</t>
  </si>
  <si>
    <t>Arancibia, C.; Navarro-Lisboa, R.; Zuniga, R. N.; Matiacevich, S.</t>
  </si>
  <si>
    <t>Application of CMC as Thickener on Nanoemulsions Based on Olive Oil: Physical Properties and Stability</t>
  </si>
  <si>
    <t>INTERNATIONAL JOURNAL OF POLYMER SCIENCE</t>
  </si>
  <si>
    <t>Carboxymethyl cellulose (CMC) is a hydrocolloid with surface activity that could act as emulsifiers in oil-in-water emulsions; however the principal role is that it acts as structuring, thickening, or gelling agent in the aqueous phase. This study aims to evaluate the application of CMC as thickener into nanoemulsions based on olive oil and their influence on particle characteristics, flow behavior, and color. Four nanoemulsions with different oil (5% and 15% w/w olive oil) and CMC (0.5% and 0.75% w/w) concentration and two control samples without CMC added were prepared using Tween 80 as emulsifier. All physical properties studied on nanoemulsions were depending on both oil and CMC concentration. In general, z-average particle size varied among 107-121 nm and those samples with 5% oil and CMC were the most polydisperse. The addition of CMC increased anionic charge of nanoemulsions obtaining zeta potential values among -41 and -55 mV. The oil concentration increased both consistency and pseudoplasticity of samples, although samples were more stable to gravitational separation at the highest CMC concentration. Color of nanoemulsions was affected principally by the oil concentration. Finally, the results showed that CMC could be applied in nanoemulsions as thickener increasing their physical stability although modifying their physical properties.</t>
  </si>
  <si>
    <t>1687-9422</t>
  </si>
  <si>
    <t>1687-9430</t>
  </si>
  <si>
    <t>10.1155/2016/6280581</t>
  </si>
  <si>
    <t>WOS:000386831600001</t>
  </si>
  <si>
    <t>Macuada, CJ; Oddershede, AM; Cordova, FM</t>
  </si>
  <si>
    <t>Dzitac, I; Filip, FG; Manolescu, MJ</t>
  </si>
  <si>
    <t>Macuada, Claudio J.; Oddershede, Astrid M.; Cordova, Felisa M.</t>
  </si>
  <si>
    <t>Multi-Criteria Decision Model for Assessing Arsenic Abatement Technology in Chilean Mining</t>
  </si>
  <si>
    <t>2016 6TH INTERNATIONAL CONFERENCE ON COMPUTERS COMMUNICATIONS AND CONTROL (ICCCC)</t>
  </si>
  <si>
    <t>6th International Conference on Computers Communications and Control (ICCCC)</t>
  </si>
  <si>
    <t>MAY 10-14, 2016</t>
  </si>
  <si>
    <t>IEEE,IEEE Reg 8,Agora Univ</t>
  </si>
  <si>
    <t>This study focuses on providing a framework to assist the technology evaluation to produce stable arsenic compounds in mining in Chile. Technological processes offer different attributes to show consideration for the environment, arsenic capacity reduction, process viability and efficiency. The objective is to determine the most appropriate technology for arsenic abatement that comes from the casting powders. Empirical data is collected for designing a multi-criteria decision model based on expert judgment allowing the identification of high-priority requirements to choose the appropriate technology to produce stable arsenic compounds. The study provides a basis for setting priorities and decision-making beyond the project evaluation indicators for incorporating technology that could help to reduce arsenic in any type of mine presenting this difficulty.</t>
  </si>
  <si>
    <t>978-1-5090-1735-5</t>
  </si>
  <si>
    <t>WOS:000391251000025</t>
  </si>
  <si>
    <t>Travieso-Torres, JC; Duarte-Mermoud, MA; Beytía, O</t>
  </si>
  <si>
    <t>Travieso-Torres, Juan Carlos; Duarte-Mermoud, Manuel A.; Beytia, Orlando</t>
  </si>
  <si>
    <t>Experimental Comparison of Passivity-Based Controllers for the Level Regulation of a Conical Tank</t>
  </si>
  <si>
    <t>The techniques of adaptive passivity-based controller (APBC) and non-adaptive passivity-based controller (PBC), together with a PI controller, are applied to the level regulation of a conical tank. A comparative study considering the controller designs and experimental results is presented. A single APBC and PBC are designed for the whole operational range of the plant; whereas a PI controller with three different settings is used for level regulation at low, medium, and high operating points. The APBC design is simpler than the designs of PBC and the PI techniques, since no knowledge of the plant parameters is needed. Also, APBC is the only one showing robustness under variations of a plant parameter.</t>
  </si>
  <si>
    <t>Duarte-Mermoud, Manuel/I-2693-2013; Travieso Torres, Juan Carlos/N-6437-2019</t>
  </si>
  <si>
    <t>WOS:000390556300085</t>
  </si>
  <si>
    <t>Monsalve, A; De Barbieri, F; Gómez, M; Artigas, A; Carvajal, L; Sipos, K; Bustos, O; Pérez-Ipiña, J</t>
  </si>
  <si>
    <t>Monsalve, Alberto; De Barbieri, Flavio; Gomez, Mauricio; Artigas, Alfredo; Carvajal, Linton; Sipos, Konstantin; Bustos, Oscar; Perez-Ipina, Juan</t>
  </si>
  <si>
    <t>Mechanical Behavior of a Twip Steel (Twinning Induced Plasticity)</t>
  </si>
  <si>
    <t>A TWIP steel (0.65%C; 22% Mn; 0.28% Cr; 0.16% Si) was produced in the laboratory by melting, casting, hot forging and hot rolling. The relationship between mechanical twinning fraction and mechanical behavior of this steel was studied through tension tests at the following temperatures: 25, 300, 325, 350, 375 and 400 degrees C. Fracture toughness was measured from J integral evaluation at temperatures where the principal hardening mechanism is mechanical twinning and dislocation glide (325 and 375 degrees C respectively), for which a set of CT samples were pre-cracked by fatigue and then loaded until fracture in accordance to ASTM 1820. The plastic strain energy absorbed by each sample during crack growth was studied, correlating twinning with the mechanical response of the material, determining a decrease of plastic deformation energy around 375 degrees C, where the main deformation mechanism is strain hardening by dislocation glide and not mechanical twinning. Results obtained by different mechanical tests show that mechanical twinning activates in a range of stacking fault energy in the range 18 to 50 mJ/m(2).</t>
  </si>
  <si>
    <t>Artigas, Alfredo/Y-1185-2019; Perez Ipiña, Juan/IZE-2438-2023; De Barbieri, Flavio/AGQ-8546-2022; Perez Ipina, Juan E./N-2620-2016</t>
  </si>
  <si>
    <t>Perez Ipina, Juan E./0000-0002-0934-477X; Monsalve, Alberto/0000-0002-5772-8815; Carvajal Ortega, Linton Patricio/0000-0002-5414-2755; De Barbieri, Flavio/0000-0001-6088-1901; Gomez Barrena, Mauricio/0000-0003-2010-5910</t>
  </si>
  <si>
    <t>10.1590/S1517-707620150003.0067</t>
  </si>
  <si>
    <t>WOS:000362323600012</t>
  </si>
  <si>
    <t>Mellado, C; Van Dalen, A</t>
  </si>
  <si>
    <t>Mellado, Claudia; Van Dalen, Arjen</t>
  </si>
  <si>
    <t>Between Rhetoric and Practice Explaining the gap between role conception and performance in journalism</t>
  </si>
  <si>
    <t>JOURNALISM STUDIES</t>
  </si>
  <si>
    <t>A large body of research in journalism studies has analyzed which social and political roles news professionals consider they must fulfill in society. These studies are based on the assumption that role conception influences news content. However, the gap between ideals and practice is inevitable, since the constraint to which journalists are exposed limits the possibility of living up to their normative standards. While recent studies have addressed the relationship between ideals and practice by studying whether journalists with different roles report differently, we know less about the gap between the two. By comparing the role conception of journalists with the news stories they produce, we address the (dis)connection between roles and content as a gap, analyzing which roles render a larger distance and also which journalists are more likely to put their ideals into practice. The findings show a significant gap between role conception and performance, particularly for the service, civic and watchdog roles. Greater perceived autonomy leads to a smaller gap, while economic and political influences as well as belonging to a beat increase the gap. Likewise, the gap varies significantly between journalists working at the quality and the popular press.</t>
  </si>
  <si>
    <t>van Dalen, Arjen/0000-0001-5785-2245; Mellado, Claudia/0000-0002-9281-1526</t>
  </si>
  <si>
    <t>1461-670X</t>
  </si>
  <si>
    <t>1469-9699</t>
  </si>
  <si>
    <t>NOV 2</t>
  </si>
  <si>
    <t>10.1080/1461670X.2013.838046</t>
  </si>
  <si>
    <t>WOS:000343714100011</t>
  </si>
  <si>
    <t>Lizama, C; Mesquita, JG</t>
  </si>
  <si>
    <t>Lizama, Carlos; Mesquita, Jaqueline G.</t>
  </si>
  <si>
    <t>Almost automorphic solutions of dynamic equations on time scales</t>
  </si>
  <si>
    <t>In the present work, we introduce the concept of almost automorphic functions on time scales and present the first results about their basic properties. Then, we study the nonautonomous dynamic equations on time scales given by chi(Delta)(t) = A(t)x(t) + f(t) and x(Delta)(t) = A(t)x(t) + g(t, x(t)), t is an element of T where T is a special case of time scales that we define in this article. We prove a result ensuring the existence of an almost automorphic solution for both equations, assuming that the associated homogeneous equation of this system admits an exponential dichotomy. Also, assuming that the function g satisfies the global Lipschitz type condition, we prove the existence and uniqueness of an almost automorphic solution of the nonlinear dynamic equation on time scales. Further, we present some applications of our results for some new almost automorphic time scales. Finally, we present some interesting models in which our main results can be applied. (C) 2013 Elsevier Inc. All rights reserved.</t>
  </si>
  <si>
    <t>Godoy Mesquita, Jaqueline/A-2356-2012; Lizama, Carlos/E-5909-2011</t>
  </si>
  <si>
    <t>Godoy Mesquita, Jaqueline/0000-0002-1255-9384; Lizama, Carlos/0000-0002-9807-1100</t>
  </si>
  <si>
    <t>10.1016/j.jfa.2013.06.013</t>
  </si>
  <si>
    <t>WOS:000323802300005</t>
  </si>
  <si>
    <t>Vergara, PM; Pérez-Hernández, CG; Hahn, IJ; Soto, GE</t>
  </si>
  <si>
    <t>Vergara, Pablo M.; Perez-Hernandez, Christian G.; Hahn, Ingo J.; Soto, Gerardo E.</t>
  </si>
  <si>
    <t>Deforestation in central Chile causes a rapid decline in landscape connectivity for a forest specialist bird species</t>
  </si>
  <si>
    <t>ECOLOGICAL RESEARCH</t>
  </si>
  <si>
    <t>The abundance of woodland birds in fragmented forest landscapes may depend on the properties of patch networks. Understanding the consequences of deforestation on woodland birds, therefore, necessarily requires determining which changes in landscape structure make a major contribution to the degradation and subdivision of patch networks. In this study, we addressed how accelerated deforestation in central Chile has modified the landscape structure and function for thorn-tailed rayaditos-a woodland specialist bird. Using a graphical approach based on the habitat use and movement patterns of rayaditos, we quantified the reduction of the internal connectivity of components (i.e., connected patch networks) in the last two decades and determined the main mechanisms responsible for this connectivity loss. Forest cover decreased 61.7 % between 1989 and 2009. The component size, the fraction of components with a parts per thousand yen1 occupied patches and the number of patches per component experienced a large decline during the study period. Over time, most forest cover (ca. 80 %) was contained in only two components. The connectivity of components decreased steeply by 90 %. Only the loss of large patches made a highly significant contribution to explaining changes in connectivity, while the removal of stepping stones was marginally significant. The conversion of forest both to shrubland and to peri-urban areas were the only land-use variables explaining connectivity change with effects that changed over time. Conservation measures to ensure persistence of rayaditos populations in central Chile should be focused on the retention of key elements for connectivity.</t>
  </si>
  <si>
    <t>Soto, Gerardo/JAX-4165-2023; Vergara, Pablo/F-2519-2010</t>
  </si>
  <si>
    <t>Soto, Gerardo/0000-0002-9706-6588; Vergara, Pablo/0000-0002-0024-1678</t>
  </si>
  <si>
    <t>0912-3814</t>
  </si>
  <si>
    <t>1440-1703</t>
  </si>
  <si>
    <t>10.1007/s11284-013-1037-x</t>
  </si>
  <si>
    <t>WOS:000318569100012</t>
  </si>
  <si>
    <t>Izquierdo, AA; Guilarte, JM; Plyushchay, MS</t>
  </si>
  <si>
    <t>Alonso Izquierdo, Alberto; Mateos Guilarte, Juan; Plyushchay, Mikhail S.</t>
  </si>
  <si>
    <t>Kink mass quantum shifts from SUSY quantum mechanics</t>
  </si>
  <si>
    <t>ANNALS OF PHYSICS</t>
  </si>
  <si>
    <t>In this paper a new version of the DHN (Dashen-Hasslacher-Neveu) formula, which is used to compute the one-loop order kink mass correction in (1+1)-dimensional scalar field theory models, is constructed. The new expression is written in terms of the spectral data coming from the supersymmetric partner operator of the second-order small kink fluctuation operator and allows us to compute the kink mass quantum shift in new models for which this calculation was out of reach by means of the old foimula. (C) 2013 Elsevier Inc. All rights reserved.</t>
  </si>
  <si>
    <t>Alonso-Izquierdo, Alberto/L-2995-2014; Mateos Guilarte, Juan/D-8199-2018</t>
  </si>
  <si>
    <t>Alonso-Izquierdo, Alberto/0000-0002-3882-3702; Mateos Guilarte, Juan/0000-0001-7928-9086</t>
  </si>
  <si>
    <t>0003-4916</t>
  </si>
  <si>
    <t>1096-035X</t>
  </si>
  <si>
    <t>10.1016/j.aop.2013.01.005</t>
  </si>
  <si>
    <t>WOS:000316089700016</t>
  </si>
  <si>
    <t>Solar, M; Sabattin, J; Parada, V</t>
  </si>
  <si>
    <t>Solar, Mauricio; Sabattin, Jorge; Parada, Victor</t>
  </si>
  <si>
    <t>A Maturity Model for Assessing the Use of ICT in School Education</t>
  </si>
  <si>
    <t>EDUCATIONAL TECHNOLOGY &amp; SOCIETY</t>
  </si>
  <si>
    <t>This article describes an ICT-based and capability-driven model for assessing ICT in education capabilities and maturity of schools. The proposed model, called ICTE-MM (ICT in School Education Maturity Model), has three elements supporting educational processes: information criteria, ICT resources, and leverage domains. Changing the traditional and exclusive focus on ICT, five Leverage Domains are defined: Educational Management, Infrastructure, Administrators, Teachers and Students. The Leverage Domains generate a hierarchical structure with a second level named Key Domain Areas. These areas should be measurable and controllable, so they are related to a third hierarchical level, called Critical Variables, allowing the model's elements to be assessed qualitatively and quantitatively. The capability and maturity of these variables associated with the intersection with the other two elements establish five levels of capability. The proposed model is strongly supported by the international standards and best practices for ICT management. It has been validated through data collection instruments and its associated web-support tool was also refined with a small pilot study. In summary, the proposed ICTE-MM model provides a basis for self-assessment and improvement planning. It is not just a diagnostic tool but has also been found to be useful for guiding the principals in ICT investment.</t>
  </si>
  <si>
    <t>Sabattin, Jorge/P-2589-2019; Solar, Mauricio/AAE-9673-2020; Parada, Victor/M-5840-2014</t>
  </si>
  <si>
    <t>Sabattin, Jorge/0000-0003-0270-6560; Solar, Mauricio/0000-0002-4433-4622</t>
  </si>
  <si>
    <t>1176-3647</t>
  </si>
  <si>
    <t>1436-4522</t>
  </si>
  <si>
    <t>WOS:000313896800018</t>
  </si>
  <si>
    <t>Mandiola-Quililongo, CJ; Ríos-Ramírez, MA; Velásquez-Cumplido, L; Morales-Muñoz, B; Escobar-Fica, JA</t>
  </si>
  <si>
    <t>Mandiola-Quililongo, C. J.; Rios-Ramirez, M. A.; Velasquez-Cumplido, L.; Morales-Munoz, B.; Escobar-Fica, J. A.</t>
  </si>
  <si>
    <t>Development and characterization of ten polymorphic microsatellites isolated from the scallop Argopecten purpuratus</t>
  </si>
  <si>
    <t>JOURNAL OF GENETICS</t>
  </si>
  <si>
    <t>Quililongo, Christian/ABH-7995-2020</t>
  </si>
  <si>
    <t>0022-1333</t>
  </si>
  <si>
    <t>0973-7731</t>
  </si>
  <si>
    <t>E12</t>
  </si>
  <si>
    <t>E14</t>
  </si>
  <si>
    <t>WOS:000305207700016</t>
  </si>
  <si>
    <t>Vergara, PM; Pizarro, J; Castro, SA</t>
  </si>
  <si>
    <t>Vergara, Pablo M.; Pizarro, Jaime; Castro, Sergio A.</t>
  </si>
  <si>
    <t>An island biogeography approach for understanding changes in compositional similarity at present scenario of biotic homogenization</t>
  </si>
  <si>
    <t>ECOLOGICAL MODELLING</t>
  </si>
  <si>
    <t>Local extinction of native species and colonization of non-native species are commonly invoked as responsible for changes in species similarity among biotas of different regions. In this study we used a model of species similarity between islands to assess the emergent, and unexplored, effects of changes in colonization by native species, extinction of non-native species, and propagule pressure on species similarity among insular communities. The model predicts that extinction probability of endemic species has a positive but asymptotic effect on species similarity, which is exacerbated by increasing colonization and reducing extinction of non-native species. Species similarity tends to increase with increasing colonization probability by non-native species, however this effect may be reduced, or even reverted, when the islands are exposed to an elevated number of non-native species that are prone to extinction, high levels of endemic species loss, and an initially large number of native species shared between islands. Species similarity was positively affected by the propagule pressure rate of non-native species only when their colonization and extinction probabilities were large and small enough, respectively. A negative effect of propagule pressure rate can be caused by an increase in the pool size of non-native species, which involves the introduction of different species into different islands, promoting biotic differentiation between islands. Our results indicate that the interactions between colonization, extinction and species pool lead to nonlinear responses and unexpected scenarios of biotic change. In order to validate model predictions, future research programs should focus on understanding the dynamics on such complex meta-communities where coexist native, non-native and endemic species. (C) 2011 Elsevier B.V. All rights reserved.</t>
  </si>
  <si>
    <t>Vergara, Pablo/F-2519-2010</t>
  </si>
  <si>
    <t>Vergara, Pablo/0000-0002-0024-1678</t>
  </si>
  <si>
    <t>0304-3800</t>
  </si>
  <si>
    <t>1872-7026</t>
  </si>
  <si>
    <t>JUN 24</t>
  </si>
  <si>
    <t>10.1016/j.ecolmodel.2011.03.024</t>
  </si>
  <si>
    <t>WOS:000291497300006</t>
  </si>
  <si>
    <t>Rodríguez, P; Puga, A; García-Sanz, MT; Calvo, U; Taboada, JC; González-Barcala, FJ</t>
  </si>
  <si>
    <t>Rodriguez, P.; Puga, A.; Garcia-Sanz, M. T.; Calvo, U.; Taboada, J. C.; Gonzalez-Barcala, F. J.</t>
  </si>
  <si>
    <t>Delayed diagnosis of alpha-1 antitrypsin deficiency</t>
  </si>
  <si>
    <t>ANALES DEL SISTEMA SANITARIO DE NAVARRA</t>
  </si>
  <si>
    <t>Alpha-1 antitrypsin deficiency (AAT-D) is a genetic disease, relatively common in populations of European ancestry. AAT-D remains undiagnosed in many patients, and there are often long delays between the onset of respiratory symptoms and diagnosis. AAT-D can be readily diagnosed by measurement of the serum or plasma protein level, which should be confirmed by assessing the genotype or protein phenotype when AAT levels are below the normal range. Close monitoring for the development or progression of lung disease or liver disease is required, and can improve the prognosis. We show the case of a 69 year old woman with recurrent respiratory infections and asthma symptoms. The serum levels of AAT were below the normal range, and ZZ genotype was confirmed. The delayed diagnosis of our patient seems to emphasize the need to remind the doctors about AAT-D, frequently associated with asthma or COPD symptoms.</t>
  </si>
  <si>
    <t>García-Sanz, María-Teresa/H-4480-2016; Alvarez, Francisco/K-8951-2017</t>
  </si>
  <si>
    <t>Calvo-Alvarez, Uxio/0000-0002-5243-2767; Rodriguez Casal, Paula P./0000-0002-9522-7413; Gonzalez-Barcala, Francisco-Javier/0000-0001-5847-4784</t>
  </si>
  <si>
    <t>1137-6627</t>
  </si>
  <si>
    <t>WOS:000291237400012</t>
  </si>
  <si>
    <t>González-García, J; Sáez, V; Esclapez, MD; Bonete, P; Vargas, Y; Gaete, L</t>
  </si>
  <si>
    <t>Garreton, LG</t>
  </si>
  <si>
    <t>Gonzalez-Garcia, J.; Saez, V.; Esclapez, M. D.; Bonete, P.; Vargas, Y.; Gaete, L.</t>
  </si>
  <si>
    <t>Relevant developments and new insights on Sonoelectrochemistry</t>
  </si>
  <si>
    <t>INTERNATIONAL CONGRESS ON ULTRASONICS, PROCEEDINGS</t>
  </si>
  <si>
    <t>Physics Procedia</t>
  </si>
  <si>
    <t>International Congress on Ultrasonics</t>
  </si>
  <si>
    <t>JAN 11-17, 2009</t>
  </si>
  <si>
    <t>Univ Santiago Chile, Santiago, CHILE</t>
  </si>
  <si>
    <t>Univ Santiago Chile</t>
  </si>
  <si>
    <t>Sonoelectrochemistry is undergoing a reemerging activity in the last years with an increasing number of papers appearing in a wide range of peer review journals. Applied studies cover environmental treatments, synthesis and characterization of nanostructures, polymeric materials synthesis, analytical procedures, films preparations, membrane preparations among other interesting applications. Fundamental analyses are also carried out focused on electrochemical processes using unconventional solvents, elucidation of mechanisms and combination with other techniques. The interrelation between Electrochemistry and Acoustics presents mutual benefits for both disciplines, providing interesting information about the bubble dynamics for acoustics physicists and a higher number of possible applications for electrochemists. However, the vast majority of this research has been carried out at laboratory scale with individually designed systems based on ultrasonic horns dipped into traditional glass electrochemistry vessels. It is remarkable that even with this rudimentary experimental set-up many interesting results have been generated. However sonoelectrochemistry has suffered a few drawbacks related to reproducibility, scale-up and design aspects which have slowed its development. Almost certainly the reason for this is the lack of reactors that have been purpose built for sonoelectrochemistry. There have been many attempts to build lab-scale systems e. g. for electroanalysis, nanomaterials synthesis and the electrooxidation of organic pollutants but the results are often contradictory. A few groups have attempted to characterize lab-scale sonochemical reactors adapted as sonoelectrochemical reactors but the true optimization of such reactors requires contributions from many disciplines including physics, fundamental and applied electrochemistry, chemical engineering and material science. (C) 2009 Elsevier B.V. All rights reserved.</t>
  </si>
  <si>
    <t>; Esclapez, M. D./E-5016-2016</t>
  </si>
  <si>
    <t>Gaete-Garreton, Luis/0000-0002-2234-8783; Esclapez, M. D./0000-0003-2946-9841; Saez, Veronica/0000-0001-7122-9599</t>
  </si>
  <si>
    <t>1875-3892</t>
  </si>
  <si>
    <t>10.1016/j.phpro.2010.01.017</t>
  </si>
  <si>
    <t>WOS:000275913100029</t>
  </si>
  <si>
    <t>Valdivia Ortiz de Zarate, Veronica</t>
  </si>
  <si>
    <t>!Estamos en guerra senores! The military regime of Augusto Pinochet and Chile's popular sectors, 1973-1980</t>
  </si>
  <si>
    <t>This article analyzes the relationship between the military regime of General Augusto Pinochet and Chile's popular sectors during the 1970's, questioning the common view that posits an exclusionary understanding between that government and the high bourgeoisie. The thesis sustains that Pinochet's dictatorship set out to co-opt the popular milieu, historically associated with center and left-wing politics, and that, therefore, its relationship with the people was not based solely on repression. The reason for this is that the war waged against Marxism had an ideological foundation, and thus required the re-socialization of those social actors. The international context and the economic crisis, likewise, reinforced people's political centrality as a legitimizing agent. From a conceptual standpoint, this article seeks to reconsider the model of the Bureaucratic-Authoritarian State applied to the military dictatorships of Latin America's Southern Cone, including the Chilean case.</t>
  </si>
  <si>
    <t>0073-2435</t>
  </si>
  <si>
    <t>WOS:000280172200005</t>
  </si>
  <si>
    <t>Camus, P; Castro, S; Jaksic, F</t>
  </si>
  <si>
    <t>Camus, Pablo; Castro, Sergio; Jaksic, Fabian</t>
  </si>
  <si>
    <t>European rabbits in Chile: hisotry of a biological invasion</t>
  </si>
  <si>
    <t>This work analyses the relationship between human beings and their environment taking into consideration the adjustment and eventual invasion of rabbits in Chile. It argues that in the long run, human actions have unsuspected effects upon the environment. In fact rabbits were seen initially as an opportunity for economic development because of the exploitation of their meat and skin. Later, rabbits became a plague in different areas of Central Chile, Tierra del Fuego and Juan Fernandez islands, which was difficult to control. Over the years rabbits became unwelcome guests in Chile.</t>
  </si>
  <si>
    <t>WOS:000261723600001</t>
  </si>
  <si>
    <t>Semilinear evolution equations of second order via maximal regularity</t>
  </si>
  <si>
    <t>This paper deals with the existence and stability of solutions for semilinear second-order evolution equations on Banach spaces by using recent characterizations of discrete maximal regularity. Copyright (C) 2008 C. Cuevas and C. Lizama.</t>
  </si>
  <si>
    <t>10.1155/2008/316207</t>
  </si>
  <si>
    <t>WOS:000255772500001</t>
  </si>
  <si>
    <t>Castro-Rodriguez, JA; Mallol, J; Andrade, R; Muñoz, M; Azzini, I</t>
  </si>
  <si>
    <t>Castro-Rodriguez, Jose A.; Mallol, Javier; Andrade, Rosa; Munoz, Monica; Azzini, Ivanna</t>
  </si>
  <si>
    <t>Comparison of tuberculin skin test response after three modalities of neonatal BCG vaccination</t>
  </si>
  <si>
    <t>TRANSACTIONS OF THE ROYAL SOCIETY OF TROPICAL MEDICINE AND HYGIENE</t>
  </si>
  <si>
    <t>The aim of this study was to determine the tuberculin skin test (TST) response to three different BCG modalities [0.1 ml Tokyo (n = 104), 0.05 ml Pasteur-Merieux (n = 137) and 0.1 ml Pasteur-Merieux (n = 100)] in a cohort of healthy newborns 5 months after vaccination at birth in Santiago, Chile. Among the 341 infants, 91.2% had a response to TST, and the mean +/- SD TST reaction size was significantly larger in infants receiving the Tokyo strain than in those receiving the 0.05 ml or 0.1 ml Pasteur-Merieux strains (4.4 +/- 2.0, 3.5 +/- 1.3 and 3.1 +/- 1.4 mm, respectively; P &lt; 0.0001). The mean +/- SD of the BCG scar size was significantly lower in infants vaccinated with the Tokyo strain than in those vaccinated with the 0.1 ml Pasteur-Merieux strain (3.9 +/- 1.2 vs. 4.3 +/- 1.1 mm; P = 0.03) and no significant difference was found between infants receiving the Tokyo strain and the 0.05 ml Pasteur-Merieux strain. However, the differences in TST size induced by diverse BCG vaccination modalities may not reflect the quality of the immunologically induced response in terms of TB protection. (c) 2006 Royal Society of Tropical Medicine and Hygiene. Published by Elsevier Ltd. All rights reserved.</t>
  </si>
  <si>
    <t>Castro-Rodriguez, Jose/ABA-2760-2021</t>
  </si>
  <si>
    <t>Castro-Rodriguez, Jose A./0000-0002-0708-4281; Mallol, Javier/0000-0003-2528-8672</t>
  </si>
  <si>
    <t>0035-9203</t>
  </si>
  <si>
    <t>1878-3503</t>
  </si>
  <si>
    <t>10.1016/j.trstmh.2006.08.003</t>
  </si>
  <si>
    <t>WOS:000245785200012</t>
  </si>
  <si>
    <t>Mery, D; Medina, O</t>
  </si>
  <si>
    <t>Campilho, A; Kamel, M</t>
  </si>
  <si>
    <t>Automated visual inspection of glass bottles using adapted median filtering</t>
  </si>
  <si>
    <t>IMAGE ANALYSIS AND RECOGNITION, PT 2, PROCEEDINGS</t>
  </si>
  <si>
    <t>LECTURE NOTES IN COMPUTER SCIENCE</t>
  </si>
  <si>
    <t>International Conference on Image Analysis and Recognition</t>
  </si>
  <si>
    <t>SEP 29-OCT 01, 2004</t>
  </si>
  <si>
    <t>Porto, PORTUGAL</t>
  </si>
  <si>
    <t>Univ Porto, Fac Engn, Dept Elect &amp; Comp Engn,Inst Engenharia Biomed,Univ Waterloo, Pattern Analy &amp; Mach Intelligence Grp</t>
  </si>
  <si>
    <t>This work presents a digital image processing technique for the automated visual inspection of glass bottles based on a well-known method used for inspecting aluminium die castings. The idea of this method is to generate median filters adapted to the structure of the object under test. Thus, a defect-free reference image can be estimated from the original image of the inspection object. The reference image is compared with the original one, and defects are detected when the difference between them is considerable. The configuration of the filters is performed off-line including a priori information about real defect-free images. In the other hand, the filtering self is performed on-line. Thus, a fast on-line inspection is ensured. According to our experiments, the detection performance in glass bottles was 85% and the false alarms rate was 4%. Additionally, the processing time was only 0.3s/image.</t>
  </si>
  <si>
    <t>3-540-23240-0</t>
  </si>
  <si>
    <t>WOS:000224317200099</t>
  </si>
  <si>
    <t>Pulsating flow of viscoelastic fluids in straight tubes of arbitrary cross-section - Part II: secondary flows</t>
  </si>
  <si>
    <t>INTERNATIONAL JOURNAL OF NON-LINEAR MECHANICS</t>
  </si>
  <si>
    <t>The secondary flow field in the pulsating flow of a constitutively non-linear fluid, whose structure is defined by a series of nested integrals over semi-infinite time domains, in straight tubes of arbitrary cross-sections is investigated. The transversal field arises at the second order of the perturbation of the non-linear constitutive structure., and is driven by first-order terms which define the linearly viscoelastic longitudinal flow in the hierarchy of superposed linear flows stemming from the perturbation of the constitutive structure. The unconventional conduit contours are obtained through a novel approach to the concept of domain perturbation. Time-averaged, mean secondary flow streamline patterns are presented for triangular, square and hexagonal pipes. (C) 2001 Elsevier Science Ltd. All rights reserved.</t>
  </si>
  <si>
    <t>0020-7462</t>
  </si>
  <si>
    <t>10.1016/S0020-7462(01)00047-6</t>
  </si>
  <si>
    <t>WOS:000172477400018</t>
  </si>
  <si>
    <t>Ortega, PA; Guzmán, ME; Vera, LR; Velázquez, JA; Abuín, EB</t>
  </si>
  <si>
    <t>Dihydroeuparin as sunscreen.</t>
  </si>
  <si>
    <t>Physicochemical parameters, epsilon, lambda, solubility in water and Brij-35, pKa, K-a and photostability for dihydroeuparin, 5-acetyl-2, 3-dihydro-6-hydroxi-2-isopropenyl-benzo (b) furan (from Senecio Graveolens), were obtained and compared to those of o-hidroxyacetophenone. Its sunscreen capabilities, SPF and SSPF, were obtained for both compounds and compared to those of homomenthylsalicylate (homosalate). Results indicate that dihydroeuparin has sunscreen behavior at 270-340 nm zone, with high photostability, high solubility in miscellar system, apparently is a non-toxic substance and shows higher sunscreen capabilities than homosalate.</t>
  </si>
  <si>
    <t>AntonioVelazquez, JuanAlberto/LNP-9579-2024</t>
  </si>
  <si>
    <t>WOS:000166388700017</t>
  </si>
  <si>
    <t>Montenegro, H</t>
  </si>
  <si>
    <t>The relevance of sexual education</t>
  </si>
  <si>
    <t>There is a remarkable ignorance about sexuality among Chilean teenagers, as underscored by the paper by Fernandez et al, published in this issue. The authors analyze the biological, psychological and social consequences of the lack of parental and school sexual education. Among them, there is an increasing incidence of unwanted pregnancies, abortions and sexually transmitted diseases in teenagers. Child abuse, neglect, battering, mortality and maternal deprivation are more frequent among the offspring of teenage parents. School desertion caused by unwanted pregnancies will seriously jeopardize the education and training of these teenagers, perpetuating th cycle of poverty.</t>
  </si>
  <si>
    <t>WOS:000088429600001</t>
  </si>
  <si>
    <t>Castillo, R; Bermont, V; Martínez, V</t>
  </si>
  <si>
    <t>Relationships between microstructure and mechanical properties in ductile cast irons:: a review</t>
  </si>
  <si>
    <t>The progress achieved in the understanding of the relationships between the microstructure and the mechanical properties of ductile cast iron is reviewed. It is also described the applications of heat treatment of austempered to ductile irons (ADI), which have allowed to improve substantially the mechanical properties of these materials. It is proposed a research program to obtain the crack growth resistance under corrosive atmospheres and to model the mechanical properties.</t>
  </si>
  <si>
    <t>10.3989/revmetalm.1999.v35.i5.641</t>
  </si>
  <si>
    <t>WOS:000083899700006</t>
  </si>
  <si>
    <t>Ganga, A; Nieto, S; Sanhuez, J; Romo, C; Speisky, H; Valenzuela, A</t>
  </si>
  <si>
    <t>Concentration and stabilization of n-3 polyunsaturated fatty acids from sardine oil</t>
  </si>
  <si>
    <t>JOURNAL OF THE AMERICAN OIL CHEMISTS SOCIETY</t>
  </si>
  <si>
    <t>A simple and relatively inexpensive procedure to obtain 90% eicosapentaenoic acid + docosahexaenoic acid concentrates from sardine oil involved a two-step winterization of the oil (10 and 4 degrees C), followed by saponification and selective precipitation of saturated and less unsaturated free fatty acids by an ethanolic solution of urea. Antioxidant effects of butylated hydroxytoluene, dl-alpha-tocopherol and two natural antioxidants, quercetin and boldine, added to the concentrate (0.5% wt/vol), were compared in the Rancimat at 60 degrees C. dl-alpha-Tocopherol was unable to inhibit concentrate oxidation. Butylated hydroxyanisole and butylated hydroxytoluene had induction periods of 1.7-1.8 h compared to the control (1.0 h). A mixture of quercetin + boldine (2:1 w/w) significantly increased the induction period to 4.5 h.</t>
  </si>
  <si>
    <t>SPEISKY, HERNAN/E-6146-2013; Ganga, Maria/S-8176-2019</t>
  </si>
  <si>
    <t>0003-021X</t>
  </si>
  <si>
    <t>10.1007/s11746-998-0215-4</t>
  </si>
  <si>
    <t>WOS:000074562700012</t>
  </si>
  <si>
    <t>Chaieb, S; Melo, F; Geminard, JC</t>
  </si>
  <si>
    <t>Experimental study of developable cones</t>
  </si>
  <si>
    <t>PHYSICAL REVIEW LETTERS</t>
  </si>
  <si>
    <t>In this paper we investigate developable cones (d-cones) topology. From profilometer measurements, we found that for a sample of a finite thickness the singularity is never pointlike but has a form of a crescent. Measurements of the sheet local curvature revealed that the d-cone tip is rejected by a distance which characterizes the singularity size. High deformations of the d-cone lead to a plastic regime equivalent to a decrease in the singularity size characterized from curvature and profile analysis.</t>
  </si>
  <si>
    <t>c, sahraoui/H-1272-2015; Melo, Francisco/M-3923-2014</t>
  </si>
  <si>
    <t>GEMINARD, Jean-Christophe Nicolas Denis/0000-0002-9773-4806</t>
  </si>
  <si>
    <t>0031-9007</t>
  </si>
  <si>
    <t>MAR 16</t>
  </si>
  <si>
    <t>10.1103/PhysRevLett.80.2354</t>
  </si>
  <si>
    <t>WOS:000072572700025</t>
  </si>
  <si>
    <t>BIAGGIO, SR; OLIVEIRA, CLF; AGUIRRE, MJ; ZAGAL, JH</t>
  </si>
  <si>
    <t>ELECTRICAL-PROPERTIES OF POLYANILINE FILMS FORMED IN ACID WITH AND WITHOUT CS+ IONS IN THE ELECTROLYTE</t>
  </si>
  <si>
    <t>The effect of Cs+ ions added to the electrolyte for polyaniline films electrosynthesized in 0.1 M aniline/0.5 M H2SO4 was investigated. Some properties of PANI films, such as the capacitance, the ohmic resistance and the charge-transfer resistance were obtained using electrochemical impedance spectroscopy. It was found that Cs+ ions used during PANI synthesis change its morphology, with a consequent increase in capacitance and conductivity, and a decrease in charge-transfer resistance.</t>
  </si>
  <si>
    <t>zagal, jose/L-9648-2014; Aguirre, Maria/A-3935-2013; Biaggio, Sonia R./D-9810-2012</t>
  </si>
  <si>
    <t>Aguirre, Maria/0000-0003-1134-4469; Biaggio, Sonia R./0000-0003-2127-859X</t>
  </si>
  <si>
    <t>10.1007/BF00241199</t>
  </si>
  <si>
    <t>WOS:A1994PN02500016</t>
  </si>
  <si>
    <t>LISSI, EA; SALIMHANNA, M; FAURE, M; VIDELA, LA</t>
  </si>
  <si>
    <t>2,2'-AZO-BIS-AMIDINOPROPANE AS A RADICAL SOURCE FOR LIPID-PEROXIDATION AND ENZYME INACTIVATION STUDIES</t>
  </si>
  <si>
    <t>XENOBIOTICA</t>
  </si>
  <si>
    <t>INTERNATIONAL SYMP AT THE BIANNUAL MEETING OF THE BRAZILIAN SOC OF TOXICOLOGY : MECHANISMS OF DRUG TOXICITY</t>
  </si>
  <si>
    <t>OCT 23-26, 1989</t>
  </si>
  <si>
    <t>SAO PAULO, BRAZIL</t>
  </si>
  <si>
    <t>BRAZILIAN SOC TOXICOL</t>
  </si>
  <si>
    <t>1. 2,2'-Azo-bis-amidinopropane (ABAP) thermal decomposition produces free radicals that initiate the lipid peroxidation of erythrocyte ghost membranes. 2. Addition of 6-n-propyl-2-thiouracil decreases the rate of the process, both by decreasing consumption of the natural antioxidants of the membranes and by direct interaction with the free radicals involved in the lipid peroxidation. 3. Peroxyl radicals produced in ABAP thermal decomposition inactivate lysozyme, horseradish peroxidase (HRP) and glucose oxidase, in that order. The number of enzyme molecules inactivated per radical introduced into the system increases with enzyme concentration. 4. Competitive studies employing mixtures of enzymes show that the order of reactivity of these enzymes towards the peroxyl radicals is the opposite to that obtained for the rate of enzyme inactivation. It is concluded that inactivation efficiency is determined mainly by the average number of free radicals that must react with an enzyme molecule to produce its inactivation, and that this number is directly related to the molecular weight of the enzyme.</t>
  </si>
  <si>
    <t>0049-8254</t>
  </si>
  <si>
    <t>10.3109/00498259109039539</t>
  </si>
  <si>
    <t>WOS:A1991GC65100002</t>
  </si>
  <si>
    <t>BENGURIA, RD; YARUR, C</t>
  </si>
  <si>
    <t>SYMMETRY PROPERTIES OF THE SOLUTIONS TO THOMAS-FERMI-DIRAC-VON-WEIZSACKER TYPE EQUATIONS</t>
  </si>
  <si>
    <t>TRANSACTIONS OF THE AMERICAN MATHEMATICAL SOCIETY</t>
  </si>
  <si>
    <t>Benguria, Rafael/P-4019-2019</t>
  </si>
  <si>
    <t>Benguria, Rafael/0000-0002-0696-0876</t>
  </si>
  <si>
    <t>0002-9947</t>
  </si>
  <si>
    <t>10.2307/2001695</t>
  </si>
  <si>
    <t>WOS:A1990DX97400013</t>
  </si>
  <si>
    <t>ENCINA, MV; LISSI, E; SARASUA, M; GARGALLO, L; RADIC, D</t>
  </si>
  <si>
    <t>ULTRASONIC DEGRADATION OF POLYVINYLPYRROLIDONE - EFFECT OF PEROXIDE LINKAGES</t>
  </si>
  <si>
    <t>10.1002/pol.1980.130181201</t>
  </si>
  <si>
    <t>WOS:A1980KW80900001</t>
  </si>
  <si>
    <t>Campodónico, PR; Calderón, C; Alcázar, JJ; Olivares, B; Jaldin, L; Suárez-Rozas, C</t>
  </si>
  <si>
    <t>Campodonico, Paola R.; Calderon, Cristian; Alcazar, Jackson J.; Olivares, Belen; Jaldin, Limberg; Suarez-Rozas, Cristian</t>
  </si>
  <si>
    <t>Exploring the behavior of Candida antarctica lipase B in aqueous mixtures of an imidazolium ionic liquid and its surfactant analogue</t>
  </si>
  <si>
    <t>The performance of Candida antarctica lipase B (CALB) has been evaluated in 1-butyl-3-methylimidazolium tetrafluoroborate (BMIMBF4)/water mixtures in a wide range of molar fractions (chi(BMIMBF4)) with and without 1-dodecyl-3-methylimidazolium tetrafluoroborate (C12-MIMBF4), a surfactant derived from BMIMBF4. The main aim of this work is to evaluate the influence of chi(BMIMBF4) over micellar aggregates to assess the activity of enzymatic reactions. The investigated reaction corresponds to the hydrolysis of the substrate p-nitrophenyl laureate in each chi(BMIMBF4). The kinetic study for chi(BMIMBF4) at around 0.2 proved to be a border point in enzymatic activity. At chi(BMIMBF4) = 0.1, the lipase activity increases in the presence of C-12-MIMBF4. However, at higher concentrations, BMIMBF(4 )has a negligible effect over the lipase activity. These results suggest specific interactions between water and BMIMBF(4 )molecules in relation to CALB. This research highlights the superactivity phenomenon driven by the reaction media and the micelle interface. In this interfacial interaction, BMIMBF4 acts directly on the changes induced on the enzyme upon its interaction with the micellar interface. This study opens a green perspective toward the biocatalysis field.</t>
  </si>
  <si>
    <t>Campodónico, Paola/L-9664-2014; Alcazar, Jackson J./AAE-4815-2020</t>
  </si>
  <si>
    <t>Suarez-Rozas, Cristian/0000-0002-3993-6071; Alcazar, Jackson J./0000-0002-6300-6923; Jaldin-Crespo, Limberg/0000-0002-4822-8288</t>
  </si>
  <si>
    <t>10.3389/fchem.2023.1289398</t>
  </si>
  <si>
    <t>WOS:001147444300001</t>
  </si>
  <si>
    <t>Pérez, FA; Díaz-Leiva, M</t>
  </si>
  <si>
    <t>Perez, Fabrizio Acevedo; Diaz-Leiva, Monica</t>
  </si>
  <si>
    <t>Occupational therapy in an Intensive Care Unit (ICU): experience report on work with caregivers/family members in a public hospital</t>
  </si>
  <si>
    <t>There is little Latin American literature regarding the practices of occupational therapists in the context of intensive care units. Although it is clear which interventions are mostly carried out, the details of these are not evident, especially the description of the work carried out with caregivers/family members. For this reason, the objective of the article is to describe this process based on one hand, on a committed and therapeutic bond to understand each subject/family in its uniqueness and on the other, on education from the recognition of the diversity of people's knowledge. Therefore, this article reports an experience of what happens in a public hospital in Chile, where there has been work in the discipline for approximately 10 years, considering the particular actions that are carried out jointly with caregivers/family members, highlighting the following two strategies 1) Committed and therapeutic accompaniment initiated from the initial semistructured interview as the first meeting between the occupational therapist and caregivers/family members, and 2) Education as a strategy and space for generating support and explicit mutual knowledge at three specific moments in the process. It is concluded that caregivers/family members are fundamental figures during care in an intensive care unit and it is necessary to reflect on the singularities that exist during the course of the intervention, recognizing their knowledge and stories.</t>
  </si>
  <si>
    <t>Díaz Leiva, Mónica/JQX-0229-2023; Acevedo, Fabrizio/AAH-8388-2021</t>
  </si>
  <si>
    <t>Diaz Leiva, Monica/0000-0001-7235-8077; Acevedo, Fabrizio/0000-0002-9455-3719</t>
  </si>
  <si>
    <t>e3566</t>
  </si>
  <si>
    <t>10.1590/2526-8910.ctoRE273835662</t>
  </si>
  <si>
    <t>WOS:001253468400002</t>
  </si>
  <si>
    <t>Derpich, I; Rey, C</t>
  </si>
  <si>
    <t>Derpich, Ivan; Rey, Carlos</t>
  </si>
  <si>
    <t>Drone Optimization in Factory: Exploring the Minimal Level Vehicle Routing Problem for Efficient Material Distribution</t>
  </si>
  <si>
    <t>DRONES</t>
  </si>
  <si>
    <t>The efficient movement of raw materials within organizations is fundamental to maintaining the seamless progression of production processes. However, these logistical operations can inadvertently compromise overall company efficiency, primarily due to the substantial time invested in transporting materials. This paper introduces an innovative mathematical model specifically designed to optimize the transport of raw materials via drones across multiple workstations. This model employs a novel modification of the traditional multi-level Vehicle Routing Problem by incorporating an additional index and accounting for the drone's energy consumption. We employ a widely-recognized solver for practical resolution and compare it with a heuristic algorithm. The resultant strategies offer promising prospects for the organization studied, introducing robust solutions for elevating the efficiency of raw material transportation.</t>
  </si>
  <si>
    <t>derpich, ivan/T-1160-2019</t>
  </si>
  <si>
    <t>Rey, Carlos/0009-0000-0884-7423; Derpich, Ivan/0000-0001-9759-7285</t>
  </si>
  <si>
    <t>2504-446X</t>
  </si>
  <si>
    <t>10.3390/drones7070435</t>
  </si>
  <si>
    <t>WOS:001038157900001</t>
  </si>
  <si>
    <t>ALSamman, MT; Sotelo, S; Sánchez, J; Rivas, BL</t>
  </si>
  <si>
    <t>ALSamman, Mohammad T.; Sotelo, Sebastian; Sanchez, Julio; Rivas, Bernabe L.</t>
  </si>
  <si>
    <t>Arsenic oxidation and its subsequent removal from water: An overview</t>
  </si>
  <si>
    <t>Public water pollutants such as arsenic are dangerous to human health with severe or long-term effects, e.g., they can cause cancer, poison the nervous system, or result in diabetes and many diseases. The World Health Or-ganization (WHO) has determined that the highest permissible concentration for arsenic is 10 mu g/L.Arsenic in water mainly exists with two oxidation states: As(III) and As(V), with As(V) being an oxyanion in a wide range of pH values. However, As(III) is a neutral species that is mobile and difficult to remove by traditional adsorbents and technologies. Thus, the oxidation of As(III) to As(V) is considered an important pretreatment to improve the arsenic removal.In this review, we focus on different materials and techniques that promote the efficient oxidation of As(III) to As(V). The most used anodes are those that electrocatalytically oxidize arsenic, which are mainly platinum, zinc, aluminium, magnesium, carbon, and artificial graphite. In the literature, through the anodes, oxidation and conversion of As(III) to As(V) occur, and the best anodes contain platinum or titanium because of their oxidation capacity of 99% and the ability to be used for long periods. In terms of efficiency, gold and diamonds can be added to platinum and other materials to improve the oxidation process. The oxidation process via anodes is not sufficient to remove arsenic, and arsenic cannot be precipitated through oxidation and forms soluble suspensions within the solutions. Instead, oxidation is considered to facilitate for the removal process and applied before other operations. As(V) is removed using adsorption, biological techniques, membranes, coagulation, electro-coagulation (EC), etc. However, the adsorption materials and biological techniques are not good for large quantities, and studies have proven that the methods of membranes and coagulation are less effective and slow in adsorbing arsenic than EC but successfully remove arsenic after the oxidation process.EC is the most common method for removing arsenic; it has a maximal efficiency of 96% at doses up to one litre and different concentrations.In the case of hybrid methods such as electro-oxidation with polymer enhanced ultrafiltration (PEUF), the use of cationic water soluble polymers showed a percentage of up to 100% of arsenic removal after a good perfor-mance in the previous electrocatalytic oxidation of As(III) to As(V).</t>
  </si>
  <si>
    <t>MAR 15</t>
  </si>
  <si>
    <t>10.1016/j.seppur.2022.123055</t>
  </si>
  <si>
    <t>WOS:000921244700001</t>
  </si>
  <si>
    <t>Fernandez, AM; Acevedo, Y; Baeza, CG; Dufey, M; Puga, I</t>
  </si>
  <si>
    <t>Fernandez, Ana Maria; Acevedo, Yvone; Baeza, Carmen Gloria; Dufey, Michele; Puga, Isabel</t>
  </si>
  <si>
    <t>Jealousy protest to a social rival compared to a nonsocial rival in Chilean infants 10-20 months' old</t>
  </si>
  <si>
    <t>INFANCY</t>
  </si>
  <si>
    <t>Jealousy protests have been linked to the intrusion of social rivals challenging infants' exclusive access to maternal care and resources that typically accompany attachment. Previous studies revealed that the experimental presentation of social rivals evokes protest in as early as 6 months old infants. This study replicated research on jealousy protests in a novel language and sociocultural context with 10-20 months old infants. We compared protests of 45 children when their mothers attended to each of the rivals and controlled for attachment dimensions. As hypothesized, infants had a stronger jealousy protest to the social rival, and their response was associated with attachment avoidance. We concluded that our results contribute to evidence on jealousy protest as an evolutionary rooted phenomenon that favors the mother's attention in a social rivalry scenario over nonsocial stimuli. Attachment avoidance may be a precluding factor of jealousy when faced with a social rival scenario that deserves further research.</t>
  </si>
  <si>
    <t>Dufey, Michele/E-1358-2011; Fernandez, Ana Maria/E-6429-2011</t>
  </si>
  <si>
    <t>Fernandez, Ana Maria/0000-0003-4132-5891; Baeza Ugarte, Carmen Gloria/0000-0001-5316-3397</t>
  </si>
  <si>
    <t>1525-0008</t>
  </si>
  <si>
    <t>1532-7078</t>
  </si>
  <si>
    <t>10.1111/infa.12484</t>
  </si>
  <si>
    <t>MAY 2022</t>
  </si>
  <si>
    <t>WOS:000799690200001</t>
  </si>
  <si>
    <t>Arancibia, R; Lecaros, R; Mercado, A; Zamorano, S</t>
  </si>
  <si>
    <t>Arancibia, Rogelio; Lecaros, Rodrigo; Mercado, Alberto; Zamorano, Sebastian</t>
  </si>
  <si>
    <t>An inverse problem for Moore-Gibson-Thompson equation arising in high intensity ultrasound</t>
  </si>
  <si>
    <t>JOURNAL OF INVERSE AND ILL-POSED PROBLEMS</t>
  </si>
  <si>
    <t>In this article, we study the inverse problem of recovering a space-dependent coefficient of the Moore-Gibson-Thompson (MGT) equation from knowledge of the trace of the solution on some open subset of the boundary. We obtain the Lipschitz stability for this inverse problem, and we design a convergent algorithm for the reconstruction of the unknown coefficient. The techniques used are based on Carleman inequalities for wave equations and properties of the MGT equation.</t>
  </si>
  <si>
    <t>Mercado, Alberto/HNI-9127-2023; Lecaros, Rodrigo/LBH-1804-2024; Zamorano, Sebastián/AAY-2547-2020; Arancibia, Rogelio/HDO-2490-2022</t>
  </si>
  <si>
    <t>Lecaros, Rodrigo/0000-0003-3929-7684; Mercado Saucedo, Alberto Carlos/0000-0002-8311-1835</t>
  </si>
  <si>
    <t>0928-0219</t>
  </si>
  <si>
    <t>1569-3945</t>
  </si>
  <si>
    <t>10.1515/jiip-2020-0090</t>
  </si>
  <si>
    <t>APR 2022</t>
  </si>
  <si>
    <t>WOS:000787924000001</t>
  </si>
  <si>
    <t>Espinosa-Méndez, C; Correa, AI</t>
  </si>
  <si>
    <t>Espinosa-Mendez, Christian; Inostroza Correa, Alejandra</t>
  </si>
  <si>
    <t>Gender and financial performance in SMEs in emerging economies</t>
  </si>
  <si>
    <t>GENDER IN MANAGEMENT</t>
  </si>
  <si>
    <t>Purpose The purpose of this paper is to investigate how chief executive officer (CEO) gender relates to financial performance in small and medium enterprises (SMEs) in a Latin American emerging economy like Chile. Design/methodology/approach The authors apply a questionnaire on a sample of 188 SMEs in Chile in 2017. The authors apply multiple ordinary least squares regression models to test the effects of CEO gender on SME performance using the industry location indicators to account for unobserved heterogeneity in the sample. As a robustness test the authors use hierarchical regression analysis. Findings The authors find a positive relationship between the presence of female CEOs and firm performance. Then, when probing whether the sociodemographic characteristics of the CEO are related to firm performance or moderate the gender-performance relationship, the authors do not find statistically significant evidence that these types of characteristics affect the performance of SMEs. Originality/value To the best of the authors' knowledge, the present study is the first to investigate the relationship between CEO gender and financial performance of SMEs in an emerging Latin American economy. The study contributes to the general literature by reporting comparable evidence with studies in developed economies.</t>
  </si>
  <si>
    <t>Espinosa-Méndez, Christian/G-5177-2019</t>
  </si>
  <si>
    <t>Espinosa-Mendez, Christian/0000-0001-6499-2414; Inostroza-Correa, Maria Alejandra/0000-0003-0756-7352</t>
  </si>
  <si>
    <t>1754-2413</t>
  </si>
  <si>
    <t>1754-2421</t>
  </si>
  <si>
    <t>JUN 23</t>
  </si>
  <si>
    <t>10.1108/GM-03-2020-0071</t>
  </si>
  <si>
    <t>MAR 2022</t>
  </si>
  <si>
    <t>WOS:000769416100001</t>
  </si>
  <si>
    <t>Toon, E; Ubilla, P</t>
  </si>
  <si>
    <t>Toon, E.; Ubilla, P.</t>
  </si>
  <si>
    <t>Hamiltonian systems of Schrodinger equations with vanishing potentials</t>
  </si>
  <si>
    <t>In this paper, by means of minimax techniques involving Cerami sequences, we prove the existence of at least one pair of positive solutions for a Hamiltonian system of Schrodinger equations in R-N with potentials vanishing at infinity and subcritical nonlinearities which are superlinear at the origin and at infinity. We establish new estimates to prove the boundedness of a Cerami sequence.</t>
  </si>
  <si>
    <t>10.1142/S0219199720500741</t>
  </si>
  <si>
    <t>WOS:000752945700001</t>
  </si>
  <si>
    <t>Morales, S; Pastenes, C; Machado, VG; Rezende, MC</t>
  </si>
  <si>
    <t>Morales, Simone; Pastenes, Camila; Machado, Vanderlei G.; Rezende, Marcos C.</t>
  </si>
  <si>
    <t>Applications of a preferential-solvation index (PSI) for the comparison of binary mixtures with ionic liquids</t>
  </si>
  <si>
    <t>JOURNAL OF MOLECULAR LIQUIDS</t>
  </si>
  <si>
    <t>Applications of a preferential-solvation index (PSI) for comparing analogous binary mixtures with ionic liquids (ILs) are described with the analysis of more than sixty examples from the literature. Interesting trends and patterns are revealed, confirming conclusions based on more elaborate treatments, or disclosing puzzling discontinuities by comparison of analogous mixtures. The obtained trends also question the meaning of fitting parameters from classic models of preferential solvation and the existence of postulated entities that are hard to be conceived in binary mixtures of ILs. (C) 2021 Elsevier B.V. All rights reserved.</t>
  </si>
  <si>
    <t>Caroli, Marcos/H-3570-2019; Machado, Vanderlei/B-2269-2009</t>
  </si>
  <si>
    <t>0167-7322</t>
  </si>
  <si>
    <t>1873-3166</t>
  </si>
  <si>
    <t>10.1016/j.molliq.2021.117644</t>
  </si>
  <si>
    <t>WOS:000708703200034</t>
  </si>
  <si>
    <t>Peralta, FA; Huidobro-Toro, JP; Mera-Adasme, R</t>
  </si>
  <si>
    <t>Peralta, Francisco Andres; Huidobro-Toro, J. Pablo; Mera-Adasme, Raul</t>
  </si>
  <si>
    <t>Hybrid QM/MM Simulations Confirm Zn(II) Coordination Sphere That Includes Four Cysteines from the P2 x 4R Head Domain</t>
  </si>
  <si>
    <t>To ascertain the role of Zn(II) as an allosteric modulator on P2X4R, QM/MM molecular dynamic simulations were performed on the WT and two P2X4R mutants suggested by previous electrophysiological data to affect Zn(II) binding. The Gibbs free energy for the reduction of the putative P2X4R Zn(II) binding site by glutathione was estimated at -22 kcal/mol. Simulations of the WT P2X4R head domain revealed a flexible coordination sphere dominated by an octahedral geometry encompassing C126, N127, C132, C149, C159 and a water molecule. The C132A mutation disrupted the metal binding site, leading to a coordination sphere with a majority of water ligands, and a displacement of the metal ion towards the solvent. The C132A/C159A mutant exhibited a tendency towards WT-like stability by incorporating the R148 backbone to the coordination sphere. Thus, the computational findings agree with previous experimental data showing Zn(II) modulation for the WT and C132A/C159A variants, but not for the C132A mutant. The results provide molecular insights into the nature of the Zn(II) modulation in P2X4R, and the effect of the C132A and C132A/C159A mutations, accounting for an elusive modulation mechanism possibly occurring in other extracellular or membrane protein.</t>
  </si>
  <si>
    <t>Mendizabal, Fernando/M-3408-2014</t>
  </si>
  <si>
    <t>Peralta, Francisco/0000-0002-0727-1706</t>
  </si>
  <si>
    <t>10.3390/ijms22147288</t>
  </si>
  <si>
    <t>WOS:000676141000001</t>
  </si>
  <si>
    <t>Herrera, MS; Elgueta, R; Fernández, MB; Giacoman, C; Leal, D; Marshall, P; Rubio, M; Bustamante, F</t>
  </si>
  <si>
    <t>Soledad Herrera, M.; Elgueta, Raul; Beatriz Fernandez, M.; Giacoman, Claudia; Leal, Daniella; Marshall, Pio; Rubio, Miriam; Bustamante, Felipe</t>
  </si>
  <si>
    <t>A longitudinal study monitoring the quality of life in a national cohort of older adults in Chile before and during the COVID-19 outbreak</t>
  </si>
  <si>
    <t>BackgroundConfinement during the COVID-19 pandemic has placed great stress on older adults, which may be affecting their quality of life. Thus, this study aims to describe the changes in mental and physical health, isolation and loneliness, residence and socioeconomic resources in a national cohort of Chilean older adults before and during the COVID-19 outbreak. It also analyzes the changes in depressive symptoms by changes in the other quality of life indicators before and during the COVID-19 outbreak. Possible methodological biases of telephone surveys in older adults living in non-developed countries are also discussed.MethodsBetween June and September 2020, a random subsample of 720 people who had participated in the face-to-face V National Survey on Quality of Life in Older Adults in Chile conducted at the end of 2019 was followed up by telephone. Descriptive bivariate analyses were performed using t-test and non-parametric tests for independent variables, comparing the baseline sample with the current 2020 follow-up sample during the peak of the pandemic outbreak in Latin America. Furthermore, descriptive bivariate analysis through t-test and non-parametric test for paired samples compared the follow-up subsample at baseline with the not-included sample, examining possible biases of the telephone interview compared with the face-to-face interview.ResultsIn the panel, there was no variation in self-rated health. The health symptoms that worsened were memory, stomach, and mood problems. Depressive symptoms and anxiety increased; similarly, smartphone users, social contacts, intergenerational co-residence and resilience increased. The telephone follow-up sample had a higher educational level and greater smartphone use than those not included in the subsample.ConclusionsAlthough some physical and mental health indicators have worsened during the pandemic, older adults mobilized resources that could allow them to maintain their quality of life, such as improved resilience. Thus, these findings can guide future research and the development of efficient strategies to improve these resources among older adults to ensure wellbeing.</t>
  </si>
  <si>
    <t>Sjöberg, Marcela/HTR-0309-2023; Giacoman, Claudia/L-1314-2016</t>
  </si>
  <si>
    <t>Fernandez Lorca, M.Beatriz/0000-0001-5400-3168; Leal, Daniella/0009-0001-7882-3504; Giacoman, Claudia/0000-0002-4527-625X; Herrera, M. Soledad/0000-0001-5178-806X</t>
  </si>
  <si>
    <t>FEB 26</t>
  </si>
  <si>
    <t>10.1186/s12877-021-02110-3</t>
  </si>
  <si>
    <t>WOS:000624485400002</t>
  </si>
  <si>
    <t>Candia-Onfray, C; Rojas, S; Zanoni, MVB; Salazar, R</t>
  </si>
  <si>
    <t>Candia-Onfray, Christian; Rojas, Susana; Boldrin Zanoni, Maria Valnice; Salazar, Ricardo</t>
  </si>
  <si>
    <t>An updated review of metal-organic framework materials in photo(electro)catalytic applications: From CO2 reduction to wastewater treatments</t>
  </si>
  <si>
    <t>This review summarizes recent advances in the development of metal-organic framework (MOF) materials, focusing on their photocatalytic and photoelectrocatalytic activities for different applications, such as CO2 reduction, water splitting, elimination of inorganic contaminants, and degradation of organic pollutants. In each section, the first applications described focus on the photocatalysts developed using MOF materials. Meanwhile, the latest are centered on photoelectrode applications using these materials. The last advances in the synthesis process are discussed in terms of improvement in electron transfer and charge separation, which enhance the activity of the photo (electro)catalysts. Finally, some insights about the upcoming applications of MOF materials are provided.</t>
  </si>
  <si>
    <t>Salazar, Ricardo/L-7870-2013; Rojas de la Fuente, Susana/AAP-2967-2020; ZANONI, MARIA VALNICE/ABH-3301-2020; Candia-Onfray, Christian/AHB-7261-2022; boldrin, maria valnice/D-4251-2013</t>
  </si>
  <si>
    <t>Rojas de la Fuente, Susana Dennis/0000-0003-0557-0734; Onfray, Christian/0000-0001-5485-9169; Salazar-Gonzalez, Ricardo/0000-0003-2180-6022; boldrin, maria valnice/0000-0002-2296-1393</t>
  </si>
  <si>
    <t>10.1016/j.coelec.2020.100669</t>
  </si>
  <si>
    <t>WOS:000632822300014</t>
  </si>
  <si>
    <t>Cox, C; García, C</t>
  </si>
  <si>
    <t>Cox, Cristian; Garcia, Carolina</t>
  </si>
  <si>
    <t>Chile's Citizenship Education Curriculum: Priorities and Silences Through Two Decades</t>
  </si>
  <si>
    <t>ENCOUNTERS IN THEORY AND HISTORY OF EDUCATION</t>
  </si>
  <si>
    <t>The article examines the evolution of the citizenship education curriculum in Chilean secondary education over last two decades from the perspective of the relevance of its contents for a democratic culture. The evidence and its analysis show the variations observed in the curricula are not related so much to the ideology of the governments that enact them as to socio-cultural changes of a macro nature, such as the growing emphasis on rights and participation. The analysis confirms some deficits common to the curricula, which have implications for the development of the democratic political culture in Chile. Among these are the scarce or null presence of the values of solidarity, the common good, and social cohesion, as well as a paradox of quasi-silence about voting, common in the curricula of Latin American countries and which is contrasted with the treatment of voting in the curricula of France and England.</t>
  </si>
  <si>
    <t>Garcia Gonzalez, Carolina/0000-0002-2723-2624</t>
  </si>
  <si>
    <t>1494-4936</t>
  </si>
  <si>
    <t>10.24908/encounters.v22i0.14991</t>
  </si>
  <si>
    <t>WOS:000747150100011</t>
  </si>
  <si>
    <t>Navarro, P; Vargas, C; Bahamonde, F; Gómez, M; Espinoza, D; Sepúlveda, R; Castillo, J</t>
  </si>
  <si>
    <t>Navarro, Patricio; Vargas, Cristian; Bahamonde, Fabiana; Gomez, Matias; Espinoza, Daniel; Sepulveda, Rossana; Castillo, Jonathan</t>
  </si>
  <si>
    <t>Effect of Pre-Treatment with Sodium Chloride/Sulfuric Acid on the Bornite Concentrate Leaching in Chloride Medium</t>
  </si>
  <si>
    <t>In this work, the effect of the pre-treatment of bornite concentrate with a sodium chloride-sulfuric acid mixture prior to leaching with chloride solutions was evaluated. The influence of the dosage of NaCl and the resting time in the copper solution was evaluated. The solid residues of the pre-treatment were characterized by XRD to evaluate the changes that took place in the bornite. The experimental results show that as the sitting time and the amount of sodium chloride added are increased, the dissolution of the sulfide species also increased. The pre-treatment affects Cu preferentially because it has greater mobility than iron in the bornite crystal lattice. The pre-treatment promotes the formation of soluble Cu and Fe species. The efficiency of the pre-treatment depends largely on the formation of hydrochloric acid in the mixture at the particle level, due to the ease with which it diffuses through the bornite particles, achieving greater penetration of the pre-treatment.</t>
  </si>
  <si>
    <t>Castillo, Jonathan/AAB-8092-2019</t>
  </si>
  <si>
    <t>Castillo, Jonathan/0000-0002-7794-4291; Sepulveda Rivera, Rossana Daniela/0000-0003-0288-8130</t>
  </si>
  <si>
    <t>10.3390/met10121674</t>
  </si>
  <si>
    <t>WOS:000602448700001</t>
  </si>
  <si>
    <t>Toon, Eduard; Ubilla, Pedro</t>
  </si>
  <si>
    <t>EXISTENCE OF POSITIVE SOLUTIONS OF SCHRODINGER EQUATIONS WITH VANISHING POTENTIALS</t>
  </si>
  <si>
    <t>We prove the existence of at least one positive solution for a Schrodinger equation in R-N of type -Delta u + V(x)u = f(x, u) in R-N with a vanishing potential at infinity and subcritical nonlinearity f. Our hypotheses allow us to consider examples of nonlinearities which do not verify the Ambrosetti-Rabinowitz condition, neither monotonicity conditions for the function f (x, s)/s. Our argument requires new estimates in order to prove the boundedness of a Cerami sequence.</t>
  </si>
  <si>
    <t>10.3934/dcds.2020248</t>
  </si>
  <si>
    <t>WOS:000545661800009</t>
  </si>
  <si>
    <t>Alaniz, AJ; Carvajal, MA; Vergara, PM</t>
  </si>
  <si>
    <t>Alaniz, Alberto J.; Carvajal, Mario A.; Vergara, Pablo M.</t>
  </si>
  <si>
    <t>Giants are coming? Predicting the potential spread and impacts of the giant Asian hornet (Vespa mandarinia, Hymenoptera:Vespidae) in the USA</t>
  </si>
  <si>
    <t>PEST MANAGEMENT SCIENCE</t>
  </si>
  <si>
    <t>BACKGOUND Biological invasions are a global concern in agriculture, food production and biodiversity. Among the invasive species, some hornets are known to have serious effects on honey bees, as found during the invasion ofVespa velutinain Europe. The recent findings ofVespa mandariniaindividuals in Washington state in the west coast of the USA have raised alarm in the whole country. Here we estimate the potential spread ofV. mandariniain the USA, analyzing its potential impacts on honey bee colonies, economic losses in the honey bee industry and bee-pollinated croplands. RESULTS We found thatV. mandariniacould colonize Washington and Oregon states in the west coast and a significant proportion of the east coast. If this species spread across the country, it could threaten 95 216 +/- 5551 honey bee colonies, threatening an estimated income of US$11.9 and 101.8 million for hive derived products and bee-pollinated crops production, respectively, while colonizing 60 837.8 km(2)of bee-pollinated croplands. CONCLUSION Our results suggest thatV. mandariniawill have serious effects in the USA, raising the need for prompt monitoring actions and planning at different administrative levels to avoid its potential spread.</t>
  </si>
  <si>
    <t>Vergara, Pablo/F-2519-2010; Alaniz, Alberto/J-3104-2019; Carvajal, Mario/GYU-2659-2022</t>
  </si>
  <si>
    <t>Alaniz, Alberto J./0000-0003-4878-8848; Vergara, Pablo/0000-0002-0024-1678</t>
  </si>
  <si>
    <t>1526-498X</t>
  </si>
  <si>
    <t>1526-4998</t>
  </si>
  <si>
    <t>10.1002/ps.6063</t>
  </si>
  <si>
    <t>SEP 2020</t>
  </si>
  <si>
    <t>WOS:000568840800001</t>
  </si>
  <si>
    <t>Cantillan, R; Herrera, J</t>
  </si>
  <si>
    <t>Cantillan, Roberto; Herrera, Jose</t>
  </si>
  <si>
    <t>Centrality of actors and blocks in the organizational networks of mobilization in the conflict for the Penalolen Communal Regulatory Plan in 2011</t>
  </si>
  <si>
    <t>EURE-REVISTA LATINOAMERICANA DE ESTUDIOS URBANO REGIONALES</t>
  </si>
  <si>
    <t>In the Chile of the last decade, the analysis of collective action in episodes of urban conflict has focused on the cognitive mechanisms of political subjectivation that are deployed in the praxis of social movements. In a complementary way, this article focuses on the emergency processes of political identities, analyzing the dynamics of influence and coordination between voluntary organizations involved in a particular conflict. Among the results, the heterogeneity of the most prominent actors stands out, but with a marked capacity of intermediation of some organizations of settlers. At the structural level the analysis of blocks indicates that a dynamic of social movement coordination was deployed through the interaction of differentiated collective action domains, and that it was this relationship that determined its greater probability of influence.</t>
  </si>
  <si>
    <t>0250-7161</t>
  </si>
  <si>
    <t>0717-6236</t>
  </si>
  <si>
    <t>WOS:000530030700002</t>
  </si>
  <si>
    <t>Pizarro, GD; Marambio, OG; Martin-Trasanco, R; Sánchez, J; Jeria-Orell, M; Oyarzún, DP</t>
  </si>
  <si>
    <t>Pizarro, Guadalupe del C.; Marambio, Oscar G.; Martin-Trasanco, Rudy; Sanchez, Julio; Jeria-Orell, Manuel; Oyarzun, Diego P.</t>
  </si>
  <si>
    <t>Microporous hybrid films from amphiphilic copolymers: surface coated with ZnS nanoparticles using the breath figure (BF) methodology</t>
  </si>
  <si>
    <t>CHEMICAL PAPERS</t>
  </si>
  <si>
    <t>High-performance catalysts and photovoltaics form key components for various technological applications. Because catalytic and photovoltaic reactions occur at the interfaces between reactants and surfaces, the chemical, physical, and structural properties of interfaces have been the focus of many studies. One route towards the improvement and optimization of such interfaces is the preparation of microporous materials from amphiphilic copolymers, which can also be surface coated with inorganic nanoparticles to obtain different properties. In this work, we have prepared microporous hybrid films with fluorescent properties from amphiphilic block copolymers surface coated with ZnS (NPs) based on the breath figure (BF) mechanism, keeping constant the concentration of ZnS NPs, solvent, humidity and substrates. The morphological and optical properties were investigated by microscopic and optical characterization techniques. As a result, the fabrication method facilitates the preparation of fluorescent porous films with varying morphological properties (shapes and diameter pore). The hybrid porous films containing polystyrene-b-polyacrylic acid, polystyrene-b-polyitaconic acid and polystyrene-b-polydialylmalonic acid were obtained with an average pore size of 0.57 +/- 0.04 mu m, 0.78 +/- 0.03 mu m and 1.50 +/- 0.04 mu m, respectively. An increase in the water contact angle (WCA) was observed in the block copolymer porous films after functional process with ZnS (NPs). Graphic abstract</t>
  </si>
  <si>
    <t>Sanchez, Julio/AEO-4360-2022; Martin-Trasancos, Rudy/L-2791-2017; PIZARRO, GUADALUPE/V-3353-2017; Oyarzun, Diego/MTF-4062-2025</t>
  </si>
  <si>
    <t>2585-7290</t>
  </si>
  <si>
    <t>1336-9075</t>
  </si>
  <si>
    <t>10.1007/s11696-020-01091-8</t>
  </si>
  <si>
    <t>WOS:000516389000001</t>
  </si>
  <si>
    <t>Madrid, ED; Lobos, FR; Sotot, I; Gatic, G</t>
  </si>
  <si>
    <t>Duran Madrid, Esteban; Rojas Lobos, Felix; Sotot, Ismael; Gatic, Gustavo</t>
  </si>
  <si>
    <t>Hysteresis based FSK modulation for visible light communication</t>
  </si>
  <si>
    <t>In this paper it is shown a way to perform a customized FSK modulation scheme suitable for multiuser Visible Light Communication (VLC). A hysteresis band current controller is simulated at the power stage for modulate the LED current using the FSK modulation as reference. A digital filter based demodulation scheme is presented also, in order to recovering the information contained in the LED current. Finally, simulation results are presented for validate the proposed schemes.</t>
  </si>
  <si>
    <t>10.1109/sacvlc50805.2020.9129893</t>
  </si>
  <si>
    <t>WOS:000856038700010</t>
  </si>
  <si>
    <t>de Zárate, VVO; Vallejos, JP</t>
  </si>
  <si>
    <t>Ortiz de Zarate, V. Valdivia; Pinto Vallejos, J.</t>
  </si>
  <si>
    <t>Thinking of the Chilean Right, 1925-1932</t>
  </si>
  <si>
    <t>ISTORIYA-ELEKTRONNYI NAUCHNO-OBRAZOVATELNYI ZHURNAL</t>
  </si>
  <si>
    <t>This article explores the rise of Chile's Old Right between 1925 and 1931, especially the economic-entrepreneurial Right and the political Right clustered around the traditional Conservative and Liberal parties. Our hypothesis holds that more than one Right arose during these years, sharing some basic traits but with different derivations: one associated with military President Ibanez, with strong programmatic influence but no party expression; and another linked to business and traditional politics. These crystallized into the old Right: parties and business associations sharing a bellicose political style, ample social alliances, and well-defined programmatic aims (quite distant from the pragmatic flexibility often ascribed to them). In formulating this platform, the influence of the economic Right proved decisive, stamping its imprint for the remainder of the 20th century.</t>
  </si>
  <si>
    <t>2079-8784</t>
  </si>
  <si>
    <t>10.18254/S207987840010117-7</t>
  </si>
  <si>
    <t>WOS:000572044500006</t>
  </si>
  <si>
    <t>Gutiérrez-Cerón, C; Silva, N; Ponce, I; Zagal, JH</t>
  </si>
  <si>
    <t>Gutierrez-Ceron, C.; Silva, N.; Ponce, I; Zagal, J. H.</t>
  </si>
  <si>
    <t>Testing Reactivity Descriptors for the Electrocatalytic Activity of OPG Hybrid Electrodes Modified with Iron Macrocyclic Complexes and MWCNTs for the Oxidation of Reduced Glutathione in Basic Medium</t>
  </si>
  <si>
    <t>RUSSIAN JOURNAL OF ELECTROCHEMISTRY</t>
  </si>
  <si>
    <t>In this work we have tested the Fe(III)/(II) redox potential of the catalysts as a reactivity descriptors of iron macrocyclic complexes (FeN4) adsorbed on multi-walled carbon nanotubes (MWCNTs) and deposited on ordinary pyrolytic graphite (OPG). The reaction examined is the oxidation of glutathione (GSH) a biologically important molecule. The experiments were conducted in 0.1 M NaOH and kinetic measurements were performed on MWCNT previously modified with FeN4 macrocycle complexes. This modified FeN4-MWCNTs were deposited on pristine OPG electrodes. From previous work it is known that for FeN4 complexes directly adsorbed on OPG, the activity as (logi)(E) plotted versus the Fe(II)/(I) redox potential follows a volcano correlation for the oxidation of glutathione. We wanted to test these correlations on hybrid electrodes containing MWCNTs and essentially the carbon nanotubes have no influence in these correlations and the redox potentials a are good reactivity descriptors, regardless of the way the FeN4 catalysts are attached to the electrode. Further, we find volcano correlations when using the Fe(II)/(I) and the Fe(III)/(II) redox potentials as reactivity descriptors. The volcano correlation when using the Fe(III)/(II) redox potential exhibits a maximum at E degrees = -0.26 V vs SCE which is close to the potential for comparing the different activities. This interesting result seems to indicate that the maximum cannot be explained only in terms of the Sabatier principle where theta(RS), the surface coverage of adsorbed intermediate is close to 0.5 but instead to a surface coverage of active sites theta(Fe(II)) equal to 0.5, which occurs at the Fe(III)/(II) formal potential.</t>
  </si>
  <si>
    <t>zagal, jose/L-9648-2014; Ponce, Ingrid/L-9679-2014</t>
  </si>
  <si>
    <t>Ponce Hormazabal, Ingrid/0000-0002-3896-9576</t>
  </si>
  <si>
    <t>1023-1935</t>
  </si>
  <si>
    <t>1608-3342</t>
  </si>
  <si>
    <t>10.1134/S1023193519110077</t>
  </si>
  <si>
    <t>WOS:000510678100012</t>
  </si>
  <si>
    <t>Rubio, MA; Bustamante, P; Vásquez, Y</t>
  </si>
  <si>
    <t>Rubio, Maria A.; Bustamante, Patricia; Vasquez P, Yeanice</t>
  </si>
  <si>
    <t>ATMOSPHERIC PHENOLIC DERIVATIVES AS TRACERS IN AN URBAN AREA</t>
  </si>
  <si>
    <t>The screening of certain chemical markers associated with the burning of fuels (gasoline, diesel, firewood, pellets, and kerosene) is carried out. The studied markers correspond to phenolic compounds present in emitted gases. Identification and quantification were performed by solid phase extraction followed by high-performance liquid chromatography with diode-array detection (HPLC-DAD). The volatile phenolic derivatives detected and quantified in these experiments were phenol (Ph), 2-nitrophenol (2-NPh), 4-nitrophenol (4-NPh), o-hydroxyphenol (2-HPh), 2-methoxyphenol (2-MetPh), 4-methoxyphenol(4-MetPh) and 2,4-dinitrophenol. The emissions from firewood- and pellet-burning heaters contain mainly o-hydroxyphenol, 4-methoxyphenol, and Ph. In the emissions from gasoline-powered vehicles, only Ph was detected, and in those of diesel-powered vehicles, only 2-NPh and 4-NPh were detected. Kerosene-burning heaters did not exhibit measurable amounts of phenolic compounds in their emissions. The controlled irradiation of the emissions from the burning of firewood and pellets using a photochemical camera showed high degrees of stability of these compounds. The studied phenolic derivatives did not photolyse or were not formed by the photochemical pathway; therefore, their origin is clearly primary, which allows their use as combustion tracers in a particular atmosphere. The presence of Ph derivatives in the Santiago atmosphere indicates the existence of mobile sources (daytime) and the use of firewood (night-time). The presence of 2-NPh and 4-NPh derivatives in the air would be strongly associated with the use of mobile sources that use diesel. In contrast, catechol is associated with the burning of wood for heating.</t>
  </si>
  <si>
    <t>10.4067/S0717-97072019000204407</t>
  </si>
  <si>
    <t>WOS:000489282100002</t>
  </si>
  <si>
    <t>Raijmakers, M; Shetty, A; Dvorai, RH; Tambur, A; Ison, MG</t>
  </si>
  <si>
    <t>Raijmakers, M.; Shetty, A.; Dvorai, R. Hod; Tambur, A.; Ison, M. G.</t>
  </si>
  <si>
    <t>Development of De Novo Antibody in Renal Transplant Recipients with BK Viremia Managed with Immunosuppression Reduction</t>
  </si>
  <si>
    <t>AMERICAN JOURNAL OF TRANSPLANTATION</t>
  </si>
  <si>
    <t>American Transplant Congress (ATC)</t>
  </si>
  <si>
    <t>JUN 01-05, 2019</t>
  </si>
  <si>
    <t>Boston, MA</t>
  </si>
  <si>
    <t>Shetty, Aneesha/JPL-1411-2023; Raijmakers, Mariella/ABD-8342-2021; Ison, Michael/AAI-2547-2019</t>
  </si>
  <si>
    <t>Raijmakers, Mariella/0000-0001-7100-4875</t>
  </si>
  <si>
    <t>1600-6135</t>
  </si>
  <si>
    <t>1600-6143</t>
  </si>
  <si>
    <t>C257</t>
  </si>
  <si>
    <t>WOS:000474897603200</t>
  </si>
  <si>
    <t>Pina, JC; Flores, EIS; Saavedra, K</t>
  </si>
  <si>
    <t>Carlos Pina, Juan; Saavedra Flores, Erick I.; Saavedra, Karin</t>
  </si>
  <si>
    <t>Numerical study on the elastic buckling of cross-laminated timber walls subject to compression</t>
  </si>
  <si>
    <t>The recent trend towards the use of Cross-Laminated Timber (CLT) as a novel construction material in mid- and high-rise buildings has steered the research efforts into this subject over the last few years. Despite the considerable progress made on the structural response of CLT, there are still several unresolved issues related to the analysis and design of CLT. This is of great interest for engineers and designers working on the mass timber construction sector. In particular, the buckling behaviour of CLT walls is a problem not fully understood to date. Therefore, in this paper we investigate the buckling capacity of CLT subject to compressive loads. In order to capture the heterogeneities present in wood, a multi scale modelling strategy is adopted. To improve the numerical predictions, an optimisation-based parameter identification procedure is performed to calibrate the micromechanical parameters of wood. The numerical predictions are compared with experimental results and are validated successfully. The numerical model is then used to study the influence of the number of layers and wall openings on the buckling capacity of CLT walls. (C) 2018 Elsevier Ltd. All rights reserved.</t>
  </si>
  <si>
    <t>Pina, Juan/AAC-3455-2021; Saavedra, Karin/AAH-9453-2021; Flores, Erick/I-7646-2012</t>
  </si>
  <si>
    <t>Saavedra, Karin/0000-0002-6795-0540; Pina, Juan Carlos/0000-0003-2556-3638</t>
  </si>
  <si>
    <t>FEB 28</t>
  </si>
  <si>
    <t>10.1016/j.conbuildmat.2018.12.013</t>
  </si>
  <si>
    <t>WOS:000458221600008</t>
  </si>
  <si>
    <t>Vera, A; Muñoz, JG; Hachim, L</t>
  </si>
  <si>
    <t>Vera, Alejandro; Guillermo Munoz, Juan; Hachim, Luis</t>
  </si>
  <si>
    <t>Book circulation between Spain and the Viceroyalty of Peru in the late eighteenth century</t>
  </si>
  <si>
    <t>REVISTA DE INDIAS</t>
  </si>
  <si>
    <t>This article studies book circulation between Spain and the Peruvian Viceroyalty at the end of the eighteenth century. Based on a systematic review, carried out in the Real Aduana collection from the Archivo General de la Nation del Peru, it analyses 48 shipments with books imported from Cadiz to Callao between 1779 and 1789, to be sold in Lima and, to a lesser extent, in other cities such as Santiago de Chile, Cuzco and Guayaquil The text is divided into two sections. The first reviews the framework of the cultural history of the book and preexisting bibliography, to conclude subsequently that, despite its valuable contributions, this has focused on the sixteenth and seventeenth centuries and has not examined the entry records of Callao, but only on the exit recoids kept in the Archivo General de Indias. The second section presents a first evaluation of the data gathered from primary sources, comparing these to the information already known about the transit of books to Peru. This allows us to conclude, among other ideas of interest, that the period studied was characterized by: the secularization of bibliographic material, mainly due to an increase in scientific books; the coexistence of traditional and modern works; Spanish printers' total understanding of the viceregal market, which received its editions the same year they appeared or shortly thereafter; and the effective reception of imported books by Viceroyalty inhabitants.</t>
  </si>
  <si>
    <t>Vera, Alejandro/KMX-4840-2024; Munoz, Jenny/JEO-9678-2023</t>
  </si>
  <si>
    <t>0034-8341</t>
  </si>
  <si>
    <t>1988-3188</t>
  </si>
  <si>
    <t>10.3989/revindias.2019.024</t>
  </si>
  <si>
    <t>WOS:000502242800007</t>
  </si>
  <si>
    <t>Zapata, PA; Palza, H; Díaz, B; Armijo, A; Sepúlveda, F; Ortiz, JA; Ramírez, MP; Oyarzún, C</t>
  </si>
  <si>
    <t>Zapata, Paula A.; Palza, Humberto; Diaz, Boris; Armijo, Andrea; Sepulveda, Francesca; Andres Ortiz, J.; Paz Ramirez, Maria; Oyarzun, Claudio</t>
  </si>
  <si>
    <t>Effect of CaCO3 Nanoparticles on the Mechanical and Photo-Degradation Properties of LDPE</t>
  </si>
  <si>
    <t>CaCO3 nanoparticles of around 60 nm were obtained by a co-precipitation method and used as filler to prepare low-density polyethylene (LDPE) composites by melt blending. The nanoparticles were also organically modified with oleic acid (O-CaCO3) in order to improve their interaction with the LDPE matrix. By adding 3 and 5 wt% of nanofillers, the mechanical properties under tensile conditions of the polymer matrix improved around 29%. The pure LDPE sample and the nanocomposites with 5 wt% CaCO3 were photoaged by ultraviolet (UV) irradiation during 35 days and the carbonyl index (CI), degree of crystallinity ((c)), and Young's modulus were measured at different times. After photoaging, the LDPE/CaCO3 nanocomposites increased the percent crystallinity ((c)), the CI, and Young's modulus as compared to the pure polymer. Moreover, the viscosity of the photoaged nanocomposite was lower than that of photoaged pure LDPE, while scanning electron microscopy (SEM) analysis showed that after photoaging the nanocomposites presented cavities around the nanoparticles. These difference showed that the presence of CaCO3 nanoparticles accelerate the photo-degradation of the polymer matrix. Our results show that the addition of CaCO3 nanoparticles into an LDPE polymer matrix allows future developments of more sustainable polyethylene materials that could be applied as films in agriculture. These LDPE-CaCO3 nanocomposites open the opportunity to improve the low degradation of the LDPE without sacrificing the polymer's behavior, allowing future development of novel eco-friendly polymers.</t>
  </si>
  <si>
    <t>Ortiz, J. Andrés/R-4060-2019; Sepúlveda, Francesca/AAW-8092-2021; Palza, Humberto/H-2782-2014</t>
  </si>
  <si>
    <t>Zapata, Paula Andrea/0000-0003-3361-6226; Sepulveda Espinoza, Francesca Antonella/0000-0001-5135-8123; Ortiz, J. Andres/0000-0002-3142-9470; Palza, Humberto/0000-0001-5246-6791</t>
  </si>
  <si>
    <t>JAN 1</t>
  </si>
  <si>
    <t>10.3390/molecules24010126</t>
  </si>
  <si>
    <t>WOS:000457150200126</t>
  </si>
  <si>
    <t>Navarrete, A; Cook, F; Celentano, D; Cruchaga, M; García-Herrera, C</t>
  </si>
  <si>
    <t>Navarrete, Alvaro; Cook, Felipe; Celentano, Diego; Cruchaga, Marcela; Garcia-Herrera, Claudio</t>
  </si>
  <si>
    <t>Numerical Simulation and Experimental Validation of Sheet Laser Forming Processes Using General Scanning Paths</t>
  </si>
  <si>
    <t>This work presents numerical simulations and an experimental validation of sheet laser forming processes using general scanning paths with different laser beam operating parameters (i.e., power, diameter, and scanning speed) in two specific graphite coated stainless steel blanks (i.e., with thicknesses of 0.3 mm and 0.6 mm for the AISI 302 and 304 alloys, respectively). To this end, three specific laser forming tests involving single S-shaped, multiple circular, and single piecewise linear scanning paths are carried out. On the other hand, the numerical simulation of these tests is performed via a coupled thermomechanical finite element formulation, accounting for large viscoplastic strains, temperature-dependent material properties, and convection-radiation phenomena. The final bending angles provided by this model are found to be in good agreement with the experimental measurements for all of the cases studied. Therefore, this modeling framework can be established as a reliable approach to predict the material thermomechanical response during sheet laser forming using general scanning paths.</t>
  </si>
  <si>
    <t>Celentano, Diego/0000-0002-7600-0619; Cruchaga, Marcela/0000-0002-8708-2402; Garcia-Herrera, Claudio/0000-0002-1283-8551</t>
  </si>
  <si>
    <t>10.3390/ma11071262</t>
  </si>
  <si>
    <t>WOS:000442117300213</t>
  </si>
  <si>
    <t>González, A; Sáez, CA; Morales, B; Moenne, A</t>
  </si>
  <si>
    <t>Gonzalez, Alberto; Saez, Claudio A.; Morales, Bernardo; Moenne, Alejandra</t>
  </si>
  <si>
    <t>Copper-induced activation of TRP channels promotes extracellular calcium entry and activation of CaMK, PKA, PKC, PKG and CBLPK leading to increased expression of antioxidant enzymes in Ectocarpus siliculosus</t>
  </si>
  <si>
    <t>PLANT PHYSIOLOGY AND BIOCHEMISTRY</t>
  </si>
  <si>
    <t>The existence of functional Transient Receptor Potential (TRP) channels was analyzed in Ectocarpus siliculosus using agonists of human TRPs and specific antagonists of TRPA1, TRPC5, TRPM8 and TRPV; intracellular calcium was detected for 60 min. Increases in intracellular calcium were observed at 13, 29, 39 and 50-52 min, which appeared to be mediated by the activation of TRPM8/V1 at 13 min, TRPV1 at 29 min, TRPA1/V1 at 39 min and TRPA1/C5 at 50-52 min. In addition, intracellular calcium increases appear to be due to extra cellular calcium entry, not requiring protein kinase activation. On the other hand, 2.5 mu M copper exposure induced increased intracellular calcium at 13, 29, 39 and 51 min, likely due to the activation of a TRPA1/V1 at 13 min, TRPA1/C5/M8 at 29 min, TRPC5/M8 at 39 min, and a TRPC5/V1 at 51 min. The increases in intracellular calcium induced by copper were due to extracellular calcium entry and required protein kinase activation. Furthermore, from 3 to 24 h, copper exposure induced an increase in the level of transcripts encoding antioxidant enzymes such as superoxide dismutase, ascorbate peroxidase, glutathione reductase and peroxiredoxin. The described upregulation decreased with inhibitors of CaMK, PKA, PKC, PKG and CBLPK, as well as with a mixture of TRP inhibitors. Thus, copper induces the activation of TRP channels allowing extracellular calcium entry as well as the activation of CaMK, PKA, PKC, PKG and CBLPK leading to increased expression of genes encoding antioxidant enzymes in E. siliculosus.</t>
  </si>
  <si>
    <t>Morales Castañeda, Bernardo/GPP-1642-2022; González, Alberto/IYJ-8593-2023; Sáez, Claudio/AAP-6923-2021</t>
  </si>
  <si>
    <t>Saez, Claudio/0000-0002-5037-3484; Gonzalez Figueroa, Alberto/0000-0002-5777-9022; Moenne, Alejandra/0000-0002-7309-9713</t>
  </si>
  <si>
    <t>0981-9428</t>
  </si>
  <si>
    <t>1873-2690</t>
  </si>
  <si>
    <t>10.1016/j.plaphy.2018.02.032</t>
  </si>
  <si>
    <t>WOS:000430777100012</t>
  </si>
  <si>
    <t>Lizama, C; Roncal, L</t>
  </si>
  <si>
    <t>Lizama, Carlos; Roncal, Luz</t>
  </si>
  <si>
    <t>HOLDER-LEBESGUE REGULARITY AND ALMOST PERIODICITY FOR SEMIDISCRETE EQUATIONS WITH A FRACTIONAL LAPLACIAN</t>
  </si>
  <si>
    <t>We study the equations partial derivative(t)u(t, n) = Lu(t, n) + f (u(t, n), n); partial derivative(t)u(t, n) = iLu(t, n) + f(u(t, n), n) and partial derivative(tt)u(t, n) = Lu(t, n) + f(u(t, n),n), where n is an element of Z, t is an element of (0, infinity), and L is taken to be either the discrete Laplacian operator Delta(d) f(n) = f (n +1) -2 f(n) + f(n - 1), or its fractional powers -(-Delta(d))(sigma) 0 &lt; sigma &lt; 1. We combine operator theory techniques with the properties of the Bessel functions to develop a theory of analytic semigroups and cosine operators generated by Delta(d) and -(-Delta(d))(sigma). Such theory is then applied to prove existence and uniqueness of almost periodic solutions to the above-mentioned equations. Moreover, we show a new characterization of well-posedness on periodic Holder spaces for linear heat equations involving discrete and fractional discrete Laplacians. The results obtained are applied to Nagumo and Fisher-KPP models with a discrete Laplacian. Further extensions to the multidimensional setting Z(N) are also accomplished.</t>
  </si>
  <si>
    <t>Lizama, Carlos/E-5909-2011; Roncal, Luz/H-3811-2015</t>
  </si>
  <si>
    <t>Roncal, Luz/0000-0003-0852-3677</t>
  </si>
  <si>
    <t>10.3934/dcds.2018056</t>
  </si>
  <si>
    <t>WOS:000432845000016</t>
  </si>
  <si>
    <t>Baigorrotegui, G</t>
  </si>
  <si>
    <t>Estenssoro, F; Vasquez, JP</t>
  </si>
  <si>
    <t>Baigorrotegui, Gloria</t>
  </si>
  <si>
    <t>GROW, BELIEVE AND EXTRACT: Notes on Renewable Energy Transit and its hard modes in Latin America from two examples</t>
  </si>
  <si>
    <t>PERSPECTIVAS LATINOAMERICANAS EN EL DEBATE AMBIENTAL MUNDIAL: El Medio Ambiente y los Recursos Naturales como Variables Politicas y Estrategicas de America Latina en el Siglo XXI. The Environment and Natural Resources as Political and Strategic Variables of Latin America in the XXI Century</t>
  </si>
  <si>
    <t>978-956-303-364-9</t>
  </si>
  <si>
    <t>WOS:000668284400012</t>
  </si>
  <si>
    <t>Rodríguez, C; Barbosa, KA; Coutinho, D</t>
  </si>
  <si>
    <t>Rodriguez, Carlos; Barbosa, Karina A.; Coutinho, Daniel</t>
  </si>
  <si>
    <t>Robust H∞ state-feedback design for discrete-time descriptor systems</t>
  </si>
  <si>
    <t>IFAC PAPERSONLINE</t>
  </si>
  <si>
    <t>Joint Meeting of the 2nd IFAC Workshop on Linear Parameter Varying Systems (LPVS) / 9th IFAC Symposium on Robust Control Design (ROCOND)</t>
  </si>
  <si>
    <t>SEP 03-05, 2018</t>
  </si>
  <si>
    <t>Florianopolis, BRAZIL</t>
  </si>
  <si>
    <t>Int Federat Automat Control, Tech Comm 2 2 Linear Control Syst,Int Federat Automat Control, Tech Comm 1 1 Modelling, Indentificat &amp; Signal Proc,Int Federat Automat Control, Tech Comm 2 5 Robust Control,Int Federat Automat Control, Tech Comm 6 4 Fault Detect, Supervis &amp; Safety Tech Proc,Int Federat Automat Control, Tech Comm 7 3 Aerosp,Int Federat Automat Control, Tech Comm 1 5 Networked Syst,Int Federat Automat Control, Tech Comm 2 1 Control Design,Int Federat Automat Control, Tech Comm 2 4 Optimal Control</t>
  </si>
  <si>
    <t>This paper deals with the design of robust H-infinity controllers for discrete-time descriptor systems with uncertain time-varying parameters in all state space matrices. It is assumed that the system matrices are affine functions of uncertain bounded parameters with bounded variations. Firstly, a novel version of the Bound Real Lemma for linear discrete time varying descriptor systems is presented. Then, the latter result is specialized for state-feedback design in terms of linear matrix inequality constraints in order to ensure the closed-loop admissibility while guaranteeing an upper-bound on the system H-infinity-norm for all admissible uncertainty. Numerical examples are presented to illustrate the proposed control design technique. (C) 2018, IFAC (International Federation of Automatic Control) Hosting by Elsevier Ltd. All rights reserved.</t>
  </si>
  <si>
    <t>Ledesma, Carlos/V-5540-2019; Barbosa, Karina/A-2236-2014; Coutinho, Daniel/M-6790-2013</t>
  </si>
  <si>
    <t>Barbosa, Karina A./0000-0001-7183-2662</t>
  </si>
  <si>
    <t>2405-8963</t>
  </si>
  <si>
    <t>10.1016/j.ifacol.2018.11.085</t>
  </si>
  <si>
    <t>WOS:000451094400014</t>
  </si>
  <si>
    <t>Second Order Abstract Neutral Functional Differential Equations</t>
  </si>
  <si>
    <t>JOURNAL OF DYNAMICS AND DIFFERENTIAL EQUATIONS</t>
  </si>
  <si>
    <t>In this paper we are concerned with a class of second order abstract neutral functional differential equations with finite delay in a Banach space. We establish the existence of mild and classical solutions for the nonlinear equation, and we show that the map defined by the mild solutions of the linear equation is a strongly continuous semigroup of bounded linear operators on an appropriate space. We use this semigroup to establish a variation of constants formula to solve the inhomogeneous linear equation.</t>
  </si>
  <si>
    <t>1040-7294</t>
  </si>
  <si>
    <t>1572-9222</t>
  </si>
  <si>
    <t>10.1007/s10884-015-9483-5</t>
  </si>
  <si>
    <t>WOS:000401663600012</t>
  </si>
  <si>
    <t>Cussen, C; Llorca-Jaña, M; Droller, F</t>
  </si>
  <si>
    <t>Cussen, Celia; Llorca-Jana, Manuel; Droller, Federico</t>
  </si>
  <si>
    <t>THE DYNAMICS AND DETERMINANTS OF SLAVE PRICES IN AN URBAN SETTING: SANTIAGO DE CHILE, c. 1773-1822</t>
  </si>
  <si>
    <t>REVISTA DE HISTORIA ECONOMICA</t>
  </si>
  <si>
    <t>This paper provides the first survey of slave prices for Santiago de Chile, c.1773-1822. It also establishes the main determinants of slave prices during this period. We gathered and analysed over 3,800 sale operations. Our series confirm the usual inverted U-shape when prices are plotted against age, and that age was a very important determinant of slave prices. We also found that: female slaves were systematically priced over male slaves, quite contrary to what happened in most other markets; the prime age of Santiago slaves was 16-34, a younger range than for most other places; male slave prices moved in the same direction as real wages of unskilled workers; and the impact of the free womb law on market prices in 1811 was dramatic.</t>
  </si>
  <si>
    <t>Droller, Federico/S-7630-2019; Cussen, Celia/IAQ-2315-2023; Llorca-Jaña, Manuel/AAB-9317-2020</t>
  </si>
  <si>
    <t>0212-6109</t>
  </si>
  <si>
    <t>2041-3335</t>
  </si>
  <si>
    <t>10.1017/S0212610915000361</t>
  </si>
  <si>
    <t>WOS:000388318500005</t>
  </si>
  <si>
    <t>Carvajal, MA; Vergara, AP; Santander, R; Osorio, ME</t>
  </si>
  <si>
    <t>Carvajal, Marcela A.; Vergara, Alejandra P.; Santander, Rocio; Osorio, Mauricio E.</t>
  </si>
  <si>
    <t>Chemical Composition and Anti-phytopathogenic Activity of the Essential Oil of Beilschmiedia miersii</t>
  </si>
  <si>
    <t>NATURAL PRODUCT COMMUNICATIONS</t>
  </si>
  <si>
    <t>Beilschmiedia miersii (Gay) Kosterm. (Lauraceae) (Belloto del Norte) is a little-studied tree endemic of the Central Zone of Chile. Hydrodistillation of leaves and stem bark of B. miersii yielded 0.2% essential oil. GC-MS analysis allowed identification of 31 components. The most abundant compounds were three phenylpropanoids: Sarisan (45.8%), eugenol methyl ether (27.7%) and safrole (5.8%). The oil of B. miersii showed high antioxidant content (TEAC: 750.8 +/- 9.6 mu mol/100 g of essential oil). The anti-phytopathogenic activity was evaluated against pathogens of plants: Fungi (Botrytis cinerea, Gibberella fujikuroi and Phytophthora cinnamomi) and bacteria: (Erwinia carotovora, Pseudomonas syringae and Agrobacterium tumefaciens). The oil showed antiphytopathogenic activity against all tested bacteria and fungi, especially against A. twnefaciens (IC50 = 5 mu g / mL) and P. cinnamomi (IC50 = 200 mu g / mL). This study demonstrates that the essential oil of B. miersii has great potential for applications in food and agricultural industries.</t>
  </si>
  <si>
    <t>CARVAJAL, MARCELA/LXU-5350-2024; Santander, Rocio/K-7645-2013</t>
  </si>
  <si>
    <t>1934-578X</t>
  </si>
  <si>
    <t>1555-9475</t>
  </si>
  <si>
    <t>WOS:000384513600045</t>
  </si>
  <si>
    <t>Di Cosmo, D; Santander, R; Urzúa, A; Palacios, SM; Rossi, Y</t>
  </si>
  <si>
    <t>Di Cosmo, Dania; Santander, Rocio; Urzua, Alejandro; Palacios, Sara M.; Rossi, Yanina</t>
  </si>
  <si>
    <t>Insecticidal effect of Cryptocarya alba essential oil on the housefly, Musca domestica L</t>
  </si>
  <si>
    <t>BOLETIN LATINOAMERICANO Y DEL CARIBE DE PLANTAS MEDICINALES Y AROMATICAS</t>
  </si>
  <si>
    <t>The composition of the essential oil (EO) from Cryptocarya alba obtained by hydro distillation of fresh leaves was analyzed using gas chromatography (GC) and gas chromatography/mass spectrosmetry (GC/MS). The insecticidal effect of the oil on the house fly Musca domestica was evaluated by placing flies in a sealed glass jar containing a piece of EO-treated cotton yarn. The dose necessary to kill 50% of flies (LC50) in 0.5 and 1 h was determined at 26 +/- 1 degrees C. The essential oil from Cryptocarya alba showed significant insecticidal properties [33.56 (7.06-159.50) mg/dm(3) (0.5 h) and 15.07 (5.29-42.91) mg/dm(3) (1 h)]. According to GC and GC/MS analysis a total of 38 compounds were identified. The composition of the Cryptocarya alba essential oil reported in this study is different to that reported in other publications with 4-terpineol (17.48%); 4- (3,3-dimethyl-but-1-ynyl) -4-hydroxy-2,6,6-trimethylcyclohex-2-enone (12.84%); 1,8-cineole (7.90%); p-cymene (7.11%) and sabinene (6.80%), accounting for 52.13% of the EO. The EO from Cryptocarya alba appears promising as a natural insecticide against houseflies.</t>
  </si>
  <si>
    <t>Santander, Rocio/K-7645-2013</t>
  </si>
  <si>
    <t>Urzua, Alejandro/0000-0003-2638-0921; ROSSI, YANINA E/0000-0002-7500-0051</t>
  </si>
  <si>
    <t>0717-7917</t>
  </si>
  <si>
    <t>WOS:000351495000005</t>
  </si>
  <si>
    <t>Sancy, M; Abarzúa, A; Azócar, MI; Blamey, JM; Boehmwald, F; Gómez, G; Vejar, N; Páez, M</t>
  </si>
  <si>
    <t>Sancy, Mamie; Abarzua, Andres; Ignacio Azocar, M.; Blamey, Jenny M.; Boehmwald, Freddy; Gomez, Grace; Vejar, Nelson; Paez, Martiza</t>
  </si>
  <si>
    <t>Biofilm formation on aluminum alloy 2024: A laboratory study</t>
  </si>
  <si>
    <t>In this paper we studied the influence of bacterial consortia on corrosion of fuel tanks of aircraft used often for pilot training. In the first part, we proceeded to the isolation and characterization of the consortia by DNA sequencing. The consortium was mainly constituted by two bacteria, which have a close affiliation to Bacillus subtilis and to Bacillus circulans. The substrate used in fuel tanks was an aluminum alloy 2024. Electrochemical measurements and morphological characterization were performed for different immersion times (1, 2, 3, 7 and 14 days) in sterile minimal salt medium (MSM) and in inoculated media (MSM + B. subtilis and MSM + consortia). For all immersion times, impedance diagrams showed a capacitive behavior characterized by a single constant time. Although for short exposure times, no corrosion process was evidenced, for longer exposure time, the resistance of the aluminum oxide (R-ox) decreased markedly, indicating that a corrosion process was taking place. (C) 2014 Elsevier B.V. All rights reserved.</t>
  </si>
  <si>
    <t>Azocar, Manuel/I-1226-2013; Paez, Maritza/M-2010-2014; Vejar, Nelson/M-7784-2017; Blamey, Jenny/M-2637-2014; Sancy, Mamie/L-6270-2014</t>
  </si>
  <si>
    <t>paez, maritza/0000-0001-5881-884X; Azocar Guzman, Manuel/0000-0003-1098-4659; Vejar, Nelson/0000-0002-9544-2199; Sancy, Mamie/0000-0001-9523-2629</t>
  </si>
  <si>
    <t>10.1016/j.jelechem.2014.08.015</t>
  </si>
  <si>
    <t>WOS:000349508300024</t>
  </si>
  <si>
    <t>Trade fair hall 11</t>
  </si>
  <si>
    <t>WOS:000541676300007</t>
  </si>
  <si>
    <t>Torres-Avilés, F; Romeo, JS; López-Kleine, L</t>
  </si>
  <si>
    <t>Torres-Aviles, Francisco; Romeo, Jose S.; Lopez-Kleine, Liliana</t>
  </si>
  <si>
    <t>Data mining and influential analysis of gene expression data for plant resistance gene identification in tomato (Solanum lycopersicum)</t>
  </si>
  <si>
    <t>Background: Molecular mechanisms of plant-pathogen interactions have been studied thoroughly but much about them is still unknown. A better understanding of these mechanisms and the detection of new resistance genes can improve crop production and food supply. Extracting this knowledge from available genomic data is a challenging task. Results: Here, we evaluate the usefulness of clustering, data-mining and regression to identify potential new resistance genes. Three types of analyses were conducted separately over two conditions, tomatoes inoculated with Phytophthora infestans and not inoculated tomatoes. Predictions for 10 new resistance genes obtained by all applied methods were selected as being the most reliable and are therefore reported as potential resistance genes. Conclusion: Application of different statistical analyses to detect potential resistance genes reliably has shown to conduct interesting results that improve knowledge on molecular mechanisms of plant resistance to pathogens. (c) 2014 Pontificia Universidad Catolica de Valparaiso. Production and hosting by Elsevier B.V. All rights reserved.</t>
  </si>
  <si>
    <t>Romeo, Jose/J-6496-2019; Torres-Aviles, Francisco/J-8269-2013</t>
  </si>
  <si>
    <t>Torres-Aviles, Francisco/0000-0001-7973-4709; Romeo, Jose/0000-0002-6707-3429</t>
  </si>
  <si>
    <t>10.1016/j.ejbt.2014.01.003</t>
  </si>
  <si>
    <t>WOS:000334441800001</t>
  </si>
  <si>
    <t>Castro, ME; Cottet, L; Castillo, A</t>
  </si>
  <si>
    <t>Castro, M. E.; Cottet, L.; Castillo, A.</t>
  </si>
  <si>
    <t>Biosynthesis of gold nanoparticles by extracellular molecules produced by the phytopathogenic fungus Botrytis cinerea</t>
  </si>
  <si>
    <t>MATERIALS LETTERS</t>
  </si>
  <si>
    <t>The biosynthesis of gold nanoparticles (AuNPs) by extracellular components of the phytopathogenic fungus Botrytis cinerea was observed. Chloroauric acid (HAuCl4) reduction and the formation of AuNPs were evidenced by a color change in the free-mycelium culture filtrate, from a pale yellow to a dark purple, and through an absorbance peak of 540 nm due to surface plasmon resonance of AuNPs. Characterization of the AuNPs showed triangular, hexagonal, spherical, decahedral, and pyramidal shapes of approximate sizes ranging from 1 to 100 nm. The experimental data presented in this study demonstrates that extracellular putative NADH-dependent reductase activity participates in reduction of HAuCl4 and in the subsequent formation of AuNPs. However, this reductase is not the only active component secreted by the fungus in this process as the formation of AuNPs also occurs in conditions of high denaturation. The present study is the first to report on a rapid and eco-friendly method for the production of AuNPs by B. cinerea. (C) 2013 Elsevier B.V. All rights reserved.</t>
  </si>
  <si>
    <t>0167-577X</t>
  </si>
  <si>
    <t>1873-4979</t>
  </si>
  <si>
    <t>10.1016/j.matlet.2013.10.020</t>
  </si>
  <si>
    <t>WOS:000329563400011</t>
  </si>
  <si>
    <t>Verdejo, AE; Soto, MD</t>
  </si>
  <si>
    <t>Espinoza Verdejo, Alex; Diaz Soto, Marcelo</t>
  </si>
  <si>
    <t>The participation of the unobserbvable entities in the mind-body problematic. Harmony between intelect and nature</t>
  </si>
  <si>
    <t>The object of this essay is to analyze the role played by unobservable or theoretical entities in the philosophical theories whose content is the mind-body problem. Substantialism, physicalism, philosophical behavioursm, and scepticism are the main sources of inspiration, and it is from them that I try to determine the pertinence or lack of pertinence of theoretical entities for the mind-body problem.</t>
  </si>
  <si>
    <t>WOS:000305983000010</t>
  </si>
  <si>
    <t>Mellado, C; Hanusch, F</t>
  </si>
  <si>
    <t>Mellado, Claudia; Hanusch, Folker</t>
  </si>
  <si>
    <t>Comparing professional identities, attitudes, and views in public communication: A study of Chilean journalists and public relations practitioners</t>
  </si>
  <si>
    <t>PUBLIC RELATIONS REVIEW</t>
  </si>
  <si>
    <t>Public relations (PR) practitioners' and journalists' professional views and attitudes toward each other have been a subject of academic inquiry during the past decades; however, much of this research has focused on Europe and North America. In other regions of the world, for example in Latin America, historical developments and social understandings have led to slightly different conceptualizations of PR and journalism. Using Chile as a case study, this paper reports the results of an examination of Chilean journalists' and PR practitioners' professional conceptions. While both groups tend to have somewhat similar views of media relations and see themselves as part of the same profession, there are also important differences which are most likely based on professional socialization processes rather than educational backgrounds or sociodemographic and work related variables. Implications for contextually grounded approaches to the study of PR and journalism are highlighted. (C) 2011 Elsevier Inc. All rights reserved.</t>
  </si>
  <si>
    <t>Hanusch, Folker/0000-0002-7344-0483; Mellado, Claudia/0000-0002-9281-1526</t>
  </si>
  <si>
    <t>0363-8111</t>
  </si>
  <si>
    <t>10.1016/j.pubrev.2011.08.014</t>
  </si>
  <si>
    <t>WOS:000295425500008</t>
  </si>
  <si>
    <t>Garin, JL; Mannheim, RL; Camus, MA</t>
  </si>
  <si>
    <t>Garin, J. L.; Mannheim, R. L.; Camus, M. A.</t>
  </si>
  <si>
    <t>Sigma-phase formation in weldments of cast super duplex stainless steel</t>
  </si>
  <si>
    <t>This paper decribes the microstructural characteristics of weldments of cast super duplex stainless steel (J93404), being subjected to annealing processes to induce formation of sigma-phase at high temperatures. The influence of heating time at 1073 K, 1123 K and 1173 K upon precipitation of sigma in the heat affected zone, base metal and fusion zone of the weldments was analyzed. The experimental results revealed the formation of this intermetallic compound throughout decomposition of the ferritic phase into austenite and sigma. At earlier stages of the transformation the phase rapidly nucleates and growth along the ferrite-austenite grain boundaries, and then massively advances towards the bulk of the ferritic zone with greater effectiveness as temperature increases. The formation of sigma-phase in all weldments resembles the Johnson-Mehl-Avrami's mechanism stated for nucleation and growth.</t>
  </si>
  <si>
    <t>10.3989/revmetalm.1041</t>
  </si>
  <si>
    <t>WOS:000295752300001</t>
  </si>
  <si>
    <t>A Metrics-based Diagnosis Tool for Enhancing Innovation Capabilities in SMEs (vol 5, pg 919, 2010)</t>
  </si>
  <si>
    <t>Florez, Martha/C-3359-2012; Camargo, Mauricio/F-1590-2010</t>
  </si>
  <si>
    <t>WOS:000289028900018</t>
  </si>
  <si>
    <t>Torres, S; Ferraudi, G; Chandía, NP; Matsuhiro, B</t>
  </si>
  <si>
    <t>Torres, S.; Ferraudi, G.; Chandia, N. P.; Matsuhiro, B.</t>
  </si>
  <si>
    <t>Observations on the mechanisms of the thermal and photoinduced oxidation of D-mannitol and fucoidan by transition metal complexes and inorganic radicals</t>
  </si>
  <si>
    <t>The mechanism of the D-mannitol and fucoidan oxidation by center dot OH, peroxyl radicals, PRX center dot = [image omitted], HOCH2[image omitted], and CH2([image omitted])[image omitted], inorganic radicals, [image omitted], [image omitted], and [NiIII(Me6-[14]aneN4)H2O]3+ was investigated by pulse radiolysis. Relative to the diffusion-controlled reaction of the center dot OH radical, the reactions of PRX center dot, [image omitted], and [image omitted] are slow, with a 105-106 (mol L-1)-1 s-1 order of magnitude. The formation of saccharide-Ni(III) complexes also accounts for oxidation of the D-mannitol and fucoidan by [NiIII(Me6-[14]aneN4)H2O]3+. A rate constant k = 2.2 x 107 (mol L-1)-1 s-1 was estimated for the complexation of [NiIII(Me6-[14]aneN4)H2O]3+ by D-mannitol. In addition, both carbohydrates accelerate the decay of the Ni(III) complex which occurs with half life t1/2 102 ms. Consistent with the formation of fucoidan-Cu2+ complexes, the flash irradiations of these complexes at 351 nm produces transient spectra assigned to [image omitted] (n = 2, 3) species. The non-linear dependence of the product concentration on the flash intensity shows that formation of the species is a biphotonic process.</t>
  </si>
  <si>
    <t>PII 932219153</t>
  </si>
  <si>
    <t>10.1080/00958972.2010.544724</t>
  </si>
  <si>
    <t>WOS:000287028700001</t>
  </si>
  <si>
    <t>Fuentes, LAT</t>
  </si>
  <si>
    <t>Trejo Fuentes, Luis Antonio</t>
  </si>
  <si>
    <t>Corruption and Inequality in the European Union</t>
  </si>
  <si>
    <t>REVISTA DE ESTUDIOS SOCIALES</t>
  </si>
  <si>
    <t>The central focus on this study is trust in government, including the perception of corruption that different groups have regarding the relationships between the actions of European Union-member states and their distributive policies. Are states with more resources immune to corruption? Is there a relationship between income inequality and the level of corruption in a country? Are countries with strong welfare states or with social-democratic policies less corrupt? This article reviews these and other questions theoretically and through a quantitative, cross-sectional analysis based on data from a governance study by the World Bank. It shows the importance of taking corruption into account, as well as effective self-regulation by corporations, in the design of public policies.</t>
  </si>
  <si>
    <t>0123-885X</t>
  </si>
  <si>
    <t>WOS:000285219000006</t>
  </si>
  <si>
    <t>Co, A; Leal, LG; Colby, RH; Giacomin, AJ</t>
  </si>
  <si>
    <t>Interplay of inertia and elasticity, enhanced heat transfer and change of type of vorticity in noncircular tube flow of nonlinear viscoelastic fluids</t>
  </si>
  <si>
    <t>XVTH INTERNATIONAL CONGRESS ON RHEOLOGY - THE SOCIETY OF RHEOLOGY 80TH ANNUAL MEETING, PTS 1 AND 2</t>
  </si>
  <si>
    <t>AIP Conference Proceedings</t>
  </si>
  <si>
    <t>15th International Congress on Rheology/80th Annual Meeting of the Society-of-Rheology</t>
  </si>
  <si>
    <t>AUG 03-08, 2008</t>
  </si>
  <si>
    <t>Monterey, CA</t>
  </si>
  <si>
    <t>Soc Rheol</t>
  </si>
  <si>
    <t>Heat transfer enhancement in steady pressure gradient driven laminar flow of a class of nonlinear viscoelastic fluids in straight tubes of noncircular cross-section at constant temperature is discussed together with the flow structure, and the physics is clarified. The variation of the average Nusselt number Nu with the Weissenberg Wi and Reynolds Re numbers in cross-sections with n axes of symmetry is analyzed. A continuous one-to-one mapping is used to obtain arbitrary tube contours from a base tube contour partial derivative D-0. The analytical method presented is capable of predicting the velocity and temperature fields in tubes with arbitrary cross-section. The base flow is the Newtonian field and is obtained at the lowest order. Heat transfer enhancements represented by average Nusselt numbers of an order of magnitude larger as compared to their Newtonian counterparts are predicted as a function of the Reynolds and Weissenberg numbers even for slightly non-Newtonian, dilute fluids. The asymptotic independence of Nu =f(Pe,Wi) -&gt; Nu = f(Pe) with increasing Wi is shown analytically for the first time. The implications on the heat transfer enhancement of the change of type of the vorticity equation is discussed in particular for slight deviations from Newtonian behavior where a rapid rise in enhancement seems to occur as opposed to the behavior for larger values of the Weissenberg number where the rate of increase is much slower. The coupling between viscoelastic and inertial nonlinearities is crucial to enhancement. Fluid vorticity will change type when the velocity in the centre of the tube is larger than a critical value defined by the propagation of the shear waves. The asymptotic independence of Nu from elasticity with increasing Wi is related to the extent of the supercritical region away from the wall controlled by the viscoelastic Mach number M and the Elasticity number E and its interaction with the growing strength of the secondary flows with Wi. The physics of the intertwined effects of the Elasticity E, Viscoelastic Mach M, Reynolds Re and Weissenberg Wi numbers on generating the heat transfer enhancement is discussed.</t>
  </si>
  <si>
    <t>0094-243X</t>
  </si>
  <si>
    <t>978-0-7354-0549-3</t>
  </si>
  <si>
    <t>WOS:000257623000026</t>
  </si>
  <si>
    <t>Ocaranza, MP; Varas, M; Godoy, I; Pinto, M; Román, M; Nilo, F; Mackenzie, D; Alarcón, M; Jalil, J; Lavandero, S</t>
  </si>
  <si>
    <t>Ocaranza, Maria Paz; Varas, Manuel; Godoy, Ivan; Pinto, Melissa; Roman, Maritza; Nilo, Flavia; Mackenzie, Denisse; Alarcon, Miguel; Jalil, Jorge; Lavandero, Sergio</t>
  </si>
  <si>
    <t>Up-regulation of ACE2 by enalapril is associated to lower cardiac remodeling in myocardial infarcted rat</t>
  </si>
  <si>
    <t>FASEB JOURNAL</t>
  </si>
  <si>
    <t>Experimental Biology 2007 Annual Meeting</t>
  </si>
  <si>
    <t>APR 28-MAY 02, 2007</t>
  </si>
  <si>
    <t>Alarcon Gutierrez, Miguel/GXW-2099-2022; Lavandero, Sergio/B-6001-2013; JALIL, JORGE/CAH-6100-2022; Ocaranza, Maria/AAC-6265-2019</t>
  </si>
  <si>
    <t>0892-6638</t>
  </si>
  <si>
    <t>A1008</t>
  </si>
  <si>
    <t>WOS:000245708702186</t>
  </si>
  <si>
    <t>Lorca, S; Ubilla, P</t>
  </si>
  <si>
    <t>Symmetric and nonsymmetric solutions for an elliptic equation on RN</t>
  </si>
  <si>
    <t>We obtain, for N greater than or equal to 4, the existence of a positive solution as well as a nonradial solution, which changes the sign of the equation [GRAPHICS] where the function f is a superlinear nonlinearity and the function V is a potential that is bounded below by a positive constant. As a consequence, we complete for the case V(z) equivalent to 1 and f(z,u) equivalent to f(u) the well-known work of Bartsh and Willen (J. Funct. Anal. 117 (1993) 261.) because there it does not consider the case N = 5. (C) 2004 Elsevier Ltd. All rights reserved.</t>
  </si>
  <si>
    <t>7-8</t>
  </si>
  <si>
    <t>10.1016/j.na.2004.03.034</t>
  </si>
  <si>
    <t>WOS:000223830300013</t>
  </si>
  <si>
    <t>Amat, A; Busquier, S; Plaza, S</t>
  </si>
  <si>
    <t>Dynamics of a family of third-order iterative methods that do not require using second derivatives</t>
  </si>
  <si>
    <t>The purpose of this article is to present results that amount to a description of the conjugacy classes of three third-order root-finding iterative methods that do not require the use of second derivatives for their formulation, for complex polynomials of degrees two, three and four. For degrees two and three, a full description of the conjugacy classes is accomplished, in each case, by a one-parameter family of polynomials. This is done in such a way that, when one applies one of these three root-finding iterative methods to the elements of these parametrized families, a family of iterative methods is obtained, in such a way that its dynamics represents, up to conjugacy, the dynamics of the corresponding iterative root-finding method applied to any complex polynomial having the same degree. For degree four, analogous partial results are obtained. (C) 2003 Elsevier Inc. All rights reserved.</t>
  </si>
  <si>
    <t>10.1016/S0096-3003(03)00747-1</t>
  </si>
  <si>
    <t>WOS:000223013900011</t>
  </si>
  <si>
    <t>Lemp, E; Zanocco, AL; Lissi, EA</t>
  </si>
  <si>
    <t>Linear free energy relationship analysis of solvent effects on singlet oxygen reactions</t>
  </si>
  <si>
    <t>CURRENT ORGANIC CHEMISTRY</t>
  </si>
  <si>
    <t>Linear solvation energy relationship, LSER, and theoretical linear solvation energy relationship, TLSER, formalisms are applied to the analysis of solvent effects on singlet oxygen reactions. Treatments allow quantitative evaluation of solvent effects and are powerful tools for interpreting the mechanism of the process. Both formalisms are applied to several amino derivatives, where for all types of solvents there is a single pattern, implying a common reaction mechanism involving charge transfer intermediates. The relative contribution of the different descriptors depends upon the compound considered, but a common feature is a significant negative dependence on the alpha parameter, which measures solvent acidity. Correlation equations obtained from analysis of singlet oxygen reactions with 1,3-dienes also exhibit a common dependence on the rho(H) parameter, that accounts for the cohesive energy of the solvent, and reflects the negative activation volume associated with concerted or partially concerted reactions. These formalisms can be also used to determine the main reaction center in polyfunctional compounds (e.g. boldine, vincamine, reserpine, and furosemide), to detect changes in the reaction mechanism with solvent properties (furosemide), and to evaluate the relative contribution of tautomers in equilibrium to the total reaction rate (piroxicam). This treatment could be used to analyze singlet oxygen reactivity in microheterogeneous systems and to predict relative rate constants in these systems.</t>
  </si>
  <si>
    <t>ZANOCCO, ANTONIO/0000-0002-6521-5382</t>
  </si>
  <si>
    <t>1385-2728</t>
  </si>
  <si>
    <t>1875-5348</t>
  </si>
  <si>
    <t>10.2174/1385272033486657</t>
  </si>
  <si>
    <t>WOS:000182837600001</t>
  </si>
  <si>
    <t>Duarte-Mermoud, MA; Travieso, JC</t>
  </si>
  <si>
    <t>Control of induction motors: an adaptive passivity MIMO perspective</t>
  </si>
  <si>
    <t>INTERNATIONAL JOURNAL OF ADAPTIVE CONTROL AND SIGNAL PROCESSING</t>
  </si>
  <si>
    <t>The design of two multiple-input multiple-output (MIMO) controllers for induction motors, based on adaptive passivity, is presented in this paper. The controller design method is based on concepts of equivalence passivity via adaptive feedback, previously developed by the authors. Robustness under variations of the motor-load parameters is guaranteed and the knowledge of such a parameters is not needed in the design. Simple proportional controllers for the torque, rotor flux and stator current control loops are used, due to the control simplification introduced by the use of feedback passive equivalence. A principle called 'Torque-Flux Control Principle' is used in this article introducing a considerable simplification in the resultant controller. Because of the employment of this principle, the control efforts are diminished and rotor flux estimation (or measurement) is avoided. Copyright (C) 2003 John Wiley Sons, Ltd.</t>
  </si>
  <si>
    <t>Duarte-Mermoud, Manuel A./I-2693-2013; Travieso Torres, Juan carlos/N-6437-2019</t>
  </si>
  <si>
    <t>Duarte-Mermoud, Manuel A./0000-0003-2367-4553; Travieso Torres, Juan carlos/0000-0002-9246-4827</t>
  </si>
  <si>
    <t>0890-6327</t>
  </si>
  <si>
    <t>1099-1115</t>
  </si>
  <si>
    <t>10.1002/acs.749</t>
  </si>
  <si>
    <t>WOS:000182971000003</t>
  </si>
  <si>
    <t>Moyano, PC; Vega, RE; Bunger, A; Garretón, J; Osorio, FA</t>
  </si>
  <si>
    <t>Effect of combined processes of osmotic dehydration and freezing on papaya preservation</t>
  </si>
  <si>
    <t>The effect of combined processes of osmotic dehydration, and freezing on papaya pieces preservation was evaluated. Sucrose solutions were used as osmotic medium. Two multifactorial experimental designs, in two levels, were conducted consecutively to quantify the effect of the following factors: temperature, osmotic dehydration time, concentration of the osmotic medium and freezing rate. The response variables considered were: sensory evaluation, instrumental colour, instrumental texture, water activity (a(w)), drip loss, and reducing and total sugars. The first experimental design selected fast freezing as the best process to preserve the texture of the fruit. From the second experimental design, under fast freezing, were obtained the following optimal levels: 65degreesBx for the concentration of the osmotic medium, 20degreesC for the syrup temperature and 60 min for the osmotic dehydration time. An acceptability test was performed under these conditions with 100 potential consumers on a 7-point hedonic scale, which gave 98% acceptance. Glass transition temperature (T-g') of the maximally cryoconcentrated liquid was -33.74degreesC for the product processed under optimum conditions, which was the closest value to the common storage temperature (-18degreesC) among all the measured samples.</t>
  </si>
  <si>
    <t>10.1106/108201302029183</t>
  </si>
  <si>
    <t>WOS:000181048200004</t>
  </si>
  <si>
    <t>Rodriguez-Pereira, C; Suarez-Peñaranda, JM; Barros, F; Sobrido, MJ; Vazquez-Salvado, M; Forteza, J</t>
  </si>
  <si>
    <t>Analysis of 2 antiapoptotic factors in gliomas -: bcl-2 overexpression and p53 mutations</t>
  </si>
  <si>
    <t>ARCHIVES OF PATHOLOGY &amp; LABORATORY MEDICINE</t>
  </si>
  <si>
    <t>Background.-p53 mutations and immunoreactivity have been described in human gliomas. During the past few years, some authors have found bcl-2 overexpression in astrocytomas, although their correlation with histological grade is a matter of disagreement. A relation between bcl-2 overexpression and p53 immunoreactivity has also been suggested. Objectives.-To analyze the frequency of presentation of bcl-2 and p53, their clinicopathologic implications, and their possible coexpression. Methods.-We studied p53 and bcl-2 with immunohistochemical and molecular methods in 61 gliomas (including 21 astrocytomas, 9 anaplastic astrocytomas, 29 glioblastomas, 1 oligodendroglioma, and 1 mixed glioma). Results.-We discovered a high level of bcl-2 overexpression (57%). Overexpression of bcl-2 can be an early event in gliomas tumorigenesis, although no correlation was found with any of the clinicopathologic parameters studied, p53 mutations were present in a small proportion of gliomas (17%). p53 immunoreactivity was present in 34 cases (57%), and it was related to histological grade and a supratentorial location. A high percentage of tumors (26 cases, 42%) presented p53 immunoreactivity without p53 mutations. Conclusions.-Since there was no relation between bcl-2 overexpression and p53 mutations or p53 immunoreactivity, both factors may not act together in the genesis and evolution of gliomas.</t>
  </si>
  <si>
    <t>SUAREZ PEÑARANDA, JOSE MANUEL/D-2688-2009</t>
  </si>
  <si>
    <t>0003-9985</t>
  </si>
  <si>
    <t>1543-2165</t>
  </si>
  <si>
    <t>WOS:000167012300012</t>
  </si>
  <si>
    <t>Vega, RE; Alvarez, PI; Canales, ER</t>
  </si>
  <si>
    <t>Dimensionless correlation for the heat transfer coefficient in a batch-indirect rotary drier</t>
  </si>
  <si>
    <t>A batch-indirect rotary drier heated with steam was experimentally operated to obtain data of moisture content and temperature versus time for soy meal and fish meal. Operation conditions were as follow: steam pressure (1 to 4 bar), rotation speed (3.7 to 11.6 r.p.m.) and rate of vapor extraction (0.059 to 0.256 m/s). From experimental data the effective heat transfer coefficient between the hot surface and the bed of solids was determined. These data were correlated by means of dimensional analysis as a function of the drying process variables. The equation obtained for the effective Nusselt number predicts adequately the effective heat transfer coefficient, for both substrates, in the range of the operating variables studied.</t>
  </si>
  <si>
    <t>10.1080/07373930008917846</t>
  </si>
  <si>
    <t>WOS:000165121500011</t>
  </si>
  <si>
    <t>Barbato, S; Restovic, A; Ortiz, J; Gautier, JL</t>
  </si>
  <si>
    <t>Hollandite anodes for lithium ion batteries</t>
  </si>
  <si>
    <t>Hollandite structure oxides, BaTi8O16, BaAl2Ti6O16 and BaMn8O16, were prepared with the purpose of studying their behavior as insertion anodes to improve the performance of lithium ion batteries. The compouns based on Ti became tetragonal hollandites, space group 14/m while BaMn8O16 presents monoclinic symmetry, space group 12/m. The insertion capacity of Li-ion depends on cation nature in the hollandite and decreases according to the following order: Ti &gt; Mn &gt; TI-AI. In Ti-based oxides, the specific capacity decreases 22% when Ti is replaced for two Al. The inverse derivatives of the potential (E) vs. intercalate concentration (x) relation showed two maximums related with order disorder lithium insertion process. The diffusion coefficients of Li+ ion insertion decreased with x and they followed the tendency Ti approximate to Mn &gt; Ti-Al. Experimental cells built using LiMn2O4 spinel as a cathode and Ti-hollandites as anode in LiClO4-PC electrolyte exhibited high capacity of discharge being 105 mAh/g for BaTi8O16LiMn2O4 and 81 mAh/g for BaAl2Ti6O16/LiMn2O4. These cells constitute a good alternative in order to improve the security of manipulation of the Li+ ion battery.</t>
  </si>
  <si>
    <t>WOS:000081380600011</t>
  </si>
  <si>
    <t>Schmidt, R; Moya, SA; Villagra, D; Binder, H; Heckmann, YG</t>
  </si>
  <si>
    <t>Reactions of gold tribromide with tetra-ter-butyl-cyclotetraphosphine</t>
  </si>
  <si>
    <t>We report on the reactions of gold tribromide with tetra-ter-buty-cyclotetraphosphine, (ter-BuP)(4), (1), carried out using two different stoichiometric relationships. The gold complexes, BuP)(4), (2), and (AuBr)(2) .(ter-BuP)(4), (3), were isolated and characterized essentially on the basis of elemental analysis and phosphorus nuclear magnetic resonance. The P-31(H-1)-NMR spectra of the gold complexes (2) and (3) correspond to AB(2)C and AA'XX' spin system types, respectively.</t>
  </si>
  <si>
    <t>Villagra, Diego/H-6694-2013</t>
  </si>
  <si>
    <t>WOS:A1996VZ85600009</t>
  </si>
  <si>
    <t>Rabagliati, FM; Quijada, R; Cuevas, MV; Terraza, CA</t>
  </si>
  <si>
    <t>Polymerization of styrene by diphenylzinc-additive systems .4. Ph(2)Zn-metallocene-MAO systems</t>
  </si>
  <si>
    <t>Styrene was polymerized using combined systems of diphenylzinc, Ph(2)Zn, and metallocene compounds activated by methylaluminoxane, MAO. From the various employed bis(indenyl)zirconium dichloride, Ind(2)ZrCl(2), [isopropyl(cyclopentadienyl)(1-fluorenyl)] zirconium dichloride, i-Pr(Flu)(Cp)ZrCl2, and bis(cyclopentadienyl) titanium dichloride, Cp(2)TiCl(2), produced the larger amounts of polymer. Ph(2)Zn-Cp(2)TiCl(2) - MAO system gave polystyrene, PSt, whose DSC analysis indicated a major endotherm peak at 256 degrees C. A butanone insoluble fraction of the polymer was separated from the crude PSt. The proportion of insoluble polymer depends on the metallocene employed and on the conversion to polymer.</t>
  </si>
  <si>
    <t>Terraza, Claudio/0000-0002-6326-8771; QUIJADA, RAUL/0000-0003-0791-6954</t>
  </si>
  <si>
    <t>10.1007/BF00313813</t>
  </si>
  <si>
    <t>WOS:A1996UT55200003</t>
  </si>
  <si>
    <t>LABBE, R; PEREDA, C; FERRER, R</t>
  </si>
  <si>
    <t>SOLITONS IN A HEISENBERG SPIN CHAIN WITH AN IMPURITY</t>
  </si>
  <si>
    <t>PHYSICA STATUS SOLIDI B-BASIC RESEARCH</t>
  </si>
  <si>
    <t>Labbe, Raul/C-4581-2008</t>
  </si>
  <si>
    <t>0370-1972</t>
  </si>
  <si>
    <t>K87</t>
  </si>
  <si>
    <t>K91</t>
  </si>
  <si>
    <t>10.1002/pssb.2221790238</t>
  </si>
  <si>
    <t>WOS:A1993MF12500037</t>
  </si>
  <si>
    <t>ALLIENDE, MA; ARANDA, M</t>
  </si>
  <si>
    <t>CYTOGENETIC STUDY IN PRIMARY GASTRIC ADENOCARCINOMA</t>
  </si>
  <si>
    <t>AMERICAN JOURNAL OF HUMAN GENETICS</t>
  </si>
  <si>
    <t>0002-9297</t>
  </si>
  <si>
    <t>WOS:A1991GR30901296</t>
  </si>
  <si>
    <t>HENRIQUEZ, HR; CASTILLO, G; RODRIGUEZ, A</t>
  </si>
  <si>
    <t>A GEOMETRIC PROPERTY OF CONTROL-SYSTEMS WITH STATES IN A BANACH-SPACE</t>
  </si>
  <si>
    <t>SYSTEMS &amp; CONTROL LETTERS</t>
  </si>
  <si>
    <t>0167-6911</t>
  </si>
  <si>
    <t>10.1016/0167-6911(87)90031-4</t>
  </si>
  <si>
    <t>WOS:A1987G187600006</t>
  </si>
  <si>
    <t>BARONE, R; CHANON, M; CONTRERAS, ML</t>
  </si>
  <si>
    <t>MICROCOMPUTER AND ORGANIC-SYNTHESIS APPLICATION OF AN INTERACTIVE PROGRAM TO THE PHOTOCHEMICAL-SYNTHESIS OF PHEROMONES</t>
  </si>
  <si>
    <t>NOUVEAU JOURNAL DE CHIMIE-NEW JOURNAL OF CHEMISTRY</t>
  </si>
  <si>
    <t>0398-9836</t>
  </si>
  <si>
    <t>WOS:A1984SX64500009</t>
  </si>
  <si>
    <t>ZABEL, V; WATSON, WH; URZUA, A; CASSELS, BK</t>
  </si>
  <si>
    <t>N,O-DIACETYL-4-HYDROXYNORNANTENINE</t>
  </si>
  <si>
    <t>ACTA CRYSTALLOGRAPHICA SECTION B-STRUCTURAL SCIENCE</t>
  </si>
  <si>
    <t>0108-7681</t>
  </si>
  <si>
    <t>10.1107/S056774087901164X</t>
  </si>
  <si>
    <t>WOS:A1979HZ11000088</t>
  </si>
  <si>
    <t>Cid-Aranda, C; López-Iturriaga, F</t>
  </si>
  <si>
    <t>Cid-Aranda, Carlos; Lopez-Iturriaga, Felix</t>
  </si>
  <si>
    <t>Control contestability, large shareholder identity, and corporate risk-taking: International evidence</t>
  </si>
  <si>
    <t>QUARTERLY REVIEW OF ECONOMICS AND FINANCE</t>
  </si>
  <si>
    <t>We analyse the relationship between ownership structure and corporate risk-taking in a sample of 271 listed firms from Brazil, Chile, Colombia, Mexico, and Peru between 2005 and 2020. We find that contesting the largest shareholder increases corporate risk-taking. We also show that the influence of largest shareholders on corporate risk-taking is conditional on shareholder identity; whereas family and government control is associated with lower corporate risk-taking, foreign control has the opposite influence. Finally, our results show that when the two largest shareholders are families, they align their interests to support conservative decisions and that when the largest shareholder is a family but the second is an institutional investor, contesting control attenuates suboptimal risk policies. Our results contribute to the literature by reporting evidence to disentangle the heterogeneity within blockholders and the bivalent relationship between controlling and non-controlling large owners. We provide valuable results to policymakers, investors, and practitioners alike vis-a`-vis discussing how specific ownership structures encourage risk-taking attitudes and -presumably- value-increasing policies.</t>
  </si>
  <si>
    <t>Lopez-Iturriaga, Felix J./F-5321-2012; Cid, Carlos/CAG-1839-2022</t>
  </si>
  <si>
    <t>Cid Aranda, Carlos/0000-0002-7597-1173</t>
  </si>
  <si>
    <t>1062-9769</t>
  </si>
  <si>
    <t>1878-4259</t>
  </si>
  <si>
    <t>10.1016/j.qref.2024.101957</t>
  </si>
  <si>
    <t>WOS:001411389300001</t>
  </si>
  <si>
    <t>Manzano-Flores, G</t>
  </si>
  <si>
    <t>Manzano-Flores, Gonzalo</t>
  </si>
  <si>
    <t>Sums of squares in function fields over henselian discretely valued fields</t>
  </si>
  <si>
    <t>Let n is an element of N and let K be a field with a henselian discrete valuation of rank n with hereditarily euclidean residue field. Let F/K be a function field in one variable. It is known that every sum of squares is a sum of 3 squares. We determine the order of the group of nonzero sums of 3 squares modulo sums of 2 squares in F in terms of equivalence classes of certain discrete valuations of F of rank at most n . In the case of function fields of hyperelliptic curves of genus g , K.J. Becher and J. Van Geel showed that the order of this quotient group is bounded by 2 n( g+1) . We show that this bound is optimal. Moreover, in the case where n = 1, we show that if F/K is a hyperelliptic function field such that the order of this quotient group is 2 g + 1 , then F is nonreal. (c) 2024 Elsevier B.V. All rights are reserved, including those for text and data mining, AI training, and similar technologies.</t>
  </si>
  <si>
    <t>10.1016/j.jpaa.2024.107756</t>
  </si>
  <si>
    <t>WOS:001266002100001</t>
  </si>
  <si>
    <t>Becher, KJ; Grimm, D</t>
  </si>
  <si>
    <t>Becher, Karim Johannes; Grimm, David</t>
  </si>
  <si>
    <t>Nonsplit conics in the reduction of an arithmetic curve</t>
  </si>
  <si>
    <t>For a function field in one variable F/ K and a discrete valuation v of K with perfect residue field k, we bound the number of discrete valuations on F extending v whose residue fields are non-ruled function fields in one variable over k. Assuming that K is relatively algebraically closed in F, we find that the number of non-ruled residually transcendental extensions of v to F is bounded by g + 1 where g is the genus of F/ K. An application to sums of squares in function fields of curves over R((t)) is outlined.</t>
  </si>
  <si>
    <t>Grimm, David/0000-0003-2651-0298; Becher, Karim Johannes/0000-0002-6197-594X</t>
  </si>
  <si>
    <t>10.1007/s00209-023-03395-3</t>
  </si>
  <si>
    <t>WOS:001114308100001</t>
  </si>
  <si>
    <t>Segovia, C; Gamboa, R</t>
  </si>
  <si>
    <t>Segovia, Carolina; Gamboa, Ricardo</t>
  </si>
  <si>
    <t>Emotions and Electoral Participation: The 2017 Chilean Presidential Election</t>
  </si>
  <si>
    <t>POLITICA Y GOBIERNO</t>
  </si>
  <si>
    <t>This article analyzes the association between emotions and electoral participation. It asks which encourages or inhibits the vote and whether or not they play the same role in different age groups. To address these questions, we use the results of a survey conducted in Chile during the 2017 elections. It is argued, first, that among the general population, fear and optimism play a role in the decision of the vote. Second, in young people's case, these emotions play an even more significant role. Third, anger is not related to the decision to vote.</t>
  </si>
  <si>
    <t>Segovia, Carolina/AAA-2162-2019</t>
  </si>
  <si>
    <t>1665-2037</t>
  </si>
  <si>
    <t>epyg1690</t>
  </si>
  <si>
    <t>WOS:001341224200004</t>
  </si>
  <si>
    <t>Orellana, CR; Vera, CG</t>
  </si>
  <si>
    <t>Orellana, Cesar Ross; Vera, Cristian Garay</t>
  </si>
  <si>
    <t>Chile and South Korea, 1973-1976: Military Diplomacy and Trans-Pacific Geopolitics</t>
  </si>
  <si>
    <t>ENCRUCIJADA AMERICANA</t>
  </si>
  <si>
    <t>This article describes the interest of Augusto Pinochet and the Chilean military in the Republic of Korea (ROK) or South Korea. Although it has been argued that the opening to the Asia Pacific was primarily an economic interest, we postulate that these economic relations can also be seen as a conscious strategy to circumvent the democratic blockade, revealing a high political component in relations with South Korea.This article hypothesises that from the beginning there was a geopolitical approach, centred on security and defence issues, which sought to reinforce the fragile balance of world power in the 1970s, the repercussions of its political isolation and neighbourly tensions between 1974 and 1979.For this purpose, specialized bibliography, documentation from the General Historical Archive of the Ministry of Foreign Affairs of Chile, writings of Augusto Pinochet Ugarte and other military authors of the time, contained in military journals and memoirs were reviewed.and the material and symbolic resources that circulate within La Escondida, evidencing the specific conceptions regarding the forms of participation and social belonging within the framework of a political culture of clientelism.</t>
  </si>
  <si>
    <t>0719-3432</t>
  </si>
  <si>
    <t>0718-5766</t>
  </si>
  <si>
    <t>WOS:001046680900002</t>
  </si>
  <si>
    <t>Pena, R; Kyaw, TH; Romero, G</t>
  </si>
  <si>
    <t>Pena, Ruben; Kyaw, Thi Ha; Romero, Guillermo</t>
  </si>
  <si>
    <t>Stable Many-Body Resonances in Open Quantum Systems</t>
  </si>
  <si>
    <t>Periodically driven quantum many-body systems exhibit novel nonequilibrium states, such as prethermalization, discrete time crystals, and many-body localization. Recently, the general mechanism of fractional resonances has been proposed that leads to slowing the many-body dynamics in systems with both U(1) and parity symmetry. Here, we show that fractional resonance is stable under local noise models. To corroborate our finding, we numerically study the dynamics of a small-scale Bose-Hubbard model that can readily be implemented in existing noisy intermediate-scale quantum (NISQ) devices. Our findings suggest a possible pathway toward a stable nonequilibrium state of matter, with potential applications of quantum memories for quantum information processing.</t>
  </si>
  <si>
    <t>Kyaw, Thi Ha/AAI-2983-2020; Romero, Guillermo/C-8245-2009; , Thi Ha Kyaw/C-5127-2015</t>
  </si>
  <si>
    <t>Romero, Guillermo/0000-0003-2917-7814; Pena Guzman, Ruben/0000-0002-4828-0932; , Thi Ha Kyaw/0000-0002-3557-2709</t>
  </si>
  <si>
    <t>10.3390/sym14122562</t>
  </si>
  <si>
    <t>WOS:000904376500001</t>
  </si>
  <si>
    <t>TIME DISCRETIZATION AND CONVERGENCE TO SUPERDIFFUSION EQUATIONS VIA POISSON DISTRIBUTION</t>
  </si>
  <si>
    <t>Let A be a closed linear operator defined on a complex Banach space X. We show a novel representation, using strongly continuous families of bounded operators defined on No, for the unique solution of the following time-stepping scheme (*) {C(del alpha)u(n) = Au-n + f(n), n &gt;= 2, u(0) = u(0); u(1) = u(1); as well as its convergence with rates to the solution of the abstract fractional Cauchy problem (*) {partial derivative(alpha)(t)u(t) = Au(t) + f(t), t &gt; 0; u(0) = u(0); u'(0) = u(1); in the superdiffusive case 1 &lt; alpha &lt; 2. Here, c del(alpha)u(n) Vaun is the Caputo-like fractional difference operator of order alpha.</t>
  </si>
  <si>
    <t>2022 NOV</t>
  </si>
  <si>
    <t>10.3934/cpaa.2023001</t>
  </si>
  <si>
    <t>WOS:000886310900001</t>
  </si>
  <si>
    <t>Elgueta-Reyes, M; Velásquez, VB; Espinosa, P; Riquelme, R; Dib, T; Sanguinetti, NK; Escobar, AP; Martínez-Pinto, J; Renard, GM; Sotomayor-Zárate, R</t>
  </si>
  <si>
    <t>Elgueta-Reyes, Maximiliano; Velasquez, Victoria B.; Espinosa, Pedro; Riquelme, Raul; Dib, Tatiana; Sanguinetti, Nicole K.; Escobar, Angelica P.; Martinez-Pinto, Jonathan; Renard, Georgina M.; Sotomayor-Zarate, Ramon</t>
  </si>
  <si>
    <t>Effects of Early Life Exposure to Sex Hormones on Neurochemical and Behavioral Responses to Psychostimulants in Adulthood: Implications in Drug Addiction</t>
  </si>
  <si>
    <t>Early life exposure to sex hormones affects several brain areas involved in regulating locomotor and motivation behaviors. Our group has shown that neonatal exposure to testosterone propionate (TP) or estradiol valerate (EV) affected the brain dopamine (DA) system in adulthood. Here, we studied the long-lasting effects of neonatal exposure to sex hormones on behavioral and neurochemical responses to amphetamine (AMPH) and methylphenidate (MPD). Our results show that AMPH-induced locomotor activity was higher in female than male control rats. The conditioned place preference (CPP) to AMPH was only observed in EV male rats. In EV female rats, AMPH did not increase locomotor activity, but MPD-induced CPP was observed in control, EV and TP female rats. Using in vivo brain microdialysis, we observed that AMPH-induced extracellular DA levels were lower in nucleus accumbens (NAcc) of EV and TP female rats than control rats. In addition, MPD did not increase NAcc extracellular DA levels in EV rats. Using in vivo fast-scan cyclic voltammetry in striatum, MPD-induced DA reuptake was higher in EV than control rats. In summary, our results show that early life exposure to sex hormones modulates mesolimbic and nigrostriatal DA neurons producing opposite neurochemical effects induced by psychostimulant drugs in NAcc or striatum.</t>
  </si>
  <si>
    <t>Espinosa, Pedro/Y-9064-2019; Martinez-Pinto, Jonathan/AAQ-9965-2021; Espinosa, Pedro/G-5514-2014</t>
  </si>
  <si>
    <t>Escobar, Angelica/0000-0003-4035-8827; Martinez-Pinto, Jonathan/0000-0001-8628-892X; Riquelme, Raul/0009-0007-8043-5395; Renard, Georgina Maria/0000-0002-5439-7547; Velasquez Pineda, Victoria Belen/0009-0007-2710-6357; Espinosa, Pedro/0000-0002-2202-8982; Sotomayor-Zarate, Ramon/0000-0002-1239-5367; Elgueta Reyes, Maximiliano/0000-0002-7911-7767</t>
  </si>
  <si>
    <t>10.3390/ijms23126575</t>
  </si>
  <si>
    <t>WOS:000818466900001</t>
  </si>
  <si>
    <t>Olavarria-Gambi, M; Levick, L</t>
  </si>
  <si>
    <t>Olavarria-Gambi, Mauricio; Levick, Laura</t>
  </si>
  <si>
    <t>Re-democratization in Chile: Is the New Democracy Better than the Old?</t>
  </si>
  <si>
    <t>INTERNATIONAL JOURNAL OF PUBLIC ADMINISTRATION</t>
  </si>
  <si>
    <t>Much of the literature on democratic transitions has focused on the transition from authoritarianism to democracy, but few studies have examined how democracies that re-emerged compare to those that existed in the past. Examining the Chilean case, this study explores the degree to which the new democracy has recovered its former strength, posing a similar question for other Latin American countries. It considers the conceptualization of quality of democracy that underpins this controversy and explores the methodological challenges of intertemporal comparison, which may be relevant for other cases that have experienced periods of authoritarian rule and process of re-democratization. We find that, overall, democracy in the contemporary period is more robust. Yet, to an important extent, indices' different understandings of the concept of the quality of democracy are relevant in terms of the degree to which they emphasize procedural aspects versus democratic outcomes.</t>
  </si>
  <si>
    <t>Olavarria-Gambi, Mauricio/K-9521-2019</t>
  </si>
  <si>
    <t>Levick, Laura/0000-0002-3049-6591</t>
  </si>
  <si>
    <t>0190-0692</t>
  </si>
  <si>
    <t>1532-4265</t>
  </si>
  <si>
    <t>10.1080/01900692.2021.2003814</t>
  </si>
  <si>
    <t>DEC 2021</t>
  </si>
  <si>
    <t>WOS:000734207800001</t>
  </si>
  <si>
    <t>Diez, CS; Macho, RM; López, JA; Peña, KM; Lüer, MC; González, MC</t>
  </si>
  <si>
    <t>Diez, Carolina Soto; Macho, Roberto Macchiavello; Lopez, Jacqueline Alarcon; Pena, Karol Medina; Luer, Manuel Calcagno; Gonzalez, Maria Calderon</t>
  </si>
  <si>
    <t>Early experience with severely burned COVID-19 patients at the National Reference Center for adult major burns in Chile</t>
  </si>
  <si>
    <t>BURNS</t>
  </si>
  <si>
    <t>Calderon Gonzalez, Maria Elsa/0000-0001-9714-5414; Soto Diez, Carolina/0000-0001-5472-4299</t>
  </si>
  <si>
    <t>0305-4179</t>
  </si>
  <si>
    <t>1879-1409</t>
  </si>
  <si>
    <t>10.1016/j.burns.2020.04.041</t>
  </si>
  <si>
    <t>WOS:000691663200029</t>
  </si>
  <si>
    <t>Solutions of abstract integro-differential equations via Poisson transformation</t>
  </si>
  <si>
    <t>MATHEMATICAL METHODS IN THE APPLIED SCIENCES</t>
  </si>
  <si>
    <t>We study the initial value problem (*)u(n+1)-u(n)=Au(n+1)+ n-ary sumation k=0n+1a(n+1-k)Au(k),n is an element of N0u(0)=x, where A is closed linear operator defined on a Banach space X, x belongs to the domain of A, and the kernel a is a particular discretization of an integrable kernel a is an element of L1(R+). Assuming that A generates a resolvent family, we find an explicit representation of the solution to the initial value problem (*) as well as for its inhomogeneous version, and then we study the stability of such solutions. We also prove that for a special class of kernels a, it suffices to assume that A generates an immediately norm continuous C-0-semigroup. We employ a new computational method based on the Poisson transformation.</t>
  </si>
  <si>
    <t>0170-4214</t>
  </si>
  <si>
    <t>1099-1476</t>
  </si>
  <si>
    <t>10.1002/mma.6042</t>
  </si>
  <si>
    <t>WOS:000604615600017</t>
  </si>
  <si>
    <t>Muñoz-Shuguli, C; Vidal, CP; Cantero-López, P; Lopez-Polo, J</t>
  </si>
  <si>
    <t>Munoz-Shuguli, Cristina; Vidal, Cristian Patino; Cantero-Lopez, Plinio; Lopez-Polo, Johana</t>
  </si>
  <si>
    <t>Encapsulation of plant extract compounds using cyclodextrin inclusion complexes, liposomes, electrospinning and their combinations for food purposes</t>
  </si>
  <si>
    <t>TRENDS IN FOOD SCIENCE &amp; TECHNOLOGY</t>
  </si>
  <si>
    <t>Background: Plant extract compounds have various industrial applications as well as some limitations. However, the encapsulation of them through different techniques is known as a way for optimizing their physicochemical properties, biological activities, and effectivity to improve the shelf-life of different foods. Scope and approach: In this review, the latest food applications of cyclodextrin inclusion complexes, liposomes, and electrospinning as encapsulating methods of plant extract compounds were compared. Moreover, all possible combinations of these methods and their application in food research were deeply discussed. Key findings and conclusions: Cyclodextrin inclusion complexes have been used to encapsulate hydrophobic compounds, while liposomes and electrospinning allow encapsulating of both, hydrophilic and/or hydrophobic compounds. Furthermore, cyclodextrin itself is a kind of ready encapsulating (wall) material that allows the formation of inclusion complexes, while in liposomes and electrospinning the formation of wall material is required. Most reported applications with cyclodextrin inclusion complexes and electrospinning focus mainly on the development of food packaging materials. In contrast, liposomes have been widely used to produce edible films and food coatings. Moreover, the use of cyclodextrin inclusion complexes and liposomes as ingredients has allowed to obtain functional foods with better physicochemical and sensory properties. On the other hand, the double or triple combination of these methods have also been reported, and the key benefits of them have been the improvement of encapsulation parameters and encapsulated compound properties, as well as the prolongation of the shelf-life of foods where the encapsulated compound (through combining methods) was applied.</t>
  </si>
  <si>
    <t>Muñoz-Shugulí, Cristina/AAO-4231-2020; Patiño Vidal, Cristian Javier/JDM-7961-2023</t>
  </si>
  <si>
    <t>Munoz Shuguli, Cristina Alejandra/0000-0003-0052-7411; Patino Vidal, Cristian Javier/0000-0002-5633-6908</t>
  </si>
  <si>
    <t>0924-2244</t>
  </si>
  <si>
    <t>1879-3053</t>
  </si>
  <si>
    <t>10.1016/j.tifs.2020.12.020</t>
  </si>
  <si>
    <t>WOS:000615368300002</t>
  </si>
  <si>
    <t>Muñoz-Ramírez, A; Mascayano-Collado, C; Barriga, A; Echeverría, J; Urzúa, A</t>
  </si>
  <si>
    <t>Munoz-Ramirez, Alejandra; Mascayano-Collado, Carolina; Barriga, Andres; Echeverria, Javier; Urzua, Alejandro</t>
  </si>
  <si>
    <t>Inhibition of Soybean 15-Lipoxygenase and Human 5-Lipoxygenase by Extracts of Leaves, Stem Bark, Phenols and Catechols Isolated From Lithraea caustica (Anacardiaceae)</t>
  </si>
  <si>
    <t>Lithraea caustica (Molina) Hook. and Arn. (Anacardiaceae), common name Litre, is an evergreen endemic plant used in the Mapuche Chilean folk medicine. The stem juice of L. caustica mixed with Rubus ulmifolius (blackberry) is used to treat cough and the infusion of leaves is used in baths to treat joint inflammations. In this study, the activities of 3-n-alk(en)yl-catechols, obtained from the dichloromethane extract of the epicuticular compounds of fresh leaves (DCME), stem bark petroleum ether extract (PEE), fractions of phenols and phenol-acid compounds obtained from the methanolic extract (methanolic extract) of defatted leaves and aqueous infusion (AE) from fresh leaves, were evaluated as in vitro inhibitors of soybean 15-lipoxygenase (15-sLOX) and human 5-lipoxygenase (5-hLOX), one of the inflammation pathways. The 3-n-alk(en)yl-catechols were characterized by gas chromatography-mass spectrometry and 1D and 2D nuclear magnetic resonance analysis as mixtures of 3-[(10E)-pentadec-10 '-en-1-yl]-catechol, 3-[(10Z)-pentadec-10 '-en-1-yl]-catechol and 3-n-pentadecylcatechol. In addition, two fractions, obtained from MeOHE, were characterized by liquid chromatography electrospray ionization tandem mass spectrometric as complex mixtures of known acids and phenolic compounds. DCME, MeOHE and ethyl acetate extract (AcOEtE) extracts showed inhibition against 15-sLOX, and the AE of fresh leaves, showed the best inhibition against 5-hLOX. The mixture of 3-n-alk(en)yl-catechols showed inhibition of 15-sLOX and 5-hLOX. The compounds 3-[(10Z)-pentadec-10 '-en-1-yl]-catechol (IC50 2.09 mu M) and 3-n-pentadecylcatechol (IC50 2.74 mu M) showed inhibition against 5-hLOX. The inhibition values obtained for the 3-n-alk(en)yl-catechols are in the range of well-known inhibitors of 5-hLOX. Acetylation of the 3-n-alk(en)yl-catechols blocks the inhibitory activity, indicating that the free catechol function is necessary for the enzyme inhibition. In addition, the fractions of phenols and phenol-acid compounds showed inhibitory activity against 15-sLOX and the AE, showed a good inhibition against 5-hLOX. These results would be in agreement with the use of L. caustica, as an anti-inflammatory in Mapuche ethnomedicine.</t>
  </si>
  <si>
    <t>Echeverria, Javier/0000-0002-1688-968X; Mascayano Collado, Carolina Lorena/0000-0002-3488-9309</t>
  </si>
  <si>
    <t>NOV 30</t>
  </si>
  <si>
    <t>10.3389/fphar.2020.594257</t>
  </si>
  <si>
    <t>WOS:000598143800001</t>
  </si>
  <si>
    <t>Lp - Lq-Maximal regularity of the Van Wijngaarden-Eringen equation in a cylindrical domain</t>
  </si>
  <si>
    <t>We consider the maximal regularity problem for a PDE of linear acoustics, named the Van Wijngaarden-Eringen equation, that models the propagation of linear acoustic waves in isothermal bubbly liquids, wherein the bubbles are of uniform radius. If the dimensionless bubble radius is greater than one, we prove that the inhomogeneous version of the Van Wijngaarden-Eringen equation, in a cylindrical domain, admits maximal regularity in Lebesgue spaces. Our methods are based on the theory of operator-valued Fourier multipliers.</t>
  </si>
  <si>
    <t>OCT 20</t>
  </si>
  <si>
    <t>10.1186/s13662-020-03054-5</t>
  </si>
  <si>
    <t>WOS:000585864700003</t>
  </si>
  <si>
    <t>Abarzúa, R; Martínez, S; Mendoza, V; Thériault, N</t>
  </si>
  <si>
    <t>Abarzua, Rodrigo; Martinez, Santi; Mendoza, Valeria; Theriault, Nicolas</t>
  </si>
  <si>
    <t>Same value analysis on Edwards curves</t>
  </si>
  <si>
    <t>JOURNAL OF CRYPTOGRAPHIC ENGINEERING</t>
  </si>
  <si>
    <t>Recently, several research groups in cryptography have presented new elliptic curve models based on Edwards curves. These new curves were selected for their good performance and security perspectives. Cryptosystems based on elliptic curves in embedded devices can be vulnerable to side-channel attacks (SCA), such as simple power analysis (SPA) or differential power analysis. In this paper, we analyze the existence of special points-whose use in SCA is known as same value analysis (SVA)-in the case of Edwards elliptic curves. These special points can be identified through a power analysis of the scalar multiplication. We show that all Edwards curves recently proposed for standardization contain some of these points and are therefore unsafe against SVA. As a countermeasure, we use the isogeny volcano approach to find SVA-secure isogenous curves to those proposed for standardization.</t>
  </si>
  <si>
    <t>Theriault, Nicolas/ISB-0405-2023; Mendoza, Valeria/GRF-0563-2022; Martinez, Santi/L-4815-2017</t>
  </si>
  <si>
    <t>Martinez, Santi/0000-0002-1031-6522</t>
  </si>
  <si>
    <t>2190-8508</t>
  </si>
  <si>
    <t>2190-8516</t>
  </si>
  <si>
    <t>10.1007/s13389-019-00206-6</t>
  </si>
  <si>
    <t>WOS:000522668400003</t>
  </si>
  <si>
    <t>Salamea, HT; Auquilla, AR; Alvarado-Cando, O; Oñate, CU</t>
  </si>
  <si>
    <t>Salamea, Hugo Torres; Auquilla, Andres Ricardo; Alvarado-Cando, O.; Onate, Claudio Urrea</t>
  </si>
  <si>
    <t>Control of a Telerobotic System Using Wi-Fi and Kinect Sensor for Disabled people with an industrial Process</t>
  </si>
  <si>
    <t>2020 IEEE ANDESCON</t>
  </si>
  <si>
    <t>2020 IEEE Andescon Conference</t>
  </si>
  <si>
    <t>OCT 13-16, 2020</t>
  </si>
  <si>
    <t>Quito, ECUADOR</t>
  </si>
  <si>
    <t>Institute of Electrical and Electronics Engineers Inc</t>
  </si>
  <si>
    <t>This paper describes the design, implementation and evaluation of a telerobotic system for manipulating a 4DoF robot in real time using the Kinect sensor. The Kinect sensor captures hand gestures and transmits them via Wi-Fi, using an ESP8266 module, to an Arduino Mega board that control two rotational joint and two linear joint. Among the results, the behavior of the system is evaluated by comparing it with one that uses Bluetooth. The objective of this work is to permit to incorporate people with disabilities into the workplace in the control of industrial processes. The results and validation of the system were performed with a group of people who manipulated the robot using hand gestures that performed a manual and automatic process.</t>
  </si>
  <si>
    <t>Alvarado Cando, Omar/AAV-9138-2021</t>
  </si>
  <si>
    <t>2377-021X</t>
  </si>
  <si>
    <t>978-1-7281-9365-6</t>
  </si>
  <si>
    <t>WOS:001440464800129</t>
  </si>
  <si>
    <t>Salamea, HMT; Torres, DDT; Cardenas, PDU; Oñate, CU</t>
  </si>
  <si>
    <t>Torres Salamea, Hugo Marcelo; Toledo Torres, Dalton Demetrio; Urgiles Cardenas, Pablo Dario; Onate, Claudio Urrea</t>
  </si>
  <si>
    <t>Implementation of the Hamming code for the detection and correction of errors in a telerobotic system using an industrial communication protocol</t>
  </si>
  <si>
    <t>Data transmission at the industry level encounters problems due to different factors such as noise and electromagnetic interference. This project presents an application for the control of a 3-DOF fault-tolerant robot through the implementation of an encoder and a Hamming decoder (7.4). Data transmission is conducted using a wireless system with XBee modules, while the Modbus RTU Master-Slave industrial communication protocol is employed for communication with the manipulator robot. To implement the master, a PC where the Hamming encoder responsible for placing the redundancy bits is installed, and an Xbee module for sending the information through the Modbus protocol are used. For the slave, a second Xbee module and a pcDuino board are used, where the Hamming decoder is located -which is responsible for receiving the encoder's information and perform the detection and correction of errors of the data sent by the master- to then be sent to the Expander Pi board, where the respective PWMs that manage the movement of the manipulator robot are located.</t>
  </si>
  <si>
    <t>WOS:001440464800127</t>
  </si>
  <si>
    <t>Lazzús, JA; Vega-Jorquera, P; Palma-Chilla, L; Stepanova, M; Romanova, N</t>
  </si>
  <si>
    <t>Lazzus, J. A.; Vega-Jorquera, P.; Palma-Chilla, L.; Stepanova, M., V; Romanova, N., V</t>
  </si>
  <si>
    <t>Dst Index Forecast Based on Ground-Level Data Aided by Bio-Inspired Algorithms</t>
  </si>
  <si>
    <t>SPACE WEATHER-THE INTERNATIONAL JOURNAL OF RESEARCH AND APPLICATIONS</t>
  </si>
  <si>
    <t>In this study, different hybridized techniques that combine an artificial neural network (ANN) with bio-inspired optimization algorithms such as particle swarm optimization (PSO), genetic algorithm (GA), and a hybridized PSO+GA were applied to update the ANN connection weights and so forecast the disturbance storm time (Dst) index. The past values of Dst index time series were used as input parameters to forecast its variation from 1 to 6 hours ahead. The database collected considers 233,760 hourly data from 01 January 1990 to 31 August 2016, containing storms and quiet period, grouped into three data sets: learning set (116,880 hourly data points), validation set (58,440 data points), and testing set (58,440 data points). Several ANN configurations were studied and optimized during the training process by evaluating the root mean square error (RMSE) and the correlation coefficient (R). An analysis of the predictive capability of each method was made year per year, and according to the levels of the geomagnetic storm. Also, an additional test was applied to the proposed method using 17 intense geomagnetic storms reported during solar cycle 24, including the St. Patrick's Day storm of 2015. Results show that the hybridized ANN+PSO method can forecast the Dst index quite accurately from 1 to 3 h in advance (with RMSE &lt;= 5 nT and R &gt;= 0.9), while the ANN+PSO+GA method can forecast the Dst index quite accurately from 4 to 6 h ahead (RMSE &lt;= 7 nT and R &gt;= 0.8)</t>
  </si>
  <si>
    <t>Romanova, Natalia/O-5195-2014; Vega-Jorquera, Pedro/AAX-7402-2021; Stepanova, Marina/D-6329-2011; Lazzus, Juan/Q-3073-2016</t>
  </si>
  <si>
    <t>Stepanova, Marina/0000-0002-1053-3375; , luis/0000-0003-3801-8559; Lazzus, Juan/0000-0003-1136-3395</t>
  </si>
  <si>
    <t>1542-7390</t>
  </si>
  <si>
    <t>10.1029/2019SW002215</t>
  </si>
  <si>
    <t>OCT 2019</t>
  </si>
  <si>
    <t>WOS:000492817800001</t>
  </si>
  <si>
    <t>Gambera, LR; Lizama, C; Prokopczyk, A</t>
  </si>
  <si>
    <t>Gambera, Laura R.; Lizama, Carlos; Prokopczyk, Andrea</t>
  </si>
  <si>
    <t>On close to scalar families for fractional evolution equations: zero-one law</t>
  </si>
  <si>
    <t>For {R alpha,beta(t)}t &gt;= 0 being a strongly continuous (alpha,beta)-resolvent family on a Banach space, we show that the assumption 1t beta-1E alpha,beta(lambda t alpha) R alpha,beta(t)-I=:theta&lt;1 yields that R alpha,beta(t)=t beta-1E alpha,beta(lambda t alpha) for all t&gt;0 and lambda &gt;= 0, where E alpha,beta(s) denotes the Mittag-Leffler function with parameters alpha,beta&gt;0. This implication is known as the zero-one law. In particular, we provide new insights on the structural properties of the theories of C0-semigroups, strongly continuous cosine families, beta-times integrated semigroups and alpha-resolvent families, among others. For beta-times integrated semigroups, an example shows that in the sector {(alpha,beta): alpha &lt;=beta} the requirement theta&lt;1 is optimal: for theta=1 the result is false.</t>
  </si>
  <si>
    <t>Lizama, Carlos/E-5909-2011; Arita, Andréa/U-9223-2017</t>
  </si>
  <si>
    <t>Prokopczyk Arita, Andrea Cristina/0000-0001-5112-6234</t>
  </si>
  <si>
    <t>10.1007/s00233-019-10025-0</t>
  </si>
  <si>
    <t>WOS:000475592500009</t>
  </si>
  <si>
    <t>Tobar, CM; Pulido, WQ</t>
  </si>
  <si>
    <t>Munoz Tobar, Claudia; Quezada Pulido, Wilfredo</t>
  </si>
  <si>
    <t>Constructional value and prototypicality of metonymies for advising. Against a strong reading of the foundational thesis of pragmalinguistics</t>
  </si>
  <si>
    <t>ONOMAZEIN</t>
  </si>
  <si>
    <t>In this paper we analyze the data collected in an exploratory test, designed to establish a measure of the advise illocutionary force of the 15 utterances. The analysis shows that the pragmatic reading of expressions depends largely on their constructional features, as Perez (2001), Ruiz de Mendoza &amp; Baicchi (2007) and Del Campo (2012, 2013) have proposed within the framework of the study on illocutionary constructions. Consequently, it is not valid to state a strong interpretation of Wittgenstein's (1953) thesis that the meaning is the use in the language. This interpretation, rejected, among others, by Searle (1969), imposes an insurmountable limitation to the explanatory pretensions of pragmalinguistics, which does not correlate with our results.</t>
  </si>
  <si>
    <t>0717-1285</t>
  </si>
  <si>
    <t>0718-5758</t>
  </si>
  <si>
    <t>10.7764/onomazein.39.04</t>
  </si>
  <si>
    <t>WOS:000439446700002</t>
  </si>
  <si>
    <t>Lizama, C; Pereira, J; Toon, E</t>
  </si>
  <si>
    <t>Lizama, Carlos; Pereira, Jorge; Toon, Eduard</t>
  </si>
  <si>
    <t>On the exponential stability of Samuelson model on some classes of times scales</t>
  </si>
  <si>
    <t>We prove the remarkable property that the exponential stability of the Samuelson model is invariant under the times scales R and hZ whenever 0 &lt; h &lt;= 1. We characterize the domains of stability for these time scales and we also give sufficient conditions for stability on a class of mixed times scale. We prove analogous results for the Samuelson model in an open economy. Our methods are based on a spectral characterization of exponential stability due to Potzsche, Siegmund and Wirth and a multiplier accelerator model on time scales due to Bohner, Gelles and Heim. (C) 2017 Elsevier B.V. All rights reserved.</t>
  </si>
  <si>
    <t>10.1016/j.cam.2017.04.034</t>
  </si>
  <si>
    <t>WOS:000404308000001</t>
  </si>
  <si>
    <t>Topp, E; Yangari, M</t>
  </si>
  <si>
    <t>Topp, Erwin; Yangari, Miguel</t>
  </si>
  <si>
    <t>Existence and uniqueness for parabolic problems with Caputo time derivative</t>
  </si>
  <si>
    <t>In this paper we are interested in the well-posedness of fully nonlinear Cauchy problems in which the time derivative is of Caputo type. We address this question in the framework of viscosity solutions, obtaining the existence via Perron's method, and comparison for bounded sub and supersolutions by a suitable regularization through inf and sup convolution in time. As an application, we prove the steady-state large time behavior in the case of proper nonlinearities and provide a rate of convergence by using the Mittag Leffler operator. (C) 2017 Elsevier Inc. All rights reserved.</t>
  </si>
  <si>
    <t>Yangari Sosa, Miguel Angel/0000-0002-9728-8447</t>
  </si>
  <si>
    <t>JUN 15</t>
  </si>
  <si>
    <t>10.1016/j.jde.2017.02.024</t>
  </si>
  <si>
    <t>WOS:000397839100013</t>
  </si>
  <si>
    <t>Cao, Y; Chen, J</t>
  </si>
  <si>
    <t>Depth Distribution in High Dimensions</t>
  </si>
  <si>
    <t>COMPUTING AND COMBINATORICS, COCOON 2017</t>
  </si>
  <si>
    <t>23rd International Computing and Combinatorics Conference (COCOON)</t>
  </si>
  <si>
    <t>AUG 03-05, 2017</t>
  </si>
  <si>
    <t>Hong Kong Polytechn Univ, Hong Kong, HONG KONG</t>
  </si>
  <si>
    <t>Hong Kong Polytechn Univ</t>
  </si>
  <si>
    <t>Motivated by the analysis of range queries in databases, we introduce the computation of the DEPTH DISTRIBUTION of a set B of axis aligned boxes, whose computation generalizes that of the KLEE'S MEASURE and of the MAXIMUM DEPTH. In the worst case over instances of fixed input size n, we describe an algorithm of complexity within O(n(d+1/2) log n), using space within O(n log n), mixing two techniques previously used to compute the Klee's Measure. We refine this result and previous results on the KLEE'S MEASURE and the MAXIMUM DEPTH for various measures of difficulty of the input, such as the profile of the input and the degeneracy of the intersection graph formed by the boxes.</t>
  </si>
  <si>
    <t>978-3-319-62389-4; 978-3-319-62388-7</t>
  </si>
  <si>
    <t>10.1007/978-3-319-62389-4_4</t>
  </si>
  <si>
    <t>WOS:000771461800004</t>
  </si>
  <si>
    <t>Modelling and simulation of the mechanical response of a Dacron graft in the pressurization test and an end-to-end anastomosis</t>
  </si>
  <si>
    <t>This work presents the modeling and simulation of the mechanical response of a Dacron graft in the pressurization test and its clinical application in the analysis of an end-to-end anastomosis. Both problems are studied via an anisotropic constitutive model that was calibrated by means of previously reported uniaxial tensile tests. First, the simulation of the pressurization test allows the validation of the experimental material characterization that included tests carried out for different levels of axial stretching. Then, the analysis of an end-to-end anastomosis under an idealized geometry is proposed. This case consists in evaluating the mechanical performance of the graft together with the stresses and deformations in the neighborhood of the Dacron with the artery. This research contributes important data to understand the functioning of the graft and the possibility of extending the analysis to complex numerical cases like its insertion in the aortic arch. (C) 2016 Elsevier Ltd. All rights reserved.</t>
  </si>
  <si>
    <t>García-Herrera, Claudio/ABE-8991-2020; Celentano, Diego/JQW-5027-2023</t>
  </si>
  <si>
    <t>10.1016/j.jmbbm.2016.01.005</t>
  </si>
  <si>
    <t>WOS:000380080400004</t>
  </si>
  <si>
    <t>Kaschel, H; Lanyon, C; Ahumada, C</t>
  </si>
  <si>
    <t>Kaschel, H.; Lanyon, C.; Ahumada, C.</t>
  </si>
  <si>
    <t>Numerical Finite Difference Method of Electric Field Generated to determine the SAR Generated in a Microstrip Antenna Type Applied to a WBAN</t>
  </si>
  <si>
    <t>This paper gives an alternative method to determine the Specific Absorption Rate (SAR), amount of electromagnetic energy absorbed by the human body, using the numerical finite difference method with MATLAB software, from the electric fields generated by a type patch antenna applied to a Wireless Body Sensor Network (WBAN). These networks consist of bodily wireless sensors distributed inside or outside the human body for measuring physiological parameters. The research begins by defining electrical characteristics within the human body, to finally present and calculate the specific absorption rate SAR.</t>
  </si>
  <si>
    <t>Kaschel, Hector/0000-0002-0868-7834; Ahumada, Cristian/0000-0002-2647-1383</t>
  </si>
  <si>
    <t>10.1109/TLA.2016.7555276</t>
  </si>
  <si>
    <t>WOS:000382638500062</t>
  </si>
  <si>
    <t>Zumeta, LN; Oriol, X; Telletxea, S; Amutio, A; Basabe, N</t>
  </si>
  <si>
    <t>Zumeta, Larraitz N.; Oriol, Xavier; Telletxea, Saioa; Amutio, Alberto; Basabe, Nekane</t>
  </si>
  <si>
    <t>Collective Efficacy in Sports and Physical Activities: Perceived Emotional Synchrony and Shared Flow</t>
  </si>
  <si>
    <t>This cross-sectional study analyzes the relationship between collective efficacy and two psychosocial processes involved in collective sport-physical activities. It argues that in-group identification and fusion with the group will affect collective efficacy (CE). A sample of 276 university students answered different scales regarding their participation in collective physical and sport activities. Multiple-mediation analyses showed that shared flow and perceived emotional synchrony mediate the relationship between in-group identification and CE, whereas the relationship between identity fusion and CE was only mediated by perceived emotional synchrony. Results suggest that both psychosocial processes explain the positive effects of in-group identification and identity fusion with the group in collective efficacy. Specifically, the role of perceived emotional synchrony in explaining the positive effects of participation in collective sport-physical activities is underlined. In sum, this study highlights the utility of collective actions and social identities to explain the psychosocial processes related to collective efficacy in physical and sports activities. Finally, practical implications are discussed.</t>
  </si>
  <si>
    <t>Amutio, Alberto/AAP-7380-2020; Sánchez, Larraitz/ABG-2496-2020; Telletxea, Saioa/M-4370-2019; Telletxea, Saioa/K-4927-2014; Oriol, Xavier/AAO-3112-2021; Basabe, Nekane/D-3918-2011; Amutio, Alberto/O-3068-2016</t>
  </si>
  <si>
    <t>Telletxea, Saioa/0000-0003-3682-9155; Oriol, Xavier/0000-0001-7130-7729; Basabe, Nekane/0000-0003-4753-4299; Amutio, Alberto/0000-0003-3989-9992</t>
  </si>
  <si>
    <t>JAN 5</t>
  </si>
  <si>
    <t>10.3389/fpsyg.2015.01960</t>
  </si>
  <si>
    <t>WOS:000367689800001</t>
  </si>
  <si>
    <t>Duran, CA; Cordova, FM</t>
  </si>
  <si>
    <t>Duran, Claudia A.; Cordova, Felisa M.</t>
  </si>
  <si>
    <t>Conceptual model to identify technological synergic relationships of strategic level in a medium-sized Chilean port</t>
  </si>
  <si>
    <t>The present study focuses on a medium-sized Chilean port to analyze a mixed network composed of private/public actors, permanently linked to an uncertain strategic ambience. Their linkage to an uncertain macro-ambience is complex which may present degrees of synergy with those strategies dealing with political, economic, social, technological and environmental aspects (PESTE). Later, this research identifies the strategic ambience of the Port Community and its synergic links with the other actors who compose the mixed network. Taking into account each actor's strategic statements, it is possible to infer that each public organization and private enterprise elaborates its strategies individually, dismissing joint collaboration as a factor to improve efficiency and effectiveness in their port activities. In the proposed conceptual model design, each actor's innovation strategies are linked to the corresponding technological synergic effect (TSE). With the diagnosis of the strategic ambience of the Community, it is possible to transform the strategies used by the mixed network into technological strategic descriptors. Finally, the technological strategic statements expressed by the Community are conceptually evaluated and compared to existing strategic and innovation actions followed by the members of the Port Community. (C) 2016 The Authors. Published by Elsevier B.V.</t>
  </si>
  <si>
    <t>10.1016/j.procs.2016.07.100</t>
  </si>
  <si>
    <t>WOS:000387683300046</t>
  </si>
  <si>
    <t>Cussen, F</t>
  </si>
  <si>
    <t>Cussen, Felipe</t>
  </si>
  <si>
    <t>The not knowing of Lorenzo Garcia Vega</t>
  </si>
  <si>
    <t>HISPAMERICA-REVISTA DE LITERATURA</t>
  </si>
  <si>
    <t>0363-0471</t>
  </si>
  <si>
    <t>WOS:000367210200004</t>
  </si>
  <si>
    <t>Figueiredo-Ferraz, H; Gil-Monte, PR; Olivares-Faúndez, VE</t>
  </si>
  <si>
    <t>Figueiredo-Ferraz, H.; Gil-Monte, P. R.; Olivares-Faundez, V. E.</t>
  </si>
  <si>
    <t>Influence of mobbing (workplace bullying) on depressive symptoms: a longitudinal study among employees working with people with intellectual disabilities</t>
  </si>
  <si>
    <t>JOURNAL OF INTELLECTUAL DISABILITY RESEARCH</t>
  </si>
  <si>
    <t>BackgroundThe problem of mobbing has attracted a great deal of attention over the past few years. This concern has increased the study of the phenomena, which has resulted in many scientific publications. Mobbing has been characterised as an emerging risk at work. The aim of this longitudinal study was to analyse the influence of mobbing on depressive symptoms in a sample of employees working with people with intellectual disabilities (ID). MethodThe sample consisted of 372 Spanish employees working with people with ID at 61 job centres in the Valencian Community (Spain). Seventy-nine (21.2%) participants were men, and 293 were (78.8%) women. Mobbing was evaluated by the Mobbing-UNIPSICO scale, and depressive symptoms were measured using the Zung Self Rating Depression Scale. Using analyses of variance (anova), we tested the differences in depressive symptoms according to the mobbing criteria indicated by Leymann, that is, frequency and duration at Time 1 and Time 2. ResultsEmployees who met the mobbing criteria: frequency (at least once a week) and duration (at least 6 months) at the two study times presented significantly higher levels of depressive symptoms than employees who met mobbing criteria at Time 1, but did not meet any criteria for mobbing at Time 2, and employees who did not meet any criteria for mobbing at Time 1 or Time 2. ConclusionsWe conclude that permanence of mobbing from Time 1 to Time 2 increases depressive symptoms.</t>
  </si>
  <si>
    <t>Figueiredo-Ferraz, Hugo/D-2759-2011; Gil-Monte, Pedro R./C-7109-2008</t>
  </si>
  <si>
    <t>Figueiredo-Ferraz, Hugo/0000-0001-8176-7016; Gil-Monte, Pedro R./0000-0002-2827-2388; Olivares-Faundez, Victor/0000-0001-8884-6884</t>
  </si>
  <si>
    <t>0964-2633</t>
  </si>
  <si>
    <t>1365-2788</t>
  </si>
  <si>
    <t>10.1111/jir.12084</t>
  </si>
  <si>
    <t>WOS:000346083000004</t>
  </si>
  <si>
    <t>Yanine, FF; Cordova, FM; Valenzuela, L</t>
  </si>
  <si>
    <t>Yanine, Fernando F.; Cordova, Felisa M.; Valenzuela, L.</t>
  </si>
  <si>
    <t>Sustainable Hybrid Energy Systems: An Energy and Exergy Management Approach with Homeostatic Control of Microgrids</t>
  </si>
  <si>
    <t>Sustainable hybrid energy systems (SHES) are not only possible but can also be affordable for both rural and urban communities. SHES can also replace to a great extent the high cost of utility grids' installed power capacity which, in counties like Chile, is outrageously expensive. A new theoretical approach for developing grid-connected SHES is proposed here based on exergy and energy management, cybernetics and homeostatic control (HC), with special emphasis on exergy optimality. The measure of exergy is directly linked to the micro grid system's sustainability index, when understanding that exergy expresses the capacity of the meta-system to do useful work. This capacity is enhanced and augmented whenever energy efficiency (EE) and thriftiness are incorporated into the equation. Thus when consumers behavior becomes an energy source in and of itself, and this is potentiated by the appropriate HC and energy management mechanisms, with appropriate economic incentives for the entire community, the result is that there is much more energy available in the system. Therefore, given a certain amount of energy employed by the overall meta-system, supplied by the SHES and the grid, it is possible to maximize consumers benefits and EE as a whole when supported by individual and collective efforts to ensure the system's overall sustainability. (C) 2015 Published by Elsevier B.V.</t>
  </si>
  <si>
    <t>CORDOVA, FELISA/S-1093-2019; Valenzuela, Lionel/S-1192-2019; Yanine, Franco Fernando/G-6909-2015</t>
  </si>
  <si>
    <t>Valenzuela, Lionel/0000-0001-7385-4099; CORDOVA, FELISA/0000-0002-5557-8569; Yanine, Franco Fernando/0000-0003-1086-0840</t>
  </si>
  <si>
    <t>10.1016/j.procs.2015.07.060</t>
  </si>
  <si>
    <t>WOS:000360101400071</t>
  </si>
  <si>
    <t>Oddershede, A; Cordova, FM; Carrasco, RA; Watkins, FJ</t>
  </si>
  <si>
    <t>Oddershede, A. M.; Cordova, F. M.; Carrasco, R. A.; Watkins, F. J.</t>
  </si>
  <si>
    <t>Decision Model for Assessing Healthcare ICT Support Implications: User Perception</t>
  </si>
  <si>
    <t>This paper presents a multi-criteria decision model based upon user judgments to assist the evaluation process of an Information and Communication Technology (ICT) network system in health care to improve the quality of service (QoS). Measuring quality in health care services is not an easy task, as there are many competing goals involved, human, economic, communications technology, governmental and others. Integrating multiple criteria decision analysis (MCDA) methodology with modeling and simulation through Optimization Network Engineering Tool (OPNET) platform permit to characterize main ICT user and identify priority applications to examine network QoS requirements and implications. The proposed approach permitted to identify the main users, to elaborate a profile and characterization of the ICT support requirements according to their main daily task in answer to a service requirement. The results generate evidence related to the important factors effecting quality in hospital requirement as availability of services and the need for ubiquitous access to integrated information. The stakeholder interface perception and resources for ICT network support are investigated through a case study for Chilean hospitals.</t>
  </si>
  <si>
    <t>10.15837/ijccc.2014.5.1278</t>
  </si>
  <si>
    <t>WOS:000340232400006</t>
  </si>
  <si>
    <t>Cortázar, C; Garcia-Huidobro, M; Yarur, CS</t>
  </si>
  <si>
    <t>On the existence of sign changing bound state solutions of a quasilinear equation</t>
  </si>
  <si>
    <t>In this paper we establish the existence of bound state solutions having a prescribed number of sign changes for (P) Delta(m)u + f(u) = 0, x is an element of R-N, N &gt;= m &gt; 1, where Delta(m)u = del.(vertical bar del u vertical bar(m-2)del u). Our result is new even for the case of the Laplacian (m = 2). (c) 2013 Elsevier Inc. All rights reserved.</t>
  </si>
  <si>
    <t>10.1016/j.jde.2012.12.015</t>
  </si>
  <si>
    <t>WOS:000315240300010</t>
  </si>
  <si>
    <t>Cordova, FM; Yanine, FF</t>
  </si>
  <si>
    <t>Cordova, F. M.; Yanine, F. F.</t>
  </si>
  <si>
    <t>Homeostatic Control of Sustainable Energy Grid Applied to Natural Disasters</t>
  </si>
  <si>
    <t>According to seismologists Chile has yet to face another big earthquake in the very near future, yet the country remains largely unprepared against massive electric power systems brake-down. The problem lies in the centralized electric power systems and the lack of adequate technologies and back-up/emergency power systems for disaster recovery. The flaws that are built into the very fabric of the presently centralized power systems were on full display in the February 27th earthquake in Chile. Nowhere it becomes more evident that hugely centralized power generation and distribution systems are extremely vulnerable and ineffective to disruptions from natural disasters, human error or other calamities. The large power networks that once proved very efficient and secure, are now at the center of discussion fueling the need for decentralization and the rapid growth of distributed generation (DG). Highly decentralized, diversified and DG-oriented energy matrix is notoriously much better suited to withstand these disasters. In centralized electric power grids, servicing large metropolitan areas, albeit with some but limited differentiation in service, can only be on or off, so either everyone gets power or no one does. This makes recovering power service in an emergency situation a much more difficult task. On the other hand, decentralized power systems (DPS) reduce the obstacles to disaster preparation and recovery by allowing the focus to shift first to critical infrastructure and then to flow outward to less integrated outlets. A DG-based model for a smart micro-grid based on hybrid electric power systems (REPS) using both renewable energy technologies (RET) and conventional power generation units is presented. The hybrid energy system may be portable or fixed in one place, highly reliable, easy to assemble, modular, flexible and cost-effective solution, that is ready-to-run and go to where it is needed to supply power in natural disaster.</t>
  </si>
  <si>
    <t>CORDOVA, FELISA/S-1093-2019; Yanine, Franco Fernando/G-6909-2015</t>
  </si>
  <si>
    <t>Yanine, Franco Fernando/0000-0003-1086-0840; CORDOVA, FELISA/0000-0002-5557-8569</t>
  </si>
  <si>
    <t>WOS:000312043600006</t>
  </si>
  <si>
    <t>Laminar flow of non-linear viscoelastic fluids in straight tubes of arbitrary contour</t>
  </si>
  <si>
    <t>The fully developed steady velocity field in pressure gradient driven laminar flow of non-linear viscoelastic fluids with instantaneous elasticity constitutively represented by a class of single mode, non-affine quasilinear constitutive equations is investigated in straight pipes of arbitrary contour partial derivative D. A continuous one-to-one mapping is used to obtain arbitrary tube contours from a base tube contour partial derivative D-0. The analytical method presented is capable of predicting the velocity field in tubes with arbitrary cross-section. The base flow is the Newtonian field and is obtained at O(1). Field variables are expanded in asymptotic series in terms of the Weissenberg number Wi. The analysis does not place any restrictions on the smallness of the driving pressure gradients which can be large and applies to dilute and weakly elastic non-linear viscoelastic fluids. The velocity field is investigated up to and including the third order in Wi. The Newtonian field in general arbitrary contours is obtained and longitudinal velocity field components due to shear-thinning and to non-linear viscoelastic effects are identified. Third order analysis shows a further contribution to the longitudinal field driven by first normal stress differences. Secondary flows driven by unbalanced second normal stresses in the cross-section manifest themselves as well at this order. Longitudinal equal velocity contours, the secondary flow field structure, the first and the second normal stress differences as well as wall shear stress variations are discussed for several non-circular contours some for the first time. (C) 2011 Elsevier Ltd. All rights reserved.</t>
  </si>
  <si>
    <t>10.1016/j.ijheatmasstransfer.2011.07.035</t>
  </si>
  <si>
    <t>WOS:000302191100055</t>
  </si>
  <si>
    <t>Vallejos, JP</t>
  </si>
  <si>
    <t>Pinto Vallejos, Julio</t>
  </si>
  <si>
    <t>The Resting tendencies of the Masses? The Portalian Regime Facing the Plebeian World, 1830-1851</t>
  </si>
  <si>
    <t>This article explores the visions of the plebeian sectors of Chilean society framed by the first two Portalean presidencies, as well as the policies and actions they devised with a view to popular improvement. To that effect, it examines official pronouncements and initiatives related to the so-called lower orders, reconstructing from there the counterpoint between the real people, normally both feared and repressed, and a fictional or desired people that would prove more pliable to Portalean notions of order and progress. The article closes with some thoughts on the underwhelming impact of those policies on their intended targets, as well as the persistent disobedience or outright rejection of such official designs among significant segments of the working classes.</t>
  </si>
  <si>
    <t>WOS:000298577400005</t>
  </si>
  <si>
    <t>Barahona, T; Chandía, NP; Encinas, MV; Matsuhiro, B; Zúñiga, EA</t>
  </si>
  <si>
    <t>Barahona, Tamara; Chandia, Nancy P.; Encinas, Maria V.; Matsuhiro, Betty; Zuniga, Elisa A.</t>
  </si>
  <si>
    <t>Antioxidant capacity of sulfated polysaccharides from seaweeds. A kinetic approach</t>
  </si>
  <si>
    <t>The antioxidant capacity of sulfated galactans from Gigartina skottsbergii and Schizymenia binderi, commercial carrageenans, and fucoidan from Lessonia vadosa was evaluated by the oxygen radical absorbance capacity (ORAC) method using fluorescein and c-phycocyanin as target molecules. Even though, relative ORAC values for sulfated galactans are similar for both employed probes, they are higher for fluorescein. Results of antioxidant capability are analyzed in terms of the structural parameters of polysaccharides. Fucoidan, from the brown seaweed L. vadosa and the sulfated galactan from the red seaweed, S. binderi exhibit the highest antioxidant capacity by the ORAC method. Although, the ORAC assay is not used to evaluate the quenching of peroxyl radicals by polysaccharides, we demonstrated that this method constitutes an adequate assay for evaluating the antioxidant capacity of aqueous soluble polysaccharides. The antioxidant capacity was also evaluated by ABTS and hydroxyl radical scavenging assays. The kinetic profiles for the reaction of ABTS(center dot+) with polysaccharides display a fast initial reaction kinetics followed by a slow component. Antioxidant activity, obtained from the end of the fast kinetic, was higher for fucoidan and sulfated galactan from S. binderi than for commercial carrageenans. The reaction of the polysaccharides with hydroxyl radicals is complex. Kinetics studies showed a fast reaction followed by a slower reaction that leads polysaccharide derived radicals to inhibit the antioxidant activity. (C) 2010 Elsevier Ltd. All rights reserved.</t>
  </si>
  <si>
    <t>Zuniga, Elisa/0000-0002-9232-6651</t>
  </si>
  <si>
    <t>10.1016/j.foodhyd.2010.08.004</t>
  </si>
  <si>
    <t>WOS:000282939200033</t>
  </si>
  <si>
    <t>Dela Bianca, ACC; Wandalsen, GF; Mallol, J; Solé, D</t>
  </si>
  <si>
    <t>Dela Bianca, A. C. C.; Wandalsen, G. F.; Mallol, J.; Sole, D.</t>
  </si>
  <si>
    <t>Follow-up Of Wheezing In Preschool Children From The Southern Region Of Sa Paulo, Brazil: International Study Of Wheezing In Infants - Phase 2</t>
  </si>
  <si>
    <t>JOURNAL OF ALLERGY AND CLINICAL IMMUNOLOGY</t>
  </si>
  <si>
    <t>American-Academy-of-Allergy-Asthma-and-Immunology Annual Meeting</t>
  </si>
  <si>
    <t>MAR 18-22, 2011</t>
  </si>
  <si>
    <t>San Francisco, CA</t>
  </si>
  <si>
    <t>Amer Acad Allergy Asthma &amp; Immunol</t>
  </si>
  <si>
    <t>Solé, Dirceu/JAO-0340-2023; Wandalsen, Gustavo/D-8412-2013</t>
  </si>
  <si>
    <t>0091-6749</t>
  </si>
  <si>
    <t>AB175</t>
  </si>
  <si>
    <t>10.1016/j.jaci.2010.12.696</t>
  </si>
  <si>
    <t>WOS:000295846400678</t>
  </si>
  <si>
    <t>Navas, A; Rivas, C</t>
  </si>
  <si>
    <t>Navas, Andres; Rivas, Cristobal</t>
  </si>
  <si>
    <t>Describing all bi-orderings on Thompson's group F</t>
  </si>
  <si>
    <t>GROUPS GEOMETRY AND DYNAMICS</t>
  </si>
  <si>
    <t>We describe all possible ways of bi-ordering Thompson's group F: its space of bi-orderings is made up of eight isolated points and four canonical copies of the Cantor set.</t>
  </si>
  <si>
    <t>1661-7207</t>
  </si>
  <si>
    <t>10.4172/GGD/78</t>
  </si>
  <si>
    <t>WOS:000272233500007</t>
  </si>
  <si>
    <t>Modak, B; Salina, M; Rodilla, J; Torres, R</t>
  </si>
  <si>
    <t>Modak, Brenda; Salina, Melissa; Rodilla, Jesus; Torres, Rene</t>
  </si>
  <si>
    <t>Study of the Chemical Composition of the Resinous Exudate Isolated from Heliotropium Sclerocarpum and Evaluation of the Antioxidant Properties of the Phenolic Compounds and the Resin</t>
  </si>
  <si>
    <t>Heliotropium sclerocarpum Phil. (Heliotropiaceae) is a resinous bush that grows in the Atacama of northern Chile. The chemical composition of its resinous exudate was analyzed for the first time. One aromatic geranyl derivative: filifolinol (1), one flavanone: naringenin (2) and a new type of 3-oxo-2-arylbenzofuran derivative 3 were isolated and their structures were determined. The antioxidant activity of the phenolic compounds and resin was evaluated using the bleaching of DPPH radical method and expressed as fast reacting equivalents (FRE) and total reacting equivalents (TRE).</t>
  </si>
  <si>
    <t>Rodilla, Jesus/H-8529-2019</t>
  </si>
  <si>
    <t>Lopez Rodilla, Jesus Miguel/0000-0001-6114-3572</t>
  </si>
  <si>
    <t>10.3390/molecules14114625</t>
  </si>
  <si>
    <t>WOS:000272190500026</t>
  </si>
  <si>
    <t>Castro, A; Cuevas, C; Lizama, C</t>
  </si>
  <si>
    <t>Castro, Airton; Cuevas, Claudio; Lizama, Carlos</t>
  </si>
  <si>
    <t>Maximal Regularity of the Discrete Harmonic Oscillator Equation</t>
  </si>
  <si>
    <t>We give a representation of the solution for the best approximation of the harmonic oscillator equation formulated in a general Banach space setting, and a characterization of l(p)-maximal regularity-or well posedness-solely in terms of R-boundedness properties of the resolvent operator involved in the equation. Copyright (C) 2009 Airton Castro et al.</t>
  </si>
  <si>
    <t>10.1155/2009/290625</t>
  </si>
  <si>
    <t>WOS:000265717600001</t>
  </si>
  <si>
    <t>Letelier, MF; Poblete, PV; Carrasco, R; Vargas, X</t>
  </si>
  <si>
    <t>Patil, AS; Gray, PJ</t>
  </si>
  <si>
    <t>Letelier, Mario F.; Poblete, Patricio V.; Carrasco, Rosario; Vargas, Ximena</t>
  </si>
  <si>
    <t>Quality Assurance in Higher Education in Chile: National and Engineering Dimensions</t>
  </si>
  <si>
    <t>ENGINEERING EDUCATION QUALITY ASSURANCE: A GLOBAL PERSPECTIVE</t>
  </si>
  <si>
    <t>This chapter describes the evolution of Quality Assurance in the Chilean higher education system. It emphasizes three relevant critical elements including the processes for conferring autonomy to private universities, the pilot project lead by the Ministry of Education, and the official status of the national higher education Quality Assurance system. There is also an analysis of the evolution of the Quality Assurance concept and related assessment mechanisms that during the past two decades have shifted in focus toward continuous improvement. The accreditation process for engineering programs and a brief case-study that highlights the effects of accreditation at the School of Engineering of the country's oldest University are described as well. In addition, this chapter presents a brief overview of Quality Assurance experiences in other Latin American countries and concludes by pointing out further directions for development.</t>
  </si>
  <si>
    <t>Poblete, Patricio/J-3687-2016</t>
  </si>
  <si>
    <t>978-1-4419-0554-3</t>
  </si>
  <si>
    <t>10.1007/978-1-4419-0555-0_9</t>
  </si>
  <si>
    <t>10.1007/978-1-4419-0555-0</t>
  </si>
  <si>
    <t>WOS:000270244600009</t>
  </si>
  <si>
    <t>Garcia-Huidobro, M; Yarur, CS</t>
  </si>
  <si>
    <t>Behavior of positive unbounded solutions for a class of nonhomogeneous p-Laplacian like equations</t>
  </si>
  <si>
    <t>We Study the behavior of positive radial solutions to -div(A(|del u|)del u) = K(|x|)f(u) near an isolated Singularity at x = 0. We classify the solutions under appropriate asymptotic behavior for A and f. (C) 2007 Elsevier Ltd. All rights reserved.</t>
  </si>
  <si>
    <t>10.1016/j.na.2007.05.024</t>
  </si>
  <si>
    <t>WOS:000256952200029</t>
  </si>
  <si>
    <t>Marin, M; Bonacic, C</t>
  </si>
  <si>
    <t>ElBaz, D; Bourgeois, J; Spies, F</t>
  </si>
  <si>
    <t>Marin, Mauricio; Bonacic, Carolina</t>
  </si>
  <si>
    <t>Bulk-synchronous on-line crawling on clusters of computers</t>
  </si>
  <si>
    <t>PROCEEDINGS OF THE 16TH EUROMICRO CONFERENCE ON PARALLEL, DISTRIBUTED AND NETWORK-BASED PROCESSING</t>
  </si>
  <si>
    <t>Euromicro Conference on Parallel Distributed and Network-Based Processing</t>
  </si>
  <si>
    <t>16th Euromicro International Conference on Parallel, Distributed and Network-Based Processing</t>
  </si>
  <si>
    <t>FEB 13-15, 2008</t>
  </si>
  <si>
    <t>Toulouse, FRANCE</t>
  </si>
  <si>
    <t>Sun Microsyst,Minist Delegue Recherche,Ctr Natl Recherche Sci,Univ Paul Sabatier,CNRS LAAS,SGI,Reg Midi Pyrenees,Mairie Toulouse,Haute Garonne</t>
  </si>
  <si>
    <t>This paper describes the design of a crawler devised to perform the periodic retrieval of Web documents for a search engine able to accept on-line updates in a concurrent manner On-line updates comes in the form of insertions of new documents or update of existing ones, all of them mixed with the usual user queries. The search engine is bulk-synchronous which allows it to deal efficiently with the concurrency control problem. The crawler is also bulk-synchronous so that it can be integrated into the same P-processors cluster executing the search engine. This paper describes and evaluates the practical feasibility of such a crawler.</t>
  </si>
  <si>
    <t>Marin, Mauricio/GLR-7700-2022</t>
  </si>
  <si>
    <t>Marin, Mauricio/0000-0003-0662-7149</t>
  </si>
  <si>
    <t>1066-6192</t>
  </si>
  <si>
    <t>978-0-7695-3089-5</t>
  </si>
  <si>
    <t>10.1109/PDP.2008.84</t>
  </si>
  <si>
    <t>WOS:000254266500055</t>
  </si>
  <si>
    <t>Hernandez M, E; Rabello, M; Henríquez, HR</t>
  </si>
  <si>
    <t>Hernandez M, Eduardo; Rabello, Marco; Henriquez, Hernan R.</t>
  </si>
  <si>
    <t>Existence of solutions for impulsive partial neutral functional differential equations</t>
  </si>
  <si>
    <t>This paper is concerned with partial neutral functional differential equations of first and second order with impulses. We establish some results of existence of mild solutions for these classes of equations. (c) 2006 Elsevier Inc. All rights reserved.</t>
  </si>
  <si>
    <t>10.1016/j.jmaa.2006.09.043</t>
  </si>
  <si>
    <t>WOS:000245822600027</t>
  </si>
  <si>
    <t>Cruchaga, M; Celentano, D; Breitkopf, P; Villon, P; Rassineux, A</t>
  </si>
  <si>
    <t>A front remeshing technique for a Lagrangian description of moving interfaces in two-fluid flows</t>
  </si>
  <si>
    <t>INTERNATIONAL JOURNAL FOR NUMERICAL METHODS IN ENGINEERING</t>
  </si>
  <si>
    <t>The numerical analysis of two-fluid flows involves the treatment of a discontinuity that appears at the separating interface. Classical Lagrangian schemes applied to update the front position between two immiscible incompressible fluids have been long recognized to provide a sharp representation of the interface. However, the main drawback of these approaches is the progressive distortion in the distribution of the markers used to identify the material front. To avoid this problem, an interface remeshing algorithm based on the diffuse approximation of the interface curvature is proposed in this work. In addition, the remeshed front is enforced to preserve the global volume. These new aspects are incorporated in an existing fluid dynamics formulation for the analysis of two-fluid flows problems. The resulting formulation is called in this work as the moving Lagrangian interface remeshing technique (MLIRT). Copyright (c) 2005 John Wiley &amp; Sons, Ltd.</t>
  </si>
  <si>
    <t>Celentano, Diego/JQW-5027-2023; Breitkopf, Piotr/J-7250-2019; Cruchaga, Marcela/M-7522-2014</t>
  </si>
  <si>
    <t>Breitkopf, Piotr/0000-0002-3842-6520; Cruchaga, Marcela/0000-0002-8708-2402</t>
  </si>
  <si>
    <t>0029-5981</t>
  </si>
  <si>
    <t>10.1002/nme.1616</t>
  </si>
  <si>
    <t>WOS:000238703500003</t>
  </si>
  <si>
    <t>Romeo, JS; Tanaka, NI; Pedroso-De-Lima, AC</t>
  </si>
  <si>
    <t>Romeo, Jose S.; Tanaka, Nelson I.; Pedroso-de-Lima, Antonio C.</t>
  </si>
  <si>
    <t>Bivariate survival modeling: a Bayesian approach based on Copulas</t>
  </si>
  <si>
    <t>LIFETIME DATA ANALYSIS</t>
  </si>
  <si>
    <t>Copula models have become increasingly popular for modeling multivariate survival data. In this paper we review some of the recent work that has been appeared for copula model for bivariate survival data and propose a Bayesian modeling. Our approach is very flexible with respect to the choice of marginal distributions and, depending on the copula model employed, it is possible to have a class of variation for the dependence parameter. We compare some of the copula models using a descriptive diagnostic method and three popular Bayesian model selection criteria. Our methodology is illustrated with the Diabetic Retinopathy Study (1976).</t>
  </si>
  <si>
    <t>Pedroso-de-Lima, Antonio/C-2475-2012; Romeo, Jose/J-6496-2019</t>
  </si>
  <si>
    <t>Romeo, Jose/0000-0002-6707-3429</t>
  </si>
  <si>
    <t>1380-7870</t>
  </si>
  <si>
    <t>1572-9249</t>
  </si>
  <si>
    <t>10.1007/s10985-006-9001-5</t>
  </si>
  <si>
    <t>WOS:000239737100005</t>
  </si>
  <si>
    <t>Correa, F; del Olmo, MA; Plyushchay, MS</t>
  </si>
  <si>
    <t>On hidden broken nonlinear superconformal symmetry of conformal mechanics and nature of double nonlinear superconformal symmetry</t>
  </si>
  <si>
    <t>We show that for positive integer values I of the parameter in the conformal mechanics model the system possesses a hidden nonlinear superconformal symmetry, in which reflection plays a role of the grading operator. In addition to the even so(1, 2) circle plus of the u (1)-generators, the superalgebra includes 21 + I odd integrals, which form the pair of spin-(l + 1/2) representations bosonic subalgebra and anticommute for order 21 + I polynomials of the even generators. This hidden symmetry, however, is broken at the level of the states in such a way that the action of the odd generators violates the boundary condition at the origin. In the earlier observed double nonlinear superconformal symmetry, arising in the superconformal mechanics for certain values of the boson-fermion coupling constant, the higher order symmetry is of the same, broken nature. (c) 2005 Elsevier B.V. All rights reserved.</t>
  </si>
  <si>
    <t>; Correa, Francisco/S-4564-2018</t>
  </si>
  <si>
    <t>del Olmo, Mariano A./0000-0001-7772-9981; Correa, Francisco/0000-0003-1735-2822</t>
  </si>
  <si>
    <t>NOV 3</t>
  </si>
  <si>
    <t>10.1016/j.physletb.2005.09.046</t>
  </si>
  <si>
    <t>WOS:000232955800019</t>
  </si>
  <si>
    <t>Martínez, C; Gac, S; Lavín, A; Ganga, M</t>
  </si>
  <si>
    <t>Genomic characterization of Saccharomyces cerevisiae strains isolated from wine-producing areas in South America</t>
  </si>
  <si>
    <t>JOURNAL OF APPLIED MICROBIOLOGY</t>
  </si>
  <si>
    <t>Aims: The wide use of yeast inoculum for wine fermentations permit the spreading of commercial Saccharomyces strains in wine areas all over the world. To study the impact of this practice on the autochthonous yeast populations it is necessary to have tools that permit the evaluation of the geographical origin of native isolates and differentiate them from commercial strains. Methods and Results: Electrophoretic karyotyping and mitochondrial DNA restriction analysis were used to characterize the genome of native S. cerevisiae isolates associated to wine from three countries in South America. Both methods revealed differences in the genomic structure between these populations, in addition to differences between sub-populations collected in wine-producing areas in Chile. Conclusions: Our data support that molecular polymorphism analysis may be useful to evaluate the geographical origin of native isolates of yeast strains for industrial use. Furthermore, these findings are in agreement with the idea of a clonal mode of reproduction of wine yeasts in natural environments. Significance and Impact of the Study: This study permits the characterization of native yeast isolates in relation to their geographical origin. This procedure could be used as a tool for evaluating if a native isolate derives from the realon were it was collected or if it is a strain derived from a commercial strain by microevolution.</t>
  </si>
  <si>
    <t>Ganga, Maria/S-8176-2019; Martinez, Claudio/MGS-9961-2025</t>
  </si>
  <si>
    <t>Martinez, Claudio/0000-0001-8564-9287</t>
  </si>
  <si>
    <t>1364-5072</t>
  </si>
  <si>
    <t>1365-2672</t>
  </si>
  <si>
    <t>10.1111/j.1365-2672.2004.02255.x</t>
  </si>
  <si>
    <t>WOS:000221329000030</t>
  </si>
  <si>
    <t>Parada, V; Pradenas, L; Solar, M; Palma, R</t>
  </si>
  <si>
    <t>A hybrid algorithm for the non-guillotine cutting problem</t>
  </si>
  <si>
    <t>10th Biannual Latin-Ibero-American Conference on Operations Research and Systems (CLAIO)</t>
  </si>
  <si>
    <t>SEP 04-08, 2000</t>
  </si>
  <si>
    <t>MEXICO CITY, MEXICO</t>
  </si>
  <si>
    <t>In this article, a meta-heuristic method to solve the non-guillotine cutting stock problem is proposed. The method is based on a combination between the basic principles of the constructive and evolutive methods. With an adequate management of the parameters involved, the method allows regulation of the solution quality to computational effort relationship. This method is applied to a particular case of cutting problems, with which the computational behaviors is evaluated. In fact, 1000 instances of the problem have been classified according to their combinatorial degree and then the efficiency and robustness of the method have been tested. The final results conclude that the proposed method generates an average error close to 2.18% with respect to optimal solutions. It has also been verified that the method yields solutions for all of the instances examined; something that has not been achieved with an exact constructive method, which was also implemented. Comparison of the running times demonstrates the superiority of the proposed method as compared with the exact method.</t>
  </si>
  <si>
    <t>Pradenas, Lorena/ACZ-4624-2022; Solar, Mauricio/AAE-9673-2020</t>
  </si>
  <si>
    <t>10.1023/A:1021521523118</t>
  </si>
  <si>
    <t>WOS:000179770500009</t>
  </si>
  <si>
    <t>Zolezzi, J; Rudnick, H; Danitz, F</t>
  </si>
  <si>
    <t>Discussion on Review of usage-based transmission cost allocation methods under open access</t>
  </si>
  <si>
    <t>10.1109/59.962455</t>
  </si>
  <si>
    <t>WOS:000171787000056</t>
  </si>
  <si>
    <t>Guerrero, J; Moya, SA; Garland, MT; Baggio, RF</t>
  </si>
  <si>
    <t>Bromotricarbonyl(3,3′-dimethylene-2,2′-bi-quinoline)rhenium(I)</t>
  </si>
  <si>
    <t>The mononuclear title compound, bromotricarbonyl(6,7-dihydro-13,14-diazapentaphene-N,N')rhenium(I), [ReBr(C20H14N2)(CO)(3)], presents a rhenium environment with a slightly distorted octahedral geometry: Re-C 1.905(9), 1.909(8) and 1.927(6), Re-N 2.187(6) and 2.201(6), and Re-Br 2.6295 (12) Angstrom.</t>
  </si>
  <si>
    <t>10.1107/S0108270198017181</t>
  </si>
  <si>
    <t>WOS:000081194400042</t>
  </si>
  <si>
    <t>Gamboa, C; Rubio, MA</t>
  </si>
  <si>
    <t>Ozone and peroxides in the atmosphere of Santiago.</t>
  </si>
  <si>
    <t>Gas phase and condensed liquid phase concentration of peroxides ROOR (H2O2 and organic peroxides) in the atmosphere of Santiago, Chile, are reported. The data were obtained during 1995 and 1996 using cryoscopy and nebulization methods to collect the gas phase concentration. Peroxides were analyzed using the fluorescence of the dimer of hydroxiphenylacetic acids. In addition, ozone was collected at the same place in order to look for a correlation of both gas traces.</t>
  </si>
  <si>
    <t>WOS:A1997YA06800012</t>
  </si>
  <si>
    <t>Vargas, P; Altbir, D</t>
  </si>
  <si>
    <t>RKKY interaction between metallic clusters</t>
  </si>
  <si>
    <t>JOURNAL OF MAGNETISM AND MAGNETIC MATERIALS</t>
  </si>
  <si>
    <t>We present a detailed comparison of a discrete and a continuum treatment of the RKKY interaction between a spherical cluster and a localized spin. We show that, for short distances between the center of the cluster and the localized spin, there are considerable differences between these models.</t>
  </si>
  <si>
    <t>Vargas, Patricio/AAL-2633-2020; Altbir, Dora/R-6781-2018</t>
  </si>
  <si>
    <t>Altbir, Dora/0000-0002-2945-4909; vargas, patricio/0000-0001-9235-9747</t>
  </si>
  <si>
    <t>0304-8853</t>
  </si>
  <si>
    <t>10.1016/S0304-8853(96)00629-4</t>
  </si>
  <si>
    <t>WOS:A1997WN15700024</t>
  </si>
  <si>
    <t>Salinas, M</t>
  </si>
  <si>
    <t>The search for a holy place: Social and religious history of the pobladores of Chile (1962-1992)</t>
  </si>
  <si>
    <t>Between 1962 and 1992, the pobladores, inhabitants of the poor quarters of Chilean cities, carried on their cultural and religious lives on the periphery of westernized cities like Santiago. initially (1962-1973) social life was established through land appropriation and simultaneous creation of their own community organizations. Subsequently, the pobladores had to defend their way of life against the military government (1973-1986), by means that were at once specifically concrete and spiritual. At length, when the military government began to make way for a civil regime, the pobladores had to define or redefine the meaning that lay in those quarters (1986-1992). In this article, the author attempts to illuminate the cultural and religious behaviour of the pobladores, reduced to the status of targets of a ''modernization'' sought by the authorities throughout the past 30 years.</t>
  </si>
  <si>
    <t>WOS:A1996VH11200005</t>
  </si>
  <si>
    <t>RABAGLIATI, FM; TERRAZA, CA; RAMIREZ, LA; CONTRERAS, JM</t>
  </si>
  <si>
    <t>STYRENE AND METHYL-METHACRYLATE POLYMERIZATION USING DIPHENYLZINC-COCATALYST SYSTEMS .2.</t>
  </si>
  <si>
    <t>MACROMOLECULAR SYMPOSIA</t>
  </si>
  <si>
    <t>Polymex - 93: International Symposium on Polymers</t>
  </si>
  <si>
    <t>NOV 01-05, 1993</t>
  </si>
  <si>
    <t>CANCUN, MEXICO</t>
  </si>
  <si>
    <t>Various diphenylzinc-additive systems were used to initiate homopolymerization of styrene and of methyl methacrylate. The polymers obtained were characterized by size exclusion chromatography, by H-1- and C-13-NMR and measurements of intrinsic viscosities [eta]. These data indicated that polymerization is much influenced by: the nature of the additive employed, the proportion of the additive relative to diphenylzinc and the condition of polymerization.</t>
  </si>
  <si>
    <t>Terraza, Claudio/0000-0002-6326-8771</t>
  </si>
  <si>
    <t>1022-1360</t>
  </si>
  <si>
    <t>10.1002/masy.19940840114</t>
  </si>
  <si>
    <t>WOS:A1994PA53200013</t>
  </si>
  <si>
    <t>PHOTOBEHAVIOR OF PYRENE END-LABELED POLY(ETHYLENE OXIDE) IN METHANOL WATER MIXTURES</t>
  </si>
  <si>
    <t>JOURNAL OF PHOTOCHEMISTRY</t>
  </si>
  <si>
    <t>0047-2670</t>
  </si>
  <si>
    <t>10.1016/0047-2670(87)80028-X</t>
  </si>
  <si>
    <t>WOS:A1987G426700014</t>
  </si>
  <si>
    <t>SARIEGO, R; CARKOVIC, I; MARTINEZ, M</t>
  </si>
  <si>
    <t>HYDROGEN TRANSFER-REACTIONS CATALYZED BY NEUTRAL RHODIUM(I) SCHIFF-BASE COMPLEXES</t>
  </si>
  <si>
    <t>TRANSITION METAL CHEMISTRY</t>
  </si>
  <si>
    <t>0340-4285</t>
  </si>
  <si>
    <t>10.1007/BF00618586</t>
  </si>
  <si>
    <t>WOS:A1984SR12300006</t>
  </si>
  <si>
    <t>HOJMAN, R; HOJMAN, S; SHEINBAUM, J</t>
  </si>
  <si>
    <t>SHORTCUT FOR CONSTRUCTING ANY LAGRANGIAN FROM ITS EQUATIONS OF MOTION</t>
  </si>
  <si>
    <t>Sheinbaum, Julio/E-9912-2019; Hojman, Sergio/F-5801-2010</t>
  </si>
  <si>
    <t>Sheinbaum, Julio/0000-0001-7031-5225; Hojman, Sergio/0000-0001-6281-9861</t>
  </si>
  <si>
    <t>0556-2821</t>
  </si>
  <si>
    <t>10.1103/PhysRevD.28.1333</t>
  </si>
  <si>
    <t>WOS:A1983RG40800012</t>
  </si>
  <si>
    <t>Meza, E; Herrera, F; Gautier, JL</t>
  </si>
  <si>
    <t>Meza, Erika; Herrera, Francisco; Gautier, Juan Luis</t>
  </si>
  <si>
    <t>Electrochemical behavior of LiNiCo oxide cathodes as catalyst for lithium-air batteries</t>
  </si>
  <si>
    <t>Three LiNixCo2-xO delta (x = 0, 0.5, 0.75)-mixed oxides were synthesized via thermal decomposition of nitrate salts in aqueous solution and characterized by X-ray diffraction (XRD), confirming a spinel structure with space group Fd3m. Previously investigated as lithium insertion cathodes, these oxides were evaluated for potential application as catalysts in lithium-air batteries. This study analyzes the electrochemical behavior of these materials in a 1 M LiOH electrolyte solution, using electrochemical impedance spectroscopy (EIS) and cyclic voltammetry (CV). EIS results indicated higher energy storage capacities for compositions with increased nickel content, with capacitances of 0.91 mF for x = 0.5 and 1.21 mF for x = 0.75, and corresponding charge transfer resistances (Rct) of 110 and 93 ohms. CV analysis showed significant redox activity, particularly in oxygen reduction and evolution reactions. The x = 0 composition displayed reduction peaks at - 0.96 V, - 1.614 V, and - 2.118 V vs SHE, and oxidation peaks at - 1.188 V, 0.924 V, and 1.416 V vs SHE. Additional peaks were observed for the x = 0.5 and x = 0.75 compositions, indicating more complex redox behavior due to nickel presence. These findings demonstrate a clear correlation between the ionic composition of Li-Ni-Co spinel oxides and their electrochemical performance, especially in terms of energy storage and redox processes. This research highlights the potential of these materials as cathodes in lithium-air batteries, contributing to the development of energy storage systems with enhanced efficiency and performance.</t>
  </si>
  <si>
    <t>Meza, Erika/S-5934-2017</t>
  </si>
  <si>
    <t>Herrera, Francisco/0000-0001-7783-2970; Meza, Erika/0009-0009-0588-1808</t>
  </si>
  <si>
    <t>2024 NOV 25</t>
  </si>
  <si>
    <t>10.1007/s10008-024-06149-1</t>
  </si>
  <si>
    <t>NOV 2024</t>
  </si>
  <si>
    <t>WOS:001361813300001</t>
  </si>
  <si>
    <t>Dittus, R; Elqueta-Ruiz, A</t>
  </si>
  <si>
    <t>Dittus, Ruben; Elqueta-Ruiz, Alvara</t>
  </si>
  <si>
    <t>Training and field of scriptwriters in Chile: qualitative analysis from interviews</t>
  </si>
  <si>
    <t>| The article is part of a larger study to describe the teaching of audiovisual scriptwriting and the training of scriptwriters in contemporary Chile. The results come from the application of the semi -structured interview method to ten renowned national scriptwriters and teachers in the field, verifying the existence of aesthetic orientations, technical requirements, relationships with other agents in the field or ways of working for creative writing in the stage pre -production for film and television. Open-ended questionnaires were used, the aim of which was to generate the replica of a conversation from certain predefined thematic nuclei. Based on these generative nuclei, the interviews were developed in a flexible manner, with the aim of reinforcing the non -standardized nature of the instrument. What is presented in this synthesis are common points and other controversial aspects. They have no statistical value, but rather show the importance of the complexity of the generated discourses.</t>
  </si>
  <si>
    <t>10.7764/cdi.58.66731</t>
  </si>
  <si>
    <t>WOS:001278512400001</t>
  </si>
  <si>
    <t>Quezada, LE; López-Ospina, HA; Valenzuela, JE; Oddershede, AM; Palominos, PI</t>
  </si>
  <si>
    <t>Quezada, Luis E.; Lopez-Ospina, Hector A.; Valenzuela, Juan E.; Oddershede, Astrid M.; Palominos, Pedro I.</t>
  </si>
  <si>
    <t>A Method for Formulating a Manufacturing Strategy Using Fuzzy DEMATEL and Fuzzy VIKOR</t>
  </si>
  <si>
    <t>ENGINEERING MANAGEMENT JOURNAL</t>
  </si>
  <si>
    <t>The purpose of this paper is to propose a quantitative method for formulating a manufacturing strategy. It is based on the accepted framework for manufacturing strategy formation containing competitive priorities and manufacturing decisions. The existing literature shows a limited number of papers using quantitative methods for modeling the framework. The proposed method utilizes a combination of three multi-criteria decision making methods (MCDM) to formulate the strategy. They are the fuzzy version of DEMATEL, VIKOR, and AHP. The proposed method supports managers in generating action plans for manufacturing that are aligned with the company's overall strategy. It also produces a ranking of the plans, so managers can focus on those that are most important for achieving the company's goals. The contribution of the proposed method is that it captures the priorities and the complex relationships among the factors affecting the manufacturing strategy. From a practical point of view, its value is the support provided for managers in formulating manufacture. It was applied in one company, where managers stated that they found the resulting strategy useful in terms of supporting the company's objectives.</t>
  </si>
  <si>
    <t>Palominos, Pedro/0000-0002-5695-3025; Quezada, Luis/0000-0003-1364-9266</t>
  </si>
  <si>
    <t>1042-9247</t>
  </si>
  <si>
    <t>2377-0643</t>
  </si>
  <si>
    <t>10.1080/10429247.2023.2224707</t>
  </si>
  <si>
    <t>JUL 2023</t>
  </si>
  <si>
    <t>WOS:001022670800001</t>
  </si>
  <si>
    <t>Exploring the potential as molecular quantum-dot cellular automata of a mixed-valence complex deposited on a Au(111) surface</t>
  </si>
  <si>
    <t>A key requirement for the implementation of molecular quantum dot cellular automata (mQCA) is the ordered attachment of molecules on surfaces. In this work we explore by means of state-of-the art quantum chemistry calculations different aspects of the deposition of a mixed-valence Ru2(+) complex on Au(111), underlined as a promising component in mQCA. Our results provide information about the geometry adopted by the Ru2(+) molecule and the counterion PF6- on the metal surface and the electronic structure of the doublet ground state, with the excess charge localized on one side of the molecule, not only on the Ru centre, but also involving a part of the 12-carbon bridging chain, which could explain the pair of bright/dim features of STM images. Our calculations also test the functionality as the mQCA of the Ru2(+) molecule, evaluating the response curve under an applied electric field as perturbation, and the electronic distribution of two neighbouring Ru2(+) molecules forming a four-dot cell, with a diagonal organization of the two excess charges. To the best of our knowledge, this is the first study devoted to the analysis of the electronic structure and mQCA functionality of deposited mixed-valence molecules.</t>
  </si>
  <si>
    <t>Palomino, Carlos/LVQ-9260-2024; Montenegro-Pohlhammer, Nicolas/HJZ-2914-2023; Jimenez Calzado, Maria del Carmen/D-1159-2011</t>
  </si>
  <si>
    <t>Montenegro-Pohlhammer, Nicolas/0000-0003-3574-2955; Jimenez Calzado, Maria del Carmen/0000-0003-3841-7330</t>
  </si>
  <si>
    <t>APR 11</t>
  </si>
  <si>
    <t>10.1039/d2qi02647c</t>
  </si>
  <si>
    <t>WOS:000962343400001</t>
  </si>
  <si>
    <t>Quezada, LE; Lopez-Ospina, HA; Ortiz, C; Oddershede, AM; Palominos, PI; Jofre, PA</t>
  </si>
  <si>
    <t>Quezada, Luis E.; Lopez-Ospina, Hector A.; Ortiz, Cesar; Oddershede, Astrid M.; Palominos, Pedro I.; Jofre, Paulina A.</t>
  </si>
  <si>
    <t>A DEMATEL-based method for prioritizing strategic projects using the perspectives of the Balanced Scorecard</t>
  </si>
  <si>
    <t>INTERNATIONAL JOURNAL OF PRODUCTION ECONOMICS</t>
  </si>
  <si>
    <t>This paper presents a method for ranking projects based on their impact on the strategic objectives of the strategy map of the Balanced Scorecard (BSC) of an organization. A strategy map is a visual representation of the strategic objectives and the causal relationships between them in an organization. This work uses this map to align strategic projects to the objectives of the shareholders. Even though there are a large number of articles on the selection/ranking of projects, we found that the literature on the selection/ranking from a strategic perspective is scarce. According to our review, the existing literature does not include any work in which the impact of projects on strategic objectives is established. The work presented here fills this gap. The multicriteria decision-making method DEMATEL is used to rank strategic projects. The method creates a network that includes strategic objectives and projects as nodes and the causal relationships between them. Two types of links between the nodes are included in the model: those representing the direct causal relationships between strategic objectives (strategy map) and those representing the influence of the strategic projects on the strategic objectives. DEMATEL is applied to find the total influence (direct and indirect) of the strategic projects on the strategic objectives of the Financial Perspective of the BSC, which represents the view of the shareholders. The method is illustrated using the case of a real manufacturing company that produces moldings and wall coatings. The managers who participated in the process found it very useful, and the results are being used as a guide for the implementation of strategic projects. The proposed method allows the evaluation of projects in relation to their support to the mission of the organization.</t>
  </si>
  <si>
    <t>0925-5273</t>
  </si>
  <si>
    <t>1873-7579</t>
  </si>
  <si>
    <t>10.1016/j.ijpe.2022.108518</t>
  </si>
  <si>
    <t>WOS:000804540200001</t>
  </si>
  <si>
    <t>Villalobos-Vergara, PV; Flores-Gómez, CX</t>
  </si>
  <si>
    <t>Veronica Villalobos-Vergara, Paula; Ximena Flores-Gomez, Catherine</t>
  </si>
  <si>
    <t>The Renewal of Practices: Their Contribution to Strengthening Resilience in Beginning Teachers</t>
  </si>
  <si>
    <t>REVISTA ELECTRONICA EDUCARE</t>
  </si>
  <si>
    <t>Purpose. TThis research aims to identify the individual aspects that, added to the pedagogical work and the context in which it is developed, contribute to strengthening teacher resilience in beginning teachers. Method. Regarding methodology, this is a qualitative study of multiple cases that includes eleven beginning high school teachers working in public schools. Interviews and audio messages via the WhatsApp platform were used, which were submitted to content analysis. Results. The results show that the teachers' main difficulty is the students' low performance, a situation that they face from the renovation of their teaching practices in terms of didactic and evaluative aspects. The teachers interviewed share a positive vision of their students' abilities, professional autonomy, a high commitment to student learning, a similar perspective of the meaning of their work, and their social contribution. These shared aspects contribute to a positive bond with peers and the development of collective innovations within collaborative work. Conclusion. The conclusions of the study establish the moral commitment to the teaching of teachers and the contribution of pedagogical innovation in increasing their sense of achievement, as well as the need to generate institutional conditions that allow strengthening the resilience of beginning teachers, providing them with appropriate conditions and opportunities for collaborative teaching work to consolidate professional learning communities.</t>
  </si>
  <si>
    <t>1409-4258</t>
  </si>
  <si>
    <t>10.15359/ree.26-2.31</t>
  </si>
  <si>
    <t>WOS:000796192300024</t>
  </si>
  <si>
    <t>Lizama, C; Murillo-arcila, M</t>
  </si>
  <si>
    <t>Lizama, Carlos; Murillo-arcila, Marina</t>
  </si>
  <si>
    <t>MAXIMAL REGULARITY FOR TIME-STEPPING SCHEMES ARISING FROM CONVOLUTION QUADRATURE OF NON-LOCAL IN TIME EQUATIONS</t>
  </si>
  <si>
    <t>We study discrete time maximal regularity in Lebesgue spaces of sequences for time-stepping schemes arising from Lubich's convolution quadrature method. We show minimal properties on the quadrature weights that determines a wide class of implicit schemes. For an appropriate choice of the weights, we are able to identify the theta-method as well as the backward differentiation formulas and the L1-scheme. Fractional versions of these schemes, some of them completely new, are also shown, as well as their representation by means of the Grunwald-Letnikov fractional order derivative. Our results extend and improve some recent results on the subject and provide new insights on the basic nature of the weights that ensure maximal regularity.</t>
  </si>
  <si>
    <t>10.3934/dcds.2022032</t>
  </si>
  <si>
    <t>WOS:000777128900001</t>
  </si>
  <si>
    <t>González-Suárez, A; Pereda-Reyes, I; Oliva-Merencio, D; Montalvo-Martínez, SJ</t>
  </si>
  <si>
    <t>Gonzalez-Suarez, Aimee; Pereda-Reyes, Ileana; Oliva-Merencio, Deny; Jacinto Montalvo-Martinez, Silvio</t>
  </si>
  <si>
    <t>Speciation of iron, nickel and cobalt in the anaerobic biodegradation of rice straw</t>
  </si>
  <si>
    <t>REVISTA FACULTAD DE INGENIERIA-UNIVERSIDAD DE ANTIOQUIA</t>
  </si>
  <si>
    <t>The bioavailability of Fe, Ni and Co and its impact on the mono-digestion of rice straw with addition of a natural nutrient source were assessed. The chemical forms and the degree of bioavailability of Fe, Ni and Co were investigated in two reactors during 311 days of experimentation at 37 degrees C. The reactor (R2) was supplemented with 1 g/L of mineral once a week. The control reactor R1 was limited in mineral during the study. The greatest methane yield of 238 mL/g VS was obtained with mineral supply with an increment of 45% respect to reactor without metals (164 mL/g VS). The sequential extraction confirmed that 70, 88 and 75% of Fe, Ni and Co were mainly in bioavailable forms (interchangeable and carbonate), respectively, with mineral supply in R2. Fe and Co were mainly associated to the carbonate and oxidizable fractions (43% and 41% respectively), while the Ni concentrations were not detected during the experimentation. As a result, the methane yield in R2 increased by 45%, with a potential bioavailability (Ni &gt; Co &gt; Fe) higher compared to control reactor (Co &gt; Fe). Trace elements deficit in R1 result in the reduction of metal-binding forms until the end of experiment, with a negative impact on methanogenic community.</t>
  </si>
  <si>
    <t>Oliva Merencio, Deny/D-1912-2015; Pereda Reyes, Ileana/J-9415-2014</t>
  </si>
  <si>
    <t>Oliva Merencio, Deny/0000-0001-8117-3605; Gonzalez Suarez, Aimee/0000-0002-8117-4891; Pereda Reyes, Ileana/0000-0001-6517-4202</t>
  </si>
  <si>
    <t>0120-6230</t>
  </si>
  <si>
    <t>2422-2844</t>
  </si>
  <si>
    <t>10.17533/udea.redin.20200366</t>
  </si>
  <si>
    <t>WOS:000672802100006</t>
  </si>
  <si>
    <t>Dahech, P; Schlömann, M; Ortiz, C</t>
  </si>
  <si>
    <t>Dahech, Pablo; Schloemann, Michael; Ortiz, Claudia</t>
  </si>
  <si>
    <t>Light intensity stimulates the production of extracellular polymeric substances (EPS) in a culture of the desert cyanobacterium Trichormus sp</t>
  </si>
  <si>
    <t>JOURNAL OF APPLIED PHYCOLOGY</t>
  </si>
  <si>
    <t>Cyanobacteria are photoautotrophic organisms that inhabit diverse environments. Some species have been characterized for their production of extracellular polymeric substances (EPS) that have several biotechnological applications. EPS production is dependent on the growth conditions of the cyanobacteria, such as the content of nitrogen in the culture medium, the supplementation of the media with NaCl, or the light intensity. In this work, we studied the production profile of EPS at different growth stages in a culture from desert of the cyanobacterium Trichormus sp. The culture had been obtained from biological soil crusts (BSC) collected from a semi-arid zone of the IV region of Chile. We evaluated the effect of NaCl and nitrogen content in the culture media, in addition to the light intensity, on the growth and EPS production of the cyanobacterial cultures. The growth curve of Trichormus sp. showed a lag phase up to day 6, a short exponential phase up to day 10, and a stationary phase that lasted to the end of the experiment. The production of EPS was evaluated during the exponential growth phase of Trichormus sp. and showed a fourfold EPS production at 9.6 W m(-2), compared to the basal condition at 3.2 W m(-2). This light intensity is the highest light condition reported for the evaluation of EPS production in soil cyanobacteria. In this work, we show that the light intensity, but not the presence of NaCl or nitrogen in the medium, stimulates the production of EPS in the desert cyanobacterium Trichormus sp.</t>
  </si>
  <si>
    <t>0921-8971</t>
  </si>
  <si>
    <t>1573-5176</t>
  </si>
  <si>
    <t>10.1007/s10811-021-02516-x</t>
  </si>
  <si>
    <t>WOS:000673381200002</t>
  </si>
  <si>
    <t>Pino-Rios, R; Inostroza, D; Tiznado, W</t>
  </si>
  <si>
    <t>Pino-Rios, Ricardo; Inostroza, Diego; Tiznado, William</t>
  </si>
  <si>
    <t>Neither too Classic nor too Exotic: One-Electron Na.B Bond in NaBH3- Cluster</t>
  </si>
  <si>
    <t>ANGEWANDTE CHEMIE-INTERNATIONAL EDITION</t>
  </si>
  <si>
    <t>It is here reported that the NaBH3- cluster exhibits a Na.B one-electron bond, a well-established type of electron-deficient bonding in the literature. The topological analysis of the electron localization function, at the correlated level, reveals that Na-, when approaching the bonding distance, fairly distributes its valence electron pair between two lobes. One of these electrons is used to bond with BH3, which participates through its boron empty p-orbital. Furthermore, the bonding situation of LiBH3-, KBH3-, MgBH3, and CaBH3 global minima structures are similar to that of NaBH3-, extending the family of these new one-electron bond systems with biradicaloid character.</t>
  </si>
  <si>
    <t>Inostroza, Diego/AAI-5261-2020; Tiznado, William/G-7479-2014</t>
  </si>
  <si>
    <t>Tiznado, William/0000-0002-6061-8879; Inostroza Mendoza, Diego Estevan/0000-0002-0160-0337</t>
  </si>
  <si>
    <t>1433-7851</t>
  </si>
  <si>
    <t>1521-3773</t>
  </si>
  <si>
    <t>JUN 1</t>
  </si>
  <si>
    <t>10.1002/anie.202101403</t>
  </si>
  <si>
    <t>MAY 2021</t>
  </si>
  <si>
    <t>WOS:000645900100001</t>
  </si>
  <si>
    <t>Cussen, C; Martínez, JJ</t>
  </si>
  <si>
    <t>Cussen, Celia; Martinez B., Juan Jose</t>
  </si>
  <si>
    <t>THE ECONOMICS OF URBAN SLAVEHOLDING IN SANTIAGO, CHILE, 1773-1810</t>
  </si>
  <si>
    <t>This paper applies modern economic theory to the ownership of enslaved men and women in the labour market context of Santiago, Chile from 1773 to 1810. We calculate the internal rate of return for slaves by gender and age as a way to understand the economic justification of slavery in an urban scenario where free labour was also readily available. Based on archival sources documenting the selling prices for slaves, prevailing wages for free labourers, maintenance costs and life expectancy, we argue that the ownership of enslaved men and women was a consistently profitable activity.</t>
  </si>
  <si>
    <t>Martínez, Juan/S-5746-2019; Cussen, Celia/IAQ-2315-2023</t>
  </si>
  <si>
    <t>PII S0212610920000075</t>
  </si>
  <si>
    <t>10.1017/S0212610920000075</t>
  </si>
  <si>
    <t>WOS:000625825500005</t>
  </si>
  <si>
    <t>Torres, H; Urrea, C; Kern, J; Alvarado-Cando, O</t>
  </si>
  <si>
    <t>Torres, Hugo; Urrea, Claudio; Kern, John; Alvarado-Cando, O.</t>
  </si>
  <si>
    <t>Evaluation of a predictive control applied to the tracking of the trajectory of a manipulator robot with 3-DOF</t>
  </si>
  <si>
    <t>INTERNATIONAL CONFERENCE ON ELECTRICAL, COMPUTER AND ENERGY TECHNOLOGIES (ICECET 2021)</t>
  </si>
  <si>
    <t>IEEE International Conference on Electrical, Computer, and Energy Technologies (ICECET)</t>
  </si>
  <si>
    <t>DEC 09-10, 2021</t>
  </si>
  <si>
    <t>Cape Town, SOUTH AFRICA</t>
  </si>
  <si>
    <t>Aksaray Univ,IEEE,Univ Johannesburg</t>
  </si>
  <si>
    <t>In the field of robotics, one of the problems is the error produced by the controllers in the follow up of a certain trajectory by the manipulator, for this reason the objective of this research is based on the execution a Predictive Controller for a robot of three degrees of freedom. The study presented in this document is mainly based on an investigation of the structure and the different elements involved in model based predictive control; the same ones that were applied to the control of a 3-DOF manipulator, for which it was necessary to analyze its kinematics and dynamics, which allowed the implementation and realization of its respective simulation with the help of Simulink from MatLab. To analyze the behavior of the manipulated, a trajectory was implemented, which allowed to analyze the error between the desired trajectory and the one carried out by the robot. In order to improve the predictive controller and reduce the error, the behavior was analyzed for different parameters of the prediction horizon, control intervals and control horizon, as well as the linearization of the plant.</t>
  </si>
  <si>
    <t>Claudio, URREA/KWU-1600-2024; Torres, Hugo/AAC-2017-2020; Alvarado Cando, Omar/AAV-9138-2021</t>
  </si>
  <si>
    <t>Alvarado Cando, Omar/0000-0001-7502-5155; Urrea, Claudio/0000-0001-7197-8928; Torres Salamea, Hugo Marcelo/0000-0001-7814-6251</t>
  </si>
  <si>
    <t>978-1-6654-4231-2</t>
  </si>
  <si>
    <t>10.1109/ICECET52533.2021.9698450</t>
  </si>
  <si>
    <t>WOS:000814669100095</t>
  </si>
  <si>
    <t>Harrison, R; Jara-Moroni, P</t>
  </si>
  <si>
    <t>Harrison, Rodrigo; Jara-Moroni, Pedro</t>
  </si>
  <si>
    <t>GLOBAL GAMES WITH STRATEGIC SUBSTITUTES</t>
  </si>
  <si>
    <t>INTERNATIONAL ECONOMIC REVIEW</t>
  </si>
  <si>
    <t>We study global games with strategic substitutes. Specifically, for a class of binary-action,N-player games with strategic substitutes, we prove that under payoff asymmetry, as incomplete information vanishes, the global games approach selects a unique equilibrium. We characterize this equilibrium profile ; players employ switching strategies at different cutoff signals, the order of which is directly determined by payoff asymmetry. We provide examples that illustrate our result and its connection with dominance solvability. We extend the global game literature, which has thus far been developed for games with strategic complementarities, to new applications in industrial organization, collective action problems, finance, etc .</t>
  </si>
  <si>
    <t>Jara-Moroni, Pedro/C-2269-2013</t>
  </si>
  <si>
    <t>Jara-Moroni, Pedro/0000-0001-5760-388X</t>
  </si>
  <si>
    <t>0020-6598</t>
  </si>
  <si>
    <t>1468-2354</t>
  </si>
  <si>
    <t>10.1111/iere.12481</t>
  </si>
  <si>
    <t>WOS:000570318300001</t>
  </si>
  <si>
    <t>Aliaga, C; Domínguez, M; Rojas, P; Rezende, MC</t>
  </si>
  <si>
    <t>Aliaga, Carolina; Dominguez, Moises; Rojas, Pablo; Caroli Rezende, Marcos</t>
  </si>
  <si>
    <t>A comparison of multiparametric methods for the interpretation of solvent-dependent chemical processes</t>
  </si>
  <si>
    <t>Kamlet-Abraham-Taft (KAT)'s and Catalan's multiparametric methods for the interpretation of solvent-dependent chemical processes were compared by application to seven probes with solvent-dependent spectro-scopic properties recorded in a variety of solvents. Regression analyses of the data obtained from the literature or in the present work allowed a comparison of the two methods, not only from the quality of the fitting of the calculated vs. experimental values for each probe, but also from the interpretation of the solvent effects in terms of the sign and magnitude of the regression coefficients. In general, Catalan's parameters proved superior to KATs in the interpretation of solvent effects by means of their multiparametric approach. (C) 2020 Elsevier B.V. All rights reserved.</t>
  </si>
  <si>
    <t>10.1016/j.molliq.2020.113362</t>
  </si>
  <si>
    <t>WOS:000559968600062</t>
  </si>
  <si>
    <t>Aigner-Horev, E; Hàn, H</t>
  </si>
  <si>
    <t>Aigner-Horev, Elad; Han, Hiep</t>
  </si>
  <si>
    <t>Linear quasi-randomness of subsets of abelian groups and hypergraphs</t>
  </si>
  <si>
    <t>EUROPEAN JOURNAL OF COMBINATORICS</t>
  </si>
  <si>
    <t>European Conference on Combinatorics, Graph Theory and Applications (EUROCOMB)</t>
  </si>
  <si>
    <t>AUG 28-SEP 01, 2017</t>
  </si>
  <si>
    <t>Vienna, AUSTRALIA</t>
  </si>
  <si>
    <t>We establish an equivalence between the two seemingly distant notions of quasi-randomness: small linear bias of subsets of abelian groups and uniform edge distribution for uniform hypergraphs. For a subset A C G of an abelian group G consider the k-uniform Cayley (sum) hypergraph H(k)(A). The vertex set of H(k)(A) is G and the edges are k-element sets {xi,, xk} E (Gk) with xi xk E A. Ford E (0, 1) we show that sets A C G of density d o(1) have all non-trivial Fourier coefficients of order o(IGI) if and only if e(U) = drkl) o(IG1k) for all U c V(H(k)(A)). This connects the work of Chung and Graham on quasi -random subsets of the integers and that of Conlon -Han Person -Schacht on weak/linear quasi-random hypergraphs. Further, it extends the work of Chung and Graham who established the corresponding result for k = 2 and G = Z. (C) 2020 Elsevier Ltd. All rights reserved.</t>
  </si>
  <si>
    <t>Han, Hiep/IVV-0527-2023</t>
  </si>
  <si>
    <t>Han, Hiep/0000-0001-7757-7244</t>
  </si>
  <si>
    <t>0195-6698</t>
  </si>
  <si>
    <t>1095-9971</t>
  </si>
  <si>
    <t>10.1016/j.ejc.2020.103116</t>
  </si>
  <si>
    <t>WOS:000541875000015</t>
  </si>
  <si>
    <t>Robles, C</t>
  </si>
  <si>
    <t>Robles, Claudio</t>
  </si>
  <si>
    <t>The agrarian historiography of Chile: Foundational interpretations, conventional reiterations, and critical revisionism</t>
  </si>
  <si>
    <t>This article examines the development of Chilean agrarian historiography in the last four decades, by means of an introductory overview organized as a chronological reconstruction. It selectively focuses on relevant authors and works, the problems and questions they addressed, their main arguments and contributions, as well as their flaws and limitations. In doing so, the article constructs debates that never took place, because development of this field has been limited by the scarcity of specialized works, the different contexts in which they were produced, and the lack of institutional spaces for systematic debate.Agrarian historiography has only recently become a distinctive discipline in Chile and is therefore an incipient field. In the last fifteen years, a new revisionist agrarian historiography has begun to revitalize the study of Chilean rural history through critical dialogue with foundational interpretations from the 1970s, leaving behind the conventional reiterations of the 1980s.</t>
  </si>
  <si>
    <t>Robles-Ortiz, Claudio/IAQ-6409-2023</t>
  </si>
  <si>
    <t>Robles-Ortiz, Claudio/0000-0003-3041-7838</t>
  </si>
  <si>
    <t>10.26882/histagrar.081e04r</t>
  </si>
  <si>
    <t>WOS:000600367700004</t>
  </si>
  <si>
    <t>ASYMPTOTICALLY ALMOST AUTOMORPHIC SOLUTIONS OF DYNAMIC EQUATIONS ON TIME SCALES</t>
  </si>
  <si>
    <t>In the present work, we introduce the concept of asymptotically almost automorphic functions on time scales and study their main properties. We study nonautonomous dynamic equations on time scales given by x(Delta)(t) = A(t)x(t) + f(t) and x(Delta)(t) = A(t)x(t) + f(t, x(t)), t is an element of T where T is an invariant under translations time scale and A is an element of R(T, R-nxn). We give new criteria ensuring the existence of an asymptotically almost automorphic solution for both equations.</t>
  </si>
  <si>
    <t>Lizama, Carlos/E-5909-2011; Godoy Mesquita, Jaqueline/A-2356-2012</t>
  </si>
  <si>
    <t>Godoy Mesquita, Jaqueline/0000-0002-1255-9384</t>
  </si>
  <si>
    <t>10.12775/TMNA.2019.024</t>
  </si>
  <si>
    <t>WOS:000488217000004</t>
  </si>
  <si>
    <t>Guerrero, C; Valdivia, F; Ubilla, C; Ramírez, N; Gómez, M; Aburto, C; Vera, C; Illanes, A</t>
  </si>
  <si>
    <t>Guerrero, Cecilia; Valdivia, Felipe; Ubilla, Claudia; Ramirez, Nicolas; Gomez, Matias; Aburto, Carla; Vera, Carlos; Illanes, Andres</t>
  </si>
  <si>
    <t>Continuous enzymatic synthesis of lactulose in packed-bed reactor with immobilized Aspergillus oryzae β-galactosidase</t>
  </si>
  <si>
    <t>BIORESOURCE TECHNOLOGY</t>
  </si>
  <si>
    <t>Lactulose synthesis from fructose and lactose in continuous packed-bed reactor operation with glyoxyl-agarose immobilized Aspergillus oryzae beta-galactosidase is reported for the first time. Alternative strategies to conventional batch synthesis have been scarcely explored for lactulose synthesis. The effect of flow rate, substrates ratio and biocatalyst-inert packing material mass ratio (M-B/M-IM) were studied on reactor performance. Increase in any of these variables produced an increase in lactulose yield (Y-Lu) being higher than obtained in batch synthesis at comparable conditions. Maximum Y-Lu of 0.6 g.g(-1) was obtained at 50 degrees C, pH 4.5, 50% w/w total sugars, 15 mL.min(-1), fructose/lactose molar ratio of 12 and M-B/M-IM of 1/8 g.g(-1); at such conditions yield of trans-galactosylated oligosaccharides (Y-TOS) was 0.16 g.g(-1), selectivity (lactulose/TOS molar ratio) was 5.4 and lactose conversion (X-Lactose) was 28%. Reactor operation with recycle had no significant effect on yield, producing only some decrease in productivity.</t>
  </si>
  <si>
    <t>vera, Carlos/G-5240-2019; aburto, carla/AAY-8727-2020; Valdivia, Felipe/HSE-5107-2023</t>
  </si>
  <si>
    <t>ABURTO GAJARDO, CARLA/0000-0002-8886-8642; Vera Vera, Carlos Felipe/0000-0003-2179-9467; Guerrero, Cecilia/0000-0002-4701-3525</t>
  </si>
  <si>
    <t>0960-8524</t>
  </si>
  <si>
    <t>1873-2976</t>
  </si>
  <si>
    <t>10.1016/j.biortech.2018.12.018</t>
  </si>
  <si>
    <t>WOS:000457852400038</t>
  </si>
  <si>
    <t>Alvarez, NB; Lopez, LJR; Garcia, AR</t>
  </si>
  <si>
    <t>Chova, LG; Martinez, AL; Torres, IC</t>
  </si>
  <si>
    <t>Beltran Alvarez, Nicolas; Ramirez Lopez, Leonardo Juan; Rodriguez Garcia, Arturo</t>
  </si>
  <si>
    <t>ESTABLISHMENT OF A HUB-IOT APPLIED IN BUILDING ACADEMIC COMMUNITIES</t>
  </si>
  <si>
    <t>EDULEARN19: 11TH INTERNATIONAL CONFERENCE ON EDUCATION AND NEW LEARNING TECHNOLOGIES</t>
  </si>
  <si>
    <t>EDULEARN Proceedings</t>
  </si>
  <si>
    <t>11th International Conference on Education and New Learning Technologies (EDULEARN)</t>
  </si>
  <si>
    <t>JUL 01-03, 2019</t>
  </si>
  <si>
    <t>Palma, SPAIN</t>
  </si>
  <si>
    <t>The use and appropriation of the Internet of Things-IoT grows exponentially, as do its applications in areas such as education and health. In Colombia, despite the efforts and public / private investments in IoT infrastructure, new strategies are required to share resources and build communities around this new technology and thus minimize costs. On the other hand, the Universities have innovated in the educational models towards the application of knowledge in the solution of problems supported in real environments. In this context, IoT teaching requires technological and operational infrastructure that guarantees its application and transfer to the academic and non-academic society. So that, the Telemedicine Research Group of the Universidad Militar Nueva Granada de Colombia, developed a IoT Hub-IoT based on a Service Oriented Software architecture, whose objective is to offer services to create academic and research communities, to the use and appropriation of IoT applications in the area of health. For the implementation of this Hub, the network infrastructure of the Universidad Militar Nueva Granada was used, consisting of a web server (Connection and Access) and an Oracle Linux repository (Processing and Storage) belonging to the domain and address of Universidad Militar. There were used protocols and techniques of modeling and implementation of large Cloud service operators where the state of the Hub-IoT was analyzed comparing its demand and the current market competition. As a result, the use and appropriation of Hub-IoT has been achieved in the construction of a community focused on health solutions, which has allowed the development of research projects, innovative technological developments, research instances, academic agreements and student exchanges with universities such as Universidad de Santiago de Chile, Instituto Federal De Sao Paulo, Institut National des Sciences Appliquees de Lyon, the GISSIC group and data analysis companies such as EyS solutions. It is concluded that the services offered on the Hub-IoT meet the technical and competitive requirements of a commercial provider, with international quality that integrates services and plans to offer a reconfigurable architecture according to the needs of users, applications, heterogeneous sensor networks and with low cost for the population in general, especially academic and research.</t>
  </si>
  <si>
    <t>Ramirez Lopez, Leonardo Juan/E-8930-2017</t>
  </si>
  <si>
    <t>Ramirez Lopez, Leonardo Juan/0000-0002-6473-5685</t>
  </si>
  <si>
    <t>2340-1117</t>
  </si>
  <si>
    <t>978-84-09-12031-4</t>
  </si>
  <si>
    <t>WOS:000551093100099</t>
  </si>
  <si>
    <t>Contreras, RC; Vergara, JV</t>
  </si>
  <si>
    <t>Chavarria Contreras, Rafael; Valdes Vergara, Jose</t>
  </si>
  <si>
    <t>History Approaches and provocations regarding the emergence of cultural management in the aftermath of the XX Latin American century</t>
  </si>
  <si>
    <t>WOS:000480324700011</t>
  </si>
  <si>
    <t>Palominos, P; Quezada, L; Donoso, J; Gonzalez, M</t>
  </si>
  <si>
    <t>Dagli, CH; Suer, GA</t>
  </si>
  <si>
    <t>Palominos, Pedro; Quezada, Luis; Donoso, Javier; Gonzalez, Miguel</t>
  </si>
  <si>
    <t>A Model of Economic Evaluation for the Acquisition of Flexible Manufacturing Technologies</t>
  </si>
  <si>
    <t>25TH INTERNATIONAL CONFERENCE ON PRODUCTION RESEARCH MANUFACTURING INNOVATION: CYBER PHYSICAL MANUFACTURING</t>
  </si>
  <si>
    <t>Procedia Manufacturing</t>
  </si>
  <si>
    <t>25th International Conference on Production Research Manufacturing Innovation (ICPR) - Cyber Physical Manufacturing</t>
  </si>
  <si>
    <t>AUG 09-14, 2019</t>
  </si>
  <si>
    <t>Chicago, IL</t>
  </si>
  <si>
    <t>Manufacturing companies have to withstand a growing global competition on different strategic dimensions like production costs, product quality, flexible manufacturing and product innovation. To cope with this increased competition, companies invest in solutions based on flexible idea, as flexible assembly systems, flexible selection and picking systems, automated warehouses, etc. However, the high level of technical sophistication and the high investment of this type of technology make the selection of flexible technologies difficult. A linear programming model is proposed, based on the concepts of manufacturing flexibility to make investment decisions when manufacturing multiple products. Finally, we present a numerical example in which optimal acquisition decisions and the value of flexibility are calculated in the context of the decision to invest in the manufacturing plant. (C) 2019 The Authors. Published by Elsevier Ltd.</t>
  </si>
  <si>
    <t>2351-9789</t>
  </si>
  <si>
    <t>10.1016/j.promfg.2020.01.420</t>
  </si>
  <si>
    <t>WOS:000889480200068</t>
  </si>
  <si>
    <t>Silva, LFL; Réco, AS; Peña, R; Ganga, MA; Ceccato-Antonini, SR</t>
  </si>
  <si>
    <t>Lima Silva, Lincon Felipe; Reco, Aline Sotta; Pena, Ruben; Ganga, Maria Angelica; Ceccato-Antonini, Sandra Regina</t>
  </si>
  <si>
    <t>Volatile phenols are produced by strains of Dekkera bruxellensis under Brazilian fuel ethanol industry-like conditions</t>
  </si>
  <si>
    <t>FEMS MICROBIOLOGY LETTERS</t>
  </si>
  <si>
    <t>Dekkera bruxellensis is a spoilage yeast in wine and fuel ethanol fermentations able to produce volatile phenols from hydroxycinnamic acids by the action of the enzymes cinnamate decarboxylase (CD) and vinyphenol reductase (VR) in wine. However, there is no information about this ability in the bioethanol industry. This work evaluated CD and VR activities and 4-ethylphenol production from p-coumaric acid by three strains of D. bruxellensis and PE-2, an industrial Saccharomyces cerevisiae strain. Single and multiple-cycle batch fermentations in molasses and sugarcane juice were carried out. Dekkera bruxellensis strains showed similar CD activity but differences in VR activity. No production of 4-ethylphenol by S. cerevisiae in any fermentation system or media was observed. The concentrations of 4-ethylphenol peaked during active growth of D. bruxellensis in single-cycle fermentation but they were lower than in multiple-cycle fermentation. Higher concentrations were observed in molasses with molar conversion (p-coumaric acid to 4-ethylphenol) ranging from 45% to 85%. As the first report on 4-ethylphenol production in sugarcane musts by D. bruxellensis in industry-like conditions, it opens up a new avenue to investigate its effect on the viability and fermentative capacity of S. cerevisiae as well as to understand the interaction between the yeasts in the bioethanol industry.</t>
  </si>
  <si>
    <t>Ceccato-Antonini, Sandra Regina/F-9903-2012; Ganga, Maria/S-8176-2019</t>
  </si>
  <si>
    <t>Lima Silva, Lincon Felipe/0000-0003-0222-7041; Pena, Ruben/0000-0002-8246-1008; Ceccato-Antonini, Sandra Regina/0000-0002-0723-1704</t>
  </si>
  <si>
    <t>0378-1097</t>
  </si>
  <si>
    <t>1574-6968</t>
  </si>
  <si>
    <t>fny228</t>
  </si>
  <si>
    <t>10.1093/femsle/fny228</t>
  </si>
  <si>
    <t>WOS:000452555200002</t>
  </si>
  <si>
    <t>Bravo, M; Cominetti, R</t>
  </si>
  <si>
    <t>Bravo, Mario; Cominetti, Roberto</t>
  </si>
  <si>
    <t>Sharp convergence rates for averaged nonexpansive maps</t>
  </si>
  <si>
    <t>We establish sharp estimates for the convergence rate of the Kranosel'skiA-Mann fixed point iteration in general normed spaces, and we use them to show that the optimal constant of asymptotic regularity is exactly . To this end we consider a nested family of optimal transport problems that provide a recursive bound for the distance between the iterates. We show that these bounds are tight by building a nonexpansive map T: [0, 1](N) -&gt; [0, 1](N) that attains them with equality, settling a conjecture by Baillon and Bruck. The recursive bounds are in turn reinterpreted as absorption probabilities for an underlying Markov chain which is used to establish the tightness of the constant 1/root pi.</t>
  </si>
  <si>
    <t>Cominetti, Roberto/AAN-6845-2020; Cominetti, Roberto/I-1401-2013</t>
  </si>
  <si>
    <t>Cominetti, Roberto/0000-0001-9442-344X; Bravo, Mario/0000-0002-4312-9600</t>
  </si>
  <si>
    <t>10.1007/s11856-018-1723-z</t>
  </si>
  <si>
    <t>WOS:000442512900006</t>
  </si>
  <si>
    <t>Espinoza, LC; Henríquez, A; Contreras, D; Salazar, R</t>
  </si>
  <si>
    <t>Carolina Espinoza, L.; Henriquez, Adolfo; Contreras, David; Salazar, Ricardo</t>
  </si>
  <si>
    <t>Evidence for the production of hydroxyl radicals at boron-doped diamond electrodes with different sp3/sp2 ratios and its relationship with the anodic oxidation of aniline</t>
  </si>
  <si>
    <t>In this work, the electrochemical production of hydroxyl radicals on boron-doped diamond (BDD) electrodes with different sp(3)/sp(2) ratios was studied, together with the relationship between the level of production of hydroxyl radicals and the degradation and mineralization of aniline, taken as a model organic compound. A higher sp(3)/sp(2) ratio on the BDD surface produces a greater number of hydroxyl radicals, as previously stated; however, for the first time the difference in the production of hydroxyl radicals for different levels of sp(2) impurities on BDD surface was established and its importance in determining the nature of the BDD surface (semi-active or inactive) is demonstrated. The results are of great relevance in interpreting the real effect of conducive diamond electrochemical oxidation on the treatment of organic wastes described in the literature.</t>
  </si>
  <si>
    <t>Salazar, Ricardo/L-7870-2013; Contreras, David/C-6830-2012; Poblete, Adolfo/AAG-8335-2020; Espinoza, Carolina/HSH-9507-2023</t>
  </si>
  <si>
    <t>Henriquez Poblete, Adolfo Esteban/0000-0003-0318-3685; Salazar-Gonzalez, Ricardo/0000-0003-2180-6022; Espinoza, L. Carolina/0000-0002-6021-0742; Contreras, David/0000-0003-1346-5918</t>
  </si>
  <si>
    <t>10.1016/j.elecom.2018.03.007</t>
  </si>
  <si>
    <t>WOS:000432165800007</t>
  </si>
  <si>
    <t>Salazar, R; Ureta-Zañartu, MS; González-Vargas, C; Brito, CD; Martinez-Huitle, CA</t>
  </si>
  <si>
    <t>Salazar, Ricardo; Soledad Ureta-Zanartu, M.; Gonzalez-Vargas, Camilo; Brito, Christiane do Nascimento; Martinez-Huitle, Carlos A.</t>
  </si>
  <si>
    <t>Electrochemical degradation of industrial textile dye disperse yellow 3: Role of electrocatalytic material and experimental conditions on the catalytic production of oxidants and oxidation pathway</t>
  </si>
  <si>
    <t>This study aimed to verify the efficiency of the electrochemical oxidation process for removal the industrial textile Disperse Yellow 3 (DY3) dye in aqueous solutions using different electrocatalytic materials: boron-doped diamond (BDD), Ti/Ru0.3Ti0.7O2 and Ti/Pt anodes. The results were obtained by applying different current densities (40 and 60 mA cm(-2)) at 40 degrees C using different supporting electrolytes (Na2SO4 50 mM and NaCl 50 mM) under values of pH about 2.3, 7.0 and 10.0. Results obtained shown that the process was faster at the beginning of the process for all electrocatalytic materials, using Na2SO4 as electrolyte, being more efficient for BDD anode reaching more than 90% of TOC and color decay independently of the current density and pH and supporting electrolyte; while up to 50% of color and TOC was eliminated, using the other anodic materials in sulfate. In NaCl medium a complete mineralization was achieved at Ti/Ru0.3Ti0.7O2 at short electrolysis time, followed by BDD and Ti/Pt. The corresponding kinetic analysis confirms these results. Trends of active chlorine species synthesized at Ti/Ru0.3Ti0.7O2, BDD and Ti/Pt anodes, at different pH conditions, demonstrated that, the concentration of active chlorine species depends on the pH conditions and electrode material. Finally, a cost comparison for each electrocatalytic material under different experimental conditions was realized exhibiting the lowest energy consumption and electrolysis time in NaCl medium. Based on the results obtained, the electrochemical elimination of dye and the profile of the carboxylic by-products formed depend on the nature of material, pH and supporting electrolyte. (C) 2017 Elsevier Ltd. All rights reserved.</t>
  </si>
  <si>
    <t>Salazar, Ricardo/L-7870-2013; Martínez-Huitle, Carlos/C-1954-2014; Ureta-Zañartu, Maria/G-5239-2019; Martinez-Huitle, Carlos Alberto/AAN-9273-2020</t>
  </si>
  <si>
    <t>Salazar-Gonzalez, Ricardo/0000-0003-2180-6022; Martinez-Huitle, Carlos Alberto/0000-0002-6209-5426</t>
  </si>
  <si>
    <t>10.1016/j.chemosphere.2017.12.092</t>
  </si>
  <si>
    <t>WOS:000427338800003</t>
  </si>
  <si>
    <t>Lizama, C; Rebolledo, R</t>
  </si>
  <si>
    <t>Lizama, Carlos; Rebolledo, Rolando</t>
  </si>
  <si>
    <t>A Semigroup Approach to Fractional Poisson Processes</t>
  </si>
  <si>
    <t>COMPLEX ANALYSIS AND OPERATOR THEORY</t>
  </si>
  <si>
    <t>It is well-known that fractional Poisson processes (FPP) constitute an important example of a non-Markovian structure. That is, the FPP has no Markov semigroup associated via the customary Chapman-Kolmogorov equation. This is physically interpreted as the existence of a memory effect. Here, solving a difference-differential equation, we construct a family of contraction semigroups , . If denotes the Banach space of continuous maps from into the Banach space of endomorphisms of a Banach space X, it holds that and is a continuous map from ]0, 1] into . Moreover, becomes the Markov semigroup of a Poisson process.</t>
  </si>
  <si>
    <t>Lizama, Carlos/E-5909-2011; Rebolledo, Rolando/D-1393-2014</t>
  </si>
  <si>
    <t>Rebolledo, Rolando/0000-0003-3889-6511</t>
  </si>
  <si>
    <t>1661-8254</t>
  </si>
  <si>
    <t>1661-8262</t>
  </si>
  <si>
    <t>10.1007/s11785-018-0763-z</t>
  </si>
  <si>
    <t>WOS:000426698100012</t>
  </si>
  <si>
    <t>Monsalve, C; Isaza, CA; Cofré, J; Vasco, DA</t>
  </si>
  <si>
    <t>Poncet, S</t>
  </si>
  <si>
    <t>Monsalve, C.; Isaza, C. A.; Cofre, J.; Vasco, D. A.</t>
  </si>
  <si>
    <t>ASSESSMENT OF AN INTEGRATED HOUSEHOLD REFRIGERATOR WITH AN EUTECTIC PHASE CHANGE MATERIAL AND A SOLAR PHOTOVOLTAIC SYSTEM</t>
  </si>
  <si>
    <t>12TH IIR/IIF INTERNATIONAL CONFERENCE ON PHASE-CHANGE MATERIALS AND SLURRIES FOR REFRIGERATION AND AIR CONDITIONING (PCM 2018)</t>
  </si>
  <si>
    <t>Refrigeration Science and Technology</t>
  </si>
  <si>
    <t>12th IIR/IIF International Conference on Phase-Change Materials and Slurries for Refrigeration and Air Conditioning (PCM)</t>
  </si>
  <si>
    <t>MAY 21-23, 2018</t>
  </si>
  <si>
    <t>Orford, CANADA</t>
  </si>
  <si>
    <t>Univ Sherbrooke,Int Inst Refrigerat,Hydro Quebec,Sunwell,Emerson,Int Inst Refrigerat Commiss B1,Int Inst Refrigerat Commiss B2,Int Inst Refrigerat Commiss D1</t>
  </si>
  <si>
    <t>The use of phase change materials (PCMs) in domestic refrigerators decreases the cycling period of the compressor, which translate in an energy consumption decrease, and combining the use of the PCMs with the implementation of a solar photovoltaic system, grid energy consumption is expected to decrease even more. Two different eutectic PCMs were thermally characterized (PLUSICE E-10 and 19.5 wt. % NH4Cl), and a solar photovoltaic system was implemented. The main goal of the present work is to study the behavior of an integrated modified-evaporator of a household refrigerator with two eutectic PCMs using two different experimental tests, and to show how can the use of solar photovoltaic technology can help decrease domestic refrigerator energy consumption.</t>
  </si>
  <si>
    <t>Vasco, Diego/AAA-4480-2020</t>
  </si>
  <si>
    <t>Cofre-Toledo, Jonathan/0000-0002-7961-1554; Vasco, Diego Andres/0000-0001-7456-4683; Isaza-Roldan, Cesar A./0000-0002-5902-6411</t>
  </si>
  <si>
    <t>0151-1637</t>
  </si>
  <si>
    <t>10.18462/iir.pcm.2018.0042</t>
  </si>
  <si>
    <t>WOS:000535356700042</t>
  </si>
  <si>
    <t>Duque, F; Fabila-Monroy, R; Hidalgo-Toscano, C; Pérez-Lantero, P</t>
  </si>
  <si>
    <t>Duque, Frank; Fabila-Monroy, Ruy; Hidalgo-Toscano, Carlos; Perez-Lantero, Pablo</t>
  </si>
  <si>
    <t>Drawing the almost convex set in an integer grid of minimum size</t>
  </si>
  <si>
    <t>COMPUTATIONAL GEOMETRY-THEORY AND APPLICATIONS</t>
  </si>
  <si>
    <t>In 2001, Karolyi, Pach and Toth introduced a family of point sets to solve an Erdos-Szekeres type problem, which have been used to solve several other Erdos-Szekeres type problems. In this paper we refer to these sets as nested almost convex sets. A nested almost convex set chi has the property that the interior of every triangle determined by three points in the same convex layer of chi, contains exactly one point of chi. In this paper, we introduce a characterization of nested almost convex sets. Our characterization implies that there exists at most one (up to equivalence of order type) nested almost convex set of n points, for any integer n. We use our characterization to obtain a linear time algorithm to construct nested almost convex sets of n points, with integer coordinates of absolute values at most O (n(2)(log)(5)). Finally, we use our characterization to obtain an O (n logn)-time algorithm to determine whether a set of points is a nested almost convex set. (C) 2017 Elsevier B.V. All rights reserved.</t>
  </si>
  <si>
    <t>Fabila-Monroy, Ruy/A-2890-2016; Hidalgo-Toscano, Carlos/I-4123-2016</t>
  </si>
  <si>
    <t>Hidalgo-Toscano, Carlos/0000-0003-3578-0193; duque, frank/0000-0002-0226-0725</t>
  </si>
  <si>
    <t>0925-7721</t>
  </si>
  <si>
    <t>1879-081X</t>
  </si>
  <si>
    <t>10.1016/j.comgeo.2017.04.002</t>
  </si>
  <si>
    <t>WOS:000406734200001</t>
  </si>
  <si>
    <t>Echeverría, J; Urzúa, A; Sanhueza, L; Wilkens, M</t>
  </si>
  <si>
    <t>Echeverria, Javier; Urzua, Alejandro; Sanhueza, Loreto; Wilkens, Marcela</t>
  </si>
  <si>
    <t>Enhanced Antibacterial Activity of Ent-Labdane Derivatives of Salvic Acid (7α-Hydroxy-8(17)-ent-Labden-15-Oic Acid): Effect of Lipophilicity and the Hydrogen Bonding Role in Bacterial Membrane Interaction</t>
  </si>
  <si>
    <t>In the present study, the antibacterial activity of several ent-labdane derivatives of salvic acid (7 alpha-hydroxy-8(17)-ent-labden-15-oic acid) was evaluated in vitro against the Gram-negative bacterium Escherichia coli and the Gram-positive bacteria Staphylococcus aureus and Bacillus cereus. For all of the compounds, the antibacterial activity was expressed as the minimum inhibitory concentration (MIC) in liquid media and minimum inhibitory amount (MIA) in solid media. Structure activity relationships (SAR) were employed to correlate the effect of the calculated lipophilicity parameters (logP(ow)) on the inhibitory activity. Employing a phospholipidic bilayer (POPG) as a bacterial membrane model, ent-labdane-membrane interactions were simulated utilizing docking studies. The results indicate that (i) the presence of a carboxylic acid in the C-15 position, which acted as a hydrogen-bond donor (HBD), was essential for the antibacterial activity of the ent-labdanes; (ii) an increase in the length of the acylated chain at the C-7 position improved the antibacterial activity until an optimum length of five carbon atoms was reached; (iii) an increase in the length of the acylated chain by more than five carbon atoms resulted in a dramatic decrease in activity, which completely disappeared in acyl chains of more than nine carbon atoms; and (iv) the structural factors described above, including one HBD at C-15 and a hexanoyloxi moiety at C-7, had a good fit to a specific lipophilic range and antibacterial activity. The lipophilicity parameter has a predictive characteristic feature on the antibacterial activity of this class of compounds, to be considered in the design of new biologically active molecules.</t>
  </si>
  <si>
    <t>Echeverría, Javier/AAK-3323-2020; Wilkens, Marcela/G-5928-2019</t>
  </si>
  <si>
    <t>Urzua, Alejandro/0000-0003-2638-0921; Echeverria, Javier/0000-0002-1688-968X</t>
  </si>
  <si>
    <t>10.3390/molecules22071039</t>
  </si>
  <si>
    <t>WOS:000406621300013</t>
  </si>
  <si>
    <t>Vargas, VB; Guzmán, RM</t>
  </si>
  <si>
    <t>Bulo Vargas, Valentina; Merino Guzman, Rodolfo</t>
  </si>
  <si>
    <t>Different differences</t>
  </si>
  <si>
    <t>This article presents the idea of difference as discussed by some authors linked difference thinking. These different differences constitute a drama where each one will be displayed in its irreducibility and its constitutive relationship to the others; some differences will converge with others or simply displace them. Ontological difference, difference, pure difference, the difference of bodies, and colonial difference, show that the problem of difference, when brought into specific areas such as gender, ethnicity, etc., must always be approached from the irreducibly plural nature of difference.</t>
  </si>
  <si>
    <t>10.1590/S0101-31732017000100008</t>
  </si>
  <si>
    <t>WOS:000405125600008</t>
  </si>
  <si>
    <t>Marín, M; Gil-Costa, V; Bonacic, C; Inostrosa, A</t>
  </si>
  <si>
    <t>Marin, Mauricio; Gil-Costa, Vernica; Bonacic, Carolina; Inostrosa, Alonso</t>
  </si>
  <si>
    <t>Simulating Search Engines</t>
  </si>
  <si>
    <t>COMPUTING IN SCIENCE &amp; ENGINEERING</t>
  </si>
  <si>
    <t>Marin, Mauricio/GLR-7700-2022; Gil-Costa, Veronica/GPT-4785-2022; Inostrosa-Psijas, Alonso/AAC-7718-2019; Inostrosa-Psijas, Alonso/A-5827-2018</t>
  </si>
  <si>
    <t>Gil-Costa, Veronica/0000-0003-4637-9725; Inostrosa-Psijas, Alonso/0000-0002-2922-0870; Marin, Mauricio/0000-0003-0662-7149</t>
  </si>
  <si>
    <t>1521-9615</t>
  </si>
  <si>
    <t>1558-366X</t>
  </si>
  <si>
    <t>10.1109/MCSE.2017.8</t>
  </si>
  <si>
    <t>WOS:000391909100009</t>
  </si>
  <si>
    <t>Rivas-Aravena, A; Guajardo, S; Valenzuela, B; Cartagena, J; Imarai, MI; Spencer, E; Sandino, AM</t>
  </si>
  <si>
    <t>Rivas-Aravena, A.; Guajardo, S.; Valenzuela, B.; Cartagena, J.; Imarai, M. I.; Spencer, E.; Sandino, A. M.</t>
  </si>
  <si>
    <t>Ribavirin stimulates the immune response of Atlantic salmon</t>
  </si>
  <si>
    <t>VETERINARY IMMUNOLOGY AND IMMUNOPATHOLOGY</t>
  </si>
  <si>
    <t>Ribavirin is a synthetic nucleotide analog capable of inhibiting or even preventing some viral infections in mammals and also in fish. It has been seen by others that ribavirin by itself is able to stimulate the immune system of mammals, causing a differentiation of T-cells to T helper 1 cells (Th)-1. In this work, we evaluated the immune effect of ribavirin in vitro on kidney cells from Atlantic salmon and in vivo by oral administration of ribavirin to Atlantic salmon. For this purpose, the transcripts of immune molecules Tbet, GATA3, CD8, CD4, IFN alpha, IFN gamma, IL-4/13, IL-10, IL-12, IL-15 and TGF-B were quantified. The results show that ribavirin administered orally in food to Atlantic salmon increased IFN gamma and CD4 transcripts in the in vivo assays and, in addition, increased IL-12, IL-15 and CD8 in the in vitro analyses, indicating that the treatment stimulates a Th1 type response in salmon. (C) 2015 Elsevier B.V. All rights reserved.</t>
  </si>
  <si>
    <t>Guajardo-Leiva, Sergio/GYD-4703-2022</t>
  </si>
  <si>
    <t>Imarai, Monica/0000-0001-8767-9180; Spencer, Eugenio/0000-0001-6109-140X; Guajardo-Leiva, Sergio/0000-0003-3083-4375; SANDINO, ANA MARIA/0000-0002-3862-3743</t>
  </si>
  <si>
    <t>0165-2427</t>
  </si>
  <si>
    <t>1873-2534</t>
  </si>
  <si>
    <t>10.1016/j.vetimm.2015.01.001</t>
  </si>
  <si>
    <t>WOS:000352251000013</t>
  </si>
  <si>
    <t>Aranda, CS; Wandalsen, GF; Mallol, J; Solé, D</t>
  </si>
  <si>
    <t>Aranda, Carolina S.; Wandalsen, Gustavo F.; Mallol, Javier; Sole, Dirceu</t>
  </si>
  <si>
    <t>Brazilian EISL Grp</t>
  </si>
  <si>
    <t>Wheezing and low birthweight</t>
  </si>
  <si>
    <t>PEDIATRIC ALLERGY AND IMMUNOLOGY</t>
  </si>
  <si>
    <t>Mallol, Javier/0000-0003-2528-8672</t>
  </si>
  <si>
    <t>0905-6157</t>
  </si>
  <si>
    <t>1399-3038</t>
  </si>
  <si>
    <t>10.1111/pai.12320</t>
  </si>
  <si>
    <t>WOS:000349992500012</t>
  </si>
  <si>
    <t>Quintanilla-Carvajal, MX; Matiacevich, S</t>
  </si>
  <si>
    <t>HernandezSanchez, H; GutierrezLopez, GF</t>
  </si>
  <si>
    <t>Ximena Quintanilla-Carvajal, Maria; Matiacevich, Silvia</t>
  </si>
  <si>
    <t>Role of Surfactants and Their Applications in Structured Nanosized Systems</t>
  </si>
  <si>
    <t>FOOD NANOSCIENCE AND NANOTECHNOLOGY</t>
  </si>
  <si>
    <t>Food Engineering Series</t>
  </si>
  <si>
    <t>Quintanilla-Carvajal, María/U-4680-2019</t>
  </si>
  <si>
    <t>Quintanilla-Carvajal, Maria Ximena/0000-0001-8219-7246</t>
  </si>
  <si>
    <t>1571-0297</t>
  </si>
  <si>
    <t>978-3-319-13596-0; 978-3-319-13595-3</t>
  </si>
  <si>
    <t>10.1007/978-3-319-13596-0_10</t>
  </si>
  <si>
    <t>10.1007/978-3-319-13596-0</t>
  </si>
  <si>
    <t>WOS:000374484200011</t>
  </si>
  <si>
    <t>Stochastic Volterra equations under perturbations</t>
  </si>
  <si>
    <t>ELECTRONIC COMMUNICATIONS IN PROBABILITY</t>
  </si>
  <si>
    <t>We study stochastic perturbed Volterra equations of convolution type in an infinite dimensional case. Our interest is directed towards the existence and regularity of stochastic convolutions connected to the equations considered under some kind of perturbations. We use an operator theoretical method for the representation of solutions.</t>
  </si>
  <si>
    <t>1083-589X</t>
  </si>
  <si>
    <t>10.1214/ECP.v19-3365</t>
  </si>
  <si>
    <t>WOS:000341862000001</t>
  </si>
  <si>
    <t>Henríquez, HR; Rabelo, M; Vale, L</t>
  </si>
  <si>
    <t>Henriquez, Hernan R.; Rabelo, Marcos; Vale, Luciana</t>
  </si>
  <si>
    <t>Second Order Impulsive Retarded Differential Inclusions with Nonlocal Conditions</t>
  </si>
  <si>
    <t>ABSTRACT AND APPLIED ANALYSIS</t>
  </si>
  <si>
    <t>In this work we establish some existence results for abstract second order Cauchy problems modeled by a retarded differential inclusion involving nonlocal and impulsive conditions. Our results are obtained by using fixed point theory for the measure of noncompactness.</t>
  </si>
  <si>
    <t>1085-3375</t>
  </si>
  <si>
    <t>1687-0409</t>
  </si>
  <si>
    <t>10.1155/2014/131379</t>
  </si>
  <si>
    <t>WOS:000330642700001</t>
  </si>
  <si>
    <t>Moreno, J; Pedreros, J; Soto, L</t>
  </si>
  <si>
    <t>IOP</t>
  </si>
  <si>
    <t>Moreno, Jose; Pedreros, Jose; Soto, Leopoldo</t>
  </si>
  <si>
    <t>Measurements of ions emission using ToF method and CR39 SSNTD in a Small Plasma Focus device of Hundreds of Joules</t>
  </si>
  <si>
    <t>15TH INTERNATIONAL CONGRESS ON PLASMA PHYSICS (ICPP2010) &amp; 13TH LATIN AMERICAN WORKSHOP ON PLASMA PHYSICS (LAWPP2010)</t>
  </si>
  <si>
    <t>15th International Congress on Plasma Physics (ICPP) / 13th Latin American Workshop on Plasma Physics (LAWPP)</t>
  </si>
  <si>
    <t>AUG 08-13, 2010</t>
  </si>
  <si>
    <t>Chilean Nucl Energy Commiss, Thermonuclear Plasma Dept</t>
  </si>
  <si>
    <t>Ion beam emission in plasma focus (PF) discharges was originally investigated to explain the strong forward anisotropy observed in the neutron emission when D-2 is used as filling gas in the PF devices. Several properties of emitted deuteron beam, including its angular distribution and energy spectra in PF devices operating at energies from 1kJ to 1MJ, have been measured. At present there is a growing interest in the development of very small PF devices operating under 1kJ. As part of the very low energy (&lt; 1kJ) PF devices physics characterization program carried out at the Chilean Nuclear Energy Commission, the charged particle emission is being studied when hydrogen (H-2) and mixture (H-2+ %Ar) is used as filling gas in the PF device. The experiments have been performed in a plasma focus device of 400 joules (PF-400J). In order to estimate the ion beam energy spectrum and its ionization degree, by means of the time of flight method, a graphite collector system operating in the bias ion collector mode was constructed. On the other hand, measurements of the energy and flux of the ions have been corroborated using CR39 SSNTD. Preliminary results mainly show the presence of hydrogen ions with an average energy of 40keV. Also, in some cases, copper (from anode) and aluminum (from insulator) ions with energies lower than 1keV have been observed.</t>
  </si>
  <si>
    <t>Soto, Leopoldo/A-7084-2012; Moreno, Jose/A-7125-2012</t>
  </si>
  <si>
    <t>10.1088/1742-6596/511/1/012025</t>
  </si>
  <si>
    <t>WOS:000337223400025</t>
  </si>
  <si>
    <t>Neira, H; Aurenque, D</t>
  </si>
  <si>
    <t>Neira, Hernan; Aurenque, Diana</t>
  </si>
  <si>
    <t>Poor-in-world or world-forming? Rethinking the heideggarian notion of animality</t>
  </si>
  <si>
    <t>REVISTA DE FILOSOFIA AURORA</t>
  </si>
  <si>
    <t>Heidegger creates the idea that the animal is poor-in-world, conversely to the Dasein, which is world-forming. On this difference between animals and the Dasein it is possible to present two hypothesis: if the distinction is merely descriptive, it does not imply a hierarchy of the human over the animal. If, instead, in Heidegger's description are mixed some worth aspects or if he adds some aspects (not necessarily explicit) of domination of the human on the animal, then Heidegger reestablishes some traits of animal metaphysics, what is contrary to his aim of questioning metaphysics. The result of this proceeding would be, also, to recompose some aspects of metaphysics of the human. To what extent and why Heidegger's conception of the human being as Dasein or world-forming, or of animal as an poor-inworld entity, represents a meaningful contribution to a research which thinks the limits and range of the relation man-animal-world? And which are some of the consequences one could deduce if in the Heideggerian description of the subject arise some normative issues, not forseen by the German philosopher?</t>
  </si>
  <si>
    <t>Aurenque, Diana/0000-0002-0979-2847; Neira, Hernan/0000-0003-3198-7242</t>
  </si>
  <si>
    <t>2965-1557</t>
  </si>
  <si>
    <t>1980-5934</t>
  </si>
  <si>
    <t>10.7213/aurora.26.038.AO.08</t>
  </si>
  <si>
    <t>WOS:000338839600015</t>
  </si>
  <si>
    <t>Vargas, LS; Larrain, FA; Verdejo, H</t>
  </si>
  <si>
    <t>Vargas, Luis S.; Larrain, Felipe A.; Verdejo, Humberto</t>
  </si>
  <si>
    <t>Operating Reserves Assessment in Isolated Power Systems with high Wind Power Penetration</t>
  </si>
  <si>
    <t>2014 INTERNATIONAL CONFERENCE ON PROBABILISTIC METHODS APPLIED TO POWER SYSTEMS (PMAPS)</t>
  </si>
  <si>
    <t>International Conference on Probabilistic Methods Applied to Power Systems (PMAPS)</t>
  </si>
  <si>
    <t>JUL 07-10, 2014</t>
  </si>
  <si>
    <t>Durham, ENGLAND</t>
  </si>
  <si>
    <t>This paper presents a methodology to assess operating reserves in isolated power systems under high penetration of wind power. The methodology is based on a convolution approach that merges the fluctuations of wind speed with the natural variations of demand, and formulates the probability distribution function of variables as a non-Gaussian behavior. The estimation produces a histogram with the probability distribution of operating reserves required in different time spans. The methodology is applied to the expansion plan of a Chilean isolated power system and results indicate that the methodology is able to estimate operating reserve needs in a time span ranging from 1 to 30 minutes, which adequately satisfy the future needs of this isolated power system.</t>
  </si>
  <si>
    <t>vargas, luis/A-2109-2011</t>
  </si>
  <si>
    <t>vargas, Luis/0000-0001-6539-1768; Larrain Benavides, Felipe Andres/0000-0002-1964-1241</t>
  </si>
  <si>
    <t>978-1-4799-3561-1</t>
  </si>
  <si>
    <t>WOS:000358734100045</t>
  </si>
  <si>
    <t>Vásquez, OC; Sepúlveda, JM; Alfaro, MD; Valenzuela-Osorio, L</t>
  </si>
  <si>
    <t>Vasquez, Oscar C.; Sepulveda, Juan M.; Alfaro, Miguel D.; Osorio-Valenzuela, Luis</t>
  </si>
  <si>
    <t>Disaster Response Project Scheduling Problem: A Resolution Method based on a Game-Theoretical Model</t>
  </si>
  <si>
    <t>We present a particular disaster response project scheduling problem (DRPSP) motivated by Fukushima's nuclear accident of Japan in 2011. We describe the problem as MPS; R, N vertical bar pr ec, d(n)vertical bar Sigma c(k)f(r(k)(S)) by using Hartmann and Briskorn scheme and formulate a mixed integer linear programming (MILP) model. Due to the NP-hardness of the problem, we propose a resolution method based on game theory. This method associates the DRPSP to a non-cooperative game model, such that game solution is a feasible solution of the problem. In order to explore the potential of the proposed model and the performance of the resolution method, computational experiments are carried out. The results of resolution method show on average, that the method finds a feasible solution with a difference of 15.44% with respect to optimal solution within one percent of the time required by the MILP over GAMS 22.7.2/CPLEX 11.0.</t>
  </si>
  <si>
    <t>Sepulveda, Juan M./0000-0003-3755-0981; Vasquez, Oscar C./0000-0002-1393-4692; Alfaro, Miguel/0000-0002-1633-8853</t>
  </si>
  <si>
    <t>10.15837/ijccc.2013.2.313</t>
  </si>
  <si>
    <t>WOS:000314903200014</t>
  </si>
  <si>
    <t>Riveros, A; Dadlani, K; Sales, E; Caballero, L; Melo, F; Kogan, MJ</t>
  </si>
  <si>
    <t>Riveros, Ana; Dadlani, Komal; Sales, Edison; Caballero, Leonardo; Melo, Francisco; Kogan, Marcelo J.</t>
  </si>
  <si>
    <t>Gold Nanoparticle-Membrane Interactions: Implications in Biomedicine</t>
  </si>
  <si>
    <t>JOURNAL OF BIOMATERIALS AND TISSUE ENGINEERING</t>
  </si>
  <si>
    <t>There has been an increase in the research towards the use of nanoparticles as a promising tool for nanomedicine, from imagenology, drug and gene delivery, to phototherapy. Little is known regarding the interaction between nanoparticles and cell membranes despite its importance to achieve an efficient therapy avoiding adverse effects, such as cytotoxicity and accumulation in undesired targets. Gold nanoparticles have demonstrated to be a perfect candidate to use in biological systems because of their dimension, ease of characterization, biocompatibility, and ability to conjugate to different compounds, such as active peptides. There are different biophysical properties such as: shape, size, conjugation, surface charge and ligand arrangement that affect gold nanoparticle-membrane interactions. In this review we will analyze how these properties are involved in the mechanisms of interaction with membranes and the internalization pathways of gold nanoparticle systems into cells. A new approach towards gold nanoparticles systems and model lipid membranes is rising to better understand this interaction at an atomic level in order to extrapolate it to a cellular level. We will discuss how gold nanoparticles interact with lipid membrane models and cell membranes analyzing its relationship to cell penetration, which is relevant for drug delivery.</t>
  </si>
  <si>
    <t>Salas-Huenuleo, Edison/AAF-6987-2019; kogan, Marcelo/I-2868-2013; riveros, ana/AAD-2134-2020; Melo, Francisco/M-3923-2014</t>
  </si>
  <si>
    <t>Kogan, Marcelo/0000-0003-0608-5087; Melo, Francisco Esteban/0000-0001-6818-5476; Salas-Huenuleo, Edison/0000-0003-4355-5252; Riveros, Ana Luisa/0000-0002-1926-4562</t>
  </si>
  <si>
    <t>2157-9083</t>
  </si>
  <si>
    <t>2157-9091</t>
  </si>
  <si>
    <t>10.1166/jbt.2013.1067</t>
  </si>
  <si>
    <t>WOS:000314191700002</t>
  </si>
  <si>
    <t>Lillo, S; Martini, N</t>
  </si>
  <si>
    <t>Lillo, Sebastian; Martini, Natalia</t>
  </si>
  <si>
    <t>Main Trends in Iberoamerican Clinical Psychology. A Study Based in Scientific Evidence</t>
  </si>
  <si>
    <t>The availability of techniques that allows the analysis of large quantities of data permits the construction of studies that can characterize the development and evolution of the psychological science through objective parameters, delivering profiles of the main trends. In this article we present a hybrid approach, based on a scientometric analysis and an interpretation of bibliographic communities based on the proportion of shared references (Grawin, 2012) of iberoamerican articles within the Web of Knowledge database. The results show a strong concentration of research on Depression (9%) and Alzheimer (8%), as a heavy use of quantitative and psychometric approaches. While Spain produces 54% of the science and leads 44% of the most influential (cited) production, Latin America produces 37% and leads 13% (Brasil 10%, Chile 1%, Argentina 1%, Colombia 1%). The repercussions of the results are discussed, as the consequences and future applications of these tools for practitioners and researchers.</t>
  </si>
  <si>
    <t>Lillo, Sara/KVB-4124-2024</t>
  </si>
  <si>
    <t>0718-4808</t>
  </si>
  <si>
    <t>10.4067/S0718-48082013000300011</t>
  </si>
  <si>
    <t>WOS:000334076400011</t>
  </si>
  <si>
    <t>Bies, PM; Górka, P; Reyes, EG</t>
  </si>
  <si>
    <t>Bies, Piotr Michal; Gorka, Przemyslaw; Reyes, Enrique G.</t>
  </si>
  <si>
    <t>The dual modified Korteweg-de Vries-Fokas-Qiao equation: Geometry and local analysis</t>
  </si>
  <si>
    <t>JOURNAL OF MATHEMATICAL PHYSICS</t>
  </si>
  <si>
    <t>We study a bi-hamiltonian equation with cubic nonlinearity shown to appear in the theory of water waves by Fokas, derived by Qiao using the two-dimensional Euler equation, and also known to arise as the dual of the modified Korteweg-de Vries equation thanks to work by Fokas, Fuchssteiner, Olver, and Rosenau. We present a quadratic pseudo-potential, we compute infinite sequences of local and nonlocal conservation laws, and we construct an infinite-dimensional Lie algebra of symmetries which contains a semi-direct sum of the sl(2, R)-loop algebra and the centerless Virasoro algebra. As an application we prove a theorem on the existence of smooth solutions, and we construct some explicit examples. Moreover, we consider the Cauchy problem and we prove existence and uniqueness of weak solutions in the Sobolev space Hq+2(R), q &gt; 1/2. (C) 2012 American Institute of Physics. [http://dx.doi.org/10.1063/1.4736845]</t>
  </si>
  <si>
    <t>Gorka, Przemyslaw/0000-0002-1943-383X; Reyes, Enrique G./0000-0001-8460-444X; Bies, Piotr Michal/0000-0001-5385-1210</t>
  </si>
  <si>
    <t>0022-2488</t>
  </si>
  <si>
    <t>10.1063/1.4736845</t>
  </si>
  <si>
    <t>WOS:000307609900054</t>
  </si>
  <si>
    <t>Vyhmeister, E; Estay, H; Romero, J; Cubillos, F</t>
  </si>
  <si>
    <t>Vyhmeister, Eduardo; Estay, Humberto; Romero, Julio; Cubillos, Francisco</t>
  </si>
  <si>
    <t>Simulation and Process Optimization of a Membrane-Based Dense Gas Extraction Using Hollow Fiber Contactors</t>
  </si>
  <si>
    <t>CHEMICAL ENGINEERING COMMUNICATIONS</t>
  </si>
  <si>
    <t>Supercritical fluid and membrane technology coupling is a relatively new concept applicable to solvent separation and solute extraction. In these processes a hydrophobic or hydrophilic macroporous membrane is used as a two-different-nature solutions contactor. This methodology is an alternative to conventional liquid solution supercritical fluid extraction processes, which are associated with high investment costs. In the present work, a membrane-based supercritical fluid extraction module is modeled, simulated, and optimized as an independent industrial-scale operational unit. UniSim design suite R390 software from Honeywell was used as the platform for the simulation. Acetone and ethanol literature extraction results and methanol experimental extraction results (27.6% to 14.5% with a 10 wt.% aqueous solution; 7.1% to 5.9% with a 500 ppm aqueous solution) were used for validation of the model and definition of the semi-empirical equation parameters. The generated industrial-scale system optimization, which used a modular membrane arrangement, was strongly dependent on thermodynamic, economic, and energetic variables (higher mass transfer resistance in the carbon dioxide phase increased the number of membranes needed; process feasibility was affected by the number of membrane units, carbon dioxide flow rate, and product added value; compression energy requirements affected the optimization result). The modeled system proved to be an important aid in the design, scaling, and optimization of systems that use membranes as phase contactors in liquid solution supercritical carbon dioxide extraction.</t>
  </si>
  <si>
    <t>Romero, Julio/I-6705-2013; Estay, Humberto/I-3499-2017</t>
  </si>
  <si>
    <t>Estay, Humberto/0000-0001-8518-7131; CUBILLOS, FRANCISCO/0000-0001-7863-4394; Vyhmeister, Eduardo/0000-0003-1922-2706; Romero, Julio/0000-0002-1229-1592</t>
  </si>
  <si>
    <t>0098-6445</t>
  </si>
  <si>
    <t>10.1080/00986445.2011.613974</t>
  </si>
  <si>
    <t>WOS:000304852500006</t>
  </si>
  <si>
    <t>Henríquez, HR; Cuevas, C; Rabelo, M; Caicedo, A</t>
  </si>
  <si>
    <t>Henriquez, Hernan R.; Cuevas, Claudio; Rabelo, Marcos; Caicedo, Alejandro</t>
  </si>
  <si>
    <t>Stabilization of distributed control systems with delay</t>
  </si>
  <si>
    <t>In this paper the asymptotic stabilization of linear distributed parameter control systems with delay is considered. Specifically, we are concerned with the class of control systems described by the equation x'(t) = Ax(t) L(x(t)) Bu(t), where A is the infinitesimal generator of a strongly continuous semigroup on a Banach space X. Assuming appropriate conditions, we will show that the usual spectral controllability assumption implies the feedback stabilization of the system. Applications to systems described by partial differential equations with delay are given. (C) 2011 Elsevier B.V. All rights reserved.</t>
  </si>
  <si>
    <t>Rabelo, Marcos/0000-0002-4205-4651</t>
  </si>
  <si>
    <t>1872-7956</t>
  </si>
  <si>
    <t>10.1016/j.sysconle.2011.04.012</t>
  </si>
  <si>
    <t>WOS:000295251600001</t>
  </si>
  <si>
    <t>Urzúa, A; Santander, R; Echeverria, J; Cabezas, N; Palacios, SM; Rossi, Y</t>
  </si>
  <si>
    <t>Urzua, Alejandro; Santander, Rocio; Echeverria, Javier; Cabezas, Nancy; Palacios, Sara M.; Rossi, Yanina</t>
  </si>
  <si>
    <t>INSECTICIDE PROPERTIES OF THE ESSENTIAL OILS FROM HAPLOPAPPUS FOLIOSUS AND BAHIA AMBROSOIDES AGAINST THE HOUSE FLY, MUSCA DOMESTICA L.</t>
  </si>
  <si>
    <t>The compositions of the essential oils (EO's) obtained by hydro distillation from fresh leaves of Haplopappus foliosus and Bahia ambrosoides was analyzed by gas chromatography/mass spectroscopy (GC/MS). The insecticidal activity of each oil against the house fly Musca domestica was evaluated by placing flies in a glass jar with a screw cap that held a piece of EO-treated cotton yarn. The dose necessary to kill 50% of flies (LC50) in 1 h was determined at 26 +/- 1 degrees C. The essential oil from Haplopappus foliosus was the most potent insecticide (LC50 = 4.43 ma/dm(3)), wile the EO from Bahia ambrosoides shows only moderated insecticide activity (LC50 = 19.27 mg/dm(3)). According to GC and GC/MS analysis, limonene (28,00%); epi-bicyclosesquiphellandrene (9,84%); bornyl acetate (7,74%); 4-terpineol (6,36%); p-cymene (6,00%); agarospirol (5,53%); alpha-muurolene (4,34%); delta-cadinene (3,98%) and caryophyllene (3,97%) were the principal components of Haplopappus foliosus EO and limonene (28,16%); alpha-pinene (11,12%); germacrene D (8,81%); sabinene (5,93%); alpha-thujene (3,48%); gamma-curcumene (3,45%) y alpha-bergamotene (3,36%) were the principal components of Bahia anzbrosoides EO. The EO from Haplopappus foliosus seem promising as a natural insecticide against houseflies and the difference with the activity of the EO of Bahia ambrosoides can be ascribed to the content of oxygenated monoterpenoids and sesquiterpenoids.</t>
  </si>
  <si>
    <t>Santander, Rocio/K-7645-2013; Echeverría, Javier/AAK-3323-2020</t>
  </si>
  <si>
    <t>ROSSI, YANINA E/0000-0002-7500-0051; Urzua, Alejandro/0000-0003-2638-0921; Echeverria, Javier/0000-0002-1688-968X</t>
  </si>
  <si>
    <t>10.4067/S0717-97072010000300026</t>
  </si>
  <si>
    <t>WOS:000283404400026</t>
  </si>
  <si>
    <t>Solé, D; Mallol, J; Camelo-Nunes, IC; Wandalsen, GF</t>
  </si>
  <si>
    <t>Sole, Dirceu; Mallol, Javier; Camelo-Nunes, Ines C.; Wandalsen, Gustavo F.</t>
  </si>
  <si>
    <t>Latin Amer ISAAC Study Grp</t>
  </si>
  <si>
    <t>Prevalence of rhinitis-related symptoms in Latin American children - Results of the International Study of Asthma and Allergies in Childhood (ISAAC) phase three</t>
  </si>
  <si>
    <t>The aim of this study was to evaluate the prevalence of rhinitis-related symptoms among children living in different parts of Latin America (LA) considering all centers involved in ISAAC Phase Three (Ph3). 93,851 children (6-7 yr-old) from 35 centers in 14 LA countries and 165,917 adolescents (13-14 yr-old) from 56 centers in 17 LA countries were enrolled. The mean prevalence rate of current rhinoconjunctivitis was 12.7% and ranged from 5.5% in Rosario City (Argentina) to 21.2% in Caracas (Venezuela) for the schoolchildren. The mean prevalence rate of current rhinoconjunctivitis was 18.5% and ranged from 7.1% in Cuernavaca (Mexico) to 45.1% in Asuncion (Paraguay) for the adolescents. These indexes were among the higher observed during ISAAC Ph3. In general the prevalence of rhinitis-related symptoms was higher among the Spanish speaking centers. Environmental risk factors must be evaluated in order to explain the differences observed even in centers from the same country.</t>
  </si>
  <si>
    <t>Solé, Dirceu/JAO-0340-2023; Wandalsen, Gustavo/D-8412-2013; Garcia-Almaraz, Roberto/G-8506-2018</t>
  </si>
  <si>
    <t>Garcia-Almaraz, Roberto/0000-0001-5828-1771; Mallol, Javier/0000-0003-2528-8672</t>
  </si>
  <si>
    <t>E127</t>
  </si>
  <si>
    <t>E136</t>
  </si>
  <si>
    <t>10.1111/j.1399-3038.2009.00947.x</t>
  </si>
  <si>
    <t>WOS:000276186200005</t>
  </si>
  <si>
    <t>Vallejo, G; Fernández, MP; Livacic-Rojas, PE</t>
  </si>
  <si>
    <t>Vallejo, G.; Fernandez, M. P.; Livacic-Rojas, P. E.</t>
  </si>
  <si>
    <t>Analysis of unbalanced factorial designs with heteroscedastic data</t>
  </si>
  <si>
    <t>JOURNAL OF STATISTICAL COMPUTATION AND SIMULATION</t>
  </si>
  <si>
    <t>The present study investigates the operating characteristics of several Box-type and Welch-James (WJ) modifications on factorial designs lacking homogeneity, normality, and orthogonality. For comparison purposes the behaviours of Proc Mixed and Proc GLM, available from the SAS program, were also examined. When the shape of the distribution was symmetric, the Box-type, WJ, and Proc Mixed approaches consistently controlled the rates of error; however, when the distribution was moderately skewed only the Box-type approach limited the number of errors to the nominal value. In distributions with extreme skewness, the procedure was predominantly conservative but showed improved rates of Type-I error control using the Box-Cox method of power transformation. The execution of Proc GLM was considerably influenced by the presence of heterogeneity and scarcely affected by the absence of normality. With regard to test sensitivity, the WJ and Proc Mixed approaches were substantially more powerful than the Box-type approach when variances and cells sizes were negatively paired. However, they were equally powerful when this relationship was positive. When the population variances were homogeneous, the differences in power slightly favoured the Proc GLM approach.</t>
  </si>
  <si>
    <t>Guillermo, Vallejo/0000-0001-6569-9279; Vallejo, Guillermo/0000-0002-8010-6854; Fernandez, Paula/0000-0003-0140-7702</t>
  </si>
  <si>
    <t>0094-9655</t>
  </si>
  <si>
    <t>1563-5163</t>
  </si>
  <si>
    <t>10.1080/00949650802482386</t>
  </si>
  <si>
    <t>WOS:000273913800006</t>
  </si>
  <si>
    <t>Pedreschi, F; Travisany, X; Reyes, C; Troncoso, E; Pedreschi, R</t>
  </si>
  <si>
    <t>Pedreschi, Franco; Travisany, Ximena; Reyes, Carolina; Troncoso, Elizabeth; Pedreschi, Romina</t>
  </si>
  <si>
    <t>Kinetics of extraction of reducing sugar during blanching of potato slices</t>
  </si>
  <si>
    <t>Kinetics of extraction of reducing Sugars from potato slices was studied during blanching. Two models based oil Fick's law were used to describe loss of reducing sugars during blanching at 60, 75 and 90 degrees C. The first one is the classic model with a constant effective reducing sugar diffusion coefficient. The second model considers that the diffusion coefficient varies during the blanching process. The variable diffusivity model fitted the experimental data better than the constant diffusivity model (RMS average values Of 8% vs. 15%, respectively). The constant effective reducing sugar diffusivity increased with blanching temperature, and the calculated activation energy for this process was 3.4 kJ/mol. The effective reducing Sugar diffusion coefficient in the variable diffusivity model decreased with blanching time and temperature and behaved similarly at 75 and 90 degrees C, while for slices blanched at 60 degrees C this coefficient was considerable higher after the initial 30 s of blanching. This observation is attributed to the gelatinization of starch at temperatures above 60 degrees C which results in changes of original microstructure of potato, thereby making the diffusion of reducing sugars more difficult. Low temperature-long time blanching (BLTSt) gave better quality potato chips (lighter and less oily) than those blanched at high temperature-short time combination (BHTSt). No significant effect (p &gt; 0.05) of blanching treatment conditions were observed on porosity and texture on the resultant potato chips. (c) 2008 Elsevier Ltd. All rights reserved.</t>
  </si>
  <si>
    <t>Pedreschi, Romina/0000-0001-9927-2919; Troncoso, Elizabeth/0000-0002-6749-774X</t>
  </si>
  <si>
    <t>10.1016/j.jfoodeng.2008.09.022</t>
  </si>
  <si>
    <t>WOS:000262760100011</t>
  </si>
  <si>
    <t>Cubillos, FA; Vásquez, C; Faugeron, S; Ganga, A; Martínez, C</t>
  </si>
  <si>
    <t>Cubillos, Francisco A.; Vasquez, Claudia; Faugeron, Sylvain; Ganga, Angelica; Martinez, Claudio</t>
  </si>
  <si>
    <t>Self-fertilization is the main sexual reproduction mechanism in native wine yeast populations</t>
  </si>
  <si>
    <t>FEMS MICROBIOLOGY ECOLOGY</t>
  </si>
  <si>
    <t>Saccharomyces cerevisiae is a model eukaryotic organism for classical genetics and genomics, and yet its ecology is still largely unknown. In this work, a population genetic analysis was performed on five yeast populations isolated from wine-making areas with different enological practices using simple sequence repeats and restriction fragment length polymorphism of mitochondrial DNA as molecular markers on 292 strains. In accordance with other studies, genome size estimation suggests that native S. cerevisiae strains are mainly homothallic and diploids. Analysis of mtDNA data showed that yeast populations from nonindustrial areas have 40% higher genetic diversity than populations isolated from industrial areas, demonstrating that industrial enological practices are likely to affect native yeast populations negatively by reducing its biodiversity. On the other hand, genetic differentiation analysis based on their microsatellite showed no correlation between genetic and geographic distance and a nonsignificant value when a Mantel test was applied. Finally, in the five populations studied, positive inbreeding (F-is) values from 0.4 to 0.75, a low but significant level of linkage disequilibrium and a high number of multilocus genotypes were detected. These results strongly advocate that sexual reproduction is frequent enough to erase clonal signature in natural populations and that self-fertilization is the main mating system.</t>
  </si>
  <si>
    <t>Cubillos, Francisco/MIT-2389-2025; Ganga, Maria/S-8176-2019; Martinez, Claudio/MGS-9961-2025; Cubillos, Francisco/G-5195-2019</t>
  </si>
  <si>
    <t>Cubillos, Francisco/0000-0003-3022-469X; Martinez, Claudio/0000-0001-8564-9287; Faugeron, Sylvain/0000-0001-7258-5229</t>
  </si>
  <si>
    <t>0168-6496</t>
  </si>
  <si>
    <t>1574-6941</t>
  </si>
  <si>
    <t>10.1111/j.1574-6941.2008.00600.x</t>
  </si>
  <si>
    <t>WOS:000261622000015</t>
  </si>
  <si>
    <t>Henríquez, HR; Landero, C</t>
  </si>
  <si>
    <t>Henriquez, Hernan R.; Landero H, Carlos</t>
  </si>
  <si>
    <t>A Generation Result for Cosine Functions of Operators</t>
  </si>
  <si>
    <t>ZEITSCHRIFT FUR ANALYSIS UND IHRE ANWENDUNGEN</t>
  </si>
  <si>
    <t>In this work a generation result for strongly continuous cosine functions of operators is established, and the result is applied to study a geometric property of self-accessible states of linear second order abstract control systems.</t>
  </si>
  <si>
    <t>0232-2064</t>
  </si>
  <si>
    <t>WOS:000262847500007</t>
  </si>
  <si>
    <t>Zuniga, LM; Orihuela, PA; Croxatto, HB</t>
  </si>
  <si>
    <t>Zuniga, Lidia M.; Orihuela, Pedro A.; Croxatto, Horacio B.</t>
  </si>
  <si>
    <t>Mating Modifies the Expression of Nfatc3, Nfkb1, Fos, and Jun in Endosalpinx: Possible Role in Silencing of Non-Genomic Pathway of Estradiol</t>
  </si>
  <si>
    <t>BIOLOGY OF REPRODUCTION</t>
  </si>
  <si>
    <t>42nd Annual Meeting of the Society-for-the-Study-of-Reproduction</t>
  </si>
  <si>
    <t>JUL 18-22, 2009</t>
  </si>
  <si>
    <t>Pittsburgh, PA</t>
  </si>
  <si>
    <t>Soc Study Reproduct,David L Lawrence Convent Ctr</t>
  </si>
  <si>
    <t>0006-3363</t>
  </si>
  <si>
    <t>WOS:000273605500309</t>
  </si>
  <si>
    <t>Aguilar, C; Martinez, VD; Palacios, JM; Ordoñez, S; Pavez, O</t>
  </si>
  <si>
    <t>Aguilar, C.; Martinez, V. de P.; Palacios, J. M.; Ordonez, S.; Pavez, O.</t>
  </si>
  <si>
    <t>A thermodynamic approach to energy storage on mechanical alloying of the Cu-Cr system</t>
  </si>
  <si>
    <t>SCRIPTA MATERIALIA</t>
  </si>
  <si>
    <t>The object of this work is to estimate the increase in new surface and elastic energy during mechanical alloying of Cu-Cr powders processed by means of a SPEX mill in comparison with a regular solution model. The presence of crystalline defects increases the Gibbs free energy and the Gibbs free energy curves are moved upwards; hence the solubility limit changes. (c) 2007 Acta Materialia Inc. Published by Elsevier Ltd. All rights reserved.</t>
  </si>
  <si>
    <t>Aguilar, Claudio/B-6774-2011</t>
  </si>
  <si>
    <t>1359-6462</t>
  </si>
  <si>
    <t>10.1016/j.scriptamat.2007.04.006</t>
  </si>
  <si>
    <t>WOS:000247406100009</t>
  </si>
  <si>
    <t>Rabagliati, FM; Rodríguez, FJ; Alla, A; Martínez, A; de Ilarduya, AM; Muñoz-Guerra, S</t>
  </si>
  <si>
    <t>Rabagliati, Franco M.; Rodriguez, Francisco J.; Alla, Abdelilah; Martinez, Antxon; de Ilarduya, Antxon Martinez; Munoz-Guerra, Sebastian</t>
  </si>
  <si>
    <t>Styrene/(substituted styrene) copolymerization by Ph2Zn-metallocene-MAO systems:: Synthesis and characterization of poly(styrene-co-p-hydroxystyrene) copolymers</t>
  </si>
  <si>
    <t>POLYMER</t>
  </si>
  <si>
    <t>41st International Symposium on Macromolecules</t>
  </si>
  <si>
    <t>JUL 16-21, 2006</t>
  </si>
  <si>
    <t>Rio de Janeiro, BRAZIL</t>
  </si>
  <si>
    <t>IUPAC,Brazilian Polymer Assoc</t>
  </si>
  <si>
    <t>Poly(styrene-co-p-tert-butyldimethylsilyloxystyrene) copolymers, P(S/p-TBDMSOS), with contents in the substituted comonomer within the 0-50% range were prepared using combined Ph2Zn-CpTiCl3-MAO initiator systems and some of them were used as precursors of poly(styrene-co-p-hydroxystyrene), P(S/p-HOS), copolymers. p-tei-t-Butyldimethylsilytoxystyrene was synthesized from p-hydroxybenzaldehyde by protecting the hydroxyl group with tet-t-butyldimethylchlorosilane and converting the aldehyde group into vinyl through the Wittig reaction. The P(S/p-TBDMSOS) copolymers with contents in substituted units equal or higher than 25% were atactic and those with content higher than 5% were amorphous. P(S/p-HOS) copolymers containing up to 20% of hydroxylated units were obtained by full hydrolysis in acidic medium of the corresponding P(S/p-TBDMSOS). The hydroxylated copolystyrenes displayed crystallinity for the whole range of studied compositions and their crystalline structure was essentially similar to that of s-PS homopolymers. The influence of the substituent on the modified-MAO catalyzed copolymerization and on the thermal properties of the resulting copolymers was comparatively examined. (c) 2007 Elsevier Ltd. All rights reserved.</t>
  </si>
  <si>
    <t>Guerra, Sebastián/G-2237-2015; Rodríguez, Francisco/I-5283-2018; Alla Bedahnane, Abdelilah/F-9242-2015; Martinez de Ilarduya, Antxon/E-4034-2012</t>
  </si>
  <si>
    <t>Alla Bedahnane, Abdelilah/0000-0001-8417-4937; Martinez de Ilarduya, Antxon/0000-0001-8105-2168; Rodriguez-Mercado, Francisco/0000-0002-0530-6653</t>
  </si>
  <si>
    <t>0032-3861</t>
  </si>
  <si>
    <t>1873-2291</t>
  </si>
  <si>
    <t>10.1016/j.polymer.2007.06.009</t>
  </si>
  <si>
    <t>WOS:000248860400005</t>
  </si>
  <si>
    <t>Gramsch, E; Avila, RE; Bui, P</t>
  </si>
  <si>
    <t>Measurement of the depth of interaction of an LSO scintillator using a planar process APD</t>
  </si>
  <si>
    <t>IEEE TRANSACTIONS ON NUCLEAR SCIENCE</t>
  </si>
  <si>
    <t>The authors have evaluated the performance of an avalanche photodiodes; (APD)/Lutetium oxyorthosilicate (LSO) module for use in positron emission tomography systems. They have used a recently developed APD detector in combination with a 3 x 3 x 30 mm(3) LSO scintillator to measure the,depth of interaction of 511 keV photons from a Na-22 source. The detectors were built using standard planar technology for silicon devices. Photodiodes with 3 mm diameter active area have been produced by deep boron diffusion, followed by shallow boron and phosphor diffusion. Because the structure has not been optimized yet, the authors only obtained a gain of 6 at 1300 V. A simple noise analysis of the detector characteristics indicate that they are still capable of measuring 511 keV photons with sufficient energy resolution for depth of interaction position measurement from a, long LSO scintillator. In spite of the low gain, the authors have obtained an energy resolution of 25% full-width at half-maximum (FWHM) with a single APD and the 3 x 3 x 30 mm(3) scintillator, better resolution (23%) is obtained when the scintillator is coupled to two APDs and the spectrum is obtained from the sum of the detectors. DOI resolution varies with the position of interaction being 5.3 and 8.6 mm FWHM at 2 and 28 mm from the APD, respectively.</t>
  </si>
  <si>
    <t>Gramsch, Ernesto/M-5507-2017</t>
  </si>
  <si>
    <t>0018-9499</t>
  </si>
  <si>
    <t>10.1109/TNS.2003.812430</t>
  </si>
  <si>
    <t>WOS:000183933100003</t>
  </si>
  <si>
    <t>Soto, MA; Sotomayor, CP; Lissi, EA</t>
  </si>
  <si>
    <t>Effect of gramicidin addition upon the physicochemical properties of dipalmitoyl phosphatidyl choline large unilamellar vesicles</t>
  </si>
  <si>
    <t>In this work, we report the results bearing on the effect of gramicidin incorporation upon the dynamic and structural properties of dipalmitoyl phosphatidyl chohne (DPPC) large unilamellar vesicle (LUVs). Results were obtained at different depths in the bilayer, both in the bulk of the bilayer and the vicinity of the added pentadecapeptide. This analysis was performed employing a series of extrinsic fluorescent probes (1,6-diphenyl-1,3,5-hexatriene (DPH), 1-(4-trimethylammonium phenyl)-6-phenyl-1,3,5-hexatriene (TMA-DPH), 6-dodecanoyl-2-dimethyl aminenaphthalene (Laurdan), pyrenedodecanoic acid, pyrenebutyric acid, 1-hexadecanoyl-2-(1-pyrenedecanoyl)-sn-glycero-3-phosphocholine (Py-C-10-PC) and 1,2-bis-(1-pyrenedecanoyl)-sn-glycero-3-phosphocholine (bis-Py-C-10-PC)). Fluorescence measurements were carried out after direct excitation of the probe or after its excitation by resonant energy transfer (RET) from the intrinsic tryptophan groups of the polypeptide. The last procedure allows an evaluation of the lipidic annulus properties in the vicinity of the incorporated polypeptide. In the gel state, gramicidin incorporation increases the order near the vesicle interface, as sensed by TMA-DPH. This increase is observed, above the phase transition temperature, over all the bilayer. This effect is probably related to a decrease in the lateral diffusion of the lipids, as evidenced by the reduced fort-nation of intermolecular excimers following Py-C-10-PC excitation. Gramicidin incorporation also increases the penetration and/or mobility of water molecules located near the bilayer interface. In the gel phase, these changes are more relevant in the central part of the bilayer. When the LUVs are in the liquid crystalline state, the effect is observed through all the bilayer. In this state, the polypeptide incorporation also increases the diffusion/concentration of oxygen, irrespective of the probe localization. Resonance energy transfer between Tip residues and Laurdan, Py-C-10-PC or bis-Py-C-10-PC dyes was employed to evaluate the properties of the lipidic annulus surrounding the polypeptide. In the gel phase, gramicidin incorporation produces an increase in the penetration and/or dynamics of water molecules, while in the liquid crystalline state it leads to a decrease of the acyl chain mobility in the deepest parts of the bilayer. (C) 2002 Elsevier Science B.V. All rights reserved.</t>
  </si>
  <si>
    <t>Soto-Arriaza, Marco/J-8918-2017</t>
  </si>
  <si>
    <t>Soto-Arriaza, Marco/0000-0003-4502-6960</t>
  </si>
  <si>
    <t>PII S1010-6030(02)00209-5</t>
  </si>
  <si>
    <t>10.1016/S1010-6030(02)00209-5</t>
  </si>
  <si>
    <t>WOS:000178202600010</t>
  </si>
  <si>
    <t>Carrasco, ELU; Romo, CR</t>
  </si>
  <si>
    <t>Influence of water activity and drying temperature on stability during the storage of caroteneproteins recovered from the krill antarctic residues (Euphausia superba)</t>
  </si>
  <si>
    <t>AFINIDAD</t>
  </si>
  <si>
    <t>Carotene proteins recovered from the mechanical peeling of the antarctic krill (E. superba), were estabilized with antioxidants (ethoxiquin, citric acid). Stored at 35 degreesC, it was evaluated the influence of water (a(w))(0.44, 0.53 and 0.75) on the pigments degradation (astaxantine). With a, of 0.75 pigments were better stabilized (p&lt;0.05). It was also evaluated the effect of vacuum drying (-1,0 x 10(5) Pa) at temperatures of 50, 55 degrees and 60 degreesC, on the degradation of pigments and unsaturated fatty acids. A drying temperature of 50 degreesC was optimum for the stabilization of carotene proteins during the storage.</t>
  </si>
  <si>
    <t>0001-9704</t>
  </si>
  <si>
    <t>2339-9686</t>
  </si>
  <si>
    <t>WOS:000168230700010</t>
  </si>
  <si>
    <t>Rios, M; Ojeda, S; Velasquez, LA; Maisey, K; Croxatto, HB</t>
  </si>
  <si>
    <t>A segment and epithelium specific messenger ribonucleic acid fragment up-regulated by estradiol in the rat oviduct</t>
  </si>
  <si>
    <t>Estradiol accelerates oviductal embryo transport in the rat through changes of genomic expression in oviductal cells. However, the genes involved are unknown. We used a differential display by reverse transcription-polymerase chain reaction to detect estradiol (E-2)-dependent genes in the rat oviduct. Rats on day 2 of pregnancy were untreated or treated with 10 mug of E-2 and the oviducts were extracted at 30, 180 and 360 min later and used to isolate RNA. products of reverse transcriptase-PCR, made with pairs of arbitrary and oligo-deoxythymidine primers, were separated on denaturing polyacrylamide gels and candidate bands were excised and reamplified. Truly positive cDNA fragments determined by a single strand conformation polymorphism assay were cloned and sequenced. A ribonuclease protection assay confirmed that clone 25 is up-regulated by E-2 in the oviduct at 30, 180 and 360 min. This clone exhibited no homology with known genes and in situ hybridization showed it is only expressed in the epithelial cells of the isthmic segment. Clone 25 is likely to represent a new gene. which is upregulated by E-2 in the epithelium of the isthmic segment of the rat oviduct. Its rime frame of response is compatible with a mediator or the effect of E-2 on oviductal embryo transport.</t>
  </si>
  <si>
    <t>Velasquez, Luis/0000-0002-9479-1792; Maisey, Kevin/0000-0002-7423-6329</t>
  </si>
  <si>
    <t>WOS:000169589200006</t>
  </si>
  <si>
    <t>Cuccovia, IM; Sesso, A; Abuin, EB; Okino, PF; Tavares, PG; Campos, JFS; Florenzano, FH; Chaimovich, H</t>
  </si>
  <si>
    <t>Characterization of dioctadecyldimethylammonium chloride vesicles prepared by membrane extrusion and dichloromethane injection.</t>
  </si>
  <si>
    <t>Vesicles of dioctadecyltrimethylammonium chloride were prepared by sonication, membrane extrusion and dichloromethane injection. The diameter of the vesicles were determined using quasi-elastic light scattering and freeze fracture electron microscopy. The incorporation of water soluble probes in the vesicles allowed the determination of a molar volume of 6 to 8 L/mole for the CH2Cl2 injected vesicles and 1.0 L/mole for the membrane extruded vesicles, in very good agreement with the data calculated from the vesicle diameters. The permeability of the injected CH2Cl2 vesicles is dependent on temperature and probe structure. Membrane extruded vesicles are more permeable than injected vesicles, both below and above the phase transition temperature. (C) 1997 Elsevier Science B.V.</t>
  </si>
  <si>
    <t>Cuccovia, Iolanda Midea/G-1183-2012; Florenzano, Fabio Herbst/A-9357-2013; Chaimovich, Hernan/B-5006-2011</t>
  </si>
  <si>
    <t>Cuccovia, Iolanda Midea/0000-0001-8285-7419; Florenzano, Fabio Herbst/0000-0003-2692-3105; Chaimovich, Hernan/0000-0001-9380-2157</t>
  </si>
  <si>
    <t>10.1016/S0167-7322(97)00046-9</t>
  </si>
  <si>
    <t>WOS:A1997XW68800021</t>
  </si>
  <si>
    <t>LETELIER, MF; LEUTHEUSSER, HJ; MARQUEZ, G</t>
  </si>
  <si>
    <t>LAMINAR FLUID TRANSIENTS IN CONDUITS OF ARBITRARY CROSS-SECTION</t>
  </si>
  <si>
    <t>JOURNAL OF ENGINEERING MECHANICS-ASCE</t>
  </si>
  <si>
    <t>Conduit cross sections of nonelementary shape are the rule in biological fluid systems. Because of mathematical and experimental difficulties, however, relatively little is known about the dynamics of flow in these vessels, particularly under time-varying conditions, although knowledge of the fluid motion therein in terms of properties such as driving head, velocity, and wall shear stress is clearly essential for proper diagnosis of a flow problem. This paper presents an analytical method for solving problems of unsteady laminar flow in long ducts of arbitrary cross section. The implied assumption of parallel flow renders the mathematical situation linear, but the proposed method is far from conventional because it allows consideration of almost any cross-sectional configuration conceivable. This novel approach is made possible by joining a steady-state superposition method for creating new conduits from known basic shapes with a regular perturbation scheme found suitable for dealing with fluid transients in circular pipes. The method is developed step by step, and the results are applied to an example with biomedical implications.</t>
  </si>
  <si>
    <t>0733-9399</t>
  </si>
  <si>
    <t>10.1061/(ASCE)0733-9399(1995)121:10(1069)</t>
  </si>
  <si>
    <t>WOS:A1995RW07900004</t>
  </si>
  <si>
    <t>LISSI, E; CACERES, T; VIDELA, L</t>
  </si>
  <si>
    <t>MECHANISMS OF DESFERRIOXAMINE ACTION (DFO)</t>
  </si>
  <si>
    <t>ARCHIVOS DE BIOLOGIA Y MEDICINA EXPERIMENTALES</t>
  </si>
  <si>
    <t>0004-0533</t>
  </si>
  <si>
    <t>R217</t>
  </si>
  <si>
    <t>WOS:A1987L151200266</t>
  </si>
  <si>
    <t>LEON, A; ABUIN, E; LISSI, E; GARGALLO, L; RADIC, D</t>
  </si>
  <si>
    <t>MICELLAR PROPERTIES OF A POTENTIALLY POLYMERIZABLE ITACONIC ACID-DERIVED SURFACTANT - POTASSIUM DODECYL ITACONATE</t>
  </si>
  <si>
    <t>10.1016/0021-9797(87)90071-3</t>
  </si>
  <si>
    <t>WOS:A1987G007800028</t>
  </si>
  <si>
    <t>VAZQUEZ, JL; YARUR, C</t>
  </si>
  <si>
    <t>ISOLATED SINGULARITIES OF THE SOLUTIONS OF THE SCHRODINGER-EQUATION WITH A RADIAL POTENTIAL</t>
  </si>
  <si>
    <t>ARCHIVE FOR RATIONAL MECHANICS AND ANALYSIS</t>
  </si>
  <si>
    <t>Vazquez, Juan Luis/E-3406-2013</t>
  </si>
  <si>
    <t>Vazquez, Juan Luis/0000-0002-9871-257X</t>
  </si>
  <si>
    <t>0003-9527</t>
  </si>
  <si>
    <t>WOS:A1987G352500004</t>
  </si>
  <si>
    <t>Henriquez, F; Martin, RF</t>
  </si>
  <si>
    <t>Henriquez, Fernando; Martin, Robert F.</t>
  </si>
  <si>
    <t>CRYSTAL-GROWTH TEXTURES IN MAGNETITE FLOWS AND FEEDER DYKES, EL LACO, CHILE</t>
  </si>
  <si>
    <t>CANADIAN MINERALOGIST</t>
  </si>
  <si>
    <t>The unique Quaternary iron oxide melts at El Laco, Chile, crystallized in intrusive and extrusive environments. These differ in morphological, structural and textural details that reflect the different environments of crystallization. Massive magnetite predominates in the intrusive bodies, whereas spherulitic, dendritic and idiomorphic magnetite, now locally oxidized, characterizes the oxide flows and feeder dykes. A transition from spherulite fibre to platy dendrite to euhedral crystal may occur within a few centimetres as an open space is approached. The spectacular rapid-growth features are attributed to sudden supersaturation due to de-gassing of the oxide melts. Much slower growth of idiomorphic magnetite or hematite ( primary) then occurred directly from the gas phase: which of these oxides formed probably depended on the ability of hydrogen to diffuse rapidly out of certain gas pockets.</t>
  </si>
  <si>
    <t>Henriquez, Fernando/C-9830-2009</t>
  </si>
  <si>
    <t>0008-4476</t>
  </si>
  <si>
    <t>1499-1276</t>
  </si>
  <si>
    <t>WOS:000208514100010</t>
  </si>
  <si>
    <t>Carmona, N; Fierro, M; Bubnovich, V; Toledo, M</t>
  </si>
  <si>
    <t>Carmona, Nicolas; Fierro, Matias; Bubnovich, Valeri; Toledo, Mario</t>
  </si>
  <si>
    <t>Investigation of fire rate in a porous media reactor with hollow spheres as packed bed</t>
  </si>
  <si>
    <t>APPLIED THERMAL ENGINEERING</t>
  </si>
  <si>
    <t>Inert porous media reactors made up of solid spheres are widely recognized for their high performance and easy manipulation. The main objective of this work is to investigate the effects of fire rate (FR) on the combustion wave temperature and its propagation rate in a porous media reactor composed of hollow alumina spheres. Experimental data were recorded at a range of FRs from 755 kW/m2 to 3776 kW/m2 for an equivalence ratio of 0.55 and 0.7. A 2D two temperature model based on the heat transfer mechanism is developed. The heat transfer mechanism considers convection, conduction of each phase, thermal radiation between the external surface of the sphere and internal radiation exchange inside the hollow sphere, where three gasses are tested as enclosed fluid: air, carbon dioxide, and water. The numerical model uses a one-step combustion for methane oxidation in lean conditions. The results of the numerical model are found to be in a good agreement with experimental data. Upstream and stagnated combustion waves are obtained in the range of FRs studied. The experimental results expose their maximum combustion wave velocity around the FR of 1500 kW/m2 and 1800 kW/m2 for an equivalence ratio of 0.55 and 0.7, respectively. Numerical results indicate that the internal radiation inside the hollow sphere is the predominant component in the heat transfer mechanism on the temperature and propagation rate of the combustion wave. It was found that reducing particle diameter of the hollow sphere and the thickness of its shell enlarge the surface area for convection, increasing the solid phase temperature.</t>
  </si>
  <si>
    <t>1359-4311</t>
  </si>
  <si>
    <t>1873-5606</t>
  </si>
  <si>
    <t>10.1016/j.applthermaleng.2025.126252</t>
  </si>
  <si>
    <t>WOS:001467090400001</t>
  </si>
  <si>
    <t>Llorca-Jaña, M; Morales-Campos, D</t>
  </si>
  <si>
    <t>Llorca-Jana, Manuel; Morales-Campos, Daniel</t>
  </si>
  <si>
    <t>Secular Trends in Birth Weight in Chile and Its Regions Between 1990 and 2021</t>
  </si>
  <si>
    <t>AMERICAN JOURNAL OF HUMAN BIOLOGY</t>
  </si>
  <si>
    <t>ObjectiveThe objective is to analyze secular trends in birth weight (BW) for Chile from 1990 to 2021, focusing on the mean BW and low birth weight (LBW) prevalence, and to assess differences across Chilean regions.MethodsOur sample, obtained from the Chilean National Statistics Office, contains information on 7 822 975 births, including the total births that took place in Chile from 1990 to 2021. We calculated mean BW and LBW prevalence at a national and a regional level. We also gathered national aggregates from 1974 to 1989 from secondary sources.ResultsAt a national level, mean BW increased sharply in Chile from 1983 to 1994 (6%), remained stagnant thereafter, and fell slightly during the last decade and a half. LBW prevalence declined substantially from the mid-1970s to the mid-1990s, from 12% to 5%. It stagnated during the early 1990s, after which there was a small but continuous increase to over 6.5%. Antofagasta is the only outlier: its mean BW and the percentage of LBW are permanently lower and higher, respectively.ConclusionsA sharp increase in mean BW from the mid-1980s to the mid-1990s, together with the declining percentage of LBW from the mid-1970s to the mid-1990s, should be due to the better nutritional status of mothers. The decline in mean BW from the early 2000s (as well as the increasing percentage of LBW) may be due to an increasing proportion of preterm births and the increase in the age of women giving birth. The relatively poor performance of Antofagasta is explained by the region's high altitude, which affected large numbers of the population.</t>
  </si>
  <si>
    <t>Llorca-Jaña, Manuel/AAB-9317-2020</t>
  </si>
  <si>
    <t>Morales-Campos, Daniel/0000-0002-5581-8542</t>
  </si>
  <si>
    <t>1042-0533</t>
  </si>
  <si>
    <t>1520-6300</t>
  </si>
  <si>
    <t>e70002</t>
  </si>
  <si>
    <t>10.1002/ajhb.70002</t>
  </si>
  <si>
    <t>WOS:001406154900001</t>
  </si>
  <si>
    <t>Vergara, PM; Zúñiga, AH; Alaniz, AJ; Fierro, A; Quiroz, M; Hidalgo-Corrotea, CM; Carvajal, MA; Calos, CC; Moreira-Arce, D; Borquez, C</t>
  </si>
  <si>
    <t>Vergara, Pablo M.; Zuniga, Alfredo H.; Alaniz, Alberto J.; Fierro, Andres; Quiroz, Madelaine; Hidalgo-Corrotea, Claudia M.; Carvajal, Mario A.; Calos, Carreno-Chovan; Moreira-Arce, Dario; Borquez, Cristian</t>
  </si>
  <si>
    <t>Disentangling the ecological value of tree hollows to wildlife along elevation gradients: The case of southern temperate forests</t>
  </si>
  <si>
    <t>FOREST ECOLOGY AND MANAGEMENT</t>
  </si>
  <si>
    <t>The ecological importance of tree hollows relies on environmental factors that influence microhabitat requirements for wildlife. Thus, the value of hollows as thermal microhabitats should increase with elevation, but understanding this phenomenon involves a separate assessment of hollow use and site occupancy. Here, we evaluated the use of tree hollows by vertebrates and invertebrates along elevational gradients in southern Chilean temperate forests. Camera trap and Bayesian models were used to analyze separately hollow use and site occupation. Four of seven invertebrate taxa and 21 of 25 vertebrate species used hollows. All lizard and mammal species (rodents, bats, kodkods, and opossums) were found using hollows, while 13 bird species (77 %) did it. The hollow occupation of only two species responded to elevation, with Chilean opossums being more likely to use hollows as elevation increased, while black-throated huet-huets exhibited the opposite pattern. Chucao and Magellanic tapaculos increased their occurrence probability as elevation increased while that of jewel and blue- bellied lizards increased with elevation. Giant bumblebees, austral thrushes, and Chilean opossums preferred hollows in evergreen (non-Nothofagaceae) tree species while huet-huets preferred hollows in Nothofagus trees. A strong positive association between hollow density and elevation was also found. These results suggest Chilean opossums benefit from using hollows at high altitudes due to their sensitivity to low temperatures while the lower availability of tree hollows at low altitudes causes black-throated huet-huets to be limited by hollows. Thus, wildlife conservation in these forests requires the maintenance of hollows in different tree species along elevational gradients.</t>
  </si>
  <si>
    <t>Quiroz, Madelaine/ACG-9162-2022; Vergara, Pablo/F-2519-2010; Alaniz, Alberto/MTC-1450-2025; Carvajal, Mario/GYU-2659-2022; Moreira-Arce, Dario/ABG-2898-2021</t>
  </si>
  <si>
    <t>0378-1127</t>
  </si>
  <si>
    <t>1872-7042</t>
  </si>
  <si>
    <t>10.1016/j.foreco.2024.122236</t>
  </si>
  <si>
    <t>WOS:001386290700001</t>
  </si>
  <si>
    <t>Vanegas-Ortega, C; Jara, RF</t>
  </si>
  <si>
    <t>Vanegas-Ortega, Carlos; Jara, Rodrigo Fuentealba</t>
  </si>
  <si>
    <t>Teacher Education during the COVID-19 Pandemic: Tensions and Challenges of Initial Teacher Training Practices</t>
  </si>
  <si>
    <t>The objective of the study is to characterize the ways of understanding and functioning of the formative triads of pedagogical practices, based on the decisions, tensions, and challenges faced by the initial teacher training programs in times of pandemic. The research used a qualitative-phenomenological perspective, inquiring into natural situations experienced by the formative triads of the pedagogical careers of 23 Chilean universities with recognized trajectories in teacher training. The interviews were conducted when the country was in a health emergency, that is, when schools and universities were carrying out remote teaching. The results show that the pandemic transformed the collaborative links between schools and universities, some links were broken, and others were strengthened, showing that the functioning of the triads is more declarative than real. In addition, the trainers (university tutor teacher and school guide teacher) faced two disconnected scenarios (school and university) that did not provide them with clear guidelines and concrete support for the development of their roles. This research has relevance for teacher training programs because it stresses the design of action plans to give continuity to practices in emergency situations and orients the evaluation of practice models to decide if they have the conditions to implement a model based on the formative triad.</t>
  </si>
  <si>
    <t>Fuentealba, Rodrigo/0000-0003-3190-9914</t>
  </si>
  <si>
    <t>10.3390/educsci14070794</t>
  </si>
  <si>
    <t>WOS:001277414700001</t>
  </si>
  <si>
    <t>Barraza, JJM; Cussen, C</t>
  </si>
  <si>
    <t>Barraza, Juan Jose Martinez; Cussen, Celia</t>
  </si>
  <si>
    <t>Trafficking Captives in South America's Southern Cone The Continental Route from Rio de la Plata to Lima in the Late Colonial Period</t>
  </si>
  <si>
    <t>JOURNAL OF GLOBAL SLAVERY</t>
  </si>
  <si>
    <t>This article demonstrates the logic, efficacy and profitability of the commerce in enslaved persons between Rio de la Plata and Lima from the late 1760s to the second decade of the nineteenth century. Moving beyond the customary study of local markets, it combines newly located tax, custom and notarial records with recent studies to describe the intercontinental slave trade in the Southern Cone. It demonstrates how Lima's demand for labor lay behind the transportation of more than 25,000 enslaved persons over the pampas and across the Andes to the port of Valparaiso, for final delivery in Lima's port of Callao. We find that most of the trafficking was concentrated in the summer and fall, consisted of the transportation of fewer than four slaves at a time, and was undertaken by hundreds of actors playing a variety of commercial roles.</t>
  </si>
  <si>
    <t>2405-8351</t>
  </si>
  <si>
    <t>2405-836X</t>
  </si>
  <si>
    <t>I</t>
  </si>
  <si>
    <t>10.1163/2405836X-00901002</t>
  </si>
  <si>
    <t>WOS:001262441100009</t>
  </si>
  <si>
    <t>García-Muñoz, F; Jiménez-Martínez, M; Eichman, J; Corchero, C; Benveniste, G</t>
  </si>
  <si>
    <t>Garcia-Munoz, Fernando; Jimenez-Martinez, Mariana; Eichman, Josh; Corchero, Cristina; Benveniste, Gabriela</t>
  </si>
  <si>
    <t>Exploring the Viability of Local Electricity Markets for Managing Congestion in Spanish Distribution Networks</t>
  </si>
  <si>
    <t>This article presents the methodology and results developed as part of the Integration of Energy Resources through Local Electricity Markets (IREMEL) project, whose aim is to assess the capability of flexibility markets to manage eventual distribution network (DN) congestion produced by a high penetration of distributed energy resources (DERs), including photovoltaic (PV) panels, battery energy storage systems (BESSs), and electric vehicles (EVs). The distribution system simulator OpenDSS has been used to simulate three Spanish DNs under multiple DER penetration scenarios considering an urban and rural low-voltage network and an industrial medium-voltage DN. Likewise, the congestion events detected in the annual simulations have been used to measure the potential of flexibility markets under different DER penetrations and energy pricing. The results suggest that oversized distribution networks could prevent a profitable flexibility market implementation since the simulations developed in this article shows that networks with high congestion levels are prime candidates to solve this issue through a market mechanism. Likewise, the results suggest that a proper price for the energy managed through a local flexibility market (LFM) could have a bigger effect on market viability than DER penetration.</t>
  </si>
  <si>
    <t>Eichman, Josh/AAL-7852-2021; Corchero, Cristina/G-5229-2013; García-Muñoz, Fernando/AAX-9963-2020; Benveniste, Gabriela/A-1332-2019</t>
  </si>
  <si>
    <t>Eichman, Joshua/0000-0002-3460-2857; Benveniste, Gabriela/0000-0002-3905-3367; Garcia-Munoz, Fernando/0000-0001-9376-4357</t>
  </si>
  <si>
    <t>10.3390/en17030659</t>
  </si>
  <si>
    <t>WOS:001160508500001</t>
  </si>
  <si>
    <t>Melinao, F; Vidal, M; Aliaga, C; Domínguez, M</t>
  </si>
  <si>
    <t>Melinao, Fabian; Vidal, Matias; Aliaga, Carolina; Dominguez, Moises</t>
  </si>
  <si>
    <t>Inverting the Solvatochromism of Pyridinium-N-phenolate Dyes by the Addition of a Second Pyridinium Unit</t>
  </si>
  <si>
    <t>JOURNAL OF ORGANIC CHEMISTRY</t>
  </si>
  <si>
    <t>Three bipyridinium phenolates were synthesized, and their spectral behavior was recorded at various solvent polarities and compared to a classic pyridinium phenolate dye possessing only one pyridinium acceptor ring in its structure. The addition of a second pyridinium unit to the classic solvatochromic core results in an unexpected change in the spectral behavior from negative solvatochromism (displacement of the absorption band to shorter wavelengths) to inverted solvatochromism, characterized by the transition from negative to positive solvatochromism (displacement of the absorption band to longer wavelengths) at moderate solvent polarities.</t>
  </si>
  <si>
    <t>Vidal, Matias/0000-0003-4888-7926; Dominguez, Moises/0000-0002-8444-3065</t>
  </si>
  <si>
    <t>0022-3263</t>
  </si>
  <si>
    <t>1520-6904</t>
  </si>
  <si>
    <t>10.1021/acs.joc.3c02158</t>
  </si>
  <si>
    <t>WOS:001157552900001</t>
  </si>
  <si>
    <t>Wackerling, D; Rojas, D; Oñate, A; Castro-Cerda, FM; Araya, N; Sanhueza, JP</t>
  </si>
  <si>
    <t>Wackerling, D.; Rojas, D.; Onate, A.; Castro-Cerda, F. M.; Araya, N.; Sanhueza, J. P.</t>
  </si>
  <si>
    <t>Laves phase formation in Fe-based alloys from strengthening particle to self-healing agent: a review</t>
  </si>
  <si>
    <t>MATERIALS RESEARCH EXPRESS</t>
  </si>
  <si>
    <t>In this study, were extensively reviewed the hardening and self-healing properties of Laves-phase in Fe-based alloys. First, the microstructural features of different polytypes of the Laves-phase, focusing on the thermodynamics and kinetics of formation in ferritic and martensitic steels were revised. C14 was identified as the dominant polytype in steels, providing strengthening by precipitation, anchoring of dislocation, and interphase boundaries, thereby increasing the creep resistance. Although the Laves phase is widely known as a reinforcement particle (or even a detrimental phase in some systems) in martensitic/ferritic and ferritic steels, recent findings have uncovered a promising property. Particles with self-healing characteristics provide creep resistance by delaying creep cavities formation. In this regard, different elements such as tungsten and molybdenum are known to provide this feature to binary and tertiary ferrous alloys due to their ability to diffuse into the creep cavities and form Laves-phase Fe(Mo,W)2. To date, self-healing by precipitation has only been reported in commercial stainless steel AISI 312, 347, and 304 modified with boron, nevertheless with a little contribution to creep rupture life. Although, commercial computational tools with thermodynamic and kinetic databases are available for researchers, to tackle the self-healing process with exactitude, genetic algorithms arise as a new tool for computational design. The two properties of Laves phase reported in the literature, precipitation hardening and self-healing agent, is a mix that can bring out a new research field. Therefore, it is not unreasonable to think of tailor-made high chromium creep-resistant steels reinforced by Laves-phase coupled with self-healing properties. However, owing to the characteristic of Laves-phase seems to be a complex challenge, mainly due to the crystallographic features of this phase in comparison with the host matrix, available computational tools, and databases.</t>
  </si>
  <si>
    <t>Oñate Soto, Angelo/AAZ-8331-2020; Castro Cerda, Felipe Manuel/Q-2714-2016</t>
  </si>
  <si>
    <t>Castro Cerda, Felipe Manuel/0000-0001-8126-5593; Wackerling, Diego/0009-0001-3648-8656</t>
  </si>
  <si>
    <t>2053-1591</t>
  </si>
  <si>
    <t>10.1088/2053-1591/ad16a9</t>
  </si>
  <si>
    <t>WOS:001133737100001</t>
  </si>
  <si>
    <t>Schiappacasse, FG; Vallejos, CA; Figueroa, DP; Salcedo, RA; Bustamante, MC; Humeres, AR</t>
  </si>
  <si>
    <t>Giancarlo Schiappacasse, F.; Antonio Vallejos, C.; Paula Figueroa, D.; Amilcar Salcedo, R.; Caroll Bustamante, M.; Roberto Humeres, A.</t>
  </si>
  <si>
    <t>Hepatic Inflammatory Pseudotumor Mimicking Cholangiocarcinoma: A Rare Case and Literature Review</t>
  </si>
  <si>
    <t>We report the case of a 49-year-old man who attended the emergency department for a two-month history of compromised general condition, weight loss, abdominal pain, fever, and elevated inflammatory parameters. An imaging study demonstrates a bulky liver tumor associated with dilation of the bile duct and retroperitoneal adenopathies (hepatic hilum, intermediate, and right lumbar groups). These findings raise intrahepatic cholangiocarcinoma within the differential diagnoses, reason why segmental hepatectomy and regional lymphadenectomy were performed. Histopathology and immunochemistry revealed a lymphoplasmacytic inflammatory process with IgG4-positive plasma cells compatible with IgG4-associated disease. After the resection, expectant management was decided, with the patient evolving favorably, asymptomatic, and without signs of recurrence. We present a case and a brief literature review of an hepatic inflammatory pseudotumor, a rare entity with a benign behavior.</t>
  </si>
  <si>
    <t>WOS:001223728800015</t>
  </si>
  <si>
    <t>Madariaga-Segovia, P; Párraga, S; Villamar-Ayala, CA</t>
  </si>
  <si>
    <t>Madariaga-Segovia, Paula; Parraga, Silvana; Villamar-Ayala, Cristina A.</t>
  </si>
  <si>
    <t>Removal of triclosan, ibuprofen, amoxicillin and paracetamol using organic residues under a bibliometric-statistical analysis</t>
  </si>
  <si>
    <t>BIORESOURCE TECHNOLOGY REPORTS</t>
  </si>
  <si>
    <t>Triclosan, ibuprofen, amoxicillin, and paracetamol have increased their use due to the COVID-19 pandemic. However, organic residues emerge as a viable treatment alternative to remove them. This study evaluated the use of organic residues for removing these emerging contaminants through bibliometric and statistical analyses. Methodology was based on bibliometric analysis (keywords co-occurrence) using 114 scientific publications (2010-2022). ANOVA two-ways and multiple correlation analysis were applied. Co-occurrence analysis showed the main keywords: adsorption, activated carbon. Systematic analysis showed an increase of up to 25.4 % scientific publications/year in the last decade, where ibuprofen removal was the most studied (38.6 %). The highest adsorption capacity (p &gt; 0.05) of organic residues was given by herbaceous and agricultural biomass (HAB), with mean values of 90 (triclosan), 48.2 (amoxicillin), and 152 (paracetamol) mg/g. Paracetamol obtained the lowest mean removal (72.3 %) and amoxicillin the highest (87.8 %). The main variable influencing their removal was the surface area (p &lt; 0.05, r(2) = 0.52-0.77).</t>
  </si>
  <si>
    <t>Villamar, Cristina-Alejandra/AAB-4154-2019</t>
  </si>
  <si>
    <t>Villamar, Cristina Alejandra/0000-0003-4654-0670</t>
  </si>
  <si>
    <t>2589-014X</t>
  </si>
  <si>
    <t>10.1016/j.biteb.2023.101564</t>
  </si>
  <si>
    <t>WOS:001222000500007</t>
  </si>
  <si>
    <t>Guzmán, AB; Oróstica, HC; Barbosa, KA</t>
  </si>
  <si>
    <t>Guzman, Aldo Barrueto; Orostica, Hector Chavez; Barbosa, Karina A.</t>
  </si>
  <si>
    <t>Stability Analysis: Two-Area Power System with Wind Power Integration</t>
  </si>
  <si>
    <t>This paper focuses on a comprehensive stability study of a two-area power system with wind power integration and synthetic inertia control in each area, considering the effects of varying the interconnection link. Normally, synthetic inertia proposals are analyzed in one-area systems, in which stability is tested without considering transmission system phenomena, such as coherency. As modern power systems are progressively becoming interconnected, the possibility of forming two or more non-coherent areas is likely, which poses a challenge to synthetic inertia control techniques that use system frequency as a main feedback signal. In this context, this work addresses a crucial gap in the existing literature and provides a valuable starting point for studying more complex interconnected power systems with wind power integration. Simulations were performed in Matlab-Simulink considering a data-driven frequency dynamics model of the Chilean Electric System, and a wind power model with synthetic inertia control H-2 norm minimization in each area. The results showed that it is possible to find local optimal feedback gains, preserving the stability of the global system under significant variations in the interconnection link. RoCoF and Nadir indicators are provided, highlighting the benefits of synthetic inertia control, particularly in low-inertia situations.</t>
  </si>
  <si>
    <t>Barbosa, Karina/A-2236-2014</t>
  </si>
  <si>
    <t>Barbosa, Karina A./0000-0001-7183-2662; Chavez, Hector/0000-0003-2849-0876</t>
  </si>
  <si>
    <t>10.3390/pr11082488</t>
  </si>
  <si>
    <t>WOS:001055856900001</t>
  </si>
  <si>
    <t>Rodillo, IR; Fritz, KD</t>
  </si>
  <si>
    <t>Rodillo, Ignacio Ramos; Fritz, Karen Donoso</t>
  </si>
  <si>
    <t>The social function of folklore: criticism, research and cultural politics during Pablo Garrido's initial career (Chile, 1928-1944)</t>
  </si>
  <si>
    <t>REVISTA MUSICAL CHILENA</t>
  </si>
  <si>
    <t>According to several documents preserved in the Fondo Pablo Garrido -Research and Documentation Center, University of Chile-, we herein present a contextual analysis of the critique and research texts on folklore by Chilean musician and musicologist Pablo Garrido Vargas, and of the respective approaches and actions that he undertook in the cultural policies field, from the year 1928 -the beginning of his career as a journalist- to 1944 -when he joined the Direccion General de Informacion y Cultura, at the Chilean Ministry of Interior. This article tracks down the notion of social function that Garrido applied to musical folklore, for which we have approached his initial career as a music critic and cultural journalist, researcher and scholar, musician -composer and performer-, agent, union leader, and sympathizer for the Frente Popular. It is of particular interest, in this sense, his conflicted relation with the musical establishment embodied by the Universidad de Chile -regarding which we propose a hypothesis about the upbringing of folklore under its wing-; a general outline of his political, social and aesthetic positions, and a brief exposition of the Afrocentrist thesis he devised on the origins of the Chilean cueca.</t>
  </si>
  <si>
    <t>0716-2790</t>
  </si>
  <si>
    <t>0717-6252</t>
  </si>
  <si>
    <t>WOS:001049903500001</t>
  </si>
  <si>
    <t>Vera, J; Fuentealba, D; Lopez, M; Ponce, H</t>
  </si>
  <si>
    <t>Vera, Javier; Fuentealba, Diego; Lopez, Mario; Ponce, Hector</t>
  </si>
  <si>
    <t>A statistical mechanics approach to cultural evolution of structured behavior in non-human primates: From disorder to tetris-like structures</t>
  </si>
  <si>
    <t>EPL</t>
  </si>
  <si>
    <t>This paper explores a statistical mechanics approach to cultural evolution of struc-tured behavior in non-human primates. Previous works on cultural evolution have proposed Iterated Learning procedures, in which the behavioral output of one individual becomes the tar-get behavior for the next individual in the chain. Within this line of research, previous work has suggested that even in non-human primates this paradigm shows that cultural transmission can lead to the progressive emergence of tetris-like structures. Our simulations are based on several interrelated statistical mechanics measurements, which quantify the way structures become closer to each other and the tendency to put activated cells together (understood by means of a number of measures and an energy-like function). With these tools, we suggested the hypothesis that the appearance of tetris-like structures might be an indirect consequence of the energy-like mini-mization. From this, it is plausible to think that the preference of the participants for tetris-like structures is strongly related to some kind of minimization towards simplicity in cognition.Copyright (C) 2022 EPLA</t>
  </si>
  <si>
    <t>Ponce, Hector/H-9545-2019; Fuentealba, Diego/AAM-8509-2020</t>
  </si>
  <si>
    <t>Vera, Javier/0000-0002-5234-6279; Fuentealba, Diego/0000-0001-5284-0448</t>
  </si>
  <si>
    <t>0295-5075</t>
  </si>
  <si>
    <t>1286-4854</t>
  </si>
  <si>
    <t>10.1209/0295-5075/ac9f65</t>
  </si>
  <si>
    <t>WOS:000890292300001</t>
  </si>
  <si>
    <t>Mahn, A; Pérez, CE; Zambrano, V; Barrientos, H</t>
  </si>
  <si>
    <t>Mahn, Andrea; Elena Perez, Carmen; Zambrano, Victor; Barrientos, Herna</t>
  </si>
  <si>
    <t>Maximization of Sulforaphane Content in Broccoli Sprouts by Blanching</t>
  </si>
  <si>
    <t>Broccoli sprouts are a recognized source of health-promoting compounds, such as glucosinolates, glucoraphanin, and sulforaphane (SFN). Maximization of SFN content can be achieved by technological processing. We investigated the effect of blanching conditions to determine the optimal treatment that maximizes sulforaphane content in broccoli sprouts. Broccoli seeds (cv. Traditional) grown under controlled conditions were harvested after 11 days from germination and subjected to different blanching conditions based on a central composite design with temperature and time as experimental factors. Results were analyzed by ANOVA followed by a Tukey test. The optimum conditions were identified through response surface methodology. Blanching increased sulforaphane content compared with untreated sprouts, agreeing with a decrease in total glucosinolates and glucoraphanin content. Temperature significantly affected SFN content. Higher temperatures and shorter immersion times favor glucoraphanin hydrolysis, thus increasing SFN content. The optimum conditions were blanching at 61 degrees C for 4.8 min, resulting in 54.3 +/- 0.20 mu mol SFN/g dry weight, representing a 3.3-fold increase with respect to untreated sprouts. This is the highest SFN content reported for sprouts subjected to any treatment so far. The process described in this work may contribute to developing functional foods and nutraceuticals that provide sulforaphane as an active principle.</t>
  </si>
  <si>
    <t>Zambrano, Victor/0000-0003-4054-059X; Mahn, Andrea/0000-0001-6082-0279; perez, carmen/0000-0003-3333-6881</t>
  </si>
  <si>
    <t>10.3390/foods11131906</t>
  </si>
  <si>
    <t>WOS:000823883200001</t>
  </si>
  <si>
    <t>Alves, CO; Prado, H; Reyes, EG</t>
  </si>
  <si>
    <t>Alves, Claudianor O.; Prado, Humberto; Reyes, Enrique G.</t>
  </si>
  <si>
    <t>Existence of smooth solutions for a class of Euclidean bosonic equations</t>
  </si>
  <si>
    <t>We study a class of non-linear equations on Euclidean space building on previous works by the present authors. These equations emerge in the study of cosmology and string theory, see for instance Calcagni, Montobbio and Nardelli (2007) [3]; Calcagni, Montobbio and Nardelli (2008) [4] and they depend on operators of the form exp(-c Delta), in which Delta is the Euclidean Laplace operator and c &gt; 0. We introduce an appropriate space of functions on which this operator is well defined; this domain is continuously embedded into the scale of Sobolev spaces, and this fact allows us to investigate weak and strong solutions. We prove that, for a wide class of non-linearities, there exists non-trivial smooth solutions. Our tools are classical fixed point theorems and variational calculus. We are able to prove existence of (strong) solutions using Schaeffer's fixed point theorem, and existence of radial and non-radial non-trivial strong solutions using the variational approach and the principle of symmetric criticality. (C) 2022 Elsevier Inc. All rights reserved.</t>
  </si>
  <si>
    <t>Alves, Claudianor/0000-0001-6921-7548; Reyes, Enrique G./0000-0001-8460-444X</t>
  </si>
  <si>
    <t>10.1016/j.jde.2022.03.031</t>
  </si>
  <si>
    <t>WOS:000792903600007</t>
  </si>
  <si>
    <t>Akyildiz, FT; Siginer, DA</t>
  </si>
  <si>
    <t>Akyildiz, F. Talay; Siginer, Dennis A.</t>
  </si>
  <si>
    <t>Exact Solution of the Startup Electroosmotic Flow of Generalized Maxwell Fluids in Triangular Microducts</t>
  </si>
  <si>
    <t>The unsteady electroosmotic flow of generalized Maxwell fluids in triangular microducts is investigated. The governing equation is formulated with Caputo-Fabrizio time-fractional derivatives whose orders are distributed in the interval [0, 1). The linear momentum and the Poisson-Boltzmann equations are solved analytically in tandem in the triangular region with the help of the Helmholtz eigenvalue problem and Laplace transforms. The analytical solution developed is exact. The solution technique used is new, leads to exact solutions, is completely different from those available in the literature, and applies to other similar problems. The new expression for the velocity field displays experimentally observed 'velocity overshoot' as opposed to existing analytical studies none of which can predict the overshoot phenomenon. We show that when Caputo-Fabrizio time-fractional derivatives approach unity the exact solution for the classical upper convected Maxwell fluid is obtained. The presence of elasticity in the constitutive structure alters the Newtonian velocity profiles drastically. The influence of pertinent parameters on the flow field is explored.</t>
  </si>
  <si>
    <t>Akyildiz, Fahir/JWG-1446-2024</t>
  </si>
  <si>
    <t>10.1115/1.4050940</t>
  </si>
  <si>
    <t>WOS:000759541900008</t>
  </si>
  <si>
    <t>dos Prazeres, D; Topp, E</t>
  </si>
  <si>
    <t>dos Prazeres, Disson; Topp, Erwin</t>
  </si>
  <si>
    <t>Interior regularity results for fractional elliptic equations that degenerate with the gradient</t>
  </si>
  <si>
    <t>In this paper we obtain interior regularity estimates for viscosity solutions of nonlocal Dirichlet problems that degenerate when the gradient of the solution vanishes. Interior Holder estimates are obtained when the order of the fractional diffusion is less or equal than one, and Lipschitz estimates when it is bigger than one. In the latter case, the estimates are robust enough to conclude interior C-1(,alpha) regularity by an improvement of the flatness procedure, which is possible when the nonlocal term is close enough to a second-order diffusion. (C) 2021 Elsevier Inc. All rights reserved.</t>
  </si>
  <si>
    <t>NOV 5</t>
  </si>
  <si>
    <t>10.1016/j.jde.2021.08.013</t>
  </si>
  <si>
    <t>WOS:000691804000026</t>
  </si>
  <si>
    <t>Rau, F; Soto, I; Zabala-Blanco, D</t>
  </si>
  <si>
    <t>Rau, Francisco; Soto, Ismael; Zabala-Blanco, David</t>
  </si>
  <si>
    <t>Forescating Mobile Network Traffic based on Deep Learning Networks</t>
  </si>
  <si>
    <t>2021 IEEE LATIN-AMERICAN CONFERENCE ON COMMUNICATIONS (LATINCOM 2021)</t>
  </si>
  <si>
    <t>NOV 17-19, 2021</t>
  </si>
  <si>
    <t>Santo Domingo, DOMINICAN REP</t>
  </si>
  <si>
    <t>As Internet Service Providers (ISPs) integrate the fifth generation (5G) technology standard for cellular broadband systems, they may face bursts of network traffic due to the future numerous connections. In this sense, our paper is focused on predicting traffic peaks via deep learning techniques, such as Recurrent Neural Network (RNN), Long Short-Term Memory (LSTM) and Gated Recurrent Unit (GRU) of a real mobile core EPC node located in Chile. The results show that LSTM outperforms GRU in terms of traffic prediction by factor of 0.4 and in terms of computational cost, LSTM and GRU have identical behavior.</t>
  </si>
  <si>
    <t>Rau, Francisco/JEP-6394-2023</t>
  </si>
  <si>
    <t>Rau, Francisco/0000-0003-3890-4876</t>
  </si>
  <si>
    <t>978-1-6654-4035-6</t>
  </si>
  <si>
    <t>10.1109/LATINCOM53176.2021.9647788</t>
  </si>
  <si>
    <t>WOS:000837978200023</t>
  </si>
  <si>
    <t>Valencia, A; Montt, C; Oddershede, AM; Quezada, LE</t>
  </si>
  <si>
    <t>Dzitac, I; Filip, FG; Manolescu, MJ; Dzitac, S; Kacprzyk, J; Oros, H</t>
  </si>
  <si>
    <t>Valencia, Alejandra; Montt, Cecilia; Oddershede, Astrid M.; Quezada, Luis E.</t>
  </si>
  <si>
    <t>A Micro Simulation Approach for a Sustainable Reduction Traffic Jam</t>
  </si>
  <si>
    <t>INTELLIGENT METHODS IN COMPUTING, COMMUNICATIONS AND CONTROL</t>
  </si>
  <si>
    <t>8th International Conference on Computers Communications and Control (ICCCC)</t>
  </si>
  <si>
    <t>MAY 11-15, 2020</t>
  </si>
  <si>
    <t>Public transport represents an important traffic flow in many countries and urban traffic management has to face this situation. Chile is not an exception, particularly in the case of the most populated cities. To deal with this scenario, a simulation model has been built for a study case in a Chilean city to demonstrate how the problem can be approached. This case shows a serious conflict of public and private transport vehicles. These conflicts generate longer travel times between homes, work or study, higher vehicles operating costs and environmental impacts. The objective of the study is to propose a simulation model to produce and evaluate action plans to reduce traffic jam and the generated conflicts. The VISSIMTM computational micro-simulation programme is used. The model simulates intersections where conflicts occur and it applies urban traffic management for an efficient use of roads. This computational micro-simulator uses a vehicle tracking model and lane change model plus other models that have been incorporated into this work. For the collection of information, field data were obtained such as vehicular flows, traffic light programming, speeds and measurement of queue lengths. Two models were simulated, where the best of them manages to mitigate the congestion problem and suggests changing the traffic, programming the traffic light from 120 s to 90 s and propose the use of a type short bus tracks for public transport. This result positively influence in speeds and queues, at 14% 18% respectively. Eventhough, the developed model solves a particular case, it can be tailored to other situations.</t>
  </si>
  <si>
    <t>978-3-030-53651-0</t>
  </si>
  <si>
    <t>10.1007/978-3-030-53651-0_18</t>
  </si>
  <si>
    <t>WOS:000621675100018</t>
  </si>
  <si>
    <t>Huynh, D; Norambuena, J; Boldt, C; Kaschabek, SR; Levican, G; Schlömann, M</t>
  </si>
  <si>
    <t>Huynh, Dieu; Norambuena, Javiera; Boldt, Christin; Kaschabek, Stefan R.; Levican, Gloria; Schloemann, Michael</t>
  </si>
  <si>
    <t>Effect of Sodium Chloride on Pyrite Bioleaching and Initial Attachment by Sulfobacillus thermosulfidooxidans</t>
  </si>
  <si>
    <t>FRONTIERS IN MICROBIOLOGY</t>
  </si>
  <si>
    <t>Biomining applies microorganisms to extract valuable metals from usually sulfidic ores. However, acidophilic iron (Fe)-oxidizing bacteria tend to be sensitive to chloride ions which may be present in biomining operations. This study investigates the bioleaching of pyrite (FeS2), as well as the attachment to FeS(2)bySulfobacillus thermosulfidooxidansDSM 9293(T)in the presence of elevated sodium chloride (NaCl) concentrations. The bacteria were still able to oxidize iron in the presence of up to 0.6M NaCl (35 g/L), and the addition of NaCl in concentrations up to 0.2M (similar to 12 g/L) did not inhibit iron oxidation and growth ofS. thermosulfidooxidansin leaching cultures within the first 7 days. However, after approximately 7 days of incubation, ferrous iron (Fe2+) concentrations were gradually increased in leaching assays with NaCl, indicating that iron oxidation activity over time was reduced in those assays. Although the inhibition by 0.1M NaCl (similar to 6 g/L) of bacterial growth and iron oxidation activity was not evident at the beginning of the experiment, over extended leaching duration NaCl was likely to have an inhibitory effect. Thus, after 36 days of the experiment, bioleaching of FeS(2)with 0.1M NaCl was reduced significantly in comparison to control assays without NaCl. Pyrite dissolution decreased with the increase of NaCl. Nevertheless, pyrite bioleaching byS. thermosulfidooxidanswas still possible at NaCl concentrations as high as 0.4M (similar to 23 g/L NaCl). Besides, cell attachment in the presence of different concentrations of NaCl was investigated. Cells ofS. thermosulfidooxidansattached heterogeneously on pyrite surfaces regardless of NaCl concentration. Noticeably, bacteria were able to adhere to pyrite surfaces in the presence of NaCl as high as 0.4M. Although NaCl addition inhibited iron oxidation activity and bioleaching of FeS2, the presence of 0.2M seemed to enhance bacterial attachment ofS. thermosulfidooxidanson pyrite surfaces in comparison to attachment without NaCl.</t>
  </si>
  <si>
    <t>Levican, Gloria/R-5191-2019; Norambuena, Javiera/MTF-3983-2025</t>
  </si>
  <si>
    <t>Norambuena, Javiera/0000-0002-2992-4907</t>
  </si>
  <si>
    <t>1664-302X</t>
  </si>
  <si>
    <t>SEP 11</t>
  </si>
  <si>
    <t>10.3389/fmicb.2020.02102</t>
  </si>
  <si>
    <t>WOS:000576028200001</t>
  </si>
  <si>
    <t>Gómez, A; Jara, G; Flores, E; Maldonado, T; Godoy, F; Muñoz-Osses, M; Vega, A; Mera, R; Silva, C; Pavez, J</t>
  </si>
  <si>
    <t>Gomez, Alejandra; Jara, Geraldine; Flores, Erick; Maldonado, Tamara; Godoy, Fernando; Munoz-Osses, Michelle; Vega, Andres; Mera, Raul; Silva, Carlos; Pavez, Jorge</t>
  </si>
  <si>
    <t>Synthesis of mono/dinuclear rhenium(i) tricarbonyl substituted with 4-mercaptopyridine related ligands: spectral and theoretical evidence of thiolate/thione interconversion</t>
  </si>
  <si>
    <t>NEW JOURNAL OF CHEMISTRY</t>
  </si>
  <si>
    <t>The synthesis, characterization and spectroscopic and theoretical studies of new kappa(1)-S monometallic Re-spy (1)/Re-thiopy (2) and kappa(1)-N-bimetallic Re-2-dps (3)/Re-2-dpds (4) complexes substituted with 4-mercaptopyridine derivatives are reported. The obtainment of either monosulfide bridge-complex (3) or disulfide bridge-complex (4) depends on the reaction media. The structure of complex3was confirmed by monocrystal X-ray diffraction. Additionally it was possible to determine the presence of an intramolecular interconversion between1and2mediated by solvent molecules through the intermediate species1-H(+)using UV-Vis and NMR spectroscopy. Electronic spectra calculated by TD-DFT feature distinct MLCT transitions for2and show that the pi-stacking interaction present in1is broken in the methanol/water mixture, leading to a structural distribution similar to2. Cyclic voltammograms of all complexes display the characteristic reduction process for the rhenium center and the bipyridine ligand. Additionally, an irreversible process associated with the bridging ligand for3and4is observed.</t>
  </si>
  <si>
    <t>Flores, Erick/GPK-2155-2022; Vega, Andres/B-2122-2010; Silva, Carlos/IQS-5583-2023; PAVEZ, JORGE/K-6904-2014</t>
  </si>
  <si>
    <t>Vega, Andres/0000-0001-6501-4161; Munoz-Osses, Michelle/0000-0001-7124-8773; Flores, Dr. Erick/0000-0002-2573-6650; Maldonado Hernandez, Tamara/0000-0002-3863-3001; PAVEZ, JORGE/0000-0002-5100-6707; Gomez San Martin, Alejandra/0000-0001-6483-1565; Silva, Carlos P./0000-0001-5344-042X; Godoy, Fernando/0000-0002-3916-4753</t>
  </si>
  <si>
    <t>1144-0546</t>
  </si>
  <si>
    <t>1369-9261</t>
  </si>
  <si>
    <t>SEP 7</t>
  </si>
  <si>
    <t>10.1039/d0nj02328k</t>
  </si>
  <si>
    <t>WOS:000562010300030</t>
  </si>
  <si>
    <t>Vera, C; Ubilla, C; Guerrero, C; López, J; Flórez-Méndez, J; Bustos, R</t>
  </si>
  <si>
    <t>Vera, Carlos; Ubilla, Claudia; Guerrero, Cecilia; Lopez, Jessica; Florez-Mendez, Jennyfer; Bustos, Ruben</t>
  </si>
  <si>
    <t>Non-digestible oligosaccharides and polysaccharides: a source of health for older people</t>
  </si>
  <si>
    <t>REVISTA CHILENA DE NUTRICION</t>
  </si>
  <si>
    <t>Since aging naturally leads to an imbalance in the diversity and quantity of microorganisms present in the intestine, older people are particularly vulnerable to diseases associated with the gastrointestinal tract. Thus, supplementing the diet of elderly persons with non-digestible oligosaccharides and polysaccharides (OPND) has gained scientific relevance. Supplementation aims to prevent and (partially) revert the negative changes in intestinal microbiota due to aging. It has been observed that OPND supplementation in older adults provides several benefits, including an improvement in the immune system, increased calcium absorption, a reduction in the incidence of allergies, a reduction in constipation and a decrease in blood levels of cholesterol and glucose. Because the effects of OPND supplementation in older adults has been scarcely discussed in the scientific literature in the Spanish language, the purpose of this review is to address the issue with emphasis on the Chilean and Latin-American reality. The article promotes the incorporation of OPND in processed food and feeding programs specifically designed for older people in Latin America.</t>
  </si>
  <si>
    <t>Lopez, Jessica/IQT-7114-2023; vera, Carlos/G-5240-2019; Bustos, Ruben/AAM-2029-2020</t>
  </si>
  <si>
    <t>Florez Mendez, Jennyfer/0000-0003-1515-6262; Guerrero, Cecilia/0000-0002-4701-3525; Vera Vera, Carlos Felipe/0000-0003-2179-9467; Lopez, Jessica/0000-0001-5064-4486; Bustos, Ruben/0000-0003-0183-0324</t>
  </si>
  <si>
    <t>0717-7518</t>
  </si>
  <si>
    <t>10.4067/S0717-75182020000500848</t>
  </si>
  <si>
    <t>WOS:000581101500016</t>
  </si>
  <si>
    <t>Inzunza, L; Plyushchay, MS; Wipf, A</t>
  </si>
  <si>
    <t>Inzunza, Luis; Plyushchay, Mikhail S.; Wipf, Andreas</t>
  </si>
  <si>
    <t>Conformal bridge between asymptotic freedom and confinement</t>
  </si>
  <si>
    <t>We construct a nonunitary transformation that relates a given asymptotically free conformal quantum mechanical system H-f with its confined, harmonically trapped version H-c. In our construction, Jordan states corresponding to the zero eigenvalue of H-f, as well as its eigenstates and Gaussian packets, are mapped into the eigenstates, coherent states, and squeezed states of H-c, respectively. The transformation is an automorphism of the conformal sl(2, R) algebra of the nature of the fourth-order root of the identity transformation, to which a complex canonical transformation corresponds on the classical level being the fourth-order root of the spatial reflection. We investigate the one- and two-dimensional examples that reveal, in particular, a curious relation between the two-dimensional free particle and the Landau problem.</t>
  </si>
  <si>
    <t>Inzunza, Luis/KDM-9912-2024</t>
  </si>
  <si>
    <t>Inzunza, Luis/0000-0002-3659-6956</t>
  </si>
  <si>
    <t>MAY 28</t>
  </si>
  <si>
    <t>10.1103/PhysRevD.101.105019</t>
  </si>
  <si>
    <t>WOS:000535861600004</t>
  </si>
  <si>
    <t>San Juan, E; Lastra, L; Soto, I; Adasme, P; Cañete, L; Firoozabadi, AD</t>
  </si>
  <si>
    <t>San Juan, Enrique; Lastra, Luis; Soto, Ismael; Adasme, Pablo; Canete, Lucio; Dehghan Firoozabadi, Ali</t>
  </si>
  <si>
    <t>Noise reduction in VLC channels using Wavelet Multiresolution Analysis</t>
  </si>
  <si>
    <t>This paper seeks to reduce the noise in signals present in a wireless channel using Multiresolution Analysis (MRA). The noise reduction is performed by applying the MRA to signals obtained from a wireless channel such as a VLC (Visible Light Communication) channel. The work is carried out by means of software that allows to apply MRA for the respective noise reduction. The effectiveness of the MRA will depend on the level of signal decomposition, as well as the detail and approximation components that are subsequently used for the reconstruction of the signal itself. The results obtained are favorable in the opinion of the authors. Finally obtaining a significant noise reduction.</t>
  </si>
  <si>
    <t>Adasme, Pablo/U-1735-2019; Arratia, Lucio/AAV-6112-2020; Dehghan Firoozabadi, Ali/AAD-4858-2019</t>
  </si>
  <si>
    <t>Canete Arratia, Lucio/0000-0002-1191-8728</t>
  </si>
  <si>
    <t>10.1109/sacvlc50805.2020.9129890</t>
  </si>
  <si>
    <t>WOS:000856038700011</t>
  </si>
  <si>
    <t>Santa Cruz, GJM</t>
  </si>
  <si>
    <t>Santa Cruz, Jose M. G.</t>
  </si>
  <si>
    <t>Indigenous Modernities: Aesthetic Displacement and Siting, with regard to A arca dos Zo'e, and Tso'rehipari, Sangradouro</t>
  </si>
  <si>
    <t>This article aesthetically interrogates two audiovisual pieces: A arca dos Zo'e (1993) by Vincent Carelli and Dominique Tilkin Gallois, and Tso'rehipari, Sangradouro (2009) by Divino Tserewahu, realized whitin the project Video nas Aldeias-VNA [Video in the Villages] in the Brazilian Amazon. In these videos are two differents strategy of resistance to colonial knowledge/power, the first is anti-ethnographic, the second is self-representation, where the processes of cultural hybridization are exposed in reflection about his own present, and how they become in the creation of a lynguistic politic community, that crystallized in particular aesthetic forms of modernity.</t>
  </si>
  <si>
    <t>WOS:000614863100044</t>
  </si>
  <si>
    <t>Cerda, P; Faria, LFO; Toon, E; Ubilla, P</t>
  </si>
  <si>
    <t>Cerda, Patricio; Faria, Luiz F. O.; Toon, Eduard; Ubilla, Pedro</t>
  </si>
  <si>
    <t>TWO HOMOCLINIC ORBITS FOR SOME SECOND-ORDER HAMILTONIAN SYSTEMS</t>
  </si>
  <si>
    <t>This paper is concerned with the existence of homoclinic orbits for a class of second order Hamiltonian systems considering a non-periodic potential and a weaker Ambrosetti-Rabinowitz condition. By considering an auxiliary problem, we show the existence of two different approximative sequences of periodic solutions, the first one of mountain pass type and the second one of local minima. We obtain two different homoclinic orbits by passing to the limit in such sequences. As a relevant application, we obtain another homoclinic solution for the Hamiltonian system studied in [5].</t>
  </si>
  <si>
    <t>Cerda, Patricio/0000-0002-0823-8174; Toon, Eduard/0000-0002-3233-1379; de Oliveira Faria, Luiz Fernando/0000-0001-8579-6738</t>
  </si>
  <si>
    <t>10.12775/TMNA.2019.036</t>
  </si>
  <si>
    <t>WOS:000522656500002</t>
  </si>
  <si>
    <t>Montenegro-Pohlhammer, N; Sánchez-de-Armas, R; Cárdenas-Jirón, G; Calzado, CJ</t>
  </si>
  <si>
    <t>Montenegro-Pohlhammer, Nicolas; Sanchez-de-Armas, Rocio; Cardenas-Jiron, Gloria; Calzado, Carmen J.</t>
  </si>
  <si>
    <t>Elucidating the Electronic Structure and Magnetic and Conducting Properties of μ-Oxo Mn-phthalocyanine [MnPc(CN)]2O Complex</t>
  </si>
  <si>
    <t>JOURNAL OF PHYSICAL CHEMISTRY C</t>
  </si>
  <si>
    <t>The mu-oxo phthalocyanine dimer complex [Mn(Pc)(CN)](2)O has been characterized as the first single-component molecular conductor exhibiting magnetoresistance at room temperature. Herewith, we report a detailed study of the electronic structure and the magnetic and conducting properties of this mu-oxo MnPc dimer complex. A combined strategy of wave function-based quantum chemistry calculations on the complex and plane wave -based periodic calculations on the crystal has been employed together with semiclassical Boltzmann transport theory calculations. Our results provide information about the ligand field parameters of the Mn ions, clarify their spin states on the [Mn(Pc)(CN)](2)O complex, and explain the temperature dependence of both the magnetic susceptibility and the effective magnetic moment, taking into account the presence of excited low-lying states with S = 2 and weak intermolecular magnetic interactions, as key ingredients of the magnetic behavior. The analysis of the density of states of the low-spin and high-spin density functional theory + U magnetic solutions and their respective temperature dependence of the electric resistivity give some clues about the conducting properties and the negative magnetoresistance reported for this system.</t>
  </si>
  <si>
    <t>Montenegro-Pohlhammer, Nicolas/HJZ-2914-2023; Sanchez-de-Armas, Rocio/A-6683-2013; Cardenas-Jiron, Gloria/H-9508-2012; Jimenez Calzado, Maria del Carmen/D-1159-2011</t>
  </si>
  <si>
    <t>Sanchez-de-Armas, Rocio/0000-0002-2384-4893; Cardenas-Jiron, Gloria/0000-0003-4305-8088; Jimenez Calzado, Maria del Carmen/0000-0003-3841-7330; Montenegro-Pohlhammer, Nicolas/0000-0003-3574-2955</t>
  </si>
  <si>
    <t>1932-7447</t>
  </si>
  <si>
    <t>1932-7455</t>
  </si>
  <si>
    <t>NOV 21</t>
  </si>
  <si>
    <t>10.1021/acs.jpcc.9b08046</t>
  </si>
  <si>
    <t>WOS:000499737700040</t>
  </si>
  <si>
    <t>Bravo, M; Rojas, LP; Parada, V</t>
  </si>
  <si>
    <t>Bravo, Mauricio; Pradenas Rojas, Lorena; Parada, Victor</t>
  </si>
  <si>
    <t>An evolutionary algorithm for the multi-objective pick-up and delivery pollution-routing problem</t>
  </si>
  <si>
    <t>INTERNATIONAL TRANSACTIONS IN OPERATIONAL RESEARCH</t>
  </si>
  <si>
    <t>The design of sustainable logistics solutions poses new challenges for the study of vehicle-routing problems. The design of efficient systems for transporting products via a heterogeneous fleet of vehicles must consider the minimization of cost, emissions of greenhouse gases, and the ability to serve every customer within an available time slot. This phenomenon gives rise to a multi-objective problem that considers the emission of greenhouse gases, the total traveling time, and the number of customers served. The proposed model is approached with an epsilon-constraint technique that allows small instances to be solved and an evolutionary algorithm is proposed to deal with complex instances. Results for small instances show that all the points that approach the Pareto frontier found by the evolutionary algorithm are nondominated by any solution found by the multi-objective model. For complex instances, nondominated solutions that serve most of the requests are found with low computational requirements.</t>
  </si>
  <si>
    <t>0969-6016</t>
  </si>
  <si>
    <t>1475-3995</t>
  </si>
  <si>
    <t>10.1111/itor.12376</t>
  </si>
  <si>
    <t>WOS:000445190800015</t>
  </si>
  <si>
    <t>Quezada, F; Rojo-González, L; Vásquez, OC</t>
  </si>
  <si>
    <t>Quezada, Franco; Rojo-Gonzalez, Luis; Vasquez, Oscar C.</t>
  </si>
  <si>
    <t>Selection and Scheduling of Actions for Innovation Capabilities Improvement</t>
  </si>
  <si>
    <t>2019 6TH INTERNATIONAL CONFERENCE ON CONTROL, DECISION AND INFORMATION TECHNOLOGIES (CODIT 2019)</t>
  </si>
  <si>
    <t>International Conference on Control Decision and Information Technologies</t>
  </si>
  <si>
    <t>6th International Conference on Control, Decision and Information Technologies (CoDIT)</t>
  </si>
  <si>
    <t>APR 23-26, 2019</t>
  </si>
  <si>
    <t>Conservatoire Nat Arts Metiers, Paris, FRANCE</t>
  </si>
  <si>
    <t>IEEE Syst Man &amp; Cybernet Soc,IEEE,Centre Etudes Recherchesen Informatique Communicat, Conservatoire Nat Arts Metiers,Centre Etudes Recherchesen Informatique Communicat</t>
  </si>
  <si>
    <t>Conservatoire Nat Arts Metiers</t>
  </si>
  <si>
    <t>This paper introduces the selection and scheduling problem of actions for improving the innovation capability (IC) of an enterprise based on expert assessment using a particular maturity grids for its measurement, in which budget and time limit constraints are imposed. To address this problem, we study its computational complexity and formulate a binary integer linear programming (BILP) for an exact resolution, which meets IC targets and minimizes the total cost of the schedule for the selected actions. To illustrate the usefulness of the proposed model, a numerical example based on a French textile company is considered.</t>
  </si>
  <si>
    <t>2576-3555</t>
  </si>
  <si>
    <t>978-1-7281-0521-5</t>
  </si>
  <si>
    <t>WOS:000539199300005</t>
  </si>
  <si>
    <t>Cabrera, MA; Blamey, JM</t>
  </si>
  <si>
    <t>Cabrera, Ma. Angeles; Blamey, Jenny M.</t>
  </si>
  <si>
    <t>Biotechnological applications of archaeal enzymes from extreme environments</t>
  </si>
  <si>
    <t>To date, many industrial processes are performed using chemical compounds, which are harmful to nature. An alternative to overcome this problem is biocatalysis, which uses whole cells or enzymes to carry out chemical reactions in an environmentally friendly manner. Enzymes can be used as biocatalyst in food and feed, pharmaceutical, textile, detergent and beverage industries, among others. Since industrial processes require harsh reaction conditions to be performed, these enzymes must possess several characteristics that make them suitable for this purpose. Currently the best option is to use enzymes from extremophilic microorganisms, particularly archaea because of their special characteristics, such as stability to elevated temperatures, extremes of pH, organic solvents, and high ionic strength. Extremozymes, are being used in biotechnological industry and improved through modern technologies, such as protein engineering for best performance. Despite the wide distribution of archaea, exist only few reports about these microorganisms isolated from Antarctica and very little is known about thermophilic or hyperthermophilic archaeal enzymes particularly from Antarctica. This review summarizes current knowledge of archaeal enzymes with biotechnological applications, including two extremozymes from Antarctic archaea with potential industrial use, which are being studied in our laboratory. Both enzymes have been discovered through conventional screening and genome sequencing, respectively.</t>
  </si>
  <si>
    <t>Blamey, Jenny/0000-0002-7640-316X</t>
  </si>
  <si>
    <t>OCT 5</t>
  </si>
  <si>
    <t>10.1186/s40659-018-0186-3</t>
  </si>
  <si>
    <t>WOS:000446441000002</t>
  </si>
  <si>
    <t>Esposito, M</t>
  </si>
  <si>
    <t>Esposito, Maurizio</t>
  </si>
  <si>
    <t>The Life Organic: The Theoretical Biology Club and the Roots of Epigenetics.</t>
  </si>
  <si>
    <t>ISIS</t>
  </si>
  <si>
    <t>Esposito, Maurizio/0000-0001-6476-7997</t>
  </si>
  <si>
    <t>0021-1753</t>
  </si>
  <si>
    <t>1545-6994</t>
  </si>
  <si>
    <t>10.1086/696607</t>
  </si>
  <si>
    <t>WOS:000426757000075</t>
  </si>
  <si>
    <t>Bachelet, VC; Lanas, F</t>
  </si>
  <si>
    <t>Bachelet, Vivienne C.; Lanas, Fernando</t>
  </si>
  <si>
    <t>Smoking and obesity in Chile's Third National Health Survey: light and shade</t>
  </si>
  <si>
    <t>The Chilean Ministry of Health recently disclosed the first results of the 2016-2017 National Health Survey (Encuesta Nacional de Salud, ENS). The survey was cross-sectional and used a multistage stratified random sampling strategy resulting in a final sample of 6 233 persons &gt;= 15 years old, with national, regional, and urban/rural representativeness. The survey results show consistent reductions in tobacco consumption compared to previous national health surveys (ENS 2003 and ENS 2009-2010), most likely due to stringent tobacco control policies enacted in the last 10 years. However, the results also show that there were alarming increases in obesity in the last 15 years. Stronger regulatory policies may be needed to curb the obesity epidemic that besets Chile, along the lines of what was done with tobacco use. The lesson learned seems to be that pushing for stronger policy measures leads to good results, as seems to be the case for tobacco use, while weak measures may not be sufficient for the scale of the health epidemics Chile is now facing, such as excess weight.</t>
  </si>
  <si>
    <t>Lanas, Fernando/B-4633-2014; Bachelet, Vivienne/JAN-7158-2023</t>
  </si>
  <si>
    <t>Lanas, Fernando/0000-0003-3595-9759; Bachelet, Vivienne C./0000-0002-5715-9755</t>
  </si>
  <si>
    <t>e132</t>
  </si>
  <si>
    <t>10.26633/RPSP.2018.132</t>
  </si>
  <si>
    <t>WOS:000463257000035</t>
  </si>
  <si>
    <t>Salinas-Lira, C; Acuña-Alegría, L; Sepúlveda-Villarroel, V; Ananías, RA; Salvo-Sepúlveda, L; Torres-Mella, J; Cancino-Mundaca, F; Vasco, DA</t>
  </si>
  <si>
    <t>Salinas-Lira, Carlos; Acuna-Alegria, Luis; Sepulveda-Villarroel, Victor; Ananias, Ruben A.; Salvo-Sepulveda, Linette; Torres-Mella, Jose; Cancino-Mundaca, Felipe; Vasco, Diego A.</t>
  </si>
  <si>
    <t>Warp Recovery in Radiata Pine Lumber Using Steam Treatment</t>
  </si>
  <si>
    <t>BIORESOURCES</t>
  </si>
  <si>
    <t>Steam treatment was used in this work to correct the observed warp in dried core-wood radiata pine (Pinus radiata) lumber that appears during the industrial drying process at high temperatures. The experimental design considered seven tests and three process variables: temperature, overload, and treatment time. The warp and moisture content before and after the treatment were measured, which allowed for assessing the efficiency of the cup recovery process of the studied thermal treatment programs. Of the analyzed types of warp (twist, bow, crook and cup), only twist was observed to be relevant to the effects of the permissible wood quality classification. The results showed that the twist recovery depends on the temperature, treatment time and overload magnitude. The best treatment results were with a steaming temperature of 100 (degrees C) and an overload of 3 (ton/m(3)) applied for 6 (h), which allowed an average recovery value of approximately 43.1%. Moreover, there was an increase in the moisture content and wood density of 10% and 3%, respectively. Finally, the post-treatment of wood with superheated steam did not show a significant improvement to the warp recovery.</t>
  </si>
  <si>
    <t>Ananias, Ruben/B-9518-2009; SALVO-SEPÚLVEDA, LINETTE/AAU-5196-2020; Vasco, Diego/Y-2934-2019; SALVO-SEPULVEDA, LINETTE/B-2616-2014</t>
  </si>
  <si>
    <t>Vasco, Diego Andres/0000-0001-7456-4683; Alegria, Luis/0009-0003-2952-1432; SALVO-SEPULVEDA, LINETTE/0000-0003-4653-7607</t>
  </si>
  <si>
    <t>1930-2126</t>
  </si>
  <si>
    <t>10.15376/biores.13.4.8421-8431</t>
  </si>
  <si>
    <t>WOS:000454215100091</t>
  </si>
  <si>
    <t>Perez, JA; Soto, I; Kaschel, H; Jiron, I; Adasme, P; Denardin, J</t>
  </si>
  <si>
    <t>Perez, J. A.; Soto, I.; Kaschel, H.; Jiron, I.; Adasme, P.; Denardin, J.</t>
  </si>
  <si>
    <t>Data Storage and Retrieval on Nanoparticles</t>
  </si>
  <si>
    <t>Recent advances at developing nanoscale electronic devices lead us to believe that in the near term the nanomemories in the form of nanodisks and nanotubes will replace existing storage systems and will be integrated into the implementation of nanocomputers and complex nanosensor systems. In this work the issue of recording and reading data using the magnetic vortex of nanodisks is addressed. By using the polarity and chirality properties of the magnetic vortex it may be possible to store information in binary or nonbinary form. Nevertheless, as in any storage system, information can be altered by the presence of noise, and therefore it is necessary to incorporate error control coding. In this regard, here we analyse the behaviour of the proposed system using Turbo coding and Low Density Parity Check (LDPC) coding in order to correct errors in the writing and reading process in nanoparticles. Simulations were performed for the binary case considering the polarity of the magnetic vortex to store information. This, because it appears to be the first workable level in the short term, before reaching practical implementations involving the simultaneous control of polarity and chirality to store non-binary data.</t>
  </si>
  <si>
    <t>Adasme, Pablo/U-1735-2019; JIRON, IVAN/AAG-7462-2019; Denardin, Juliano/S-6407-2019</t>
  </si>
  <si>
    <t>Denardin, Juliano/0000-0002-1373-6207; Soto, Ismael/0000-0002-5501-5651</t>
  </si>
  <si>
    <t>10.1109/TLA.2017.7959341</t>
  </si>
  <si>
    <t>WOS:000405001700005</t>
  </si>
  <si>
    <t>Olmí, H; Urrea, C; Jamett, M</t>
  </si>
  <si>
    <t>Olmi, H.; Urrea, C.; Jamett, M.</t>
  </si>
  <si>
    <t>Numeric Character Recognition System for Chilean License Plates in semicontrolled scenarios</t>
  </si>
  <si>
    <t>INTERNATIONAL JOURNAL OF COMPUTATIONAL INTELLIGENCE SYSTEMS</t>
  </si>
  <si>
    <t>The development of a computational tool for the recognition of numerical characters already segmented from Chilean license plates, located in semi-controlled scenarios, is presented. Two algorithms are highlighted: one for the Fine Segmentation of the Characters through the K-Means algorithm and a system of fuzzy logic; and a second one for the recognition through learning of the pseudo-real outline of the characters' skeletona. The tool has an efficacy of 95 % and a processing time of 0.4 s.</t>
  </si>
  <si>
    <t>Jamett, Marcela/HLH-3427-2023; Claudio, URREA/KWU-1600-2024</t>
  </si>
  <si>
    <t>Urrea, Claudio/0000-0001-7197-8928</t>
  </si>
  <si>
    <t>1875-6891</t>
  </si>
  <si>
    <t>1875-6883</t>
  </si>
  <si>
    <t>10.2991/ijcis.2017.10.1.28</t>
  </si>
  <si>
    <t>WOS:000397302900028</t>
  </si>
  <si>
    <t>Conejero, JA; Lizama, C; Murillo-Arcila, M</t>
  </si>
  <si>
    <t>Alberto Conejero, J.; Lizama, Carlos; Murillo-Arcila, Marina</t>
  </si>
  <si>
    <t>On the existence of chaos for the viscous van Wijngaarden-Eringen equation</t>
  </si>
  <si>
    <t>CHAOS SOLITONS &amp; FRACTALS</t>
  </si>
  <si>
    <t>International Conference on Nonlinear Dynamics and Complexity</t>
  </si>
  <si>
    <t>MAY 11-15, 2015</t>
  </si>
  <si>
    <t>Reg Murcia, Res Grp Working Theory Dynam Syst</t>
  </si>
  <si>
    <t>We study the viscous van Wijngaarden-Eringen equation: partial derivative(2)u/partial derivative t(2) - partial derivative(2)u/partial derivative x(2) = (Re-d)(-1) partial derivative(3)u/partial derivative t partial derivative x(2) + a(0)(2)partial derivative(4)u/partial derivative t(2)partial derivative x(2) which corresponds to the linearized version of the equation that models the acoustic planar propagation in bubbly liquids. We show the existence of an explicit range, solely in terms of the constants a(0) and Re-d, in which we can ensure that this equation admits a uniformly continuous, Devaney chaotic and topologically mixing semigroup on Herzog's type Banach spaces. (C) 2015 Elsevier Ltd. All rights reserved.</t>
  </si>
  <si>
    <t>Murillo, Marina/ABI-7284-2020; Conejero, J. Alberto/A-8589-2008; Lizama, Carlos/E-5909-2011</t>
  </si>
  <si>
    <t>Conejero, J. Alberto/0000-0003-3681-7533; Lizama, Carlos/0000-0002-9807-1100; murillo arcila, marina/0000-0001-6589-0452</t>
  </si>
  <si>
    <t>0960-0779</t>
  </si>
  <si>
    <t>1873-2887</t>
  </si>
  <si>
    <t>10.1016/j.chaos.2015.10.009</t>
  </si>
  <si>
    <t>WOS:000378450200012</t>
  </si>
  <si>
    <t>Aravena, D; Neese, F; Pantazis, DA</t>
  </si>
  <si>
    <t>Aravena, Daniel; Neese, Frank; Pantazis, Dimitrios A.</t>
  </si>
  <si>
    <t>Improved Segmented All-Electron Relativistically Contracted Basis Sets for the Lanthanides</t>
  </si>
  <si>
    <t>JOURNAL OF CHEMICAL THEORY AND COMPUTATION</t>
  </si>
  <si>
    <t>Improved versions of the segmented all-electron relativistically contracted (SARC) basis sets for the lanthanides are presented. The second-generation SARC2 basis sets maintain efficient construction of their predecessors and their individual adaptation to the DKH2 and ZORA Hamiltonians, but feature exponents optimized with a completely new orbital shape fitting procedure and a slightly expanded f space that results in sizable improvement in CASSCF energies and in significantly more accurate prediction of spin-orbit coupling parameters. Additionally, an extended set of polarization/correlation functions is constructed that is appropriate for multireference correlated calculations and new auxiliary basis sets for use in resolution-of identity (density-fitting) approximations in combination with both DFT and wave function based treatments. Thus, the SARC2 basis sets extend the applicability of the first-generation DFT-oriented basis sets to routine all-electron wave function-based treatments of lanthanide complexes. The new basis sets are benchmarked with respect to excitation energies, radial distribution functions, optimized geometries, orbital eigenvalues, ionization potentials, and spin-orbit coupling parameters of lanthanide systems and are shown to be suitable for the description of magnetic and spectroscopic properties using both DFT and multireference wave function-based methods.</t>
  </si>
  <si>
    <t>Pantazis, Dimitrios A./A-2434-2010; Aravena, Daniel/F-2174-2011; Neese, Frank/J-4959-2014</t>
  </si>
  <si>
    <t>Pantazis, Dimitrios A./0000-0002-2146-9065; Aravena, Daniel/0000-0003-3140-4852; Neese, Frank/0000-0003-4691-0547</t>
  </si>
  <si>
    <t>1549-9618</t>
  </si>
  <si>
    <t>1549-9626</t>
  </si>
  <si>
    <t>10.1021/acs.jctc.5b01048</t>
  </si>
  <si>
    <t>WOS:000371852300022</t>
  </si>
  <si>
    <t>Identification of a non-linear dynamic model of the bubble size distribution in a pilot flotation column</t>
  </si>
  <si>
    <t>Gas dispersion properties play an important role in flotation as they partially determine the metallurgical performance. The objective of this work is to obtain a dynamic model of the bubble size distribution in a two-phase (air and water) pilot flotation column. The steps are: 1) to measure and count the bubbles from digital images taken by a camera, 2) to estimate a log-normal distribution of the bubble sizes, 3) to estimate a Wiener model whose outputs are the mean and standard deviation of the distribution while the inputs are the superficial gas velocity set-point and the superficial shearing water velocity set-point. The size and number of bubbles in each image are evaluated by a bubble detection technique based on circular Hough transform (CHT). This technique allows overcoming issues related to the detection of large single bubbles as well as clusters. Tests are carried out in the laboratory flotation column using different concentrations of frother and air flow rates. Results are compared with visual counting, as well as with a commonly used bubble detection method based on circular particle detection (CPD). The estimated number of bubbles is very similar to what is obtained with a visual count. Compared to CPD algorithm, CHT significantly improves D-32 estimation (error of 3% instead of 18% with the former) with a comparable processing time. Then, the mean and standard deviation of a log-normal distribution are estimated by maximizing a likelihood function thereby leading to very good fits for the distributions. Finally, a series of model identification tests are conducted by manipulating the superficial gas velocity set-point and the superficial shearing water velocity set-point (i.e. air and shearing water flow rate set-points through the sparger). A Wiener model is then estimated to predict the corresponding mean and standard deviation of the log-normal distribution. Validation tests confirm the quality of the non-linear model. (C) 2015 Elsevier B.V. All rights reserved.</t>
  </si>
  <si>
    <t>DEC 10</t>
  </si>
  <si>
    <t>10.1016/j.minpro.2015.11.003</t>
  </si>
  <si>
    <t>WOS:000366783900002</t>
  </si>
  <si>
    <t>Chassin-Trubert, AM</t>
  </si>
  <si>
    <t>Chassin-Trubert C, Anne-Marie</t>
  </si>
  <si>
    <t>Purple urine bag syndrome. Report of one case</t>
  </si>
  <si>
    <t>Purple urine bag syndrome is an uncommon but particularly striking phenomenon observed in people with urinary catheters and co-existent urinary tract infections. A chemical reaction between plastic and certain bacterial enzymes results in an intense purple urine color. We report a 72 year-old male with a cystostomy. A purple coloration of his urinary drainage bag and tubing was noted in the context of a urinary tract infection caused by Citrobacter freundii.</t>
  </si>
  <si>
    <t>10.4067/S0034-98872014001100018</t>
  </si>
  <si>
    <t>WOS:000346454400018</t>
  </si>
  <si>
    <t>Salazar, JL; Valdés-González, H; Vyhmesiter, E; Cubillos, F</t>
  </si>
  <si>
    <t>Salazar, Jose-Luis; Valdes-Gonzalez, Hector; Vyhmesiter, Eduardo; Cubillos, Francisco</t>
  </si>
  <si>
    <t>Model predictive control of semiautogenous mills (sag)</t>
  </si>
  <si>
    <t>The present manuscript focuses on the development of a multivariable control based on the MPC strategy for a semiautogenous grinding (SAG) device. A previously published specific SAG model that uses a deep analysis of the internal device behavior was used for the MPC strategy development. Simulink (TM) software was used for the dynamic representation and control development. The selection of controlled and manipulated variables took into account performance and functional criteria. The power draw, volumetric filling level, and a size reduction percentage were the controlled variables, while the fresh ore feed rate, fresh water feed rate, and the SAG rotation speed were the manipulated variables. The controller response showed a suitable control behavior independent of the noisy multivariable modification. (C) 2014 Elsevier Ltd. All rights reserved.</t>
  </si>
  <si>
    <t>Salazar, Jose/KHC-7260-2024</t>
  </si>
  <si>
    <t>SALAZAR, JOSE LUIS/0000-0002-9922-9424; CUBILLOS, FRANCISCO/0000-0001-7863-4394; Valdes Gonzalez, Hector/0009-0007-2010-886X; Vyhmeister, Eduardo/0000-0003-1922-2706</t>
  </si>
  <si>
    <t>10.1016/j.mineng.2014.03.029</t>
  </si>
  <si>
    <t>WOS:000340141400011</t>
  </si>
  <si>
    <t>Quintero, RI; Galotto, MJ; Rodriguez, F; Guarda, A</t>
  </si>
  <si>
    <t>Quintero, R. I.; Galotto, M. J.; Rodriguez, F.; Guarda, A.</t>
  </si>
  <si>
    <t>Preparation and Characterization of Cellulose Acetate Butyrate/Organoclay Nanocomposites Produced by Extrusion</t>
  </si>
  <si>
    <t>PACKAGING TECHNOLOGY AND SCIENCE</t>
  </si>
  <si>
    <t>Nanocomposite films based on cellulose acetate butyrate, modified montmorillonite (Cloisite (R) 30B), plasticizer (triethyl citrate) and antimicrobial compounds (carvacrol and cinnamaldehyde) were prepared by extrusion. The effects of the Cloisite (R) 30B content and antimicrobial compound types on the morphology of the nanocomposite films were investigated by X-ray diffraction and transmission electron microscopy. The thermal characteristics of films were analysed by thermogravimetry and differential scanning calorimetry; oxygen and water vapour permeability and tensile strength were determined. The film's antimicrobial behaviour against Listeria innocua, Staphylococcus aureus, Escherichia coli O157:O7 and Saccharomyces cerevisiae was investigated and determined using a viable cell count method. Nanocomposites with a Cloisite (R) 30B content of 3wt% showed better dispersion than nanocomposites with a 5wt% content. For films with antimicrobial compounds, tensile strength and Young's modulus decreased and water vapour permeability increased (150%) because of the plasticization effect of the antimicrobial compounds (essential oils). The nanocomposites with carvacrol and cinnamaldehyde were effective against the tested Gram-positive bacteria (reduction of at least 3.0log CFU/ml) and yeast (reduction of at least 4.0log CFU/ml). This study demonstrates that antimicrobial cinnamaldehyde and carvacrol can be successfully incorporated into cellulose acetate butyrate nanocomposites and that they have an inhibitory effect against microbial growth in solid medium. It shows the potential use of cellulose acetate butyrate for food packaging applications. Copyright (c) 2013 John Wiley &amp; Sons, Ltd.</t>
  </si>
  <si>
    <t>Rodríguez, Francisco/I-5283-2018</t>
  </si>
  <si>
    <t>Quintero Montenegro, Rosa/0000-0002-1342-932X; Rodriguez-Mercado, Francisco/0000-0002-0530-6653</t>
  </si>
  <si>
    <t>0894-3214</t>
  </si>
  <si>
    <t>1099-1522</t>
  </si>
  <si>
    <t>10.1002/pts.2043</t>
  </si>
  <si>
    <t>WOS:000337578500007</t>
  </si>
  <si>
    <t>Olivares-Faúndez, VE; Gil-Monte, PR; Mena, L; Jélvez-Wilke, C; Figueiredo-Ferraz, H</t>
  </si>
  <si>
    <t>Olivares-Faundez, Victor E.; Gil-Monte, Pedro R.; Mena, Luis; Jelvez-Wilke, Carolina; Figueiredo-Ferraz, Hugo</t>
  </si>
  <si>
    <t>Relationships between burnout and role ambiguity, role conflict and employee absenteeism among health workers</t>
  </si>
  <si>
    <t>The aim of this research was to analyze the influence of some psychosocial risk factors in the development of burnout and to analyze the influence of this phenomenon on employee absenteeism. The study sample included 142 health care workers. The data analysis included descriptive statistics and multiple linear regression models. The results confirmed the influence of role ambiguity and role conflict on burnout [F (2.139) = 26.720; p &lt; .001], but the influence of burnout on employee absenteeism was not confirmed. However, a significant and positive relationship has been shown between burnout and employee absenteeism (beta = 0.197; p &lt; .05). In conclusion, the findings of this study support the claims that role conflict is a more intense predictor of the emotional component of burnout (burnout; beta = 0.585; p &lt; .001). Additionally, there is evidence that prolonged emotional strain could encourage employee absenteeism.</t>
  </si>
  <si>
    <t>Figueiredo-Ferraz, Hugo/0000-0001-8176-7016; Gil-Monte, Pedro R./0000-0002-2827-2388</t>
  </si>
  <si>
    <t>WOS:000347634100004</t>
  </si>
  <si>
    <t>Arriagada, DC; Sanhueza, L; Wrighton, K</t>
  </si>
  <si>
    <t>Cortes Arriagada, Diego; Sanhueza, Luis; Wrighton, Kerry</t>
  </si>
  <si>
    <t>Removal of 4-chlorophenol using graphene, graphene oxide, and a-doped graphene (A = N, B): A computational study</t>
  </si>
  <si>
    <t>INTERNATIONAL JOURNAL OF QUANTUM CHEMISTRY</t>
  </si>
  <si>
    <t>Density functional theory (including van der Waals correction with the PBE-D functional) is applied to the study of 4-chlorophenol (4-CP) adsorption on graphene oxide (GO), A-doped graphene (A = N, B), and pristine graphene and test their possible application for 4-CP removal. Results show that on GO adsorption is improved by the hydrogen bond interactions between the adsorbents and 4-CP, suggesting that functionalized graphene is a preferable alternative than pristine graphene for 4-CP removal. In addition, the stability of hydrogen bonds is confirmed by molecular dynamics calculations using the PM6 potential. Without hydrogen bonds, A-doped graphene models show a comparable performance for 4-CP removal than pristine graphene. Finally, even in a solvent medium, 4-CP adsorption is strong. (c) 2013 Wiley Periodicals, Inc.</t>
  </si>
  <si>
    <t>Cortés-Arriagada, Diego/J-5940-2019; Wrighton-Araneda, Kerry Jeffry/X-2381-2019</t>
  </si>
  <si>
    <t>Sanhueza Vega, Luis/0000-0002-3763-6948; Cortes-Arriagada, Diego/0000-0002-6709-1723; Wrighton-Araneda, Kerry Jeffry/0000-0003-4872-8976</t>
  </si>
  <si>
    <t>0020-7608</t>
  </si>
  <si>
    <t>1097-461X</t>
  </si>
  <si>
    <t>AUG 5</t>
  </si>
  <si>
    <t>10.1002/qua.24416</t>
  </si>
  <si>
    <t>WOS:000320556800005</t>
  </si>
  <si>
    <t>Sangorrín, MP; García, V; Lopes, CA; Sáez, JS; Martínez, C; Ganga, MA</t>
  </si>
  <si>
    <t>Sangorrin, M. P.; Garcia, V.; Lopes, C. A.; Saez, J. S.; Martinez, C.; Ganga, M. A.</t>
  </si>
  <si>
    <t>Molecular and physiological comparison of spoilage wine yeasts</t>
  </si>
  <si>
    <t>Aims Dekkera bruxellensis and Pichia guilliermondii are contaminating yeasts in wine due to the production of phenolic aromas. Although the degradation pathway of cinnamic acids, precursors of these phenolic compounds has been described in D.bruxellensis, no such pathway has been described in P.guilliermondii. Methods and Results A molecular and physiological characterization of 14 D.bruxellensis and 15 P.guilliermondii phenol-producing strains was carried out. Both p-coumarate decarboxylase (CD) and vinyl reductase (VR) activities, responsible for the production of volatile phenols, were quantified and the production of 4-vinylphenol and 4-ethylphenol were measured. All D.bruxellensis and some P.guilliermondii strains showed the two enzymatic activities, whilst 11 of the 15 strains of this latter species showed only CD activity and did not produce 4-EP in the assay conditions. Furthermore, PCR products obtained with degenerated primers showed a low homology with the sequence of the gene for a phenyl acrylic acid decarboxylase activity described in Saccharomyces cerevisiae. Conclusions D. bruxellensis and P.guilliermondii may share a similar metabolic pathway for the degradation of cinnamic acids. Significance and Impact of the Study This is the first work that analyses the CD and VR activities in P.guilliermondii, and the results suggest that within this species, there are differences in the metabolization of cinnamic acids.</t>
  </si>
  <si>
    <t>Ganga, Maria/S-8176-2019; Martinez, Claudio/MGS-9961-2025; García, Verónica/AAM-1175-2021</t>
  </si>
  <si>
    <t>garcia, veronica/0000-0002-5312-925X; Martinez, Claudio/0000-0001-8564-9287</t>
  </si>
  <si>
    <t>10.1111/jam.12134</t>
  </si>
  <si>
    <t>WOS:000316572200015</t>
  </si>
  <si>
    <t>Herrera-Acuña, RA; Argyriou, V; Velastin, SA</t>
  </si>
  <si>
    <t>Botia, JA; Charitos, D</t>
  </si>
  <si>
    <t>Herrera-Acuna, Raul A.; Argyriou, Vasileios; Velastin, Sergio A.</t>
  </si>
  <si>
    <t>Graphical interfaces for development exploiting the third dimension using Kinect</t>
  </si>
  <si>
    <t>WORKSHOP PROCEEDINGS OF THE 9TH INTERNATIONAL CONFERENCE ON INTELLIGENT ENVIRONMENTS</t>
  </si>
  <si>
    <t>Ambient Intelligence and Smart Environments</t>
  </si>
  <si>
    <t>9th International Conference on Intelligent Environments (IE)</t>
  </si>
  <si>
    <t>JUL 16-19, 2013</t>
  </si>
  <si>
    <t>Athens, GREECE</t>
  </si>
  <si>
    <t>IEEE,IEEE Comp Soc,Natl Tech Univ Athens,Hellen Open Univ,Univ Thessaly,Univ Athens,IEEE Syst, Man &amp; Cybernet Soc Tech Comm,Taylor &amp; Francis Grp,IOS Press,EAI</t>
  </si>
  <si>
    <t>The use of graphical interfaces for software development is discussed in this paper and a novel framework is proposed introducing the concept of 3D interaction during the implementation. The implications of 3D programming are explored focusing on 3D databases and their representation as long as possible uses and issues. Experiments were performed to validate the proposed system and further to indicate the importance of using three dimensions in the development systems.</t>
  </si>
  <si>
    <t>VELASTIN, SERGIO ALEJANDRO/0000-0001-6775-7137</t>
  </si>
  <si>
    <t>1875-4163</t>
  </si>
  <si>
    <t>978-1-61499-286-8; 978-1-61499-285-1</t>
  </si>
  <si>
    <t>10.3233/978-1-61499-286-8-356</t>
  </si>
  <si>
    <t>WOS:000360240400040</t>
  </si>
  <si>
    <t>Zapata, PA; Palza, H; Delgado, K; Rabagliati, FM</t>
  </si>
  <si>
    <t>Zapata, Paula A.; Palza, Humberto; Delgado, Katherine; Rabagliati, Franco M.</t>
  </si>
  <si>
    <t>Novel antimicrobial polyethylene composites prepared by metallocenic in situ polymerization with TiO2-based nanoparticles</t>
  </si>
  <si>
    <t>Polyethylene (PE) composites with titanium oxide (TiO2) nanoparticles were produced via in situ polymerization representing a novel route to obtain antimicrobial polymeric materials. The TiO2 nanoparticles synthesized by the solgel method were used either as-synthesized or modified organically with hexadecyltrimethoxysilane (Mod-TiO2). These particles were added, together with the catalytic system (formed by a metallocenic catalyst and methylaluminoxane as cocatalyst), directly to the reactor, yielding in situ PE composites with 2 and 8 wt % content of nanofiller. The catalytic polymerization activity presented a slight decrease with the incorporation of the TiO2 and Mod-TiO2 nanoparticles compared to polymerization without filler. Regarding the properties of the composites, crystallinity increased slightly when the different nanofillers were added, and the elastic modulus increased around 15% compared to neat PE. PE/TiO2 nanocomposites containing 8 wt % of TiO2 exposed to UVA irradiations presented antimicrobial activity against Escherichia coli. The PE/Mod-TiO2 nanocomposite with 8 wt % filler killed 99.99% of E. coli, regardless of light and time irradiation. (c) 2012 Wiley Periodicals, Inc. J Polym Sci Part A: Polym Chem, 2012</t>
  </si>
  <si>
    <t>; Palza, Humberto/H-2782-2014</t>
  </si>
  <si>
    <t>Zapata, Paula Andrea/0000-0003-3361-6226; Palza, Humberto/0000-0001-5246-6791; Delgado Vargas, Katherine andrea/0000-0001-6286-0653</t>
  </si>
  <si>
    <t>10.1002/pola.26207</t>
  </si>
  <si>
    <t>WOS:000308093900016</t>
  </si>
  <si>
    <t>Gutiérrez, JM; Plaza, S; Romero, N</t>
  </si>
  <si>
    <t>Gutierrez, Jose M.; Plaza, Sergio; Romero, Natalia</t>
  </si>
  <si>
    <t>Dynamics of a fifth-order iterative method</t>
  </si>
  <si>
    <t>INTERNATIONAL JOURNAL OF COMPUTER MATHEMATICS</t>
  </si>
  <si>
    <t>In this paper, we study the dynamical behaviour of a two-point iterative method with order of convergence five to solve nonlinear equations in the complex plane. In fact, we complement the dynamical study started in previous works with a more systematic analysis for polynomials with at most two different roots and different multiplicities. In addition, we characterize some polynomials of degree greater or equal to 4, such that the related methods are not generally convergent. We also analyse the degrees of the rational functions associated with two-point methods when they are applied to polynomials of degree n, showing their dependence on n(2) and how this fact considerably complicates the dynamical study.</t>
  </si>
  <si>
    <t>ROMERO, NATALIA/LFS-0005-2024; Plata, Sergio/AAA-6144-2019; Gutierrez, Jose M./K-8933-2014</t>
  </si>
  <si>
    <t>Gutierrez, Jose M./0000-0002-0434-7250; Romero, Natalia/0000-0002-0653-560X</t>
  </si>
  <si>
    <t>0020-7160</t>
  </si>
  <si>
    <t>1029-0265</t>
  </si>
  <si>
    <t>10.1080/00207160.2012.663081</t>
  </si>
  <si>
    <t>WOS:000301434500008</t>
  </si>
  <si>
    <t>Amat, S; Bermúdez, C; Busquier, S; Plaza, S</t>
  </si>
  <si>
    <t>Amat, S.; Bermudez, C.; Busquier, S.; Plaza, S.</t>
  </si>
  <si>
    <t>On a third-order Newton-type method free of bilinear operators</t>
  </si>
  <si>
    <t>NUMERICAL LINEAR ALGEBRA WITH APPLICATIONS</t>
  </si>
  <si>
    <t>This paper is devoted to the study of a third-order Newton-type method. The method is free of bilinear operators, which constitutes the main limitation of the classical third-order iterative schemes. First, a global convergence theorem in the real case is presented. Second, a semilocal convergence theorem and some examples are analyzed, including quadratic equations and integral equations. Finally, an approximation using divided differences is proposed and used for the approximation of boundary-value problems. Copyright (C) 2009 John Wiley &amp; Sons, Ltd.</t>
  </si>
  <si>
    <t>1070-5325</t>
  </si>
  <si>
    <t>1099-1506</t>
  </si>
  <si>
    <t>10.1002/nla.654</t>
  </si>
  <si>
    <t>WOS:000280453900003</t>
  </si>
  <si>
    <t>Moraga, NO; Ramírez, SD; Godoy, MJ; Ticchione, PD</t>
  </si>
  <si>
    <t>Moraga, Nelson O.; Ramirez, Sandy del C.; Godoy, Mauricio J.; Ticchione, Pier'Angelo D.</t>
  </si>
  <si>
    <t>STUDY OF CONVECTIVE NON-NEWTONIAN ALLOY SOLIDIFICATION IN MOLDS BY THE PSIMPLER/FINITE-VOLUME METHOD</t>
  </si>
  <si>
    <t>NUMERICAL HEAT TRANSFER PART A-APPLICATIONS</t>
  </si>
  <si>
    <t>A numerical study is made of the solidification of an Al-Si alloy with 1.5-2% Si in a graphite mold, considering the pseudo-plastic behavior of the liquid alloy, based on a non-Newtonian model of the power law with n = 0.5. The fluid mechanics and heat transfer description of the transient convection-diffusion model is made using the finite-volume method. The pressure-velocity-temperature coupling is made using a new sequential algorithm called PSIMPLER which is validated by comparing it with the results from the literature for Newtonian fluid behavior solved with the SIMPLE algorithm. The stability and efficiency of the PSIMPLER method is also determined by solving natural convection and mixed convection in rectangular cavities with SIMPLE. The final results make it possible to infer that the Newtonian or non-Newtonian nature of the convection model affects the time and shape of the solidification process. It is concluded that the PSIMPLER algorithm allows the use of subrelaxation coefficient values close to one for the velocities, decreasing calculation time by more than 50%.</t>
  </si>
  <si>
    <t>Godoy Seura, Mauricio Javier/0009-0001-2582-3201</t>
  </si>
  <si>
    <t>1040-7782</t>
  </si>
  <si>
    <t>1521-0634</t>
  </si>
  <si>
    <t>10.1080/10407782.2010.490171</t>
  </si>
  <si>
    <t>WOS:000278669900003</t>
  </si>
  <si>
    <t>Palacios, SM; Bertoni, A; Rossi, Y; Santander, R; Urzúa, A</t>
  </si>
  <si>
    <t>Palacios, Sara M.; Bertoni, Alberto; Rossi, Yanina; Santander, Rocio; Urzua, Alejandro</t>
  </si>
  <si>
    <t>Insecticidal activity of essential oils from native medicinal plants of Central Argentina against the house fly, Musca domestica (L.)</t>
  </si>
  <si>
    <t>PARASITOLOGY RESEARCH</t>
  </si>
  <si>
    <t>The insecticidal activity of nine essential oils (EOs) against the house fly (Musca domestica) was evaluated by placing flies in a screw-cap glass jar holding a piece of EO-treated cotton yarn. The dose necessary to kill 50% of flies (LC50) in 30 min was determined at 26 +/- 1A degrees C. The EOs showed LC50 values ranging from 0.5 to 46.9 mg/dm(3). The EO from Minthostachys verticillata was the most potent insecticide (LC50 = 0.5 mg/dm(3)) followed by EOs from Hedeoma multiflora (LC50 = 1.3 mg/dm(3)) and Artemisia annua (LC50 = 6.5 mg/dm(3)). The compositions of the nine EOs, obtained by hydrodistillation of medicinal herbs, were analyzed by gas chromatography/mass spectroscopy. These analyses showed that (4R)(+)-pulegone (69.70%), menthone (12.17%), and limonene (2.75%) were the principal components of M. verticillata EO. (4R)(+)-pulegone was also the main constituent (52.80%) of H. multiflora, while artemisia ketone (22.36%) and 1,8-cineole (16.67%) were the major constituents of A. annua EO. The terpene (4R)(+)-pulegone showed a lower toxicity (LC50 = 1.7 mg/dm(3)) than M. verticillata or H. multiflora EOs. Dimethyl 2,2-dichlorovinyl phosphate, selected as a positive control, showed an LC50 of 0.5 mg/dm(3). EOs from M. verticillata and H. multiflora show promise as natural insecticides against houseflies.</t>
  </si>
  <si>
    <t>Urzua, Alejandro/0000-0003-2638-0921; PALACIOS, SARA/0000-0002-0621-5091; ROSSI, YANINA E/0000-0002-7500-0051</t>
  </si>
  <si>
    <t>0932-0113</t>
  </si>
  <si>
    <t>1432-1955</t>
  </si>
  <si>
    <t>10.1007/s00436-009-1651-2</t>
  </si>
  <si>
    <t>WOS:000272046200029</t>
  </si>
  <si>
    <t>Hernández-Heredero, R; Reyes, EG</t>
  </si>
  <si>
    <t>Hernandez-Heredero, Rafael; Reyes, Enrique G.</t>
  </si>
  <si>
    <t>Nonlocal symmetries and a Darboux transformation for the Camassa-Holm equation</t>
  </si>
  <si>
    <t>JOURNAL OF PHYSICS A-MATHEMATICAL AND THEORETICAL</t>
  </si>
  <si>
    <t>We announce two new structures associated with the Camassa-Holm (CH) equation: a Lie algebra of nonlocal symmetries, and a Darboux transformation for this important equation, which we construct using only our symmetries. We also extend our results to the associated Camassa-Holm equation introduced by J Schiff (1998 Physica D 121 24-43).</t>
  </si>
  <si>
    <t>Reyes, Enrique/AAD-1308-2019; Heredero, Rafael/H-4798-2015</t>
  </si>
  <si>
    <t>1751-8113</t>
  </si>
  <si>
    <t>1751-8121</t>
  </si>
  <si>
    <t>MAY 8</t>
  </si>
  <si>
    <t>10.1088/1751-8113/42/18/182002</t>
  </si>
  <si>
    <t>WOS:000265258200002</t>
  </si>
  <si>
    <t>Chandia, NP; Canales, JC; Azocar, I; Vanlaer, S; Pawar, VG; De Borggraeve, WM; Costamagna, J; Dehaen, W</t>
  </si>
  <si>
    <t>Chandia, N. P.; Canales, J. C.; Azocar, I.; Vanlaer, S.; Pawar, V. G.; De Borggraeve, W. M.; Costamagna, J.; Dehaen, W.</t>
  </si>
  <si>
    <t>Synthesis of 5,5′-Dialkyl-6,6′-dichloro-2, 2′-bipyridines</t>
  </si>
  <si>
    <t>5,5'-Dialkyl-6,6'-dichloro-2,2'-bipyridines were synthesized starting from 3-substituted 2-chloro-6-iodopyridines using Pd-catalyzed coupling conditions. 6-Alkyl-3,5-dichloro-2H-1,4-oxazin-2-ones were excellent precursors for the synthesis of these functionalized 2-iodo-6-chloropyridines.</t>
  </si>
  <si>
    <t>Dehaen, Wim/JMQ-7108-2023; De Borggraeve, Wim/C-5179-2008; Azocar, Manuel/I-1226-2013</t>
  </si>
  <si>
    <t>Canales Villalobos, Juan Carlos/0009-0006-3215-4997; De Borggraeve, Wim/0000-0001-7813-6192; Azocar Guzman, Manuel/0000-0003-1098-4659</t>
  </si>
  <si>
    <t>1532-2432</t>
  </si>
  <si>
    <t>PII 908328447</t>
  </si>
  <si>
    <t>10.1080/00397910802440348</t>
  </si>
  <si>
    <t>WOS:000262908800018</t>
  </si>
  <si>
    <t>Rodrigues, DC</t>
  </si>
  <si>
    <t>Rodrigues, Davi C.</t>
  </si>
  <si>
    <t>Evolution of anisotropies in Eddington-Born-Infeld cosmology</t>
  </si>
  <si>
    <t>Recently a Born-Infeld action for dark energy and dark matter that uses additional affine connections was proposed. At the background level, it was shown that the new proposal can mimic the standard cosmological evolution. In Bianchi cosmologies, contrary to the scalar field approach (e.g., Chaplygin gas), the new approach leads to anisotropic pressure, raising the issues of stability of the isotropic solution under anisotropic perturbations and, being stable, how the anisotropies evolve. In this work, the Eddington-Born-Infeld proposal is extended to a Bianchi type I scenario and residual post-inflationary anisotropies are shown to decay in time. Moreover, it is shown that the shears decay following a damped oscillatory pattern, instead of the standard exponential-like decay. Allowing for some fine-tuning on the initial conditions, standard theoretical bounds on the shears can be avoided.</t>
  </si>
  <si>
    <t>Rodrigues, Davi/MZQ-7519-2025</t>
  </si>
  <si>
    <t>Rodrigues, Davi/0000-0003-1683-5443</t>
  </si>
  <si>
    <t>10.1103/PhysRevD.78.063013</t>
  </si>
  <si>
    <t>WOS:000259692800023</t>
  </si>
  <si>
    <t>Fernandez, AM; Dufey, M</t>
  </si>
  <si>
    <t>Fernandez, Ana Maria; Dufey, Michele</t>
  </si>
  <si>
    <t>Psychometric properties of the interpersonal reactivity index in a sample of Chilean university students</t>
  </si>
  <si>
    <t>INTERNATIONAL JOURNAL OF PSYCHOLOGY</t>
  </si>
  <si>
    <t>Fernandez, Ana Maria/0000-0003-4132-5891</t>
  </si>
  <si>
    <t>0020-7594</t>
  </si>
  <si>
    <t>JUN-AUG</t>
  </si>
  <si>
    <t>WOS:000259264301506</t>
  </si>
  <si>
    <t>Biasutti, MA; Abuin, EB; Silber, JJ; Correa, NM; Lissi, EA</t>
  </si>
  <si>
    <t>Biasutti, Maria A.; Abuin, Elsa B.; Silber, Juana J.; Correa, N. Mariano; Lissi, Eduardo A.</t>
  </si>
  <si>
    <t>Kinetics of reactions catalyzed by enzymes in solutions of surfactants</t>
  </si>
  <si>
    <t>ADVANCES IN COLLOID AND INTERFACE SCIENCE</t>
  </si>
  <si>
    <t>The effect of surfactants, both in water-in-oil microemulsions (hydrated reverse micelles) and aqueous solutions upon enzymatic processes is reviewed, with special emphasis on the effect of the surfactant upon the kinetic parameters of the process. Differences and similarities between processes taking place in aqueous and organic solvents are highlighted, and the main models currently employed to interpret the results are briefly discussed. (c) 2007 Published by Elsevier B.V.</t>
  </si>
  <si>
    <t>; Correa, N. Mariano/I-8886-2018</t>
  </si>
  <si>
    <t>Silber, Juana/0000-0001-9395-9939; Correa, N. Mariano/0000-0002-1728-3620</t>
  </si>
  <si>
    <t>0001-8686</t>
  </si>
  <si>
    <t>1873-3727</t>
  </si>
  <si>
    <t>10.1016/j.cis.2007.07.001</t>
  </si>
  <si>
    <t>WOS:000252785200001</t>
  </si>
  <si>
    <t>Karsulovic, JT; Bozo, A; Araya, J; Vargas, Y; Gaete, V; Tejer, B</t>
  </si>
  <si>
    <t>Karsulovic, J. T.; Bozo, A.; Araya, J.; Vargas, Y.; Gaete, V.; Tejer, B.</t>
  </si>
  <si>
    <t>Application of sonic and ultrasonic waves as means of control of underground termites Reticulitermes flavipes (Kollar) in radiata pine wood</t>
  </si>
  <si>
    <t>The behavior of the termites was analyzed when applying sonic and Ultrasonic waves with different frequencies, levels of energy. and waveform to establish the conditions to create a physical barrier to the action of the termites in wood specimens of radiata pine. The tests at Ultrasonic level were conducted Using frequencies of 100, 500 and 1000kHz in specimens of 1x4x10cm by means of an adaptation of European Standard EN118. The application of irradiation at sonic level was made on specimens with different cross section in transverse direction considering, different orientation of growth rings (radial, tangential and mixed) and three levels of density (low, medium and high). For this effect Was constituted a system of a scale termite nest containing 500 termites with the wood specimen and I Feed supply to establish a continuous flow of termites through a p central perforation in the specimen. In the ultrasonic rank it was obtained that with a frequency of 500kHz it is possible to inhibit the feeding of the termites while the acoustic field stays assets. In the studied audible rank, (16 to 20kHz) it was observed that to a frequency of 80Hz the passage of the termites though the sample was inhibited and they altered their behavior in times superior to one hour Of continuous irradiation the rapidity of recovery is partial, diminishing the rates of feeding and survival with generation of irreversible a physiological effect.</t>
  </si>
  <si>
    <t>10.4067/S0718-221X2008000200003</t>
  </si>
  <si>
    <t>WOS:000258714300003</t>
  </si>
  <si>
    <t>Brock, F; Iturriaga, L; Ubilla, P</t>
  </si>
  <si>
    <t>Brock, Friedemann; Iturriaga, Leonelo; Ubilla, Pedro</t>
  </si>
  <si>
    <t>Semi-linear singular elliptic equations with dependence on the gradient</t>
  </si>
  <si>
    <t>We establish the existence of a positive solution for the following non-variational equation {-div(|x|(-2a)del u)=|x|(-2(a+1)+c) f(x,u,del u), in Omega u=0, on partial derivative Omega, where the non-linearity f (x,t,xi) belongs to a class of functions that are superlinear in the variable t and sublinear in the variable xi. For this purpose we used an idea of a recent work by De Figueiredo et al. [D. De Figueiredo, M. Girardi, M. Matzeu, Semilinear elliptic equations with dependence on the gradient via mountain-pass techniques, Diff. Integral Equ. (in press)] and we established a new regularity result for a class of Singular Elliptic Equations. (c) 2005 Elsevier Ltd. All rights reserved.</t>
  </si>
  <si>
    <t>Iturriaga, Leonelo/F-6339-2012</t>
  </si>
  <si>
    <t>Iturriaga, Leonelo/0000-0001-7621-7976</t>
  </si>
  <si>
    <t>10.1016/j.na.2005.09.034</t>
  </si>
  <si>
    <t>WOS:000238581800009</t>
  </si>
  <si>
    <t>Brañes, MC; Morales, B; Ríos, M; Villalón, MJ</t>
  </si>
  <si>
    <t>AMERICAN JOURNAL OF PHYSIOLOGY-CELL PHYSIOLOGY</t>
  </si>
  <si>
    <t>The volume of oviductal fluid fluctuates during the estrous cycle, suggesting that water availability is under hormonal control. It has been postulated that sex-steroid hormones may regulate aquaporin (AQP) channels involved in water movement across cell membranes. Using a functional assay (oocytes of Xenopus laevis), we demonstrated that the rat oviductal epithelium contains mRNAs coding for water channels, and we identified by RT-PCR the mRNAs for AQP5, -8, and -9, but not for AQP2 and -3. The immunoreactivity for AQP5, -8, and -9 was localized only in epithelial cells of the oviduct. The distribution of AQP5 and -8 was mainly cytoplasmic, whereas we confirmed, by confocal microscopy, that AQP9 localized to the apical plasma membrane. Staining of AQP5, -8, and -9 was lost after ovariectomy, and only AQP9 immunoreactivity was restored after estradiol and/or progesterone treatments. The recovery of AQP9 reactivity after ovariectomy correlated with increased mRNA and protein levels after treatment with estradiol alone or progesterone administration after estradiol priming. Interestingly, progesterone administration after progesterone priming also induced AQP9 expression but without a change in mRNA levels. Levels of AQP9 varied along the estrous cycle with their highest levels during proestrus and estrus. These results indicate that steroid hormones regulate AQP9 expression at the mRNA and protein level and that other ovarian signals are involved in the expression of AQP5 and -8. Thus hormonal regulation of the type and quantity of water channels in this epithelium might control water transport in the oviductal lumen.</t>
  </si>
  <si>
    <t>0363-6143</t>
  </si>
  <si>
    <t>1522-1563</t>
  </si>
  <si>
    <t>C1048</t>
  </si>
  <si>
    <t>C1057</t>
  </si>
  <si>
    <t>10.1152/ajpcell.00420.2003</t>
  </si>
  <si>
    <t>WOS:000228461700011</t>
  </si>
  <si>
    <t>Rabagliati, FM; Cancino, RA; de Ilarduya, AM; Muñoz-Guerra, S</t>
  </si>
  <si>
    <t>Homo- and copolymerization of styrene and l-alkene using Ph2Zn-Et(Ind)2ZrCl2-MAO initiator systems</t>
  </si>
  <si>
    <t>9th Latin American Polymer Symposium (SLAP 2004)/7th Latin American Polymer Congress</t>
  </si>
  <si>
    <t>JUL 11-16, 2004</t>
  </si>
  <si>
    <t>Valencia, SPAIN</t>
  </si>
  <si>
    <t>Homopolymerization of alpha-olefiins (1-CnH2n, n = 6, 8, 10, 12, 16 and 18) and their copolymerization with styrene were carried out in toluene at 60 degrees C using diphenylzine-ethenylbisindenylzirconium dichloride-methylaluminoxane as initiator system. Atactic polystyrene and almost isotactic poly(alpha-olefin)s were obtained. Copolymerization of S/alpha-olefin with this initiator system gave isotactic olefin-enriched copolymers. According to DSC analysis, the homopolymers P(1-C12H24), P(1-C16H32), and P(1-C18H36) as well their styrene copolymers are crystalline. (c) 2005 Elsevier Ltd. All rights reserved.</t>
  </si>
  <si>
    <t>Guerra, Sebastián/G-2237-2015; Martinez de Ilarduya, Antxon/E-4034-2012</t>
  </si>
  <si>
    <t>Martinez de Ilarduya, Antxon/0000-0001-8105-2168</t>
  </si>
  <si>
    <t>1873-1945</t>
  </si>
  <si>
    <t>10.1016/j.eurpolymj.2004.12.003</t>
  </si>
  <si>
    <t>WOS:000228101500016</t>
  </si>
  <si>
    <t>Cruz, N; Lepe, S</t>
  </si>
  <si>
    <t>On the thermal description of the BTZ black holes</t>
  </si>
  <si>
    <t>We investigate the limitations on the thermal description of three-dimensional BTZ black holes. We derive on physical grounds three basic mass scales that are relevant to characterize these limitations. The Planck mass in 2 + 1 dimensions indicates the limits where the black hole can emit Hawking's radiation. We show that the back reaction is meaningless for spinless BTZ black hole. For stationary BTZ black holes the nearly extreme case is analyzed showing that may occur a breakdown of its description as a thermal object. (C) 2004 Elsevier B.V. All rights reserved.</t>
  </si>
  <si>
    <t>JUL 22</t>
  </si>
  <si>
    <t>10.1016/j.physletb.2004.04.072</t>
  </si>
  <si>
    <t>WOS:000222788600031</t>
  </si>
  <si>
    <t>San Martin, S; Soto-Suazo, M; Zorn, TMT</t>
  </si>
  <si>
    <t>Distribution of versican and hyaluronan in the mouse uterus during decidualization</t>
  </si>
  <si>
    <t>BRAZILIAN JOURNAL OF MEDICAL AND BIOLOGICAL RESEARCH</t>
  </si>
  <si>
    <t>International Symposium on Extracellular Matrix (SIMEC 2002)</t>
  </si>
  <si>
    <t>OCT 07-10, 2002</t>
  </si>
  <si>
    <t>ANGRA REIS, BRAZIL</t>
  </si>
  <si>
    <t>Preparation for embryo implantation requires extensive adaptation of the uterine microenvironment. This process consists of cell proliferation and cell differentiation resulting in the transformation of endometrial fibroblasts into a new type of cell called decidual cell. In the present study, we followed the space-time distribution of versican and hyaluronan (HA) in different tissues of the uterus before and after embryo implantation. Fragments of mouse uteri obtained on the fourth, fifth, sixth and seventh days of pregnancy were fixed in Methacarn, embedded in Paraplast and cut into 5-mum thick sections. HA was detected using a biotinylated fragment of the proteoglycan aggrecan, which binds to this glycosaminoglycan with high affinity and specificity. Versican was detected by a polyclonal antibody. Both reactions were developed by peroxidase methods. Before embryo implantation, both HA and versican were present in the endometrial stroma. However, after embryo implantation, HA disappeared from the decidual region immediately surrounding the implantation chamber, whereas versican accumulated in the same region. The differences observed in the expression of HA and versican suggest that both molecules may participate in the process of endometrial decidualization and/or embryo implantation.</t>
  </si>
  <si>
    <t>San Martin, Sebastian/S-5268-2019; Zorn, Telma/C-4065-2008</t>
  </si>
  <si>
    <t>San Martin, Sebastian/0000-0002-2569-1114</t>
  </si>
  <si>
    <t>0100-879X</t>
  </si>
  <si>
    <t>1678-4510</t>
  </si>
  <si>
    <t>10.1590/S0100-879X2003000800013</t>
  </si>
  <si>
    <t>WOS:000185012900014</t>
  </si>
  <si>
    <t>Gutierrez, C; Guíñez, V</t>
  </si>
  <si>
    <t>Simple umbilic points on surfaces immersed in R4</t>
  </si>
  <si>
    <t>We study local problems around simple umbilic points of surfaces immersed in R-4 such as finite determinacy and versal unfoldings.</t>
  </si>
  <si>
    <t>WOS:000182727100005</t>
  </si>
  <si>
    <t>Montes, S; Valero, E; Montes, G</t>
  </si>
  <si>
    <t>Study of the flotation mechanisms of quartz in the presence of alkylammonium salts. II. Effect of the starch.</t>
  </si>
  <si>
    <t>This article study the mechanism of quartz flotability in the presence of non-modified starch and cationic collectors. Depressant behaviour effect of natural polymer is shown in lightly alkaline or neutral solutions, depending on concentration and collectors hidrocarbon chain length. Specific interaction of quartz-starch produce a deplacement of mineral P.I.E. to the more acid values of pH. The streaming potential of quartz in the presence of collectors and starch approach to zero regarding collector concentration and the value of pH. The adsorption of starch on the mineral surface at 25degreesC indicate lower densities at pH 9,5,which explain the high flotability of quartz at this pH, according with results obtained by others authors.</t>
  </si>
  <si>
    <t>WOS:000180026700016</t>
  </si>
  <si>
    <t>Closed universes can satisfy the holographic principle in three dimensions</t>
  </si>
  <si>
    <t>We examine in details Friedmann-Robertson-Walk-er models in 2 + 1 dimensions in order to investigate the cosmic holographic principle suggested by Fischler and Susskind. Our results are rigorously derived differing from the previous one found by Wang and Abdalla. We discuss the erroneous assumptions done in this work. The matter content of the models is composed of a perfect fluid, with a gamma -law equation of state. We found that closed universes satisfy the holographic principle only for exotic matter with a negative pressure. We also analyze the case of a collapsing flat universe. (C) 2001 Elsevier Science B.V. All rights reserved.</t>
  </si>
  <si>
    <t>NOV 29</t>
  </si>
  <si>
    <t>10.1016/S0370-2693(01)01234-5</t>
  </si>
  <si>
    <t>WOS:000172360100030</t>
  </si>
  <si>
    <t>Zolezzi, J; Rudnick, H; Evans, F</t>
  </si>
  <si>
    <t>Discussion on A Kernel-oriented algorithm for transmission expansion planning</t>
  </si>
  <si>
    <t>10.1109/59.962460</t>
  </si>
  <si>
    <t>WOS:000171787000061</t>
  </si>
  <si>
    <t>Cruchaga, M; Celentano, D; Tezduyar, T</t>
  </si>
  <si>
    <t>A moving Lagrangian interface technique for flow computations over fixed meshes</t>
  </si>
  <si>
    <t>5th US National Congress on Computational Mechanics</t>
  </si>
  <si>
    <t>AUG 04-06, 1999</t>
  </si>
  <si>
    <t>UNIV COLORADO, BOULDER, CO</t>
  </si>
  <si>
    <t>UNIV COLORADO</t>
  </si>
  <si>
    <t>In this paper, an enhanced finite element formulation for unsteady incompressible flows with moving interfaces is presented. The weak form of the Navier-Stokes equations, written using a generalized streamline operator technique, is coupled with the movement of the interface between two immiscible fluids defined through an independent moving mesh. The position of the interface is updated using a Lagrangian formulation. In this framework, a global mass conservation corrector algorithm and an enhanced element integration technique are proposed to improve accuracy. The method is applied to a number of test problems with moving interfaces. (C) 2001 Elsevier Science B.V. All rights reserved.</t>
  </si>
  <si>
    <t>Celentano, Diego/JQW-5027-2023; Cruchaga, Marcela/M-7522-2014; Tezduyar, Tayfun/F-6134-2012</t>
  </si>
  <si>
    <t>Cruchaga, Marcela/0000-0002-8708-2402; Tezduyar, Tayfun/0000-0001-8707-3162</t>
  </si>
  <si>
    <t>6-7</t>
  </si>
  <si>
    <t>10.1016/S0045-7825(01)00300-0</t>
  </si>
  <si>
    <t>WOS:000172603400003</t>
  </si>
  <si>
    <t>Guerra, ES; Retamal, JC</t>
  </si>
  <si>
    <t>Realization of atomic Greenberger-Horne-Zeilinger states via cavity quantum electrodynamics</t>
  </si>
  <si>
    <t>JOURNAL OF MODERN OPTICS</t>
  </si>
  <si>
    <t>In this work we propose a scheme in which it is possible to generate atomic Greenberger-Horner-Zeilinger (GHZ) states by letting three-level atoms in a lambda configuration interact with a cavity field followed by a displacement of the cavity held and selective measurements on two-level atoms which disentangle the atoms and field stales. We also propose a GHZ test based on such states.</t>
  </si>
  <si>
    <t>Retamal, Juan/G-6425-2010</t>
  </si>
  <si>
    <t>Retamal Abarzua, Juan Carlos/0000-0002-7174-7879</t>
  </si>
  <si>
    <t>0950-0340</t>
  </si>
  <si>
    <t>10.1080/095003499149944</t>
  </si>
  <si>
    <t>WOS:000078435800010</t>
  </si>
  <si>
    <t>Urzúa, A; Mendoza, L; Tojo, E; Rial, ME</t>
  </si>
  <si>
    <t>Acylated flavonoids from Pseudognaphalium species</t>
  </si>
  <si>
    <t>Two new acylated flavonoids have been isolated from the resinous exudates of Pseudognaphalium robustum and Pseudognaphalium cheirantifolium, Their structures were elucidated by high-resolution spectroscopic methods as 5,7,8-trihydroxy-3-methoxyflavone 8-O-[(E)-2-methyl-2-butenoate] (1) and 5,7,8-trihydroxy-3,6-dimethoxyflavone 8-O-[(E)-2-methyl-2-butenoate] (2).</t>
  </si>
  <si>
    <t>10.1021/np9804031</t>
  </si>
  <si>
    <t>WOS:000078960800054</t>
  </si>
  <si>
    <t>Zanocco, AL; Gunther, G; Lemp, F; Lissi, EA</t>
  </si>
  <si>
    <t>Release of methylene blue from dioctadecyldimethylammonium chloride vesicles</t>
  </si>
  <si>
    <t>JOURNAL OF THE CHEMICAL SOCIETY-PERKIN TRANSACTIONS 2</t>
  </si>
  <si>
    <t>The cationic dye Methylene Blue included in the internal aqueous microphase of dioctadecyldimethylammonium chloride (DODAC) vesicle shows the typical monomer-dimer equilibrium observed in homogenous aqueous solutions, Using a simple spectrophotometric method, values of 54 000 +/- 1300 M-1 cm(-1) and 3860 +/- 130 M-1 have been obtained for the extinction coefficient of Methylene Blue monomer at 680 nm (epsilon(680)(M)) and the equilibrium constant (K), respectively, in homogeneous aqueous solution at 20 degrees C. At this wavelength dimer absorbance is negligible. Leakage of Methylene Blue from the inner aqueous pseudophase can be described in terms of Fick's law. The dependence of the release rate on monomer concentration, the value of the permeability constant (1.09 x 10(-9) cm s(-1) at 20.3 degrees C) and the dependence of the release rate on NaCl addition suggest that Methylene Blue diffuses across the lipidic bilayer of the vesicle as a monomer.</t>
  </si>
  <si>
    <t>; Gunther, German/I-1028-2013</t>
  </si>
  <si>
    <t>ZANOCCO, ANTONIO/0000-0002-6521-5382; Gunther, German/0000-0002-4733-8426</t>
  </si>
  <si>
    <t>0300-9580</t>
  </si>
  <si>
    <t>10.1039/a705869a</t>
  </si>
  <si>
    <t>WOS:000072112500019</t>
  </si>
  <si>
    <t>Retamal, BA; Vaschetto, ME; Zagal, JH</t>
  </si>
  <si>
    <t>Catalytic electro-oxidation of 2-mercaptoethanol using cobalt phthalocyanine plus poly(2-chloroaniline) modified electrodes</t>
  </si>
  <si>
    <t>The electrochemical oxidation of 2-mercaptoethanol has been examined on cobalt phthalocyanine (CoPc) + poly(2-chloroaniline) (PANCl) modified electrodes. A simple and reproducible procedure is described to obtain the modified-polymer electrodes, PANCl electrodes are modified by dispersing three different percentages of CoPc (0.1, 1 and 20%). These modified electrodes show electrocatalytic activity for 2-mercaptoethanol electro-oxidation in an acid medium. The evaluation of the electrocatalytical response of PANCl + CoPc films suggests that the diffusion rate of electroactive species into the film is improved when the polymer reaches the oxidized state. (C) 1997 Elsevier Science S.A.</t>
  </si>
  <si>
    <t>0022-0728</t>
  </si>
  <si>
    <t>JUN 30</t>
  </si>
  <si>
    <t>10.1016/S0022-0728(97)00087-9</t>
  </si>
  <si>
    <t>WOS:A1997YC69400001</t>
  </si>
  <si>
    <t>CHANGES IN SOME PROPERTIES OF POLYANILINE FILMS WITH THE ANION IN THE ELECTROLYTE</t>
  </si>
  <si>
    <t>JOURNAL OF THE BRAZILIAN CHEMICAL SOCIETY</t>
  </si>
  <si>
    <t>11th Iberian-American Congress on Electrochemistry/9th Brazilian Symposium on Electrochemistry and Electroanalysis</t>
  </si>
  <si>
    <t>APR 04-09, 1994</t>
  </si>
  <si>
    <t>AGUAS DE LINDOIA, BRAZIL</t>
  </si>
  <si>
    <t>The properties of polyaniline (PANI) films electrochemically prepared by continuous potential cycling a Pt electrode in HClO4 and H2SO4 solutions containing the monomer were studied using cyclic voltammetry, electrochemical impedance spectroscopy and scanning electron microscopy. It was found that some PANI properties are dependent on the electrolyte in which they are immersed, and not only on their history of growth.</t>
  </si>
  <si>
    <t>Aguirre, Maria/A-3935-2013; zagal, jose/L-9648-2014; Biaggio, Sonia R./D-9810-2012</t>
  </si>
  <si>
    <t>Biaggio, Sonia R./0000-0003-2127-859X</t>
  </si>
  <si>
    <t>0103-5053</t>
  </si>
  <si>
    <t>10.5935/0103-5053.19940035</t>
  </si>
  <si>
    <t>WOS:A1994QK78500016</t>
  </si>
  <si>
    <t>BUSTOS, OLC; REIF, W</t>
  </si>
  <si>
    <t>GRAIN-REFINEMENT OF SUPERPURE COPPER BY ADDITIONS OF ELEMENTS, .1.</t>
  </si>
  <si>
    <t>METALL</t>
  </si>
  <si>
    <t>The paper deals with the possibilities of grain refinement of superpure copper by additions of elements of the groups IIa through VIIIa an IIb through VIb of the periodic table as well as iron as cerium. Effects of addition rate of grain refiners, melt temperature and cooling rate on the grain size were studied. A fully equiaxial structure can be obtained at low pouring temperatures and high cooling rates. Most elements of the groups IIIb through VIb, especially S, Se and Te, have the strongest grain refining effect.</t>
  </si>
  <si>
    <t>0026-0746</t>
  </si>
  <si>
    <t>WOS:A1993MM78000003</t>
  </si>
  <si>
    <t>ROTHHAMMER, F; SILVA, C</t>
  </si>
  <si>
    <t>GENE GEOGRAPHY OF SOUTH-AMERICA - TESTING MODELS OF POPULATION MICRODIFFERENTIATION</t>
  </si>
  <si>
    <t>WOS:A1991GR30902861</t>
  </si>
  <si>
    <t>CHORNIK, B; ARAVENA, R; GRAHMANN, C; VENEGAS, R; GAETE, L</t>
  </si>
  <si>
    <t>AUTOMATIC ROUGH APPROXIMATION SYSTEM FOR A SCANNING TUNNELING MICROSCOPE</t>
  </si>
  <si>
    <t>REVIEW OF SCIENTIFIC INSTRUMENTS</t>
  </si>
  <si>
    <t>An automatic initial approximation system for a scanning tunneling microscope is presented. The device includes a dc motor that is fed by pulses, so that it performs as a stepping motor. A full description of the circuit is given. It is much simpler than the circuit for a true stepping motor, and it is designed to stop motion as soon as a tunneling current appears, thereby avoiding a tip crash.</t>
  </si>
  <si>
    <t>Chornik, Boris/I-9192-2016</t>
  </si>
  <si>
    <t>Gaete-Garreton, Luis/0000-0002-2234-8783</t>
  </si>
  <si>
    <t>0034-6748</t>
  </si>
  <si>
    <t>10.1063/1.1142385</t>
  </si>
  <si>
    <t>WOS:A1991FU52200030</t>
  </si>
  <si>
    <t>CHAUHAN, MA; ALI, M; VEDECKIS, WV; SALAS, CE</t>
  </si>
  <si>
    <t>TRANSFER-RNA NUCLEOSIDE COMPOSITION IN 13762 RAT ADENOCARCINOMA</t>
  </si>
  <si>
    <t>1. Abnormalities in patterns of tRNA methylation and in the activities of tRNA methyltransferases are well-documented phenomena. In this study, we focused our attention on tRNA from adenocarcinoma, a 9,10-dimethyl-1,2-benzanthracene-induced mammary tumor, because prior evidence has suggested the occurrence of an abnormal pattern of tRNA methylation. 2. Chemical postlabeling of tumor vs normal rat liver and mammary gland tRNAs revealed tumor specific differences in the modified nucleoside distribution, i.e., a 5.8-fold increase in tumor N-2-methylguanosine together with a 2.7-, 2.8-, 2.6-, and 2.8-fold decrease in tumor 1-methyladenosine, dihydrouridine, pseudouridine and 5-methylcytidyne, respectively. 3. Class A tRNAs, a slower gel migrating group of tumor tRNAs, exhibited even lower 1-methyladenosine levels. Most of the remaining nucleosides in class A tRNAs showed molar ratios similar to those found in bulk tumor tRNA. However, N-2-methylguanosine levels in class A tRNA are intermediate between bulk tumor tRNA (2.8 %) and mammary gland tRNA (0.49 %). 4. The only qualitative difference found in tumor tRNA seems to be the absence of inosine usually present in tRNAs from liver and mammary tissues. 5. In spite of its abnormal methylation pattern adenocarcinoma tRNA binds to glucocorticoid receptor protein from mouse AtT-20 cells, generating a 6S tRNA-protein complex, in a fashion similar to that previously described for the endogenous tRNA isolated from the same cells.</t>
  </si>
  <si>
    <t>WOS:A1991GC18700001</t>
  </si>
  <si>
    <t>FAINI, F; TORRES, R; CASTILLO, M</t>
  </si>
  <si>
    <t>(25R)-ISONUATIGENIN, AN UNUSUAL STEROIDAL SAPOGENIN FROM VESTIA-LYCIOIDES</t>
  </si>
  <si>
    <t>(25R)-Isonuatigenin, a .DELTA.5-spirosten-3.beta.,25-diol, was isolated from aerial parts of V. lycioides. Its structure was elucidated mainly by 1H NMR and 13C NMR spectroscopy. A mixture of (25R)-nuatigenin and (25S)-isonuatigenin was also characterized. This is the 1st report on the natural occurrence of the 2 (25R)-isomers.</t>
  </si>
  <si>
    <t>1873-3700</t>
  </si>
  <si>
    <t>10.1016/S0031-9422(00)80446-X</t>
  </si>
  <si>
    <t>WOS:A1984SW08700019</t>
  </si>
  <si>
    <t>VELASCOBARRAZA, CR; MULLER, D</t>
  </si>
  <si>
    <t>DEVELOPMENT OF SELF-CONCEPT IN CHILEAN, MEXICAN, AND UNITED-STATES SCHOOL-CHILDREN</t>
  </si>
  <si>
    <t>JOURNAL OF PSYCHOLOGY</t>
  </si>
  <si>
    <t>0022-3980</t>
  </si>
  <si>
    <t>10.1080/00223980.1982.9915321</t>
  </si>
  <si>
    <t>WOS:A1982NA97400004</t>
  </si>
  <si>
    <t>MATSUHIRO, B; BAKR, PM</t>
  </si>
  <si>
    <t>ANOMALOUS ALPHA-EFFECTS, DUE TO ESTERIFICATION, IN C-13-NMR SPECTRA OF DERIVATIVES OF D-MANNITOL</t>
  </si>
  <si>
    <t>10.1016/S0008-6215(00)85258-1</t>
  </si>
  <si>
    <t>WOS:A1981LF21000016</t>
  </si>
  <si>
    <t>ABUIN, EB; LISSI, EA; GARGALLO, L; RADIC, D</t>
  </si>
  <si>
    <t>PHOTOBEHAVIOR OF PHENYL-CONTAINING METHACRYLATE POLYMERS .2. DEPENDENCE UPON THE NUMBER OF CHROMOPHORES IN THE STRUCTURAL UNIT</t>
  </si>
  <si>
    <t>10.1016/0014-3057(80)90186-X</t>
  </si>
  <si>
    <t>WOS:A1980KM44600017</t>
  </si>
  <si>
    <t>MONTENEGRO, G; ALJARO, ME; ARRIETA, A</t>
  </si>
  <si>
    <t>GROWTH OF DOMINANT SHRUB SPECIES IN AN ALTITUDINAL TRANSECT OF CENTRAL CHILE</t>
  </si>
  <si>
    <t>WOS:A1979JP38800038</t>
  </si>
  <si>
    <t>LISSI, EA; MASSIFF, G; VILLA, A</t>
  </si>
  <si>
    <t>ADDITION OF METHOXY RADICALS TO OLEFINS</t>
  </si>
  <si>
    <t>10.1002/kin.550070411</t>
  </si>
  <si>
    <t>WOS:A1975AG29100010</t>
  </si>
  <si>
    <t>Cumpa, J; Rossi, C</t>
  </si>
  <si>
    <t>Cumpa, Javier; Rossi, Carlo</t>
  </si>
  <si>
    <t>Permissivism and the debate about universals</t>
  </si>
  <si>
    <t>INQUIRY-AN INTERDISCIPLINARY JOURNAL OF PHILOSOPHY</t>
  </si>
  <si>
    <t>Permissivism is a view about ontological questions which holds that such questions for the most part can all be trivially answered. Understood in this way, Permissivism seems to be entailed, or at least motivated by, an important number of ontological and metaontological views, ranging from Mereological Universalism and Material Plenitude to ontologies which draw prominently on some notion of fundamentality, and Deflationism. By and large, permissivist-inspired arguments have had as their ontological target material objects, but little to none is found within the ontological debate about properties. Our aim in this paper is to address this omission by providing a thorough assessment of one notable effort in this direction formulated by Jonathan Schaffer, which defends the existence of universal properties by way of trivial inferences. We argue that such inferences fail to secure the existence of universal properties in a trivial manner. Together with offering an extended discussion of Schaffer's permissivist inferences, we also explore alternative ways in which the said inferences can be amended, although in each case with a restricted scope.</t>
  </si>
  <si>
    <t>0020-174X</t>
  </si>
  <si>
    <t>1502-3923</t>
  </si>
  <si>
    <t>2025 MAY 1</t>
  </si>
  <si>
    <t>10.1080/0020174X.2025.2497347</t>
  </si>
  <si>
    <t>MAY 2025</t>
  </si>
  <si>
    <t>WOS:001479739300001</t>
  </si>
  <si>
    <t>Riquelme, N; Díaz-Calderón, P; Luarte, A; Arancibia, C</t>
  </si>
  <si>
    <t>Riquelme, Natalia; Diaz-Calderon, Paulo; Luarte, Alejandro; Arancibia, Carla</t>
  </si>
  <si>
    <t>Effect of Ultrasound Time on Structural and Gelling Properties of Pea, Lupin, and Rice Proteins</t>
  </si>
  <si>
    <t>GELS</t>
  </si>
  <si>
    <t>Plant proteins are garnering interest due to the growing demand for plant-based products, but their functionality in gel-based foods remains limited. Ultrasound (US) technology may improve the technological properties of proteins. Thus, the effect of US treatment time (0-15 min) on the structure and gelling properties of pea, lupin, and rice proteins was evaluated. The results showed that the whiteness (similar to 60%) of all freeze-dried proteins remained unchanged (p &gt; 0.05), regardless of the US time. However, FT-IR analysis revealed progressive reductions in alpha-helix and beta-sheet for pea and lupin proteins (similar to 50%) with US time, indicating partial unfolding. In addition, microstructure analysis showed an similar to 80% reduction in aggregate size for these proteins, while rice protein exhibited minimal changes. Conversely, weak gels were formed with pea and lupin proteins treated after 5 and 10 min of US, respectively, whereas rice protein did not form gels. Furthermore, US treatment time significantly increased (p &lt; 0.05) the mechanical moduli, resulting in more structured gels after longer treatment times (tan delta similar to 0.3 at 15 min of US). These findings suggest that US treatment enhances the gelling properties of pea and lupin proteins, making them more suitable for plant-based food applications such as yogurt or desserts.</t>
  </si>
  <si>
    <t>2310-2861</t>
  </si>
  <si>
    <t>APR 4</t>
  </si>
  <si>
    <t>10.3390/gels11040270</t>
  </si>
  <si>
    <t>WOS:001476106500001</t>
  </si>
  <si>
    <t>Correa, F; Hernández, A; Oliva, J</t>
  </si>
  <si>
    <t>Correa, Francisco; Hernandez, Ankai; Oliva, Julio</t>
  </si>
  <si>
    <t>The Carrollian limit of ModMax electrodynamics</t>
  </si>
  <si>
    <t>We consider the Carrollian limit of ModMax electrodynamics, namely the limit of vanishing speed of light, for the most general, four-dimensional, duality and conformal invariant electromagnetism. The theory is parameterized by a unique real constant gamma, which remains playing a non-trivial role in the magnetic Carrollian case, while it can be removed in the electric Carrollian contraction, and we therefore focus in the former. Applying the technique of Lie point symmetries, we obtain that the magnetic limit is invariant under the Carrollian group, as well as under the local translation in Carrollian time x0 -&gt; x0 ' = x0+f (xi) and xi -&gt; xi ' = xi, with f being an arbitrary function. A diagonal part of the symmetries span the Conformal Carroll algebra of level 2, ccarr2 in four dimensions. Two additional internal symmetries remain in the Carrollian limit of ModMax standing for the conformal invariance of the theory, as well as the invariance under duality transformations.</t>
  </si>
  <si>
    <t>Oliva, Julio/I-2472-2013; Correa, Francisco/S-4564-2018</t>
  </si>
  <si>
    <t>Correa, Francisco/0000-0003-1735-2822</t>
  </si>
  <si>
    <t>DEC 3</t>
  </si>
  <si>
    <t>10.1007/JHEP12(2024)008</t>
  </si>
  <si>
    <t>WOS:001372597100004</t>
  </si>
  <si>
    <t>Rincón, A; Gómez, G</t>
  </si>
  <si>
    <t>Rincon, Angel; Gomez, Gabriel</t>
  </si>
  <si>
    <t>Quasinormal modes and shadow in Einstein Maxwell power-Yang-Mills black hole</t>
  </si>
  <si>
    <t>PHYSICS OF THE DARK UNIVERSE</t>
  </si>
  <si>
    <t>In the present paper, we investigate the quasinormal modes of an Einstein-Maxwell power-Yang-Mills black hole in four dimensions, considering a specific value of the power parameter p = 1/2. This particular case represents a black hole with both Abelian and Non-Abelian charges and is asymptotically non-flat. We begin by deriving the effective potential for both a neutral massless particle and a neutral Dirac particle using the aforementioned black hole solution. Subsequently, employing the sixth-order WKB approximation method, we calculate the (scalar) quasinormal modes. Our numerical analysis indicates that these modes are stable within the considered parameter range. This result is also confirmed using the eikonal approximation. Furthermore, we calculate the shadow radius for this class of BH and derive constraints on the electric and Yang-Mills charges (Q, QYM) YM ) by using imaging observational data for Sgr A?, ? , provided by the Event Horizon Telescope Collaboration. We observe that as the electric charge Q increases, the allowed range shifts towards negative values of QYM. YM . For instance, for the maximum value Q approximate to 1.1 . 1 obtained, the allowed range becomes - 0 . 171 &lt;= Q YM &lt;= -0.087 . 087 consistent with KECK and VLTI data, while still retaining a non-vanishing horizon.</t>
  </si>
  <si>
    <t>Rincon, Angel/L-1189-2019; Gomez, Gabriel/MVW-4321-2025</t>
  </si>
  <si>
    <t>Rincon, Angel/0000-0001-8069-9162; Gomez Diaz, Luis Gabriel/0000-0002-3618-9824</t>
  </si>
  <si>
    <t>2212-6864</t>
  </si>
  <si>
    <t>10.1016/j.dark.2024.101576</t>
  </si>
  <si>
    <t>WOS:001276251200001</t>
  </si>
  <si>
    <t>Gazzano, V; Mardones-Herrera, E; Sáez-Pizarro, N; Armijo, F; Martinez-Rojas, F; Ruiz-León, D; Honores, J; Isaacs, M</t>
  </si>
  <si>
    <t>Gazzano, Valeria; Mardones-Herrera, Elias; Saez-Pizarro, Natalia; Armijo, Francisco; Martinez-Rojas, Francisco; Ruiz-Leon, Domingo; Honores, Jessica; Isaacs, Mauricio</t>
  </si>
  <si>
    <t>Carbon dioxide electrochemical reduction by copper nanoparticles/ionic liquid-based catalytic inks</t>
  </si>
  <si>
    <t>FRONTIERS IN ENVIRONMENTAL CHEMISTRY</t>
  </si>
  <si>
    <t>The development of copper nanoparticle (CuNP)-based catalysts for the electrochemical reduction of carbon dioxide (ECO2-R) offers a promising approach to enhance its transformation into other industrially significant compounds. This study reports ECO2-R at -1.3 V vs RHE using CuNPs and catalytic inks composed of CuNPs and ionic liquids (ILs), observing significant differences in the selectivity of each catalyst. Specifically, CuNPs alone show a preference for producing ethylene and aqueous products, such as formic acid, ethanol, and formaldehyde. In contrast, the addition of ILs to the catalytic system redirects selectivity toward gaseous products, with methane being the main product. These findings highlight the potential to optimize catalyst composition to tailor the selectivity of CO2 conversion processes. ILs modify the catalytic environment and influence reaction pathways, enabling the selection of specific products.</t>
  </si>
  <si>
    <t>Mardones-Herrera, Elias/LKM-3816-2024; Isaacs, Mauricio/N-3027-2013; Armijo, Francisco/B-9331-2017; Martinez, Francisco/ABE-7092-2020; Ruiz, Domingo/H-3818-2011</t>
  </si>
  <si>
    <t>Ruiz Leon, Domingo/0000-0002-0950-6919; Armijo, Francisco/0000-0002-2479-6280; Mardones-Herrera, Elias/0000-0003-4056-1139; Isaacs Casanova, Mauricio/0000-0003-0503-0949; Martinez-Rojas, Francisco/0000-0001-9701-0528</t>
  </si>
  <si>
    <t>2673-4486</t>
  </si>
  <si>
    <t>AUG 27</t>
  </si>
  <si>
    <t>10.3389/fenvc.2024.1447014</t>
  </si>
  <si>
    <t>WOS:001309175700001</t>
  </si>
  <si>
    <t>Cortés-Varas, C; Huidobro, MG; Soto-Lagos, RA</t>
  </si>
  <si>
    <t>Cortes-Varas, Carolina; Huidobro, Maria Gabriela; Soto-Lagos, Rodrigo A.</t>
  </si>
  <si>
    <t>IMAGINARIES AND ROLES OF PHYSICAL EDUCATION IN THE PUBLIC POLICY OF CARLOS IBÁÑEZ DEL CAMPO'S GOVERNMENT, CHILE (1927-1931)</t>
  </si>
  <si>
    <t>The research aims to understand and analyze the social imaginaries and roles associated with physical education, as outlined in the public policies of the first government of Carlos Ib &amp; aacute;&amp; ntilde;ez del Campo (Chile, 1927-1931). This research is carried out through the analysis of political discourses and legislative documents related to physical education between 1927 and 1929. The methodology used is based on discourse analysis. The hypothesis suggests that physical education was approached as a useful tool for the context and challenges of the aforementioned government from three specific perspectives: pedagogical, sports-related, and health- related. These perspectives were believed to contribute to addressing the social issues of the time, reinforcing eugenicist policies, and promoting a sense of national identity and racial improvement, in line with the discourses and global trends of the time.</t>
  </si>
  <si>
    <t>Soto-Lagos, Rodrigo/JSK-1539-2023</t>
  </si>
  <si>
    <t>WOS:001401051100002</t>
  </si>
  <si>
    <t>Polloni, DF; Saldias, FV</t>
  </si>
  <si>
    <t>Polloni, Daniel Faure; Saldias, Francisco Vallejos</t>
  </si>
  <si>
    <t>EMBLEMATIC MEMORIES EXPRESSED IN LOCAL POPULAR HISTORIES OF SANTIAGO DE CHILE (2000-2020)</t>
  </si>
  <si>
    <t>The article seeks to be a contribution to the study of the historical memory of the urban popular class in Chile about the recent past. To do this, the main significant memories, knots of memories and emblematic memories that are expressed in the history that the residents of Santiago have prepared about their recent past are characterized and analyzed, contained in a sample of 28 local population histories edited between the year 2000 and year 2020, productions that tell and interpret the history of 23 popular areas in Santiago founded between 1947 and 1973.</t>
  </si>
  <si>
    <t>WOS:001401051100003</t>
  </si>
  <si>
    <t>Penagos-Llanos, J; Segura, R; de la Vega, AP; Pichun, B; Liendo, F; Riesco, F; Nagles, E</t>
  </si>
  <si>
    <t>Penagos-Llanos, Johisner; Segura, Rodrigo; de la Vega, Amaya Paz; Pichun, Bryan; Liendo, Fabiana; Riesco, Fernando; Nagles, Edgar</t>
  </si>
  <si>
    <t>Electrochemical Determination of Uric Acid Using a Nanocomposite Electrode with Molybdenum Disulfide/Multiwalled Carbon Nanotubes (MoS2@MWCNT)</t>
  </si>
  <si>
    <t>NANOMATERIALS</t>
  </si>
  <si>
    <t>This paper presents an application for a molybdenum disulfide nanomaterial with multiwalled carbon nanotubes (MoS2@MWCNT/E) in a modified electrode substrate for the detection of uric acid (UA). The modified electrode generates a substantial three-fold increase in the anodic peak current for UA compared to the unmodified MWCNT electrode (MWCNT/E). The MoS2@MWCNT/E surface was characterized by cyclic voltammetry (CV), scanning electron microscopy (SEM), energy-dispersive spectroscopy (EDS) and electrochemical impedance spectroscopy (EIS). The achieved detection limit stood at 0.04 mu mol/L, with a relative standard deviation (RSD) of 2.0% (n = 10). The method's accuracy, assessed through relative error and percent recovery, was validated using a urine standard solution spiked with known quantities of UA.</t>
  </si>
  <si>
    <t>Nagles Vidal, Edgar Orlando/0000-0002-2957-2817; Pichun, Bryan/0009-0009-8719-7056; Segura, Rodrigo/0000-0001-5747-2357; Paz de la vega Quiroz, Amaya/0000-0003-3249-6568; Liendo, Fabiana/0000-0002-7131-4440; , Johisner Penagos Llanos/0000-0003-0517-474X; Riesco, Fernando/0000-0002-8473-8912</t>
  </si>
  <si>
    <t>2079-4991</t>
  </si>
  <si>
    <t>10.3390/nano14110958</t>
  </si>
  <si>
    <t>WOS:001246860900001</t>
  </si>
  <si>
    <t>Travieso-Torres, JC; Ricaldi-Morales, AJ; Aguila-Camacho, N</t>
  </si>
  <si>
    <t>Travieso-Torres, Juan Carlos; Ricaldi-Morales, Abdiel Josadac; Aguila-Camacho, Norelys</t>
  </si>
  <si>
    <t>Robust Combined Adaptive Passivity-Based Control for Induction Motors</t>
  </si>
  <si>
    <t>MACHINES</t>
  </si>
  <si>
    <t>The need for industrial and commercial machinery to maintain high torque while accurately following a variable angular speed is increasing. To meet this demand, induction motors (IMs) are commonly used with variable speed drives (VSDs) that employ a field-oriented control (FOC) scheme. Over the last thirty years, IMs have been replacing independent connection direct current motors due to their cost-effectiveness, reduced maintenance needs, and increased efficiency. However, IMs and VSDs exhibit nonlinear behavior, uncertainties, and disturbances. This paper proposes a robust combined adaptive passivity-based control (CAPBC) for this class of nonlinear systems that applies to angular rotor speed and stator current regulation inside an FOC scheme for IMs' VSDs. It uses general Lyapunov-based design energy functions and adaptive laws with sigma-modification to assure robustness after combining control and monitoring variables. Lyapunov's second method and the Barbalat Lemma prove that the control and identification error tends to be zero over time. Moreover, comparative experimental results with a standard proportional-integral controller (PIC) and direct APBC show the proposed CAPBC's effectiveness and robustness under normal and changing conditions.</t>
  </si>
  <si>
    <t>Aguila-Camacho, Norelys/J-4449-2015; Travieso Torres, Juan carlos/N-6437-2019</t>
  </si>
  <si>
    <t>2075-1702</t>
  </si>
  <si>
    <t>10.3390/machines12040272</t>
  </si>
  <si>
    <t>WOS:001210297200001</t>
  </si>
  <si>
    <t>Aoiz, J; Boeri, MD</t>
  </si>
  <si>
    <t>Aoiz, Javier; Boeri, Marcelo D.</t>
  </si>
  <si>
    <t>The evidence of Epicurean πρoληψισ and its Practical Scope</t>
  </si>
  <si>
    <t>AZAFEA-REVISTA DE FILOSOFIA</t>
  </si>
  <si>
    <t>This paper discusses the Epicurean preconception and the issues related to its acquisition and function (both in theoretical and practical domains). The authors argue that in the Epicurean contractual model justice is regarded as a modality of the useful and that the preconception of the just is a canon that validates the laws in the political communities. They also examine the link between language and justice in Epicureanism, focusing first on the role of language in the Epicurean genealogy of justice and, second, on the connections between language learning and the prolepsis of the just in constituted political communities. In this vein, they hold that language learning is a relevant ingredient of experience for understanding the empirical genesis of the Epicurean preconception.</t>
  </si>
  <si>
    <t>Boeri, Marcelo/AAY-7797-2020</t>
  </si>
  <si>
    <t>0213-3563</t>
  </si>
  <si>
    <t>2444-7072</t>
  </si>
  <si>
    <t>10.14201/azafea202426229252</t>
  </si>
  <si>
    <t>WOS:001352095900012</t>
  </si>
  <si>
    <t>Crossier-Guach, A; Huerta, M; Arenas, F; Guerrero, C; Illanes, A; Vera, C</t>
  </si>
  <si>
    <t>Crossier-Guach, Addiel; Huerta, Macarena; Arenas, Felipe; Guerrero, Cecilia; Illanes, Andres; Vera, Carlos</t>
  </si>
  <si>
    <t>Modeling lactulose and epilactose synthesis by a mutant cellobiose 2-epimerase from Caldicellulosiruptor saccharolyticus</t>
  </si>
  <si>
    <t>FOOD AND BIOPRODUCTS PROCESSING</t>
  </si>
  <si>
    <t>The discovery that certain cellobiose 2-epimerases (C2E) are capable of synthesizing lactulose and epilactose with high yield and selectivity has renewed the interest in their biological synthesis. In order to provide a valuable tool for the design and optimization of the synthesis of lactulose and epilactose with C2E as biocatalyst, the reaction is modeled here for the first time. Two competing reaction mechanisms, so called extended and reduced mechanisms, were proposed and their corresponding models developed. The extended mechanism was discarded because of the overfitting of the resulting model. The parameters of the reduced model were successfully estimated by no linear regression at 30, 40, 50, 60 and 70 degrees C, and the temperature dependence of the kinetic parameters was modeled by fitting them to Arrhenius and Vant ' Hoff-type equations. The reduced model showed a good fit to experimental data within the studied temperature range, well describing the course of reactions.</t>
  </si>
  <si>
    <t>Vera Vera, Carlos Felipe/0000-0003-2179-9467; Arenas, Felipe/0000-0001-5604-5919; Guerrero, Cecilia/0000-0002-4701-3525</t>
  </si>
  <si>
    <t>0960-3085</t>
  </si>
  <si>
    <t>1744-3571</t>
  </si>
  <si>
    <t>10.1016/j.fbp.2023.10.002</t>
  </si>
  <si>
    <t>WOS:001106022800001</t>
  </si>
  <si>
    <t>Pais, MR; Veliz-Campos, M; Quiroz, JS</t>
  </si>
  <si>
    <t>Pais, Marcelo Rioseco; Veliz-Campos, Mauricio; Quiroz, Juan Silva</t>
  </si>
  <si>
    <t>Digital competences in chilean Year-1 university students from technical-vocational secondary education (TVSE) and scientific-humanistic secondary education (SHSE).</t>
  </si>
  <si>
    <t>EDUCATION AND INFORMATION TECHNOLOGIES</t>
  </si>
  <si>
    <t>Digital competences are widely regarded as the key competences as defined by various international organizations, such as the European Commission (2018) and the OECD (2022). Given their paramount importance across all facets of contemporary society, a thorough examination of their developmental aspects becomes imperative. The study was conducted at a Chilean state-run university, which stands as the second largest institution in terms of student enrollment. Utilizing a quantitative survey-based methodology, this research study seeks to characterize the level of digital competences among Year-1 students pursuing undergraduate programs. Furthermore, it aims to compare the competence levels of two prominent student groups, distinguished by their distinct secondary schooling pathways, namely, technical-vocational education (TVSE) and scientific-humanistic education (SHSE). For the purpose of data collection, the CompDig-Ped test, aligned with the European framework for digital competences (DigComp), has been employed as the research instrument. The key findings of this study underscore significant disparities in digital competence levels between students originating from SHSE and TVSE secondary school trajectories, with TVSE students demonstrating comparatively lower levels of digital competence. These outcomes are congruent with existing research, which highlights the challenges encountered by technical-vocational secondary education in Chile over an extended period of time.</t>
  </si>
  <si>
    <t>1360-2357</t>
  </si>
  <si>
    <t>1573-7608</t>
  </si>
  <si>
    <t>10.1007/s10639-023-12207-4</t>
  </si>
  <si>
    <t>WOS:001071840400005</t>
  </si>
  <si>
    <t>Nunez, J; Cruchaga, M; Tampier, G</t>
  </si>
  <si>
    <t>Nunez, Jonathan; Cruchaga, Marcela; Tampier, Gonzalo</t>
  </si>
  <si>
    <t>Wave analysis based on genetic algorithms using data collected from laboratories at different scales</t>
  </si>
  <si>
    <t>This paper presents the results of a comparative study of waves generated in water channels and in shaking tank systems with the aim of standardizing the use of different laboratories' facilities and establishing scales for analyzing the evolution of waves under deep water conditions. For this purpose, experimental models are built. The experiments encompass a collection of free surface level measurements obtained from progressive waves in a hydraulic channel and from stationary waves generated by imposing controlled motion to a rectangular tank. The experimental results are also evaluated by contrasting them with analytical correlations. In addition, a model based on a genetic algorithm is proposed to extrapolate the evolution of waves under other physical conditions not measured in the laboratory. The present analysis confirms the viability of wave height comparison between waves generated in a hydraulic channel and those generated by sloshing in a rectangular tank when its natural frequency coincides with the frequency of the progressive wave. Finally, a methodology for establishing a plausible scale for wave comparisons is described and applied. (c) 2022 Elsevier Masson SAS. All rights reserved.</t>
  </si>
  <si>
    <t>Tampier, Gonzalo/CAI-8704-2022; Cruchaga, Marcela/M-7522-2014</t>
  </si>
  <si>
    <t>Nunez, Jonathan/0000-0003-2008-5219; Cruchaga, Marcela/0000-0002-8708-2402; Tampier Brockhaus, Gonzalo/0000-0002-4029-9655</t>
  </si>
  <si>
    <t>10.1016/j.euromechflu.2022.05.006</t>
  </si>
  <si>
    <t>JUN 2022</t>
  </si>
  <si>
    <t>WOS:000811279500002</t>
  </si>
  <si>
    <t>Córdova, FM; Cifuentes, HF; Díaz, HA; Yanine, F; Pereira, R</t>
  </si>
  <si>
    <t>Cordova, Felisa M.; Cifuentes, Hugo F.; Diaz, Hernan A.; Yanine, Fernando; Pereira, Robertino</t>
  </si>
  <si>
    <t>Design of an EEG analytical methodology for the analysis and interpretation of cerebral connectivity signals</t>
  </si>
  <si>
    <t>The objective of this study is to design an Electroencephalographic (EEG) analytic methodology that allows to develop a variety of analysis and interpretations of brain signals. The initial phase considers the acquisition and filtering of EEG signals, the division into bands in data ranges, and the storage of EEG signals in a cloud data base. Then, an analytical phase considering descriptive, predictive and prescriptive analysis is accomplished. A sequence of analytic intermediate processing steps is done in order to render a graphic visualization of significant correlations between pairs of EEG channels. Pearson correlation is utilized to detect synchronic connectivity through the brain areas. Time series in nearly instantaneous time lapses are treated by using Hilbert Huang Transform. An experimental design by submitting a set of students to an abbreviated version Raven visual test is made providing results in correlation maps of cerebral connectivity. (C) 2021 The Authors. Published by Elsevier B.V.</t>
  </si>
  <si>
    <t>Córdova, Felisa/AAK-4280-2020; Yanine, Franco Fernando/G-6909-2015</t>
  </si>
  <si>
    <t>10.1016/j.procs.2022.01.177</t>
  </si>
  <si>
    <t>WOS:000765802100180</t>
  </si>
  <si>
    <t>El Haiek, B; Zoulagh, T; Barbosa, KA; El Hajjaji, A</t>
  </si>
  <si>
    <t>El Haiek, Badreddine; Zoulagh, Taha; Barbosa, Karina A.; El Hajjaji, Ahmed</t>
  </si>
  <si>
    <t>Non-fragile observer-based quantized control for a class of one-sided Lipschitz systems</t>
  </si>
  <si>
    <t>8th IFAC Symposium on Systems Structure and Control (SSSC)</t>
  </si>
  <si>
    <t>SEP 27-30, 2022</t>
  </si>
  <si>
    <t>Montreal, CANADA</t>
  </si>
  <si>
    <t>Int Federat Automat Control, Tech Comm 2 2 Linear Control Syst,Int Federat Automat Control, Tech Comm 1 3 Discrete Event &amp; Hybrid Syst,Int Federat Automat Control, Tech Comm 1 5 Networked Syst,Int Federat Automat Control, Tech Comm 2 1 Control Design,Int Federat Automat Control, Tech Comm 2 3 Non Linear Control Syst,Int Federat Automat Control, Tech Comm 2 5 Robust Control,Int Federat Automat Control, Tech Comm 2 6 Distributed Parameter Syst,Int Federat Automat Control, Tech Comm 4 2 Mechatron Syst,Int Federat Automat Control, Tech Comm 9 4 Control Educ</t>
  </si>
  <si>
    <t>The topic of nonfragile observer design for a class of one-sided Lipschitz nonlinear systems with quantized inputs is investigated in this study. The one-sided Lipschitz and quadratically inner-bounded conditions were used to obtain less conservative synthesis requirements for the observer design. Sufficient conditions, stated in terms of linear matrix inequalities, are supplied using auxiliary variables and a decoupling method to ensure the resilience of the quantized closed-loop. The controller and observer gains may then be found in the same process. An example generated from a nonlinear DC motor model is provided to demonstrate the efficiency of the suggested technique. Copyright (c) 2022 The Authors. This is an open access article under the CC BY-NC-ND license (https://creativecommons.org/licenses/by-nc-nd/4.0/)</t>
  </si>
  <si>
    <t>Barbosa, Karina/A-2236-2014; Zoulagh, Taha/AAT-5521-2020; El Hajjaji, Ahmed/D-6459-2016</t>
  </si>
  <si>
    <t>El Hajjaji, Ahmed/0000-0002-7564-3620; Zoulagh, Taha/0000-0003-4796-2744; El haiek, Badreddine/0000-0003-4776-0894</t>
  </si>
  <si>
    <t>10.1016/j.ifacol.2022.11.321</t>
  </si>
  <si>
    <t>WOS:000903687800023</t>
  </si>
  <si>
    <t>Abejón, R; Casado-Coterillo, C; Garea, A</t>
  </si>
  <si>
    <t>Abejon, Ricardo; Casado-Coterillo, Clara; Garea, Aurora</t>
  </si>
  <si>
    <t>Multiobjective Optimization Based on Distance-to-Target Approach of Membrane Units for Separation of CO2/CH4</t>
  </si>
  <si>
    <t>The effective separation of CO2 and CH4 mixtures is essential for many applications, such as biogas upgrading, natural gas sweetening or enhanced oil recovery. Membrane separations can contribute greatly in these tasks, and innovative membrane materials are being developed for this gas separation. The aim of this work is the evaluation of the potential of two types of highly CO2-permeable membranes (modified commercial polydimethylsiloxane and non-commercial ionic liquid-chitosan composite membranes) whose selective layers possess different hydrophobic and hydrophilic characteristics for the separation of CO2/CH4 mixtures. The study of the technical performance of the selected membranes can provide a better understanding of their potentiality. The optimization of the performance of hollow fiber modules for both types of membranes was carried out by a distance-to-target  approach that considered multiple objectives related to the purities and recovery of both gases. The results demonstrated that the ionic liquid-chitosan composite membranes improved the performance of other innovative membranes, with purity and recovery percentage values of 86 and 95%, respectively, for CO2 in the permeate stream, and 97 and 92% for CH4 in the retentate stream. The developed multiobjective optimization allowed for the determination of the optimal process design and performance parameters, such as the membrane area, pressure ratio and stage cut required to achieve maximum values for component separation in terms of purity and recovery. Since the purities and recoveries obtained were not enough to fulfill the requirements imposed on CO2 and CH4 streams to be directly valorized, the design of more complex multi-stage separation systems was also proposed by the application of this optimization methodology, which is considered as a useful tool to advance the implementation of the membrane separation processes.</t>
  </si>
  <si>
    <t>Garea, Aurora/0000-0002-6356-4298; Casado-Coterillo, Clara/0000-0002-4454-7652; ABEJON, Ricardo/0000-0002-8030-7752</t>
  </si>
  <si>
    <t>10.3390/pr9111871</t>
  </si>
  <si>
    <t>WOS:000725759800001</t>
  </si>
  <si>
    <t>Espinoza, LC; Candia-Onfray, C; Vidal, J; Salazar, R</t>
  </si>
  <si>
    <t>Espinoza, L. Carolina; Candia-Onfray, Christian; Vidal, Jorge; Salazar, Ricardo</t>
  </si>
  <si>
    <t>Influence of the chemical nature of Boron-Doped diamond anodes on wastewater treatments</t>
  </si>
  <si>
    <t>CURRENT OPINION IN SOLID STATE &amp; MATERIALS SCIENCE</t>
  </si>
  <si>
    <t>This review summarizes recent advances in wastewater treatment using BDD anodes, involving different aspects of the chemical nature of the anode that are important during the oxidation of organic compounds in water. Synthesis parameters such as the proportion of diamond (sp3) and graphite (sp2), boron doping level, substrate nature and BDD surface modifications are discussed in this work. The influence of the salts dissolved in water, such as sulphate, carbonate, phosphate and chloride, during the treatment was also described. In addition, a new cycle for the oxidation of pollutants using BDD is included.</t>
  </si>
  <si>
    <t>Candia-Onfray, Christian/AHB-7261-2022; Espinoza, Carolina/HSH-9507-2023; Salazar, Ricardo/L-7870-2013</t>
  </si>
  <si>
    <t>Vidal, Jorge/0000-0002-1334-377X; Espinoza, L. Carolina/0000-0002-6021-0742; Onfray, Christian/0000-0001-5485-9169; Salazar-Gonzalez, Ricardo/0000-0003-2180-6022</t>
  </si>
  <si>
    <t>1359-0286</t>
  </si>
  <si>
    <t>1879-0348</t>
  </si>
  <si>
    <t>10.1016/j.cossms.2021.100963</t>
  </si>
  <si>
    <t>OCT 2021</t>
  </si>
  <si>
    <t>WOS:000712401400001</t>
  </si>
  <si>
    <t>Bohórquez-Ordenes, J; Tapia-Calderón, A; Vasco, DA; Estuardo-Flores, O; Haddad, AN</t>
  </si>
  <si>
    <t>Bohorquez-Ordenes, Juan; Tapia-Calderon, Andres; Vasco, Diego A.; Estuardo-Flores, Oliver; Haddad, Assed N.</t>
  </si>
  <si>
    <t>Methodology to reduce cooling energy consumption by incorporating PCM envelopes: A case study of a dwelling in Chile</t>
  </si>
  <si>
    <t>BUILDING AND ENVIRONMENT</t>
  </si>
  <si>
    <t>The inadequate use of passive thermal conditioning alternatives, such as phase change materials (PCM), in Chile, despite the climatological advantages in various regions of the country and the need to improve thermal comfort indexes in many houses and buildings, is mainly due to cultural and economic reasons. Passive thermal conditioning measures entail economic benefits and an improvement in the quality of life. However, it is perceived as a luxury and not as an investment by many Chileans. We propose an optimized implementation methodology for PCM using a house belonging to the National Housing Monitoring Network (ReNaM) in Santiago, Chile. The strategic use of PCM is based on thermal comfort and occupancy. The proposed methodology improves the thermal comfort indexes and reduces the thermal loads of the building, resulting in lower energy consumption and CO2 emission. The proposed methodology also considers economic aspects to promote PCM as a passive alternative for thermal conditioning.</t>
  </si>
  <si>
    <t>Vasco, Diego/Y-2934-2019; Haddad, Assed/C-9206-2014</t>
  </si>
  <si>
    <t>Haddad, Assed/0000-0002-4793-0905; Vasco, Diego Andres/0000-0001-7456-4683</t>
  </si>
  <si>
    <t>0360-1323</t>
  </si>
  <si>
    <t>1873-684X</t>
  </si>
  <si>
    <t>10.1016/j.buildenv.2021.108373</t>
  </si>
  <si>
    <t>WOS:000705908500003</t>
  </si>
  <si>
    <t>Labra, P; Vargas, M; Céspedes, C</t>
  </si>
  <si>
    <t>Labra, Pascale; Vargas, Miguel; Cespedes, Cristian</t>
  </si>
  <si>
    <t>The University as a Source of Social Capital in Chile</t>
  </si>
  <si>
    <t>This paper investigates the structure and composition of the social network formed on the campus of the Faculty of Economics and Business of Diego Portales University, Chile, exposing a series of characteristics that are aligned with similar research in the field of networks. We use a model of social networks formation in order to understand socioeconomic and academic factors that predict the formation of friendship between two students. Specifically, we test empirically our model, using students' administrative information. Of special interest is the impact of the length of stay of the students in the university, with which we refer to the years completed in the degree course, in the probability of establishing friendship ties where being socioeconomically different is a condition. The mechanism behind a result like this is the sense of belongingness that being part of the same institution may induce amongst students. By means of counterfactual simulations we found evidence in favor that passing through the university increases the probability of forming friendship networks, which can mean a kind of social capital, thus reducing socioeconomic segregation from the Chilean school system. Given the importance of this finding, we believe that policies that increase the sense of belongingness such as cultural events, leaderships programs, and community should be implemented on university campuses.</t>
  </si>
  <si>
    <t>FEB 5</t>
  </si>
  <si>
    <t>10.3389/fpsyg.2021.601143</t>
  </si>
  <si>
    <t>WOS:000619454300001</t>
  </si>
  <si>
    <t>Andrea Duran, Claudia; Eduardo Palominos, Fredi</t>
  </si>
  <si>
    <t>Analysis of synergistic relationships between types of actors in a port system</t>
  </si>
  <si>
    <t>This article deals with a study of the synergistic relationships between groups of public, private and social actors related to the operations of the port system. The results obtained are consistent, consistent with their expectations, do not present any type of atypical behavior and are logically explainable considering the type of interaction and company involved. Since synergy is present in those areas of the companies related to their strategic objectives, it is necessary to find a way to influence to introduce a greater degree of synergy in a natural way, which translates into an economic, social and environmental benefit, without forcing interactions, without introducing more bureaucratic relationships between the actors and without ideological biases, so that it has positive effects on the productive environment. Finally, it is recommended that any intervention in the system be carried out with the participation, agreements and commitments of all interested parties.</t>
  </si>
  <si>
    <t>10.1109/ICAACCA51523.2021.9465182</t>
  </si>
  <si>
    <t>WOS:000855764500128</t>
  </si>
  <si>
    <t>Echeverry, C; Reyes-Parada, M; Scorza, C</t>
  </si>
  <si>
    <t>Monti, JM; PandiPerumal, SR; MurilloRodriguez, E</t>
  </si>
  <si>
    <t>Echeverry, Carolina; Reyes-Parada, Miguel; Scorza, Cecilia</t>
  </si>
  <si>
    <t>Constituents of Cannabis sativa</t>
  </si>
  <si>
    <t>CANNABINOIDS AND SLEEP: MOLECULAR, FUNCTIONAL AND CLINICAL ASPECTS</t>
  </si>
  <si>
    <t>Advances in Experimental Medicine and Biology</t>
  </si>
  <si>
    <t>Cannabis sativa L. is a psychoactive plant that contains more than 500 chemical components. Even though the consumption (in the form of marijuana, hashish, or hashish oil) for recreational purposes, is the most popular way of using the plant, the knowledge of its components has also led to classify Cannabis sativa L. is a plant with medicinal or therapeutical use. Several comprehensive reviews have already been published focused on the chemical composition of Cannabis sativa. In this chapter, we will summarize relevant information about those components, which may help to understand its biological actions that will be described in the following chapters.</t>
  </si>
  <si>
    <t>Echeverry, Carolina/GNO-9877-2022</t>
  </si>
  <si>
    <t>Echeverry, Carolina/0000-0002-3953-4814</t>
  </si>
  <si>
    <t>0065-2598</t>
  </si>
  <si>
    <t>2214-8019</t>
  </si>
  <si>
    <t>978-3-030-61663-2; 978-3-030-61662-5</t>
  </si>
  <si>
    <t>10.1007/978-3-030-61663-2_1</t>
  </si>
  <si>
    <t>10.1007/978-3-030-61663-2</t>
  </si>
  <si>
    <t>WOS:000624289300003</t>
  </si>
  <si>
    <t>Govan, J; Orellana, W; Zagal, JH; Tasca, F</t>
  </si>
  <si>
    <t>Govan, Joseph; Orellana, Walter; Zagal, Jose H.; Tasca, Federico</t>
  </si>
  <si>
    <t>Penta-coordinated transition metal macrocycles as electrocatalysts for the oxygen reduction reaction</t>
  </si>
  <si>
    <t>The oxygen reduction reaction (ORR) is a highly important reaction in electrochemistry. The following short review details recent advances in novel non-precious metal catalysts containing transition metal macrocycles for use in the ORR. Unbound, many of these electrodes were found to generate high levels of side products such as O-2(-) and H2O2 via 2-electron processes, and for this reason, it is aimed to create systems which would favor a 4-electron process which would completely convert oxygen to H2O. The 4-electron reduction of O-2 releases the most energy in a fuel cell. Novel catalytic materials containing metal macrocycles were created mimicking the structure of enzyme metal centers, the metal in the macrocycle bound to a fifth axial ligand. These structures were observed to exhibit improved catalytic activity, and in the case of cobalt, phthalocyanine systems were observed to move away from the inefficient 2-electron process towards the more complete 4-electron process in alkaline media. Both experimental results (XPS, EPR, cyclic voltammetry and polarization curves) and theoretical models were gathered for various pentacoordinate systems and various electronic effects of the axial ligand on metal center were proposed. Penta-coordinate macrocycles are an important tool for further manipulating and tuning the electronic behavior of transition metal centers for catalysis of the ORR.</t>
  </si>
  <si>
    <t>Govan, Joseph/AAR-4394-2021; Orellana, Walter/F-2068-2014; zagal, jose/L-9648-2014; Tasca, Federico/J-4134-2015</t>
  </si>
  <si>
    <t>Orellana, Walter/0000-0002-6897-3875; Govan, Joseph/0000-0001-7668-1883; Tasca, Federico/0000-0002-4111-4624</t>
  </si>
  <si>
    <t>10.1007/s10008-019-04489-x</t>
  </si>
  <si>
    <t>WOS:000607354200003</t>
  </si>
  <si>
    <t>Rodríguez-Rodríguez, F; Roblero, SM; Ferrari, GLD</t>
  </si>
  <si>
    <t>Rodriguez-Rodriguez, Fernando; Molina Roblero, Sebastian; de Moraes Ferrari, Gerson Luis</t>
  </si>
  <si>
    <t>Organized recess as a strategy to improve physical activity levels and physical condition in adolescents</t>
  </si>
  <si>
    <t>RETOS-NUEVAS TENDENCIAS EN EDUCACION FISICA DEPORTE Y RECREACION</t>
  </si>
  <si>
    <t>The purpose of this project was to identify the effects of an intervention during school recesses on physical condition and physical activity in Chilean adolescents. Fifty volunteer students (27 girls) participated, with an average of 14.2 +/- 1.3 years. Control group (n=21) and intervention group (n=29). Targeted activities were carried out in the schoolyard during the two recesses in the morning, for 12 weeks. Pre and post test, the 20m shuttle run test, manual dynamometry, body composition, PAQ-A questionnaire and accelerometry were evaluated. The intervention group (GI), had better levels of physical activity than the control group (GC), during recess, physical education class, lunch time and steps/day (p &lt;0.05). In conclusion, the active participation during recesses can increase minutes of moderate-vigorous physical activity and improve cardiorespiratory fitness.</t>
  </si>
  <si>
    <t>Ferrari, Gerson/ABG-6635-2021; RODRIGUEZ, FERNANDO/F-2842-2016; Ferrari, Gerson/P-1152-2014</t>
  </si>
  <si>
    <t>RODRIGUEZ, FERNANDO/0000-0002-4999-4857; Ferrari, Gerson/0000-0003-3177-6576</t>
  </si>
  <si>
    <t>1579-1726</t>
  </si>
  <si>
    <t>1988-2041</t>
  </si>
  <si>
    <t>WOS:000577179700001</t>
  </si>
  <si>
    <t>Chicaiza, C; Huaraca, L; Almeida-Naranjo, CE; Guerrero, VH; Villamar, CA</t>
  </si>
  <si>
    <t>Chicaiza, C.; Huaraca, L.; Almeida-Naranjo, C. E.; Guerrero, V. H.; Villamar, C. A.</t>
  </si>
  <si>
    <t>Improvement of organic matter and nutrient removal from domestic wastewater by using intermittent hydraulic rates on earthworm-microorganism biofilters</t>
  </si>
  <si>
    <t>WATER SCIENCE AND TECHNOLOGY</t>
  </si>
  <si>
    <t>Biofilters based on earthworms-microorganisms represent, particularly in developing countries, an interesting alternative for domestic wastewater treatment due to their easy operation and low cost. However, there are several operational aspects that should be better understood in order to improve their performance. This paper studies the effect of using intermittent hydraulic loading rates to improve organic matter and nutrient removal from domestic wastewater using these biofilters. Three laboratory-scale columns, operating at a 2.5 m(3)m(-2)day(-1)hydraulic loading rate, were used. The B1-24 h, B2-8 h, B(3-4 h)column loading rates indicate that the columns were operated continuously for 24, 8 and 4 h, respectively. Each column (biomass biofilm/earthworms, redox potential, and head loss) and its corresponding operational performance parameters (TCOD, NH4+, NO3-, NO2-, TP) were monitored. The results showed that the B(2-8 h)intermittent hydraulic loading rate results in the best global performance, with 74%, 57%, and 20% average removal efficiencies for TCOD, nitrogen, and phosphorus, respectively. Moreover, it showed the best biomass growth (biofilm and earthworms), activity (as redox potential changes) and the lowest clogging effects (up to -1.0 cm). The intermittent operation influences the behavior of the earthworm-microorganism biofilters and offers the possibility of optimizing its global performance and achieving a resilient technology.</t>
  </si>
  <si>
    <t>Villamar, Cristina Alejandra/0000-0003-4654-0670; Guerrero, Victor/0000-0002-5656-2606; Almeida Naranjo, Cristina Elizabeth/0000-0002-1066-6661</t>
  </si>
  <si>
    <t>0273-1223</t>
  </si>
  <si>
    <t>1996-9732</t>
  </si>
  <si>
    <t>10.2166/wst.2020.139</t>
  </si>
  <si>
    <t>WOS:000573908500008</t>
  </si>
  <si>
    <t>Hidden symmetry and (super)conformal mechanics in a monopole background</t>
  </si>
  <si>
    <t>We study classical and quantum hidden symmetries of a particle with electric charge e in the background of a Dirac monopole of magnetic charge g subjected to an additional central potential V (r) = U (r) + (eg)(2)/2mr(2) with U (r) = 12 m omega(2)r(2), similar to that in the one-dimensional conformal mechanics model of de Alfaro, Fubini and Furlan (AFF). By means of a non-unitary conformal bridge transformation, we establish a relation of the quantum states and of all symmetries of the system with those of the system without harmonic trap, U (r) = 0. Introducing spin degrees of freedom via a very special spin-orbit coupling, we construct the sop(2|2) superconformal extension of the system with unbroken N = 2 Poincare supersymmetry and show that two different superconformal extensions of the one-dimensional AFF model with unbroken and spontaneously broken supersymmetry have a common origin. We also show a universal relationship between the dynamics of a Euclidean particle in an arbitrary central potential U (r) and the dynamics of a charged particle in a monopole background subjected to the potential V (r).</t>
  </si>
  <si>
    <t>APR 6</t>
  </si>
  <si>
    <t>10.1007/JHEP04(2020)028</t>
  </si>
  <si>
    <t>WOS:000525170700003</t>
  </si>
  <si>
    <t>Yurisch, KA; Soto, KR; Fuenzalida, CR</t>
  </si>
  <si>
    <t>Arias Yurisch, Karina; Retamal Soto, Karina; Ramos Fuenzalida, Camila</t>
  </si>
  <si>
    <t>COVID-19: NETWORK EFFECTIVENESS OF INTERMUNICIPAL SELF-ORGANIZED RESPONSE IN CHILE</t>
  </si>
  <si>
    <t>TRANSYLVANIAN REVIEW OF ADMINISTRATIVE SCIENCES</t>
  </si>
  <si>
    <t>In the context of the Covid-19 pandemic, public officials are called on to implement different strategies in order to respond effectively. One of the lessons of emergency management research is that effective response is unikely without colaboration. Research on coilaborative emergency management has focused on measuring the effectiveness of intergovernmental and intersectoral relationships, but little is known about the performance of inter-jurisdictional collaboration. This paper seeks to measure the network effectiveness of intermunicipal self-organized response to Covid-19. It uses a network analysis approach to compare planned and actual emergency management networks operating in the Santiago Metropolitan Region of Chile. Content analysis of 202 formal agreements established by municpalites in 2009-2019 was used to capture the panned network. The actual network was depicted by collecting original data through an online survey that represented the 96% of the local governments located in this Latin American city. The results show a structural gap between planned and actual networks and reveal effectiveness problems associated with the disaster preparedness phase. However, an emergent intermunicipal network has supported collaborative response to the Covid-19 pandemic. The study provides lessons for policymakers, public managers and researchers in the coilaborative emergency management field.</t>
  </si>
  <si>
    <t>Retamal Soto, Karina/CAF-8671-2022; Arias-Yurisch, Karina/LYP-0383-2024</t>
  </si>
  <si>
    <t>Ramos-Fuenzalida, Camila/0000-0002-7974-4891; Retamal-Soto, Karina/0000-0001-8663-6744; Arias-Yurisch, Karina/0000-0001-9820-6581</t>
  </si>
  <si>
    <t>1842-2845</t>
  </si>
  <si>
    <t>2247-8310</t>
  </si>
  <si>
    <t>10.24193/tras.SI2020.1</t>
  </si>
  <si>
    <t>WOS:000592999200001</t>
  </si>
  <si>
    <t>Rodríguez, JC; Ortiz, C; Broitman, C</t>
  </si>
  <si>
    <t>Carlos Rodriguez, Juan; Ortiz, Claudia; Broitman, Claudio</t>
  </si>
  <si>
    <t>Chile, mining country. Social license and places of enunciation in the socioenvironmental conflicts in Chile</t>
  </si>
  <si>
    <t>The discussion about Chile, mining country is necessary to open the debate beyond the sectorial and disciplinary vision, and to consider the need of agreements between direct and indirect stakeholders involved in the extractive activity. The visualization of the mining activity inserted in the local and regional dimensions, can help to minimize the negative impacts of the mining cycle that is framed in an extractivist model for exportation. By doing this, it will be possible to foster meeting spaces about the involved dimensions beyond the merely productive aspects. Posing a territorial planning need, recognizing different ontologies and another State participation, the stakeholders could monitor the mining activities' performances. A mining industry that includes environmental aspects, the rights of people, communities and public opinion can be legitimized by a reformulation of the political, productive, economic and environmental culture.</t>
  </si>
  <si>
    <t>Arriaga-Rodriguez, Juan/J-1897-2019</t>
  </si>
  <si>
    <t>WOS:000614863100126</t>
  </si>
  <si>
    <t>Aponte, GAP; López, LJR; Garcia, ABR</t>
  </si>
  <si>
    <t>Puerta Aponte, Gabriel Alberto; Ramirez Lopez, Leonardo Juan; Rodriguez Garcia, Arturo Benito</t>
  </si>
  <si>
    <t>Analysis of Colombia's Telemedicine Development, the Postconflict Potential Opportunity</t>
  </si>
  <si>
    <t>TELEMEDICINE AND E-HEALTH</t>
  </si>
  <si>
    <t>Aims: The goal of this study was to evaluate the development of telemedicine in Colombia. Materials and Methods: Searched for laws in the Colombian legal system; the statistics of services and health operators was extracted from the unique system of habilitation; we looked for reports from the Ministry of Information and Communication Technologies (ICT), the demographic statistics was obtained from the National Administrative Department of Statistics. Data analysis techniques were applied to identify possible relationships between them. Results: In Colombia, since the proclamation of the legality of telemedicine in 2007, there are five laws, five resolutions, and three government plans. A total of 3,245 services have been implemented in telemedicine, distributed throughout the territory by 51,490 operators, the ICT penetration rate is 21.17% by fixed internet and 39.3% by mobile internet; the Colombian population is 49,882,091 people, 25,228,444 women and 24,605,796 men, who are distributed 76.97% in the urban sector and 23.02% in the rural sector, and the coverage of health services is 94.8%. Conclusion: The development of health services in the telemedicine modality has been driven by Colombian regulations since 2007 and the plans for the growth of ICT infrastructure since 2009; however, these services have not yet reached 100% of the territory, especially areas with difficult access. The Colombian peace agreement creates the National Rural Health Plan (PNSR), which is presented as the obligation to carry out health coverage in all the territories, especially those in the rural areas, for the implementation of the strategy related to the implementation of services in telemedicine.</t>
  </si>
  <si>
    <t>1530-5627</t>
  </si>
  <si>
    <t>1556-3669</t>
  </si>
  <si>
    <t>10.1089/tmj.2018.0317</t>
  </si>
  <si>
    <t>WOS:000506495400005</t>
  </si>
  <si>
    <t>Schmeda-Hirschmann, G; Theoduloz, C; Jiménez-Aspee, F; Echeverría, J</t>
  </si>
  <si>
    <t>Schmeda-Hirschmann, Guillermo; Theoduloz, Cristina; Jimenez-Aspee, Felipe; Echeverria, Javier</t>
  </si>
  <si>
    <t>Bioactive Constituents from South American Prosopis and their Use and Toxicity</t>
  </si>
  <si>
    <t>CURRENT PHARMACEUTICAL DESIGN</t>
  </si>
  <si>
    <t>Background: The pods from several South American Prosopis species have been considered relevant food in arid and semi-arid South America since prehistoric times. Traditionally the meal from the pods was processed to prepare different foods and beverages. Objective: The objective was to discuss literature from the archaeological evidence of use to study the chemistry and (bio)activity of the extracts and secondary metabolites occurring in different Prosopis food products. Methods: The review was carried out by searching electronic databases, including ScienceDirect, SciFinder, Scopus, Scielo, Cioogle Scholar, PubMed and hand-search on literature. The review mainly covers studies performed in the year 1995-2019 and the first-hand experience of the authors. References on the historical and prehistorical uses of the natural resource were also included. Results: In the last decades, most studies on the edible South American Prosopis focused on the constituents of pods meal, traditional preparations and by-products. Total 45 flavonoids, ellagic acid derivatives, catechin and simple phenolics were identified. Alkaloids occur mainly in the leaves, that are not used for human nutrition but as food for domestic animals. Piperidine alkaloids, tryptamine, tyramine and beta-phenethylamine were isolated and identified from several species. The (bio)activity studies included mainly the antioxidant effect, antiinflammatory and enzyme inhibition associated with metabolic syndrome. The products showed no toxicity or mutagenic effect. Conclusion: While data on the chemistry, some (bio)activities and toxicity are available for the pods meal and byproducts, little is known about the composition of the fermented Algarrobo beverages. Further studies are needed on the digestion of Algarrobo products both in humans and cattle.</t>
  </si>
  <si>
    <t>Aspee, Felipe/ABA-2948-2020; Schmeda-Hirschmann, Guillermo/G-1046-2010; Echeverría, Javier/AAK-3323-2020; Jimenez Aspee, Felipe/G-6955-2017</t>
  </si>
  <si>
    <t>Echeverria, Javier/0000-0002-1688-968X; Jimenez Aspee, Felipe/0000-0002-7285-7033</t>
  </si>
  <si>
    <t>1381-6128</t>
  </si>
  <si>
    <t>1873-4286</t>
  </si>
  <si>
    <t>10.2174/1381612826666200102143755</t>
  </si>
  <si>
    <t>WOS:000521508200003</t>
  </si>
  <si>
    <t>Edwards, J; Martin, F</t>
  </si>
  <si>
    <t>Edwards, Jose; Martin, Felipe</t>
  </si>
  <si>
    <t>THE HISTORY OF ECONOMICS JOURNAL DATABASE COMPLEMENT 1969-2009 USER GUIDE</t>
  </si>
  <si>
    <t>JOURNAL OF THE HISTORY OF ECONOMIC THOUGHT</t>
  </si>
  <si>
    <t>1053-8372</t>
  </si>
  <si>
    <t>1469-9656</t>
  </si>
  <si>
    <t>10.1017/S1053837219000440</t>
  </si>
  <si>
    <t>WOS:000512650800008</t>
  </si>
  <si>
    <t>Adasme, Pablo; Firoozabadi, Ali Dehghan</t>
  </si>
  <si>
    <t>Facility Location with Tree Topology and Radial Distance Constraints</t>
  </si>
  <si>
    <t>Let GdV,Ed be an input disk graph with a set of facility nodes V and a set of edges Ed connecting facilities in V. In this paper, we minimize the total connection cost distances between a set of customers and a subset of facility nodes S subset of V and among facilities in S, subject to the condition that nodes in S simultaneously form a spanning tree and an independent set according to graphs G over bar d and Gd, respectively, where G over bar d is the complement of Gd. Four compact polynomial formulations are proposed based on classical and set covering p-Median formulations. However, the tree to be formed with S is modelled with Miller-Tucker-Zemlin (MTZ) and path orienteering constraints. Example domains where the proposed models can be applied include complex wireless and wired network communications, warehouse facility location, electrical power systems, water supply networks, and transportation networks, to name a few. The proposed models are further strengthened with clique valid inequalities which can be obtained in polynomial time for disk graphs. Finally, we propose Kruskal-based heuristics and metaheuristics based on guided local search and simulated annealing strategies. Our numerical results indicate that only the MTZ constrained models allow obtaining optimal solutions for instances with up to 200 nodes and 1000 users. In particular, tight lower bounds are obtained with all linear relaxations, e.g., less than 6% for most of the instances compared to the optimal solutions. In general, the MTZ constrained models outperform path orienteering ones. However, the proposed heuristics and metaheuristics allow obtaining near-optimal solutions in significantly short CPU time and tight feasible solutions for large instances of the problem.</t>
  </si>
  <si>
    <t>Dehghan Firoozabadi, Ali/0000-0002-6391-6863; Adasme, Pablo/0000-0003-2500-3294</t>
  </si>
  <si>
    <t>10.1155/2019/9723718</t>
  </si>
  <si>
    <t>WOS:000501206700003</t>
  </si>
  <si>
    <t>Çalhan, A; Deniz, S; Romero, J; Hasanoglu, A</t>
  </si>
  <si>
    <t>Calhan, Aslihan; Deniz, Sennur; Romero, Julio; Hasanoglu, Ayca</t>
  </si>
  <si>
    <t>Development of metal organic framework filled PDMS/PI composite membranes for biobutanol recovery</t>
  </si>
  <si>
    <t>KOREAN JOURNAL OF CHEMICAL ENGINEERING</t>
  </si>
  <si>
    <t>Butanol is a second generation biofuel with high potential to replace fossil fuels in the future. The main drawbacks in biobutanol production are the low yields of operation and high cost of separation. In this study, n-butanol recovery from its aqueous solutions was carried out by pervaporation as an alternative separation process using polyimide supported polydimethylsiloxane membranes, which were especially prepared for this purpose. To enhance the separation efficiency of the membrane, metal organic framework fillers of MOF-199 were included in its structure. Several combinations of polyimide supported PDMS active layered membranes were prepared with the fillers in each layer of the membrane, in both layers of membrane and membranes without fillers. Thus, the effect of the fillers on the separation performance was investigated. It was found that the inclusion of MOF-199 enhances the membrane performance; meanwhile, the support layer also contributes to mass transfer of n-butanol. Furthermore, the effect of the process parameters on the pervaporation performance was investigated. Results of pervaporation tests indicate that the developed membranes have a good potential for n-butanol recovery from aqueous mixtures.</t>
  </si>
  <si>
    <t>DENIZ, SENNUR/AAZ-4695-2020; Hasanoğlu, Ayça/AAZ-4636-2020; Romero, Julio/I-6705-2013; Calhan, Aslihan/LQJ-8800-2024</t>
  </si>
  <si>
    <t>Hasanoglu, Ayca/0000-0002-2988-8504; DENIZ, SENNUR/0000-0002-6314-1105; Romero, Julio/0000-0002-1229-1592</t>
  </si>
  <si>
    <t>0256-1115</t>
  </si>
  <si>
    <t>1975-7220</t>
  </si>
  <si>
    <t>10.1007/s11814-019-0327-6</t>
  </si>
  <si>
    <t>WOS:000483704500013</t>
  </si>
  <si>
    <t>Stephan, DA; Duquette, FJ</t>
  </si>
  <si>
    <t>Aurenque Stephan, Diana; Jaran Duquette, Francois</t>
  </si>
  <si>
    <t>Sickness as a human trait. Towards a consideration of disease as existential phenomena</t>
  </si>
  <si>
    <t>In this contribution we investigate the scope and consequences that arise from applying Heidegger in the field of philosophy of medicine. For this purpose, the paper is divided in the following points: First, we will make explicit the meaning of an anthropologization of Heidegger's thought. Second, an overview of the most significant contemporary theories of health and disease in the field of theory of medicine will be offered. Third, we will interpret the meaning of disease from a Heideggerian perspective. Finally, 4) we will offer some critical reflections offered in relation to the analysis.</t>
  </si>
  <si>
    <t>10.32735/S0718-220120180004700172</t>
  </si>
  <si>
    <t>WOS:000463347400012</t>
  </si>
  <si>
    <t>Ortega, N; Valencia, C</t>
  </si>
  <si>
    <t>Ortega, N.; Valencia, C.</t>
  </si>
  <si>
    <t>Secrecy Capacity Bounds Analysis for Physical Layer Security Based on Game Theory</t>
  </si>
  <si>
    <t>A wireless communication aided with Cooperative Jamming in order to enhance Physical Layer security is modeled with Game Theory, using Secrecy Capacity as payment function. To completely take in account the inherent randomness of the wireless channel, a Second Order Cone Programming deterministic equivalent is derived from the game resulting probabilistic optimization problem. Results show how upper and lower bounds of the secrecy capacity, associated to the game values, can be used to characterize the system. Suggested mixed strategies are implemented and compared with pure strategies, and it's shown that performance of mixed strategies, in terms of outage probability, lays exactly between the performances of pure strategies.</t>
  </si>
  <si>
    <t>Ortega, Nicolas/KFS-5752-2024</t>
  </si>
  <si>
    <t>10.1109/TLA.2018.8789559</t>
  </si>
  <si>
    <t>WOS:000480361900011</t>
  </si>
  <si>
    <t>Neag, MA; Mocan, A; Echeverría, J; Pop, RM; Bocsan, CI; Crisan, G; Buzoianu, AD</t>
  </si>
  <si>
    <t>Neag, Maria A.; Mocan, Andrei; Echeverria, Javier; Pop, Raluca M.; Bocsan, Corina I.; Crisan, Gianina; Buzoianu, Anca D.</t>
  </si>
  <si>
    <t>Berberine: Botanical Occurrence, Traditional Uses, Extraction Methods, and Relevance in Cardiovascular, Metabolic, Hepatic, and Renal Disorders</t>
  </si>
  <si>
    <t>Berberine-containing plants have been traditionally used in different parts of the world for the treatment of inflammatory disorders, skin diseases, wound healing, reducing fevers, affections of eyes, treatment of tumors, digestive and respiratory diseases, and microbial pathologies. The physico-chemical properties of berberine contribute to the high diversity of extraction and detection methods. Considering its particularities this review describes various methods mentioned in the literature so far with reference to the most important factors influencing berberine extraction. Further, the common separation and detection methods like thin layer chromatography, high performance liquid chromatography, and mass spectrometry are discussed in order to give a complex overview of the existing methods. Additionally, many clinical and experimental studies suggest that berberine has several pharmacological properties, such as immunomodulatory, antioxidative, cardioprotective, hepatoprotective, and renoprotective effects. This review summarizes the main information about botanical occurrence, traditional uses, extraction methods, and pharmacological effects of berberine and berberine-containing plants.</t>
  </si>
  <si>
    <t>Mocan, Andrei/AAT-8274-2021; Crisan, Gianina/AAM-3334-2020; Neag, Maria/AAG-8261-2020; Echeverría, Javier/AAK-3323-2020; Pop, Raluca/I-4639-2019; Bocsan, Ioana/AAO-3935-2020; Buzoianu, Anca Dana/M-1050-2017</t>
  </si>
  <si>
    <t>Pop, Raluca Maria/0000-0003-1899-5977; Buzoianu, Anca Dana/0000-0002-3511-2788; Echeverria, Javier/0000-0002-1688-968X</t>
  </si>
  <si>
    <t>AUG 21</t>
  </si>
  <si>
    <t>10.3389/fphar.2018.00557</t>
  </si>
  <si>
    <t>WOS:000442217300001</t>
  </si>
  <si>
    <t>Huiliñir, C; Medina, R; Montalvo, S; Castillo, A; Guerrero, L</t>
  </si>
  <si>
    <t>Huilinir, Cesar; Medina, Rodrigo; Montalvo, Silvio; Castillo, Alejandra; Guerrero, Lorna</t>
  </si>
  <si>
    <t>Biological nitrification in the presence of sulfide and organic matter: effect of zeolite on the process in a batch system</t>
  </si>
  <si>
    <t>BACKGROUNDEven though the nitrification process is inhibited in the presence of sulfide and organic matter, few efforts have been reported to overcome this weakness. The present work has the goal of determining the effect of zeolite (2.5, 5, 10 and 15 g L-1) as an improver of the nitrification process in the presence of sulfide and organic matter in a batch system. RESULTSThe inhibitory effect of both sulfide and organic matter on the nitrification process was decreased by 53% when using zeolite, with the best results at a zeolite concentration of 15 g L-1. No total ammonia nitrogen (TAN) adsorption on the zeolite was observed under these conditions, with TAN removal taking place mainly by biological oxidation. Specific nitrate production rate increased by 37.73% compared with the control. Sulfide was oxidized chemically in all the assays, with sulfate as the main product, while COD reduction and VSS production were not affected by zeolite. CONCLUSIONSZeolite can be used to improve nitrification in batch systems in the presence of sulfur and organic matter, obtaining a faster TAN removal rate and higher specific nitrate production compared with the controls. (c) 2018 Society of Chemical Industry</t>
  </si>
  <si>
    <t>10.1002/jctb.5587</t>
  </si>
  <si>
    <t>WOS:000436870200037</t>
  </si>
  <si>
    <t>Travieso-Torres, JC; Duarte-Mermoud, MA; Gutiérrez-Osorio, A; Beytía, O</t>
  </si>
  <si>
    <t>Carlos Travieso-Torres, Juan; Duarte-Mermoud, Manuel A.; Gutierrez-Osorio, Antonio; Beytia, Orlando</t>
  </si>
  <si>
    <t>Passivity Based Control of a Class of Nonlinear Systems and its Application to the Level Regulation of a Conical Tank</t>
  </si>
  <si>
    <t>REVISTA IBEROAMERICANA DE AUTOMATICA E INFORMATICA INDUSTRIAL</t>
  </si>
  <si>
    <t>An adaptive passivity-based controller (APBC) and a non-adaptive passivity-based controller (PBC) are proposed in this paper. In contrast to PBC, the APBC strategy does not make use of the knowledge of the values of the plant parameters. Both strategies are also designed and applied to the level regulation of a conical tank, discussing the experimental results obtained after performing an experimental comparative study to verify the behavior of the system under control and to demonstrate the advantages and disadvantages of the controllers. The results show that the design of the APBC is simpler than the design of PBC controllers by not requiring the knowledge of the plant parameters; it is also more robust in front of variations of a plant parameter.</t>
  </si>
  <si>
    <t>1697-7912</t>
  </si>
  <si>
    <t>1697-7920</t>
  </si>
  <si>
    <t>10.4995/riai.2017.8976</t>
  </si>
  <si>
    <t>WOS:000427042700004</t>
  </si>
  <si>
    <t>Abarca, RL; Rodríguez, FJ; Guarda, A; Galotto, MJ; Bruna, JE; Perez, MAF; Felipe, FRS; Padula, M</t>
  </si>
  <si>
    <t>Abarca, Romina L.; Rodriguez, Francisco J.; Guarda, Abel; Galotto, Maria J.; Bruna, Julio E.; Favaro Perez, Mary A.; Souza Felipe, Fabiana Ramos; Padula, Marisa</t>
  </si>
  <si>
    <t>Application of β-Cyclodextrin/2-Nonanone Inclusion Complex as Active Agent to Design of Antimicrobial Packaging Films for Control of Botrytis cinerea</t>
  </si>
  <si>
    <t>The aim of this study was to develop, characterize and evaluate in vitro the efficacy of active films, based on an inclusion complex formed by beta-cyclodextrin, 2-nonanone and two polymer matrices (polylactic acid and low density polyethylene). The different films were characterized by scanning electronic microscopy (SEM), differential scanning calorimetry (DSC), themogravimetric analysis (TGA), optical properties and antimicrobial activity against B. cinerea. The results showed important differences in the parameters evaluated where the level of agglomerates of additives was a key to explain these changes. Finally, microbiological analysis showed high effectiveness in reducing the Botrytis cinerea growth. The active films developed in this study were able to inhibit the growth of phytopathogenic fungus B. cinerea at different experimental conditions. The studied films have potential use for packaging fresh fruit susceptible to biological attack by this fungus.</t>
  </si>
  <si>
    <t>bruna, julio/AAM-6867-2021; Abarca, Romina/AAF-9196-2019; Rodríguez, Francisco/I-5283-2018</t>
  </si>
  <si>
    <t>Rodriguez-Mercado, Francisco/0000-0002-0530-6653; Padula, Marisa/0000-0003-2892-2034; Bruna, Julio E./0000-0001-9656-6022</t>
  </si>
  <si>
    <t>10.1007/s11947-017-1926-z</t>
  </si>
  <si>
    <t>WOS:000406743900001</t>
  </si>
  <si>
    <t>Fed-batch operation for the synthesis of lactulose with β-galactosidase of Aspergillus oryzae</t>
  </si>
  <si>
    <t>Fed-batch synthesis of lactulose from lactose and fructose with Aspergillus oryzae beta-galactosidase was evaluated, obtaining a concentration of 40.4 g.L-1, which is 20% higher than obtained in batch, while the concentration of transgalactosylated oligosaccharides (TOS) was reduced by 98%. Therefore, selectivity of lactulose synthesis can be significantly higher by operating in fed-batch mode. The enzyme-limiting substrate mass ratio (E/S) is a critical variable in fed-batch operation. Higher values favor lactose hydrolysis over transgalactosylation, being 400 IU/g the limit for proper lactulose synthesis in fed-batch operation. Selectivity of lactulose synthesis increased with E/S being quite high at 800 IUH.g(1) or higher. However, this increase was obtained at the expense of lactulose yield. Lactulose synthesis in fed-batch operation was a better option than conventional batch synthesis, since higher product concentration and selectivity of lactulose over TOS synthesis were obtained. (C) 2017 Elsevier Ltd. All rights reserved.</t>
  </si>
  <si>
    <t>10.1016/j.biortech.2017.01.042</t>
  </si>
  <si>
    <t>WOS:000402482600017</t>
  </si>
  <si>
    <t>Parada, L; Herrera, C; Flores, P; Parada, V</t>
  </si>
  <si>
    <t>Parada, Leandro; Herrera, Carlos; Flores, Paulo; Parada, Victor</t>
  </si>
  <si>
    <t>Wind farm layout optimization using a Gaussian-based wake model</t>
  </si>
  <si>
    <t>The wind farm layout optimization problem has received considerable attention over the past two decades. The objective of this problem is to determine the wind farm layout that maximizes the annual energy generated. The majority of studies that have solved this problem simulated the velocity deficit using the Jensen wake model. However, this model is not in agreement with field measurements and computational fluid dynamics simulations. In this study, an approach to solve the wind farm layout optimization problem based on a Gaussian wake model is proposed. The Gaussian wake model uses an exponential function to evaluate the velocity deficit, in contrast to the Jensen wake model that assumes a uniform velocity profile inside the wake. The proposed approach minimizes the annual cost of energy of a wind farm using a genetic algorithm. The application of the proposed approach yields higher annual generation and a lower computational time for all wind scenarios under study. Under a more complex wind scenario, the improvement was relatively small. This suggests that the use of a more robust wake model in the WFLO problem, does not lead to greater efficiency in real wind cases. (C) 2017 Elsevier Ltd. All rights reserved.</t>
  </si>
  <si>
    <t>Parada, Victor/M-5840-2014; Herrera, Carlos/AAF-9657-2021; Flores, Joao/HRA-4424-2023</t>
  </si>
  <si>
    <t>Parada, Leandro/0000-0003-0571-0178; Herrera, Carlos/0000-0003-1369-9861</t>
  </si>
  <si>
    <t>10.1016/j.renene.2017.02.017</t>
  </si>
  <si>
    <t>WOS:000396946900046</t>
  </si>
  <si>
    <t>Calvez, M; Wiest, B</t>
  </si>
  <si>
    <t>Calvez, Matthieu; Wiest, Bert</t>
  </si>
  <si>
    <t>Curve graphs and Garside groups</t>
  </si>
  <si>
    <t>GEOMETRIAE DEDICATA</t>
  </si>
  <si>
    <t>We present a simple construction which associates to every Garside group a metric space, called the additional length graph, on which the group acts. These spaces share important features with curve graphs: they are -hyperbolic, infinite, and typically locally infinite graphs. We conjecture that, apart from obvious counterexamples, additional length graphs have always infinite diameter. We prove this conjecture for the classical example of braid groups ; moreover, in this framework, reducible and periodic braids act elliptically, and at least some pseudo-Anosov braids act loxodromically. We conjecture that for , the additional length graph is actually quasi-isometric to the curve graph of the n times punctured disk.</t>
  </si>
  <si>
    <t>Calvez, Matthieu/F-8329-2016</t>
  </si>
  <si>
    <t>Calvez, Matthieu/0000-0002-7059-3062</t>
  </si>
  <si>
    <t>0046-5755</t>
  </si>
  <si>
    <t>1572-9168</t>
  </si>
  <si>
    <t>10.1007/s10711-016-0213-x</t>
  </si>
  <si>
    <t>WOS:000400074400011</t>
  </si>
  <si>
    <t>Jara-Hermosilla, D; Barros-Vásquez, D; Muñoz-Rojas, A; Castro-Morales, S; Ortiz-Calderòn, C</t>
  </si>
  <si>
    <t>Jara-Hermosilla, D.; Barros-Vasquez, D.; Munoz-Rojas, A.; Castro-Morales, S.; Ortiz-Calderon, C.</t>
  </si>
  <si>
    <t>Enzymatic reduction of hydrogen peroxide on Polypogon australis plants grown in a copper mining liquid waste</t>
  </si>
  <si>
    <t>SOUTH AFRICAN JOURNAL OF BOTANY</t>
  </si>
  <si>
    <t>This study was undertaken to characterize the status of H2O2-reducing enzyme activity in the metallophyte plant species Polypogon australis when treated with a mining liquid waste (MLW) derived from a copper mine. In order to determine the effect of the solubility of some metals present in the MLW the accumulation of the elements, the variation of H2O2 and lipoperoxidation levels, and their relationship with theH(2)O(2) reduction activity was studied in P. australis plants at pH 5.1 (acidic MLW) and at pH 6.7 (neutral MLW) during two weeks. Plants treated with the acidic MLW showed an elevated copper and zinc accumulation in their tissues. Oxidation of lipids determined by themalondialdehyde (MDA) content increased during the first half hour in the roots of the treated plants, and remained constant to the end of the treatment. In leaves of the treated plants, MDA levels steadily increased throughout the treatment. H2O2 levels increased during the first 2 h of the treatment, then decreased and reached values close to that observed in untreated control plants. The increase of copper in the roots of the plants treated with the acidic MLW and the H2O2 levels detected in the tissues was correlated with the activity of H2O2-reducing enzymes. The results show that the treatment of the plants with the MLW but not the solubility of metals provokes an increase of the H2O2 content in the tissues and triggers the enzymatic control of H2O2 levels. (C) 2016 SAAB. Published by Elsevier B.V. All rights reserved.</t>
  </si>
  <si>
    <t>0254-6299</t>
  </si>
  <si>
    <t>1727-9321</t>
  </si>
  <si>
    <t>10.1016/j.sajb.2016.12.017</t>
  </si>
  <si>
    <t>WOS:000400465400006</t>
  </si>
  <si>
    <t>Romaniuk, K</t>
  </si>
  <si>
    <t>Romaniuk, Katarzyna</t>
  </si>
  <si>
    <t>Call option compensation and managers' intertemporal risk-taking behaviour</t>
  </si>
  <si>
    <t>QUANTITATIVE FINANCE</t>
  </si>
  <si>
    <t>1469-7688</t>
  </si>
  <si>
    <t>1469-7696</t>
  </si>
  <si>
    <t>10.1080/14697688.2016.1190031</t>
  </si>
  <si>
    <t>WOS:000393330100001</t>
  </si>
  <si>
    <t>Ramos-Moore, E; Rosenkranz, A; Matamala, LF; Videla, A; Durán, A; Ramos-Grez, J</t>
  </si>
  <si>
    <t>Mucklich, F; Bahre, D; Oden, M; Varna, J; Ayadi, Z; Anglada, M; Pierson, JF; Horwat, D</t>
  </si>
  <si>
    <t>Ramos-Moore, E.; Rosenkranz, A.; Matamala, L. F.; Videla, A.; Duran, A.; Ramos-Grez, J.</t>
  </si>
  <si>
    <t>Effect of surface etching and electrodeposition of copper on nitinol</t>
  </si>
  <si>
    <t>INTERNATIONAL MATERIALS RESEARCH MEETING IN THE GREATER REGION: CURRENT TRENDS IN THE CHARACTERISATION OF MATERIALS AND SURFACE MODIFICATION</t>
  </si>
  <si>
    <t>IOP Conference Series-Materials Science and Engineering</t>
  </si>
  <si>
    <t>International Materials Research Meeting in the Greater Region - Current Trends in the Characterisation of Materials and Surface Modification</t>
  </si>
  <si>
    <t>APR 06-07, 2017</t>
  </si>
  <si>
    <t>Saarland Univ, Saarbrucken, GERMANY</t>
  </si>
  <si>
    <t>EEIGM,Erasmus Mundus Adv Mat Sci &amp; Engn Master Program,Erasmus Mundus Doct Program Mat Sci &amp; Engn,DAAD,German French Univ,EUSMAT,Univ Lorraine,Univ Politecnica Catalunya, Barcelonatech,Lulea Univ Technol,Linkoping Univ,Univ Franco Allemande, Deutsch Franzosische Hochschule,Erasmus+ Programme European Union</t>
  </si>
  <si>
    <t>Saarland Univ</t>
  </si>
  <si>
    <t>Nitinol-based materials are very promising for medical and dental applications since those materials can combine shape memory, corrosion resistance, biocompatibility and antibacterial properties. In particular, surface modifications and coating deposition can be used to tailor and to unify those properties. We report preliminary results on the study of the effect of surface etching and electrodeposition of Copper on Nitinol using optical, chemical and thermal techniques. The results show that surface etching enhances the surface roughness of Nitinol, induces the formation of Copper-based compounds at the Nitinol-Copper interface, reduces the austenitic-martensitic transformations enthalpies and reduces the Copper coating roughness. Further studies are needed in order to highlight the influence of the electrodeposited Copper on the memory shape properties of NiTi.</t>
  </si>
  <si>
    <t>Ramos-Moore, Esteban/A-7521-2012; Ramos-Grez, Jorge/F-9007-2013; Rosenkranz, Andreas/K-9997-2018; Videla, Alvaro/E-1533-2014</t>
  </si>
  <si>
    <t>Rosenkranz, Andreas/0000-0002-9006-1127; Videla, Alvaro/0000-0002-6785-5818; Matamala, Felipe/0000-0002-6584-017X; Ramos-Moore, Esteban/0000-0001-5521-5162</t>
  </si>
  <si>
    <t>1757-8981</t>
  </si>
  <si>
    <t>10.1088/1757-899X/258/1/012009</t>
  </si>
  <si>
    <t>WOS:000419391600009</t>
  </si>
  <si>
    <t>Gómez, M; González, A; Sáez, CA; Moenne, A</t>
  </si>
  <si>
    <t>Gomez, Melissa; Gonzalez, Alberto; Saez, Claudio A.; Moenne, Alejandra</t>
  </si>
  <si>
    <t>Copper-Induced Membrane Depolarizations Involve the Induction of Mosaic TRP Channels, Which Activate VDCC Leading to Calcium Increases in Ulva compressa</t>
  </si>
  <si>
    <t>FRONTIERS IN PLANT SCIENCE</t>
  </si>
  <si>
    <t>The marine macroalga Ulva compressa (Chlorophyceae) is a cosmopolitan species, tolerant to heavy metals, in particular to copper. U. compressa was cultivated with 10 mu M copper for 12 h and membrane depolarization events were detected. First, seven depolarization events occurred at 4, 8, 12-13, 80, and 86 min, and at 5 and 9 h of copper exposure. Second, bathocuproine sulphonate, a specific copper-chelating compound, was added before incorporating copper to the culture medium. Copper induced depolarizations were inhibited by bathocuproine at 4, 8, 12-13, 80, and 86 min, but not at 5 and 9 h, indicating that initial events are due to copper ions entry. Third, specific inhibitors of human TRPA1, C4, C5, M8, and V1corresponding to HC030031, ML204, SKF96363, M8B, and capsazepin, respectively, were used to analyze whether copper-induced depolarizations were due to activation of transient receptor potentials (TRPs). Inhibitor effects indicate that the seven depolarizations involved the activation of functional mosaic TRPs that displayed properties similar to human TRPA, C, M, and/or V. Finally, inhibition of copper-induced depolarizations using specific TRP inhibitors suppressed calcium increases at 2, 3, and 12 h due to activation of voltage-dependent calcium channels (VDCCs). Thus, copper induces seven depolarization events that involve activation of mosaic TRPs which, in turn, activates VDCC leading to calcium increases at 2, 3, and 12 h in U. compressa.</t>
  </si>
  <si>
    <t>Gonzalez Figueroa, Alberto/0000-0002-5777-9022; Saez, Claudio/0000-0002-5037-3484</t>
  </si>
  <si>
    <t>1664-462X</t>
  </si>
  <si>
    <t>JUN 14</t>
  </si>
  <si>
    <t>10.3389/fpls.2016.00754</t>
  </si>
  <si>
    <t>WOS:000377647300001</t>
  </si>
  <si>
    <t>Montalvo, S; Huiliñir, C; Ojeda, F; Castillo, A; Lillo, L; Guerrero, L</t>
  </si>
  <si>
    <t>Montalvo, S.; Huilinir, C.; Ojeda, F.; Castillo, A.; Lillo, L.; Guerrero, L.</t>
  </si>
  <si>
    <t>Microaerobic pretreatment of sewage sludge: Effect of air flow rate, pretreatment time and temperature on the aerobic process and methane generation</t>
  </si>
  <si>
    <t>INTERNATIONAL BIODETERIORATION &amp; BIODEGRADATION</t>
  </si>
  <si>
    <t>The effect of air flow rate (AFR), pretreatment time, and temperature on a microaerobic pretreatment were determined, including its effect on CH4 generation. For this, four AFR (0.1, 0.3, 0.5 and 1 vvm), three temperatures (20, 25 and 35 degrees C) and three aeration times (24, 48 and 60 h) were evaluated in 1-L and 5-L bioreactors. The effect on CH4 production was evaluated in 280-mL bioreactors, using previously aerated sewage sludge. It was found that the micro-aerobic pretreatment improves the hydrolytic process, with an increase of proteins, total sugars, soluble chemical oxygen demand (COD), and a greater removal of volatile suspended solids (VSS) compared to a system without aeration. It was determined that an AFR = 0.3 vvm, 48 h of aeration time, and a temperature of 35 degrees C were the best operational conditions for increasing hydrolysis rate. VSS removal under the aerobic pretreatment follows first order kinetics. Finally, the aeration pretreatment allows a 211% increase of methane generation compared to a process without pretreatment, improving also total COD and VSS removal. (C) 2016 Elsevier Ltd. All rights reserved.</t>
  </si>
  <si>
    <t>0964-8305</t>
  </si>
  <si>
    <t>1879-0208</t>
  </si>
  <si>
    <t>10.1016/j.ibiod.2016.01.010</t>
  </si>
  <si>
    <t>WOS:000376694100001</t>
  </si>
  <si>
    <t>Predictive control of the bubble size distribution in a two-phase pilot flotation column</t>
  </si>
  <si>
    <t>Among the gas dispersion properties affecting flotation column behavior, the bubble size distribution (BSD) is one of the most important. Its control could positively contribute to optimize the metallurgical performance. Experimental tests are carried out in a laboratory flotation column working with air and water. The objective is to regulate the BSD to a desired distribution set-point. BSD is measured in real-time using an image analysis method and a dynamic non-linear model (Wiener) for BSD, based on a log-normal distribution, is identified. Finally, a constrained model predictive controller is designed to control the BSD. The proposed approach leads to good control results, thus confirming the possibility to use this strategy to optimize the valuable mineral recovery by adequately selecting the BSD for a given particle size distribution. (C) 2016 Elsevier Ltd. All rights reserved.</t>
  </si>
  <si>
    <t>10.1016/j.mineng.2016.01.014</t>
  </si>
  <si>
    <t>WOS:000372679800010</t>
  </si>
  <si>
    <t>Díaz, H; Rivas, G; Córdova, FM; Palominos, F; Cañete, L; Troncoso, N</t>
  </si>
  <si>
    <t>Diaz M, Hernan; Rivas, Gustavo; Cordova, Felisa M.; Palominos, Fredi; Canete, Lucio; Troncoso, Natalia</t>
  </si>
  <si>
    <t>Specialized Brains Performing Specialized Tasks: Beta/Gamma EEG Non-linear Analysis Reveals Discriminative Differences between the Chaos/no-chaos Content of Specialized Brain's Dynamics</t>
  </si>
  <si>
    <t>We studied and compared different non-linear features of the human EEG in the context of the search and characterization of specific functional fingerprints of the EEG dynamics that allow differentiating behaviorally recognized specialized professional activities. Sets of EEG data obtained from two groups of professional performers, a group of 10 professional modern dancers and a group of 12 professional chopper pilots, were compared while executing a mental-cognitive task related to their professional specialty. Dancers were asked to use mental imagination to plan choreographic movements and pilots were asked to solve a reduced version of the Raven's matrices visual intelligent test. Both tasks were analyzed during the first two minutes while EEG activity was recorded from 14 mastoid bone referenced electrodes using the brain-computer interface Emotiv (R) Epoc Research Edition, sampling at 128 Hz rate. Dancers and pilots were then compared in term of their long- and short-term Hurst (H) exponent estimation for beta and gamma EEG ranges. We found that non-linear estimation of chaos in the EEG time series allows differentiating between the brain functional strategies employed by differently specialized groups of performers. The group of pilots showed higher estimated H values for the beta band than for gamma band, contrary to what we found for dancers in which estimated H for gamma band showed higher values than for beta range. (C) 2016 The Authors. Published by Elsevier B. V.</t>
  </si>
  <si>
    <t>CORDOVA, FELISA/S-1093-2019; Arratia, Lucio/AAV-6112-2020; Palominos, Fredi/U-4690-2019</t>
  </si>
  <si>
    <t>Palominos, Fredi/0000-0002-6119-4991; CORDOVA, FELISA/0000-0002-5557-8569; Canete Arratia, Lucio/0000-0002-1191-8728</t>
  </si>
  <si>
    <t>10.1016/j.procs.2016.07.086</t>
  </si>
  <si>
    <t>WOS:000387683300097</t>
  </si>
  <si>
    <t>Neira-Carrillo, A; Vásquez-Quitral, P; Sánchez, M; Vargas-Fernández, A; Silva, J</t>
  </si>
  <si>
    <t>Neira-Carrillo, Andronico; Vasquez-Quitral, Patricio; Sanchez, Marianela; Vargas-Fernandez, Andres; Francisco Silva, Juan</t>
  </si>
  <si>
    <t>Control of calcium oxalate morphology through electrocrystallization as an electrochemical approach for preventing pathological disease</t>
  </si>
  <si>
    <t>IONICS</t>
  </si>
  <si>
    <t>Pathological crystallization of calcium oxalate (CaOx) inside the urinary tract is called calculi or kidney stone (Urolithiasis). CaOx exhibits three crystalline types in nature: CaOx monohydrate COM, dihydrate COD and trihydrate COT. COD and COM are often found in urinary calculi, particularly COM. Electrocrystallization has been recently used to perform oriented crystallization of inorganic compounds such as Ca-salts. Although many mineralization methods exist, the mechanisms involved in the control of CaOx polymorphism still remain unclear. Herein, we induced selective electrocrystallization of COD by modifying the electrical current, time and electrochemical cell type. By combining above factors, we established an efficient method without the use of additives for stabilizing non-pathological CaOx crystals. We found notorious stabilization of CaOx polymorphisms with hierarchically complex shape with nano-organization assembly, size and aggregated crystalline particles. Our results demonstrated that, by using an optimized electrochemical approach, this technique could have great potential for studying the nucleation and crystal growth of CaOx through functionalized synthetic polymers, and to develop a novel pathway to evaluate new calculi preventing-compound inhibitors.</t>
  </si>
  <si>
    <t>Vásquez-Quitral, Patricio/H-8921-2013</t>
  </si>
  <si>
    <t>0947-7047</t>
  </si>
  <si>
    <t>1862-0760</t>
  </si>
  <si>
    <t>10.1007/s11581-015-1558-0</t>
  </si>
  <si>
    <t>WOS:000362969100013</t>
  </si>
  <si>
    <t>Robles, FAB; Chacon, M; Panerai, RB</t>
  </si>
  <si>
    <t>Robles, F. A. Bello; Chacon, M.; Panerai, R. B.</t>
  </si>
  <si>
    <t>Critical closing pressure as a proxy for PaCO2 in non-linear multivariate models for estimation of dynamic cerebral autoregulation and cerebrovascular reactivity</t>
  </si>
  <si>
    <t>JOURNAL OF THE NEUROLOGICAL SCIENCES</t>
  </si>
  <si>
    <t>22nd World Congress of Neurology (WCN)</t>
  </si>
  <si>
    <t>OCT 31-NOV 05, 2015</t>
  </si>
  <si>
    <t>0022-510X</t>
  </si>
  <si>
    <t>1878-5883</t>
  </si>
  <si>
    <t>E366</t>
  </si>
  <si>
    <t>10.1016/j.jns.2015.08.1313</t>
  </si>
  <si>
    <t>WOS:000384634802131</t>
  </si>
  <si>
    <t>Almost automorphic solutions of dynamic equations on time scales (vol 265, pg 2267, 2013)</t>
  </si>
  <si>
    <t>Lizama, Carlos/0000-0002-9807-1100; Godoy Mesquita, Jaqueline/0000-0002-1255-9384</t>
  </si>
  <si>
    <t>10.1016/j.jfa.2015.06.021</t>
  </si>
  <si>
    <t>WOS:000360253200013</t>
  </si>
  <si>
    <t>Lazo, E; Saavedra, E; Humire, F; Castro, C; Cortés-Cortés, F</t>
  </si>
  <si>
    <t>Lazo, Edmundo; Saavedra, Eduardo; Humire, Fernando; Castro, Cristobal; Cortes-Cortes, Francisco</t>
  </si>
  <si>
    <t>Localization properties of transmission lines with generalized Thue-Morse distribution of inductances</t>
  </si>
  <si>
    <t>We study the localization properties of direct transmission lines when we distribute two values of inductances L-A and L-B according to a generalized Thue-Morse aperiodic sequence generated by the inflation rule: A -&gt; AB(m-1), B -&gt; BA(m-1), m &gt;= 2 and integer. We regain the usual Thue-Morse sequence for m = 2. We numerically study the changes produced in the localization properties of the I (omega) electric current function with increasing m values. We demonstrate that the m = 2 case does not belong to the family m &gt;= 3, because when m changes from m = 2 to m = 3, the number of extended states decreases significantly. However, for m &gt;&gt; 3, the localization properties become similar to the m = 2 case. Also, the &lt; T &gt; frequency averaged transmission coefficient shows a strong dependence from the N system size and from the m value which characterize each m-tupling sequence. In addition, for all m value studied, using the scaling behavior of the xi(omega) normalized participation number, the R-q (omega) Renyi entropies and the mu(q) (omega) moments, we have demonstrated the existence of extended states for certain specific frequencies.</t>
  </si>
  <si>
    <t>Castro, Cristóbal/K-3428-2015; Saavedra, Eduardo/IQS-4264-2023</t>
  </si>
  <si>
    <t>Saavedra Diaz, Eduardo Andres/0000-0002-2842-2526; Humire, Fernando/0000-0002-8054-3149</t>
  </si>
  <si>
    <t>10.1140/epjb/e2015-60080-y</t>
  </si>
  <si>
    <t>WOS:000360508800005</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</si>
</sst>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2" width="8.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ht="12.75" customHeight="1">
      <c r="A2" s="1" t="s">
        <v>72</v>
      </c>
      <c r="B2" s="1" t="s">
        <v>73</v>
      </c>
      <c r="C2" s="1" t="s">
        <v>74</v>
      </c>
      <c r="D2" s="1" t="s">
        <v>74</v>
      </c>
      <c r="E2" s="1" t="s">
        <v>74</v>
      </c>
      <c r="F2" s="1" t="s">
        <v>73</v>
      </c>
      <c r="G2" s="1" t="s">
        <v>74</v>
      </c>
      <c r="H2" s="1" t="s">
        <v>74</v>
      </c>
      <c r="I2" s="1" t="s">
        <v>75</v>
      </c>
      <c r="J2" s="1" t="s">
        <v>76</v>
      </c>
      <c r="K2" s="1" t="s">
        <v>74</v>
      </c>
      <c r="L2" s="1" t="s">
        <v>74</v>
      </c>
      <c r="M2" s="1" t="s">
        <v>74</v>
      </c>
      <c r="N2" s="1" t="s">
        <v>74</v>
      </c>
      <c r="O2" s="1" t="s">
        <v>74</v>
      </c>
      <c r="P2" s="1" t="s">
        <v>74</v>
      </c>
      <c r="Q2" s="1" t="s">
        <v>74</v>
      </c>
      <c r="R2" s="1" t="s">
        <v>74</v>
      </c>
      <c r="S2" s="1" t="s">
        <v>74</v>
      </c>
      <c r="T2" s="1" t="s">
        <v>74</v>
      </c>
      <c r="U2" s="1" t="s">
        <v>74</v>
      </c>
      <c r="V2" s="1" t="s">
        <v>74</v>
      </c>
      <c r="W2" s="1" t="s">
        <v>74</v>
      </c>
      <c r="X2" s="1" t="s">
        <v>74</v>
      </c>
      <c r="Y2" s="1" t="s">
        <v>74</v>
      </c>
      <c r="Z2" s="1" t="s">
        <v>74</v>
      </c>
      <c r="AA2" s="1" t="s">
        <v>77</v>
      </c>
      <c r="AB2" s="1" t="s">
        <v>74</v>
      </c>
      <c r="AC2" s="1" t="s">
        <v>74</v>
      </c>
      <c r="AD2" s="1" t="s">
        <v>74</v>
      </c>
      <c r="AE2" s="1" t="s">
        <v>74</v>
      </c>
      <c r="AF2" s="1" t="s">
        <v>74</v>
      </c>
      <c r="AG2" s="1" t="s">
        <v>74</v>
      </c>
      <c r="AH2" s="1" t="s">
        <v>74</v>
      </c>
      <c r="AI2" s="1" t="s">
        <v>74</v>
      </c>
      <c r="AJ2" s="1" t="s">
        <v>74</v>
      </c>
      <c r="AK2" s="1" t="s">
        <v>74</v>
      </c>
      <c r="AL2" s="1" t="s">
        <v>74</v>
      </c>
      <c r="AM2" s="1" t="s">
        <v>74</v>
      </c>
      <c r="AN2" s="1" t="s">
        <v>74</v>
      </c>
      <c r="AO2" s="1" t="s">
        <v>78</v>
      </c>
      <c r="AP2" s="1" t="s">
        <v>74</v>
      </c>
      <c r="AQ2" s="1" t="s">
        <v>74</v>
      </c>
      <c r="AR2" s="1" t="s">
        <v>74</v>
      </c>
      <c r="AS2" s="1" t="s">
        <v>74</v>
      </c>
      <c r="AT2" s="1" t="s">
        <v>74</v>
      </c>
      <c r="AU2" s="1">
        <v>1979.0</v>
      </c>
      <c r="AV2" s="1">
        <v>17.0</v>
      </c>
      <c r="AW2" s="1">
        <v>7.0</v>
      </c>
      <c r="AX2" s="1" t="s">
        <v>74</v>
      </c>
      <c r="AY2" s="1" t="s">
        <v>74</v>
      </c>
      <c r="AZ2" s="1" t="s">
        <v>74</v>
      </c>
      <c r="BA2" s="1" t="s">
        <v>74</v>
      </c>
      <c r="BB2" s="1">
        <v>1891.0</v>
      </c>
      <c r="BC2" s="1">
        <v>1900.0</v>
      </c>
      <c r="BD2" s="1" t="s">
        <v>74</v>
      </c>
      <c r="BE2" s="1" t="s">
        <v>79</v>
      </c>
      <c r="BF2" s="2" t="str">
        <f>HYPERLINK("http://dx.doi.org/10.1002/pol.1979.170170701","http://dx.doi.org/10.1002/pol.1979.170170701")</f>
        <v>http://dx.doi.org/10.1002/pol.1979.170170701</v>
      </c>
      <c r="BG2" s="1" t="s">
        <v>74</v>
      </c>
      <c r="BH2" s="1" t="s">
        <v>74</v>
      </c>
      <c r="BI2" s="1" t="s">
        <v>74</v>
      </c>
      <c r="BJ2" s="1" t="s">
        <v>74</v>
      </c>
      <c r="BK2" s="1" t="s">
        <v>74</v>
      </c>
      <c r="BL2" s="1" t="s">
        <v>74</v>
      </c>
      <c r="BM2" s="1" t="s">
        <v>74</v>
      </c>
      <c r="BN2" s="1" t="s">
        <v>74</v>
      </c>
      <c r="BO2" s="1" t="s">
        <v>74</v>
      </c>
      <c r="BP2" s="1" t="s">
        <v>74</v>
      </c>
      <c r="BQ2" s="1" t="s">
        <v>74</v>
      </c>
      <c r="BR2" s="1" t="s">
        <v>74</v>
      </c>
      <c r="BS2" s="1" t="s">
        <v>80</v>
      </c>
      <c r="BT2" s="1" t="str">
        <f>HYPERLINK("https%3A%2F%2Fwww.webofscience.com%2Fwos%2Fwoscc%2Ffull-record%2FWOS:A1979HA72500001","View Full Record in Web of Science")</f>
        <v>View Full Record in Web of Science</v>
      </c>
    </row>
    <row r="3" ht="12.75" customHeight="1">
      <c r="A3" s="1" t="s">
        <v>72</v>
      </c>
      <c r="B3" s="1" t="s">
        <v>81</v>
      </c>
      <c r="C3" s="1" t="s">
        <v>74</v>
      </c>
      <c r="D3" s="1" t="s">
        <v>74</v>
      </c>
      <c r="E3" s="1" t="s">
        <v>74</v>
      </c>
      <c r="F3" s="1" t="s">
        <v>82</v>
      </c>
      <c r="G3" s="1" t="s">
        <v>74</v>
      </c>
      <c r="H3" s="1" t="s">
        <v>74</v>
      </c>
      <c r="I3" s="1" t="s">
        <v>83</v>
      </c>
      <c r="J3" s="1" t="s">
        <v>84</v>
      </c>
      <c r="K3" s="1" t="s">
        <v>74</v>
      </c>
      <c r="L3" s="1" t="s">
        <v>74</v>
      </c>
      <c r="M3" s="1" t="s">
        <v>74</v>
      </c>
      <c r="N3" s="1" t="s">
        <v>74</v>
      </c>
      <c r="O3" s="1" t="s">
        <v>74</v>
      </c>
      <c r="P3" s="1" t="s">
        <v>74</v>
      </c>
      <c r="Q3" s="1" t="s">
        <v>74</v>
      </c>
      <c r="R3" s="1" t="s">
        <v>74</v>
      </c>
      <c r="S3" s="1" t="s">
        <v>74</v>
      </c>
      <c r="T3" s="1" t="s">
        <v>74</v>
      </c>
      <c r="U3" s="1" t="s">
        <v>74</v>
      </c>
      <c r="V3" s="1" t="s">
        <v>85</v>
      </c>
      <c r="W3" s="1" t="s">
        <v>74</v>
      </c>
      <c r="X3" s="1" t="s">
        <v>74</v>
      </c>
      <c r="Y3" s="1" t="s">
        <v>74</v>
      </c>
      <c r="Z3" s="1" t="s">
        <v>74</v>
      </c>
      <c r="AA3" s="1" t="s">
        <v>74</v>
      </c>
      <c r="AB3" s="1" t="s">
        <v>74</v>
      </c>
      <c r="AC3" s="1" t="s">
        <v>74</v>
      </c>
      <c r="AD3" s="1" t="s">
        <v>74</v>
      </c>
      <c r="AE3" s="1" t="s">
        <v>74</v>
      </c>
      <c r="AF3" s="1" t="s">
        <v>74</v>
      </c>
      <c r="AG3" s="1" t="s">
        <v>74</v>
      </c>
      <c r="AH3" s="1" t="s">
        <v>74</v>
      </c>
      <c r="AI3" s="1" t="s">
        <v>74</v>
      </c>
      <c r="AJ3" s="1" t="s">
        <v>74</v>
      </c>
      <c r="AK3" s="1" t="s">
        <v>74</v>
      </c>
      <c r="AL3" s="1" t="s">
        <v>74</v>
      </c>
      <c r="AM3" s="1" t="s">
        <v>74</v>
      </c>
      <c r="AN3" s="1" t="s">
        <v>74</v>
      </c>
      <c r="AO3" s="1" t="s">
        <v>86</v>
      </c>
      <c r="AP3" s="1" t="s">
        <v>87</v>
      </c>
      <c r="AQ3" s="1" t="s">
        <v>74</v>
      </c>
      <c r="AR3" s="1" t="s">
        <v>74</v>
      </c>
      <c r="AS3" s="1" t="s">
        <v>74</v>
      </c>
      <c r="AT3" s="1" t="s">
        <v>88</v>
      </c>
      <c r="AU3" s="1">
        <v>2025.0</v>
      </c>
      <c r="AV3" s="1">
        <v>20.0</v>
      </c>
      <c r="AW3" s="1">
        <v>2.0</v>
      </c>
      <c r="AX3" s="1" t="s">
        <v>74</v>
      </c>
      <c r="AY3" s="1" t="s">
        <v>74</v>
      </c>
      <c r="AZ3" s="1" t="s">
        <v>74</v>
      </c>
      <c r="BA3" s="1" t="s">
        <v>74</v>
      </c>
      <c r="BB3" s="1" t="s">
        <v>74</v>
      </c>
      <c r="BC3" s="1" t="s">
        <v>74</v>
      </c>
      <c r="BD3" s="1">
        <v>7017.0</v>
      </c>
      <c r="BE3" s="1" t="s">
        <v>89</v>
      </c>
      <c r="BF3" s="2" t="str">
        <f>HYPERLINK("http://dx.doi.org/10.15837/ijccc.2025.2.7017","http://dx.doi.org/10.15837/ijccc.2025.2.7017")</f>
        <v>http://dx.doi.org/10.15837/ijccc.2025.2.7017</v>
      </c>
      <c r="BG3" s="1" t="s">
        <v>74</v>
      </c>
      <c r="BH3" s="1" t="s">
        <v>74</v>
      </c>
      <c r="BI3" s="1" t="s">
        <v>74</v>
      </c>
      <c r="BJ3" s="1" t="s">
        <v>74</v>
      </c>
      <c r="BK3" s="1" t="s">
        <v>74</v>
      </c>
      <c r="BL3" s="1" t="s">
        <v>74</v>
      </c>
      <c r="BM3" s="1" t="s">
        <v>74</v>
      </c>
      <c r="BN3" s="1" t="s">
        <v>74</v>
      </c>
      <c r="BO3" s="1" t="s">
        <v>74</v>
      </c>
      <c r="BP3" s="1" t="s">
        <v>74</v>
      </c>
      <c r="BQ3" s="1" t="s">
        <v>74</v>
      </c>
      <c r="BR3" s="1" t="s">
        <v>74</v>
      </c>
      <c r="BS3" s="1" t="s">
        <v>90</v>
      </c>
      <c r="BT3" s="1" t="str">
        <f>HYPERLINK("https%3A%2F%2Fwww.webofscience.com%2Fwos%2Fwoscc%2Ffull-record%2FWOS:001455084900003","View Full Record in Web of Science")</f>
        <v>View Full Record in Web of Science</v>
      </c>
    </row>
    <row r="4" ht="12.75" customHeight="1">
      <c r="A4" s="1" t="s">
        <v>72</v>
      </c>
      <c r="B4" s="1" t="s">
        <v>91</v>
      </c>
      <c r="C4" s="1" t="s">
        <v>74</v>
      </c>
      <c r="D4" s="1" t="s">
        <v>74</v>
      </c>
      <c r="E4" s="1" t="s">
        <v>74</v>
      </c>
      <c r="F4" s="1" t="s">
        <v>92</v>
      </c>
      <c r="G4" s="1" t="s">
        <v>74</v>
      </c>
      <c r="H4" s="1" t="s">
        <v>74</v>
      </c>
      <c r="I4" s="1" t="s">
        <v>93</v>
      </c>
      <c r="J4" s="1" t="s">
        <v>94</v>
      </c>
      <c r="K4" s="1" t="s">
        <v>74</v>
      </c>
      <c r="L4" s="1" t="s">
        <v>74</v>
      </c>
      <c r="M4" s="1" t="s">
        <v>74</v>
      </c>
      <c r="N4" s="1" t="s">
        <v>74</v>
      </c>
      <c r="O4" s="1" t="s">
        <v>74</v>
      </c>
      <c r="P4" s="1" t="s">
        <v>74</v>
      </c>
      <c r="Q4" s="1" t="s">
        <v>74</v>
      </c>
      <c r="R4" s="1" t="s">
        <v>74</v>
      </c>
      <c r="S4" s="1" t="s">
        <v>74</v>
      </c>
      <c r="T4" s="1" t="s">
        <v>74</v>
      </c>
      <c r="U4" s="1" t="s">
        <v>74</v>
      </c>
      <c r="V4" s="1" t="s">
        <v>95</v>
      </c>
      <c r="W4" s="1" t="s">
        <v>74</v>
      </c>
      <c r="X4" s="1" t="s">
        <v>74</v>
      </c>
      <c r="Y4" s="1" t="s">
        <v>74</v>
      </c>
      <c r="Z4" s="1" t="s">
        <v>74</v>
      </c>
      <c r="AA4" s="1" t="s">
        <v>74</v>
      </c>
      <c r="AB4" s="1" t="s">
        <v>96</v>
      </c>
      <c r="AC4" s="1" t="s">
        <v>74</v>
      </c>
      <c r="AD4" s="1" t="s">
        <v>74</v>
      </c>
      <c r="AE4" s="1" t="s">
        <v>74</v>
      </c>
      <c r="AF4" s="1" t="s">
        <v>74</v>
      </c>
      <c r="AG4" s="1" t="s">
        <v>74</v>
      </c>
      <c r="AH4" s="1" t="s">
        <v>74</v>
      </c>
      <c r="AI4" s="1" t="s">
        <v>74</v>
      </c>
      <c r="AJ4" s="1" t="s">
        <v>74</v>
      </c>
      <c r="AK4" s="1" t="s">
        <v>74</v>
      </c>
      <c r="AL4" s="1" t="s">
        <v>74</v>
      </c>
      <c r="AM4" s="1" t="s">
        <v>74</v>
      </c>
      <c r="AN4" s="1" t="s">
        <v>74</v>
      </c>
      <c r="AO4" s="1" t="s">
        <v>97</v>
      </c>
      <c r="AP4" s="1" t="s">
        <v>98</v>
      </c>
      <c r="AQ4" s="1" t="s">
        <v>74</v>
      </c>
      <c r="AR4" s="1" t="s">
        <v>74</v>
      </c>
      <c r="AS4" s="1" t="s">
        <v>74</v>
      </c>
      <c r="AT4" s="1" t="s">
        <v>99</v>
      </c>
      <c r="AU4" s="1">
        <v>2024.0</v>
      </c>
      <c r="AV4" s="1">
        <v>36.0</v>
      </c>
      <c r="AW4" s="1">
        <v>9.0</v>
      </c>
      <c r="AX4" s="1" t="s">
        <v>74</v>
      </c>
      <c r="AY4" s="1" t="s">
        <v>74</v>
      </c>
      <c r="AZ4" s="1" t="s">
        <v>74</v>
      </c>
      <c r="BA4" s="1" t="s">
        <v>74</v>
      </c>
      <c r="BB4" s="1">
        <v>1995.0</v>
      </c>
      <c r="BC4" s="1">
        <v>2010.0</v>
      </c>
      <c r="BD4" s="1" t="s">
        <v>74</v>
      </c>
      <c r="BE4" s="1" t="s">
        <v>100</v>
      </c>
      <c r="BF4" s="2" t="str">
        <f>HYPERLINK("http://dx.doi.org/10.1162/jocn_a_02200","http://dx.doi.org/10.1162/jocn_a_02200")</f>
        <v>http://dx.doi.org/10.1162/jocn_a_02200</v>
      </c>
      <c r="BG4" s="1" t="s">
        <v>74</v>
      </c>
      <c r="BH4" s="1" t="s">
        <v>74</v>
      </c>
      <c r="BI4" s="1" t="s">
        <v>74</v>
      </c>
      <c r="BJ4" s="1" t="s">
        <v>74</v>
      </c>
      <c r="BK4" s="1" t="s">
        <v>74</v>
      </c>
      <c r="BL4" s="1" t="s">
        <v>74</v>
      </c>
      <c r="BM4" s="1" t="s">
        <v>74</v>
      </c>
      <c r="BN4" s="1">
        <v>3.8820561E7</v>
      </c>
      <c r="BO4" s="1" t="s">
        <v>74</v>
      </c>
      <c r="BP4" s="1" t="s">
        <v>74</v>
      </c>
      <c r="BQ4" s="1" t="s">
        <v>74</v>
      </c>
      <c r="BR4" s="1" t="s">
        <v>74</v>
      </c>
      <c r="BS4" s="1" t="s">
        <v>101</v>
      </c>
      <c r="BT4" s="1" t="str">
        <f>HYPERLINK("https%3A%2F%2Fwww.webofscience.com%2Fwos%2Fwoscc%2Ffull-record%2FWOS:001293384700002","View Full Record in Web of Science")</f>
        <v>View Full Record in Web of Science</v>
      </c>
    </row>
    <row r="5" ht="12.75" customHeight="1">
      <c r="A5" s="1" t="s">
        <v>72</v>
      </c>
      <c r="B5" s="1" t="s">
        <v>102</v>
      </c>
      <c r="C5" s="1" t="s">
        <v>74</v>
      </c>
      <c r="D5" s="1" t="s">
        <v>74</v>
      </c>
      <c r="E5" s="1" t="s">
        <v>74</v>
      </c>
      <c r="F5" s="1" t="s">
        <v>103</v>
      </c>
      <c r="G5" s="1" t="s">
        <v>74</v>
      </c>
      <c r="H5" s="1" t="s">
        <v>74</v>
      </c>
      <c r="I5" s="1" t="s">
        <v>104</v>
      </c>
      <c r="J5" s="1" t="s">
        <v>105</v>
      </c>
      <c r="K5" s="1" t="s">
        <v>74</v>
      </c>
      <c r="L5" s="1" t="s">
        <v>74</v>
      </c>
      <c r="M5" s="1" t="s">
        <v>74</v>
      </c>
      <c r="N5" s="1" t="s">
        <v>74</v>
      </c>
      <c r="O5" s="1" t="s">
        <v>74</v>
      </c>
      <c r="P5" s="1" t="s">
        <v>74</v>
      </c>
      <c r="Q5" s="1" t="s">
        <v>74</v>
      </c>
      <c r="R5" s="1" t="s">
        <v>74</v>
      </c>
      <c r="S5" s="1" t="s">
        <v>74</v>
      </c>
      <c r="T5" s="1" t="s">
        <v>74</v>
      </c>
      <c r="U5" s="1" t="s">
        <v>74</v>
      </c>
      <c r="V5" s="1" t="s">
        <v>106</v>
      </c>
      <c r="W5" s="1" t="s">
        <v>74</v>
      </c>
      <c r="X5" s="1" t="s">
        <v>74</v>
      </c>
      <c r="Y5" s="1" t="s">
        <v>74</v>
      </c>
      <c r="Z5" s="1" t="s">
        <v>74</v>
      </c>
      <c r="AA5" s="1" t="s">
        <v>107</v>
      </c>
      <c r="AB5" s="1" t="s">
        <v>108</v>
      </c>
      <c r="AC5" s="1" t="s">
        <v>74</v>
      </c>
      <c r="AD5" s="1" t="s">
        <v>74</v>
      </c>
      <c r="AE5" s="1" t="s">
        <v>74</v>
      </c>
      <c r="AF5" s="1" t="s">
        <v>74</v>
      </c>
      <c r="AG5" s="1" t="s">
        <v>74</v>
      </c>
      <c r="AH5" s="1" t="s">
        <v>74</v>
      </c>
      <c r="AI5" s="1" t="s">
        <v>74</v>
      </c>
      <c r="AJ5" s="1" t="s">
        <v>74</v>
      </c>
      <c r="AK5" s="1" t="s">
        <v>74</v>
      </c>
      <c r="AL5" s="1" t="s">
        <v>74</v>
      </c>
      <c r="AM5" s="1" t="s">
        <v>74</v>
      </c>
      <c r="AN5" s="1" t="s">
        <v>74</v>
      </c>
      <c r="AO5" s="1" t="s">
        <v>109</v>
      </c>
      <c r="AP5" s="1" t="s">
        <v>74</v>
      </c>
      <c r="AQ5" s="1" t="s">
        <v>74</v>
      </c>
      <c r="AR5" s="1" t="s">
        <v>74</v>
      </c>
      <c r="AS5" s="1" t="s">
        <v>74</v>
      </c>
      <c r="AT5" s="1" t="s">
        <v>110</v>
      </c>
      <c r="AU5" s="1">
        <v>2024.0</v>
      </c>
      <c r="AV5" s="1">
        <v>8.0</v>
      </c>
      <c r="AW5" s="1" t="s">
        <v>74</v>
      </c>
      <c r="AX5" s="1" t="s">
        <v>74</v>
      </c>
      <c r="AY5" s="1" t="s">
        <v>74</v>
      </c>
      <c r="AZ5" s="1" t="s">
        <v>74</v>
      </c>
      <c r="BA5" s="1" t="s">
        <v>74</v>
      </c>
      <c r="BB5" s="1" t="s">
        <v>74</v>
      </c>
      <c r="BC5" s="1" t="s">
        <v>74</v>
      </c>
      <c r="BD5" s="1">
        <v>100235.0</v>
      </c>
      <c r="BE5" s="1" t="s">
        <v>111</v>
      </c>
      <c r="BF5" s="2" t="str">
        <f>HYPERLINK("http://dx.doi.org/10.1016/j.snr.2024.100235","http://dx.doi.org/10.1016/j.snr.2024.100235")</f>
        <v>http://dx.doi.org/10.1016/j.snr.2024.100235</v>
      </c>
      <c r="BG5" s="1" t="s">
        <v>74</v>
      </c>
      <c r="BH5" s="1" t="s">
        <v>112</v>
      </c>
      <c r="BI5" s="1" t="s">
        <v>74</v>
      </c>
      <c r="BJ5" s="1" t="s">
        <v>74</v>
      </c>
      <c r="BK5" s="1" t="s">
        <v>74</v>
      </c>
      <c r="BL5" s="1" t="s">
        <v>74</v>
      </c>
      <c r="BM5" s="1" t="s">
        <v>74</v>
      </c>
      <c r="BN5" s="1" t="s">
        <v>74</v>
      </c>
      <c r="BO5" s="1" t="s">
        <v>74</v>
      </c>
      <c r="BP5" s="1" t="s">
        <v>74</v>
      </c>
      <c r="BQ5" s="1" t="s">
        <v>74</v>
      </c>
      <c r="BR5" s="1" t="s">
        <v>74</v>
      </c>
      <c r="BS5" s="1" t="s">
        <v>113</v>
      </c>
      <c r="BT5" s="1" t="str">
        <f>HYPERLINK("https%3A%2F%2Fwww.webofscience.com%2Fwos%2Fwoscc%2Ffull-record%2FWOS:001301091400001","View Full Record in Web of Science")</f>
        <v>View Full Record in Web of Science</v>
      </c>
    </row>
    <row r="6" ht="12.75" customHeight="1">
      <c r="A6" s="1" t="s">
        <v>72</v>
      </c>
      <c r="B6" s="1" t="s">
        <v>114</v>
      </c>
      <c r="C6" s="1" t="s">
        <v>74</v>
      </c>
      <c r="D6" s="1" t="s">
        <v>74</v>
      </c>
      <c r="E6" s="1" t="s">
        <v>74</v>
      </c>
      <c r="F6" s="1" t="s">
        <v>115</v>
      </c>
      <c r="G6" s="1" t="s">
        <v>74</v>
      </c>
      <c r="H6" s="1" t="s">
        <v>74</v>
      </c>
      <c r="I6" s="1" t="s">
        <v>116</v>
      </c>
      <c r="J6" s="1" t="s">
        <v>117</v>
      </c>
      <c r="K6" s="1" t="s">
        <v>74</v>
      </c>
      <c r="L6" s="1" t="s">
        <v>74</v>
      </c>
      <c r="M6" s="1" t="s">
        <v>74</v>
      </c>
      <c r="N6" s="1" t="s">
        <v>74</v>
      </c>
      <c r="O6" s="1" t="s">
        <v>74</v>
      </c>
      <c r="P6" s="1" t="s">
        <v>74</v>
      </c>
      <c r="Q6" s="1" t="s">
        <v>74</v>
      </c>
      <c r="R6" s="1" t="s">
        <v>74</v>
      </c>
      <c r="S6" s="1" t="s">
        <v>74</v>
      </c>
      <c r="T6" s="1" t="s">
        <v>74</v>
      </c>
      <c r="U6" s="1" t="s">
        <v>74</v>
      </c>
      <c r="V6" s="1" t="s">
        <v>118</v>
      </c>
      <c r="W6" s="1" t="s">
        <v>74</v>
      </c>
      <c r="X6" s="1" t="s">
        <v>74</v>
      </c>
      <c r="Y6" s="1" t="s">
        <v>74</v>
      </c>
      <c r="Z6" s="1" t="s">
        <v>74</v>
      </c>
      <c r="AA6" s="1" t="s">
        <v>119</v>
      </c>
      <c r="AB6" s="1" t="s">
        <v>120</v>
      </c>
      <c r="AC6" s="1" t="s">
        <v>74</v>
      </c>
      <c r="AD6" s="1" t="s">
        <v>74</v>
      </c>
      <c r="AE6" s="1" t="s">
        <v>74</v>
      </c>
      <c r="AF6" s="1" t="s">
        <v>74</v>
      </c>
      <c r="AG6" s="1" t="s">
        <v>74</v>
      </c>
      <c r="AH6" s="1" t="s">
        <v>74</v>
      </c>
      <c r="AI6" s="1" t="s">
        <v>74</v>
      </c>
      <c r="AJ6" s="1" t="s">
        <v>74</v>
      </c>
      <c r="AK6" s="1" t="s">
        <v>74</v>
      </c>
      <c r="AL6" s="1" t="s">
        <v>74</v>
      </c>
      <c r="AM6" s="1" t="s">
        <v>74</v>
      </c>
      <c r="AN6" s="1" t="s">
        <v>74</v>
      </c>
      <c r="AO6" s="1" t="s">
        <v>121</v>
      </c>
      <c r="AP6" s="1" t="s">
        <v>122</v>
      </c>
      <c r="AQ6" s="1" t="s">
        <v>74</v>
      </c>
      <c r="AR6" s="1" t="s">
        <v>74</v>
      </c>
      <c r="AS6" s="1" t="s">
        <v>74</v>
      </c>
      <c r="AT6" s="1" t="s">
        <v>123</v>
      </c>
      <c r="AU6" s="1">
        <v>2024.0</v>
      </c>
      <c r="AV6" s="1">
        <v>378.0</v>
      </c>
      <c r="AW6" s="1" t="s">
        <v>74</v>
      </c>
      <c r="AX6" s="1" t="s">
        <v>74</v>
      </c>
      <c r="AY6" s="1" t="s">
        <v>74</v>
      </c>
      <c r="AZ6" s="1" t="s">
        <v>74</v>
      </c>
      <c r="BA6" s="1" t="s">
        <v>74</v>
      </c>
      <c r="BB6" s="1" t="s">
        <v>74</v>
      </c>
      <c r="BC6" s="1" t="s">
        <v>74</v>
      </c>
      <c r="BD6" s="1">
        <v>113248.0</v>
      </c>
      <c r="BE6" s="1" t="s">
        <v>124</v>
      </c>
      <c r="BF6" s="2" t="str">
        <f>HYPERLINK("http://dx.doi.org/10.1016/j.micromeso.2024.113248","http://dx.doi.org/10.1016/j.micromeso.2024.113248")</f>
        <v>http://dx.doi.org/10.1016/j.micromeso.2024.113248</v>
      </c>
      <c r="BG6" s="1" t="s">
        <v>74</v>
      </c>
      <c r="BH6" s="1" t="s">
        <v>125</v>
      </c>
      <c r="BI6" s="1" t="s">
        <v>74</v>
      </c>
      <c r="BJ6" s="1" t="s">
        <v>74</v>
      </c>
      <c r="BK6" s="1" t="s">
        <v>74</v>
      </c>
      <c r="BL6" s="1" t="s">
        <v>74</v>
      </c>
      <c r="BM6" s="1" t="s">
        <v>74</v>
      </c>
      <c r="BN6" s="1" t="s">
        <v>74</v>
      </c>
      <c r="BO6" s="1" t="s">
        <v>74</v>
      </c>
      <c r="BP6" s="1" t="s">
        <v>74</v>
      </c>
      <c r="BQ6" s="1" t="s">
        <v>74</v>
      </c>
      <c r="BR6" s="1" t="s">
        <v>74</v>
      </c>
      <c r="BS6" s="1" t="s">
        <v>126</v>
      </c>
      <c r="BT6" s="1" t="str">
        <f>HYPERLINK("https%3A%2F%2Fwww.webofscience.com%2Fwos%2Fwoscc%2Ffull-record%2FWOS:001271806800001","View Full Record in Web of Science")</f>
        <v>View Full Record in Web of Science</v>
      </c>
    </row>
    <row r="7" ht="12.75" customHeight="1">
      <c r="A7" s="1" t="s">
        <v>72</v>
      </c>
      <c r="B7" s="1" t="s">
        <v>127</v>
      </c>
      <c r="C7" s="1" t="s">
        <v>74</v>
      </c>
      <c r="D7" s="1" t="s">
        <v>74</v>
      </c>
      <c r="E7" s="1" t="s">
        <v>74</v>
      </c>
      <c r="F7" s="1" t="s">
        <v>128</v>
      </c>
      <c r="G7" s="1" t="s">
        <v>74</v>
      </c>
      <c r="H7" s="1" t="s">
        <v>74</v>
      </c>
      <c r="I7" s="1" t="s">
        <v>129</v>
      </c>
      <c r="J7" s="1" t="s">
        <v>130</v>
      </c>
      <c r="K7" s="1" t="s">
        <v>74</v>
      </c>
      <c r="L7" s="1" t="s">
        <v>74</v>
      </c>
      <c r="M7" s="1" t="s">
        <v>74</v>
      </c>
      <c r="N7" s="1" t="s">
        <v>74</v>
      </c>
      <c r="O7" s="1" t="s">
        <v>74</v>
      </c>
      <c r="P7" s="1" t="s">
        <v>74</v>
      </c>
      <c r="Q7" s="1" t="s">
        <v>74</v>
      </c>
      <c r="R7" s="1" t="s">
        <v>74</v>
      </c>
      <c r="S7" s="1" t="s">
        <v>74</v>
      </c>
      <c r="T7" s="1" t="s">
        <v>74</v>
      </c>
      <c r="U7" s="1" t="s">
        <v>74</v>
      </c>
      <c r="V7" s="1" t="s">
        <v>131</v>
      </c>
      <c r="W7" s="1" t="s">
        <v>74</v>
      </c>
      <c r="X7" s="1" t="s">
        <v>74</v>
      </c>
      <c r="Y7" s="1" t="s">
        <v>74</v>
      </c>
      <c r="Z7" s="1" t="s">
        <v>74</v>
      </c>
      <c r="AA7" s="1" t="s">
        <v>74</v>
      </c>
      <c r="AB7" s="1" t="s">
        <v>132</v>
      </c>
      <c r="AC7" s="1" t="s">
        <v>74</v>
      </c>
      <c r="AD7" s="1" t="s">
        <v>74</v>
      </c>
      <c r="AE7" s="1" t="s">
        <v>74</v>
      </c>
      <c r="AF7" s="1" t="s">
        <v>74</v>
      </c>
      <c r="AG7" s="1" t="s">
        <v>74</v>
      </c>
      <c r="AH7" s="1" t="s">
        <v>74</v>
      </c>
      <c r="AI7" s="1" t="s">
        <v>74</v>
      </c>
      <c r="AJ7" s="1" t="s">
        <v>74</v>
      </c>
      <c r="AK7" s="1" t="s">
        <v>74</v>
      </c>
      <c r="AL7" s="1" t="s">
        <v>74</v>
      </c>
      <c r="AM7" s="1" t="s">
        <v>74</v>
      </c>
      <c r="AN7" s="1" t="s">
        <v>74</v>
      </c>
      <c r="AO7" s="1" t="s">
        <v>133</v>
      </c>
      <c r="AP7" s="1" t="s">
        <v>134</v>
      </c>
      <c r="AQ7" s="1" t="s">
        <v>74</v>
      </c>
      <c r="AR7" s="1" t="s">
        <v>74</v>
      </c>
      <c r="AS7" s="1" t="s">
        <v>74</v>
      </c>
      <c r="AT7" s="1" t="s">
        <v>135</v>
      </c>
      <c r="AU7" s="1">
        <v>2023.0</v>
      </c>
      <c r="AV7" s="1">
        <v>24.0</v>
      </c>
      <c r="AW7" s="1">
        <v>15.0</v>
      </c>
      <c r="AX7" s="1" t="s">
        <v>74</v>
      </c>
      <c r="AY7" s="1" t="s">
        <v>74</v>
      </c>
      <c r="AZ7" s="1" t="s">
        <v>74</v>
      </c>
      <c r="BA7" s="1" t="s">
        <v>74</v>
      </c>
      <c r="BB7" s="1" t="s">
        <v>74</v>
      </c>
      <c r="BC7" s="1" t="s">
        <v>74</v>
      </c>
      <c r="BD7" s="1">
        <v>11894.0</v>
      </c>
      <c r="BE7" s="1" t="s">
        <v>136</v>
      </c>
      <c r="BF7" s="2" t="str">
        <f>HYPERLINK("http://dx.doi.org/10.3390/ijms241511894","http://dx.doi.org/10.3390/ijms241511894")</f>
        <v>http://dx.doi.org/10.3390/ijms241511894</v>
      </c>
      <c r="BG7" s="1" t="s">
        <v>74</v>
      </c>
      <c r="BH7" s="1" t="s">
        <v>74</v>
      </c>
      <c r="BI7" s="1" t="s">
        <v>74</v>
      </c>
      <c r="BJ7" s="1" t="s">
        <v>74</v>
      </c>
      <c r="BK7" s="1" t="s">
        <v>74</v>
      </c>
      <c r="BL7" s="1" t="s">
        <v>74</v>
      </c>
      <c r="BM7" s="1" t="s">
        <v>74</v>
      </c>
      <c r="BN7" s="1">
        <v>3.756927E7</v>
      </c>
      <c r="BO7" s="1" t="s">
        <v>74</v>
      </c>
      <c r="BP7" s="1" t="s">
        <v>74</v>
      </c>
      <c r="BQ7" s="1" t="s">
        <v>74</v>
      </c>
      <c r="BR7" s="1" t="s">
        <v>74</v>
      </c>
      <c r="BS7" s="1" t="s">
        <v>137</v>
      </c>
      <c r="BT7" s="1" t="str">
        <f>HYPERLINK("https%3A%2F%2Fwww.webofscience.com%2Fwos%2Fwoscc%2Ffull-record%2FWOS:001045662100001","View Full Record in Web of Science")</f>
        <v>View Full Record in Web of Science</v>
      </c>
    </row>
    <row r="8" ht="12.75" customHeight="1">
      <c r="A8" s="1" t="s">
        <v>72</v>
      </c>
      <c r="B8" s="1" t="s">
        <v>138</v>
      </c>
      <c r="C8" s="1" t="s">
        <v>74</v>
      </c>
      <c r="D8" s="1" t="s">
        <v>74</v>
      </c>
      <c r="E8" s="1" t="s">
        <v>74</v>
      </c>
      <c r="F8" s="1" t="s">
        <v>139</v>
      </c>
      <c r="G8" s="1" t="s">
        <v>74</v>
      </c>
      <c r="H8" s="1" t="s">
        <v>74</v>
      </c>
      <c r="I8" s="1" t="s">
        <v>140</v>
      </c>
      <c r="J8" s="1" t="s">
        <v>141</v>
      </c>
      <c r="K8" s="1" t="s">
        <v>74</v>
      </c>
      <c r="L8" s="1" t="s">
        <v>74</v>
      </c>
      <c r="M8" s="1" t="s">
        <v>74</v>
      </c>
      <c r="N8" s="1" t="s">
        <v>74</v>
      </c>
      <c r="O8" s="1" t="s">
        <v>74</v>
      </c>
      <c r="P8" s="1" t="s">
        <v>74</v>
      </c>
      <c r="Q8" s="1" t="s">
        <v>74</v>
      </c>
      <c r="R8" s="1" t="s">
        <v>74</v>
      </c>
      <c r="S8" s="1" t="s">
        <v>74</v>
      </c>
      <c r="T8" s="1" t="s">
        <v>74</v>
      </c>
      <c r="U8" s="1" t="s">
        <v>74</v>
      </c>
      <c r="V8" s="1" t="s">
        <v>142</v>
      </c>
      <c r="W8" s="1" t="s">
        <v>74</v>
      </c>
      <c r="X8" s="1" t="s">
        <v>74</v>
      </c>
      <c r="Y8" s="1" t="s">
        <v>74</v>
      </c>
      <c r="Z8" s="1" t="s">
        <v>74</v>
      </c>
      <c r="AA8" s="1" t="s">
        <v>143</v>
      </c>
      <c r="AB8" s="1" t="s">
        <v>144</v>
      </c>
      <c r="AC8" s="1" t="s">
        <v>74</v>
      </c>
      <c r="AD8" s="1" t="s">
        <v>74</v>
      </c>
      <c r="AE8" s="1" t="s">
        <v>74</v>
      </c>
      <c r="AF8" s="1" t="s">
        <v>74</v>
      </c>
      <c r="AG8" s="1" t="s">
        <v>74</v>
      </c>
      <c r="AH8" s="1" t="s">
        <v>74</v>
      </c>
      <c r="AI8" s="1" t="s">
        <v>74</v>
      </c>
      <c r="AJ8" s="1" t="s">
        <v>74</v>
      </c>
      <c r="AK8" s="1" t="s">
        <v>74</v>
      </c>
      <c r="AL8" s="1" t="s">
        <v>74</v>
      </c>
      <c r="AM8" s="1" t="s">
        <v>74</v>
      </c>
      <c r="AN8" s="1" t="s">
        <v>74</v>
      </c>
      <c r="AO8" s="1" t="s">
        <v>145</v>
      </c>
      <c r="AP8" s="1" t="s">
        <v>146</v>
      </c>
      <c r="AQ8" s="1" t="s">
        <v>74</v>
      </c>
      <c r="AR8" s="1" t="s">
        <v>74</v>
      </c>
      <c r="AS8" s="1" t="s">
        <v>74</v>
      </c>
      <c r="AT8" s="1" t="s">
        <v>147</v>
      </c>
      <c r="AU8" s="1">
        <v>2023.0</v>
      </c>
      <c r="AV8" s="1">
        <v>38.0</v>
      </c>
      <c r="AW8" s="1" t="s">
        <v>148</v>
      </c>
      <c r="AX8" s="1" t="s">
        <v>74</v>
      </c>
      <c r="AY8" s="1" t="s">
        <v>74</v>
      </c>
      <c r="AZ8" s="1" t="s">
        <v>74</v>
      </c>
      <c r="BA8" s="1" t="s">
        <v>74</v>
      </c>
      <c r="BB8" s="1" t="s">
        <v>74</v>
      </c>
      <c r="BC8" s="1" t="s">
        <v>74</v>
      </c>
      <c r="BD8" s="1">
        <v>2350088.0</v>
      </c>
      <c r="BE8" s="1" t="s">
        <v>149</v>
      </c>
      <c r="BF8" s="2" t="str">
        <f>HYPERLINK("http://dx.doi.org/10.1142/S0217732323500888","http://dx.doi.org/10.1142/S0217732323500888")</f>
        <v>http://dx.doi.org/10.1142/S0217732323500888</v>
      </c>
      <c r="BG8" s="1" t="s">
        <v>74</v>
      </c>
      <c r="BH8" s="1" t="s">
        <v>74</v>
      </c>
      <c r="BI8" s="1" t="s">
        <v>74</v>
      </c>
      <c r="BJ8" s="1" t="s">
        <v>74</v>
      </c>
      <c r="BK8" s="1" t="s">
        <v>74</v>
      </c>
      <c r="BL8" s="1" t="s">
        <v>74</v>
      </c>
      <c r="BM8" s="1" t="s">
        <v>74</v>
      </c>
      <c r="BN8" s="1" t="s">
        <v>74</v>
      </c>
      <c r="BO8" s="1" t="s">
        <v>74</v>
      </c>
      <c r="BP8" s="1" t="s">
        <v>74</v>
      </c>
      <c r="BQ8" s="1" t="s">
        <v>74</v>
      </c>
      <c r="BR8" s="1" t="s">
        <v>74</v>
      </c>
      <c r="BS8" s="1" t="s">
        <v>150</v>
      </c>
      <c r="BT8" s="1" t="str">
        <f>HYPERLINK("https%3A%2F%2Fwww.webofscience.com%2Fwos%2Fwoscc%2Ffull-record%2FWOS:001082468000004","View Full Record in Web of Science")</f>
        <v>View Full Record in Web of Science</v>
      </c>
    </row>
    <row r="9" ht="12.75" customHeight="1">
      <c r="A9" s="1" t="s">
        <v>72</v>
      </c>
      <c r="B9" s="1" t="s">
        <v>151</v>
      </c>
      <c r="C9" s="1" t="s">
        <v>74</v>
      </c>
      <c r="D9" s="1" t="s">
        <v>74</v>
      </c>
      <c r="E9" s="1" t="s">
        <v>74</v>
      </c>
      <c r="F9" s="1" t="s">
        <v>152</v>
      </c>
      <c r="G9" s="1" t="s">
        <v>74</v>
      </c>
      <c r="H9" s="1" t="s">
        <v>74</v>
      </c>
      <c r="I9" s="1" t="s">
        <v>153</v>
      </c>
      <c r="J9" s="1" t="s">
        <v>154</v>
      </c>
      <c r="K9" s="1" t="s">
        <v>74</v>
      </c>
      <c r="L9" s="1" t="s">
        <v>74</v>
      </c>
      <c r="M9" s="1" t="s">
        <v>74</v>
      </c>
      <c r="N9" s="1" t="s">
        <v>74</v>
      </c>
      <c r="O9" s="1" t="s">
        <v>74</v>
      </c>
      <c r="P9" s="1" t="s">
        <v>74</v>
      </c>
      <c r="Q9" s="1" t="s">
        <v>74</v>
      </c>
      <c r="R9" s="1" t="s">
        <v>74</v>
      </c>
      <c r="S9" s="1" t="s">
        <v>74</v>
      </c>
      <c r="T9" s="1" t="s">
        <v>74</v>
      </c>
      <c r="U9" s="1" t="s">
        <v>74</v>
      </c>
      <c r="V9" s="1" t="s">
        <v>155</v>
      </c>
      <c r="W9" s="1" t="s">
        <v>74</v>
      </c>
      <c r="X9" s="1" t="s">
        <v>74</v>
      </c>
      <c r="Y9" s="1" t="s">
        <v>74</v>
      </c>
      <c r="Z9" s="1" t="s">
        <v>74</v>
      </c>
      <c r="AA9" s="1" t="s">
        <v>74</v>
      </c>
      <c r="AB9" s="1" t="s">
        <v>74</v>
      </c>
      <c r="AC9" s="1" t="s">
        <v>74</v>
      </c>
      <c r="AD9" s="1" t="s">
        <v>74</v>
      </c>
      <c r="AE9" s="1" t="s">
        <v>74</v>
      </c>
      <c r="AF9" s="1" t="s">
        <v>74</v>
      </c>
      <c r="AG9" s="1" t="s">
        <v>74</v>
      </c>
      <c r="AH9" s="1" t="s">
        <v>74</v>
      </c>
      <c r="AI9" s="1" t="s">
        <v>74</v>
      </c>
      <c r="AJ9" s="1" t="s">
        <v>74</v>
      </c>
      <c r="AK9" s="1" t="s">
        <v>74</v>
      </c>
      <c r="AL9" s="1" t="s">
        <v>74</v>
      </c>
      <c r="AM9" s="1" t="s">
        <v>74</v>
      </c>
      <c r="AN9" s="1" t="s">
        <v>74</v>
      </c>
      <c r="AO9" s="1" t="s">
        <v>156</v>
      </c>
      <c r="AP9" s="1" t="s">
        <v>157</v>
      </c>
      <c r="AQ9" s="1" t="s">
        <v>74</v>
      </c>
      <c r="AR9" s="1" t="s">
        <v>74</v>
      </c>
      <c r="AS9" s="1" t="s">
        <v>74</v>
      </c>
      <c r="AT9" s="1" t="s">
        <v>158</v>
      </c>
      <c r="AU9" s="1">
        <v>2023.0</v>
      </c>
      <c r="AV9" s="1">
        <v>284.0</v>
      </c>
      <c r="AW9" s="1">
        <v>9.0</v>
      </c>
      <c r="AX9" s="1" t="s">
        <v>74</v>
      </c>
      <c r="AY9" s="1" t="s">
        <v>74</v>
      </c>
      <c r="AZ9" s="1" t="s">
        <v>74</v>
      </c>
      <c r="BA9" s="1" t="s">
        <v>74</v>
      </c>
      <c r="BB9" s="1" t="s">
        <v>74</v>
      </c>
      <c r="BC9" s="1" t="s">
        <v>74</v>
      </c>
      <c r="BD9" s="1">
        <v>109885.0</v>
      </c>
      <c r="BE9" s="1" t="s">
        <v>159</v>
      </c>
      <c r="BF9" s="2" t="str">
        <f>HYPERLINK("http://dx.doi.org/10.1016/j.jfa.2023.109885","http://dx.doi.org/10.1016/j.jfa.2023.109885")</f>
        <v>http://dx.doi.org/10.1016/j.jfa.2023.109885</v>
      </c>
      <c r="BG9" s="1" t="s">
        <v>74</v>
      </c>
      <c r="BH9" s="1" t="s">
        <v>160</v>
      </c>
      <c r="BI9" s="1" t="s">
        <v>74</v>
      </c>
      <c r="BJ9" s="1" t="s">
        <v>74</v>
      </c>
      <c r="BK9" s="1" t="s">
        <v>74</v>
      </c>
      <c r="BL9" s="1" t="s">
        <v>74</v>
      </c>
      <c r="BM9" s="1" t="s">
        <v>74</v>
      </c>
      <c r="BN9" s="1" t="s">
        <v>74</v>
      </c>
      <c r="BO9" s="1" t="s">
        <v>74</v>
      </c>
      <c r="BP9" s="1" t="s">
        <v>74</v>
      </c>
      <c r="BQ9" s="1" t="s">
        <v>74</v>
      </c>
      <c r="BR9" s="1" t="s">
        <v>74</v>
      </c>
      <c r="BS9" s="1" t="s">
        <v>161</v>
      </c>
      <c r="BT9" s="1" t="str">
        <f>HYPERLINK("https%3A%2F%2Fwww.webofscience.com%2Fwos%2Fwoscc%2Ffull-record%2FWOS:000952633600001","View Full Record in Web of Science")</f>
        <v>View Full Record in Web of Science</v>
      </c>
    </row>
    <row r="10" ht="12.75" customHeight="1">
      <c r="A10" s="1" t="s">
        <v>72</v>
      </c>
      <c r="B10" s="1" t="s">
        <v>162</v>
      </c>
      <c r="C10" s="1" t="s">
        <v>74</v>
      </c>
      <c r="D10" s="1" t="s">
        <v>74</v>
      </c>
      <c r="E10" s="1" t="s">
        <v>74</v>
      </c>
      <c r="F10" s="1" t="s">
        <v>163</v>
      </c>
      <c r="G10" s="1" t="s">
        <v>74</v>
      </c>
      <c r="H10" s="1" t="s">
        <v>74</v>
      </c>
      <c r="I10" s="1" t="s">
        <v>164</v>
      </c>
      <c r="J10" s="1" t="s">
        <v>165</v>
      </c>
      <c r="K10" s="1" t="s">
        <v>74</v>
      </c>
      <c r="L10" s="1" t="s">
        <v>74</v>
      </c>
      <c r="M10" s="1" t="s">
        <v>74</v>
      </c>
      <c r="N10" s="1" t="s">
        <v>74</v>
      </c>
      <c r="O10" s="1" t="s">
        <v>74</v>
      </c>
      <c r="P10" s="1" t="s">
        <v>74</v>
      </c>
      <c r="Q10" s="1" t="s">
        <v>74</v>
      </c>
      <c r="R10" s="1" t="s">
        <v>74</v>
      </c>
      <c r="S10" s="1" t="s">
        <v>74</v>
      </c>
      <c r="T10" s="1" t="s">
        <v>74</v>
      </c>
      <c r="U10" s="1" t="s">
        <v>74</v>
      </c>
      <c r="V10" s="1" t="s">
        <v>166</v>
      </c>
      <c r="W10" s="1" t="s">
        <v>74</v>
      </c>
      <c r="X10" s="1" t="s">
        <v>74</v>
      </c>
      <c r="Y10" s="1" t="s">
        <v>74</v>
      </c>
      <c r="Z10" s="1" t="s">
        <v>74</v>
      </c>
      <c r="AA10" s="1" t="s">
        <v>107</v>
      </c>
      <c r="AB10" s="1" t="s">
        <v>167</v>
      </c>
      <c r="AC10" s="1" t="s">
        <v>74</v>
      </c>
      <c r="AD10" s="1" t="s">
        <v>74</v>
      </c>
      <c r="AE10" s="1" t="s">
        <v>74</v>
      </c>
      <c r="AF10" s="1" t="s">
        <v>74</v>
      </c>
      <c r="AG10" s="1" t="s">
        <v>74</v>
      </c>
      <c r="AH10" s="1" t="s">
        <v>74</v>
      </c>
      <c r="AI10" s="1" t="s">
        <v>74</v>
      </c>
      <c r="AJ10" s="1" t="s">
        <v>74</v>
      </c>
      <c r="AK10" s="1" t="s">
        <v>74</v>
      </c>
      <c r="AL10" s="1" t="s">
        <v>74</v>
      </c>
      <c r="AM10" s="1" t="s">
        <v>74</v>
      </c>
      <c r="AN10" s="1" t="s">
        <v>74</v>
      </c>
      <c r="AO10" s="1" t="s">
        <v>74</v>
      </c>
      <c r="AP10" s="1" t="s">
        <v>168</v>
      </c>
      <c r="AQ10" s="1" t="s">
        <v>74</v>
      </c>
      <c r="AR10" s="1" t="s">
        <v>74</v>
      </c>
      <c r="AS10" s="1" t="s">
        <v>74</v>
      </c>
      <c r="AT10" s="1" t="s">
        <v>169</v>
      </c>
      <c r="AU10" s="1">
        <v>2023.0</v>
      </c>
      <c r="AV10" s="1">
        <v>13.0</v>
      </c>
      <c r="AW10" s="1">
        <v>1.0</v>
      </c>
      <c r="AX10" s="1" t="s">
        <v>74</v>
      </c>
      <c r="AY10" s="1" t="s">
        <v>74</v>
      </c>
      <c r="AZ10" s="1" t="s">
        <v>74</v>
      </c>
      <c r="BA10" s="1" t="s">
        <v>74</v>
      </c>
      <c r="BB10" s="1" t="s">
        <v>74</v>
      </c>
      <c r="BC10" s="1" t="s">
        <v>74</v>
      </c>
      <c r="BD10" s="1">
        <v>49.0</v>
      </c>
      <c r="BE10" s="1" t="s">
        <v>170</v>
      </c>
      <c r="BF10" s="2" t="str">
        <f>HYPERLINK("http://dx.doi.org/10.3390/bios13010049","http://dx.doi.org/10.3390/bios13010049")</f>
        <v>http://dx.doi.org/10.3390/bios13010049</v>
      </c>
      <c r="BG10" s="1" t="s">
        <v>74</v>
      </c>
      <c r="BH10" s="1" t="s">
        <v>74</v>
      </c>
      <c r="BI10" s="1" t="s">
        <v>74</v>
      </c>
      <c r="BJ10" s="1" t="s">
        <v>74</v>
      </c>
      <c r="BK10" s="1" t="s">
        <v>74</v>
      </c>
      <c r="BL10" s="1" t="s">
        <v>74</v>
      </c>
      <c r="BM10" s="1" t="s">
        <v>74</v>
      </c>
      <c r="BN10" s="1">
        <v>3.6671884E7</v>
      </c>
      <c r="BO10" s="1" t="s">
        <v>74</v>
      </c>
      <c r="BP10" s="1" t="s">
        <v>74</v>
      </c>
      <c r="BQ10" s="1" t="s">
        <v>74</v>
      </c>
      <c r="BR10" s="1" t="s">
        <v>74</v>
      </c>
      <c r="BS10" s="1" t="s">
        <v>171</v>
      </c>
      <c r="BT10" s="1" t="str">
        <f>HYPERLINK("https%3A%2F%2Fwww.webofscience.com%2Fwos%2Fwoscc%2Ffull-record%2FWOS:000916995600001","View Full Record in Web of Science")</f>
        <v>View Full Record in Web of Science</v>
      </c>
    </row>
    <row r="11" ht="12.75" customHeight="1">
      <c r="A11" s="1" t="s">
        <v>72</v>
      </c>
      <c r="B11" s="1" t="s">
        <v>172</v>
      </c>
      <c r="C11" s="1" t="s">
        <v>74</v>
      </c>
      <c r="D11" s="1" t="s">
        <v>74</v>
      </c>
      <c r="E11" s="1" t="s">
        <v>74</v>
      </c>
      <c r="F11" s="1" t="s">
        <v>173</v>
      </c>
      <c r="G11" s="1" t="s">
        <v>74</v>
      </c>
      <c r="H11" s="1" t="s">
        <v>74</v>
      </c>
      <c r="I11" s="1" t="s">
        <v>174</v>
      </c>
      <c r="J11" s="1" t="s">
        <v>175</v>
      </c>
      <c r="K11" s="1" t="s">
        <v>74</v>
      </c>
      <c r="L11" s="1" t="s">
        <v>74</v>
      </c>
      <c r="M11" s="1" t="s">
        <v>74</v>
      </c>
      <c r="N11" s="1" t="s">
        <v>74</v>
      </c>
      <c r="O11" s="1" t="s">
        <v>74</v>
      </c>
      <c r="P11" s="1" t="s">
        <v>74</v>
      </c>
      <c r="Q11" s="1" t="s">
        <v>74</v>
      </c>
      <c r="R11" s="1" t="s">
        <v>74</v>
      </c>
      <c r="S11" s="1" t="s">
        <v>74</v>
      </c>
      <c r="T11" s="1" t="s">
        <v>74</v>
      </c>
      <c r="U11" s="1" t="s">
        <v>74</v>
      </c>
      <c r="V11" s="1" t="s">
        <v>176</v>
      </c>
      <c r="W11" s="1" t="s">
        <v>74</v>
      </c>
      <c r="X11" s="1" t="s">
        <v>74</v>
      </c>
      <c r="Y11" s="1" t="s">
        <v>74</v>
      </c>
      <c r="Z11" s="1" t="s">
        <v>74</v>
      </c>
      <c r="AA11" s="1" t="s">
        <v>177</v>
      </c>
      <c r="AB11" s="1" t="s">
        <v>178</v>
      </c>
      <c r="AC11" s="1" t="s">
        <v>74</v>
      </c>
      <c r="AD11" s="1" t="s">
        <v>74</v>
      </c>
      <c r="AE11" s="1" t="s">
        <v>74</v>
      </c>
      <c r="AF11" s="1" t="s">
        <v>74</v>
      </c>
      <c r="AG11" s="1" t="s">
        <v>74</v>
      </c>
      <c r="AH11" s="1" t="s">
        <v>74</v>
      </c>
      <c r="AI11" s="1" t="s">
        <v>74</v>
      </c>
      <c r="AJ11" s="1" t="s">
        <v>74</v>
      </c>
      <c r="AK11" s="1" t="s">
        <v>74</v>
      </c>
      <c r="AL11" s="1" t="s">
        <v>74</v>
      </c>
      <c r="AM11" s="1" t="s">
        <v>74</v>
      </c>
      <c r="AN11" s="1" t="s">
        <v>74</v>
      </c>
      <c r="AO11" s="1" t="s">
        <v>74</v>
      </c>
      <c r="AP11" s="1" t="s">
        <v>179</v>
      </c>
      <c r="AQ11" s="1" t="s">
        <v>74</v>
      </c>
      <c r="AR11" s="1" t="s">
        <v>74</v>
      </c>
      <c r="AS11" s="1" t="s">
        <v>74</v>
      </c>
      <c r="AT11" s="1" t="s">
        <v>180</v>
      </c>
      <c r="AU11" s="1">
        <v>2022.0</v>
      </c>
      <c r="AV11" s="1">
        <v>10.0</v>
      </c>
      <c r="AW11" s="1">
        <v>5.0</v>
      </c>
      <c r="AX11" s="1" t="s">
        <v>74</v>
      </c>
      <c r="AY11" s="1" t="s">
        <v>74</v>
      </c>
      <c r="AZ11" s="1" t="s">
        <v>74</v>
      </c>
      <c r="BA11" s="1" t="s">
        <v>74</v>
      </c>
      <c r="BB11" s="1" t="s">
        <v>74</v>
      </c>
      <c r="BC11" s="1" t="s">
        <v>74</v>
      </c>
      <c r="BD11" s="1">
        <v>681.0</v>
      </c>
      <c r="BE11" s="1" t="s">
        <v>181</v>
      </c>
      <c r="BF11" s="2" t="str">
        <f>HYPERLINK("http://dx.doi.org/10.3390/vaccines10050681","http://dx.doi.org/10.3390/vaccines10050681")</f>
        <v>http://dx.doi.org/10.3390/vaccines10050681</v>
      </c>
      <c r="BG11" s="1" t="s">
        <v>74</v>
      </c>
      <c r="BH11" s="1" t="s">
        <v>74</v>
      </c>
      <c r="BI11" s="1" t="s">
        <v>74</v>
      </c>
      <c r="BJ11" s="1" t="s">
        <v>74</v>
      </c>
      <c r="BK11" s="1" t="s">
        <v>74</v>
      </c>
      <c r="BL11" s="1" t="s">
        <v>74</v>
      </c>
      <c r="BM11" s="1" t="s">
        <v>74</v>
      </c>
      <c r="BN11" s="1">
        <v>3.5632437E7</v>
      </c>
      <c r="BO11" s="1" t="s">
        <v>74</v>
      </c>
      <c r="BP11" s="1" t="s">
        <v>74</v>
      </c>
      <c r="BQ11" s="1" t="s">
        <v>74</v>
      </c>
      <c r="BR11" s="1" t="s">
        <v>74</v>
      </c>
      <c r="BS11" s="1" t="s">
        <v>182</v>
      </c>
      <c r="BT11" s="1" t="str">
        <f>HYPERLINK("https%3A%2F%2Fwww.webofscience.com%2Fwos%2Fwoscc%2Ffull-record%2FWOS:000803523400001","View Full Record in Web of Science")</f>
        <v>View Full Record in Web of Science</v>
      </c>
    </row>
    <row r="12" ht="12.75" customHeight="1">
      <c r="A12" s="1" t="s">
        <v>72</v>
      </c>
      <c r="B12" s="1" t="s">
        <v>183</v>
      </c>
      <c r="C12" s="1" t="s">
        <v>74</v>
      </c>
      <c r="D12" s="1" t="s">
        <v>74</v>
      </c>
      <c r="E12" s="1" t="s">
        <v>74</v>
      </c>
      <c r="F12" s="1" t="s">
        <v>184</v>
      </c>
      <c r="G12" s="1" t="s">
        <v>74</v>
      </c>
      <c r="H12" s="1" t="s">
        <v>74</v>
      </c>
      <c r="I12" s="1" t="s">
        <v>185</v>
      </c>
      <c r="J12" s="1" t="s">
        <v>186</v>
      </c>
      <c r="K12" s="1" t="s">
        <v>74</v>
      </c>
      <c r="L12" s="1" t="s">
        <v>74</v>
      </c>
      <c r="M12" s="1" t="s">
        <v>74</v>
      </c>
      <c r="N12" s="1" t="s">
        <v>74</v>
      </c>
      <c r="O12" s="1" t="s">
        <v>74</v>
      </c>
      <c r="P12" s="1" t="s">
        <v>74</v>
      </c>
      <c r="Q12" s="1" t="s">
        <v>74</v>
      </c>
      <c r="R12" s="1" t="s">
        <v>74</v>
      </c>
      <c r="S12" s="1" t="s">
        <v>74</v>
      </c>
      <c r="T12" s="1" t="s">
        <v>74</v>
      </c>
      <c r="U12" s="1" t="s">
        <v>74</v>
      </c>
      <c r="V12" s="1" t="s">
        <v>187</v>
      </c>
      <c r="W12" s="1" t="s">
        <v>74</v>
      </c>
      <c r="X12" s="1" t="s">
        <v>74</v>
      </c>
      <c r="Y12" s="1" t="s">
        <v>74</v>
      </c>
      <c r="Z12" s="1" t="s">
        <v>74</v>
      </c>
      <c r="AA12" s="1" t="s">
        <v>188</v>
      </c>
      <c r="AB12" s="1" t="s">
        <v>189</v>
      </c>
      <c r="AC12" s="1" t="s">
        <v>74</v>
      </c>
      <c r="AD12" s="1" t="s">
        <v>74</v>
      </c>
      <c r="AE12" s="1" t="s">
        <v>74</v>
      </c>
      <c r="AF12" s="1" t="s">
        <v>74</v>
      </c>
      <c r="AG12" s="1" t="s">
        <v>74</v>
      </c>
      <c r="AH12" s="1" t="s">
        <v>74</v>
      </c>
      <c r="AI12" s="1" t="s">
        <v>74</v>
      </c>
      <c r="AJ12" s="1" t="s">
        <v>74</v>
      </c>
      <c r="AK12" s="1" t="s">
        <v>74</v>
      </c>
      <c r="AL12" s="1" t="s">
        <v>74</v>
      </c>
      <c r="AM12" s="1" t="s">
        <v>74</v>
      </c>
      <c r="AN12" s="1" t="s">
        <v>74</v>
      </c>
      <c r="AO12" s="1" t="s">
        <v>190</v>
      </c>
      <c r="AP12" s="1" t="s">
        <v>74</v>
      </c>
      <c r="AQ12" s="1" t="s">
        <v>74</v>
      </c>
      <c r="AR12" s="1" t="s">
        <v>74</v>
      </c>
      <c r="AS12" s="1" t="s">
        <v>74</v>
      </c>
      <c r="AT12" s="1" t="s">
        <v>74</v>
      </c>
      <c r="AU12" s="1">
        <v>2022.0</v>
      </c>
      <c r="AV12" s="1">
        <v>17.0</v>
      </c>
      <c r="AW12" s="1">
        <v>4.0</v>
      </c>
      <c r="AX12" s="1" t="s">
        <v>74</v>
      </c>
      <c r="AY12" s="1" t="s">
        <v>74</v>
      </c>
      <c r="AZ12" s="1" t="s">
        <v>74</v>
      </c>
      <c r="BA12" s="1" t="s">
        <v>74</v>
      </c>
      <c r="BB12" s="1" t="s">
        <v>74</v>
      </c>
      <c r="BC12" s="1" t="s">
        <v>74</v>
      </c>
      <c r="BD12" s="1" t="s">
        <v>191</v>
      </c>
      <c r="BE12" s="1" t="s">
        <v>192</v>
      </c>
      <c r="BF12" s="2" t="str">
        <f>HYPERLINK("http://dx.doi.org/10.1371/journal.pone.0267316","http://dx.doi.org/10.1371/journal.pone.0267316")</f>
        <v>http://dx.doi.org/10.1371/journal.pone.0267316</v>
      </c>
      <c r="BG12" s="1" t="s">
        <v>74</v>
      </c>
      <c r="BH12" s="1" t="s">
        <v>74</v>
      </c>
      <c r="BI12" s="1" t="s">
        <v>74</v>
      </c>
      <c r="BJ12" s="1" t="s">
        <v>74</v>
      </c>
      <c r="BK12" s="1" t="s">
        <v>74</v>
      </c>
      <c r="BL12" s="1" t="s">
        <v>74</v>
      </c>
      <c r="BM12" s="1" t="s">
        <v>74</v>
      </c>
      <c r="BN12" s="1">
        <v>3.5486621E7</v>
      </c>
      <c r="BO12" s="1" t="s">
        <v>74</v>
      </c>
      <c r="BP12" s="1" t="s">
        <v>74</v>
      </c>
      <c r="BQ12" s="1" t="s">
        <v>74</v>
      </c>
      <c r="BR12" s="1" t="s">
        <v>74</v>
      </c>
      <c r="BS12" s="1" t="s">
        <v>193</v>
      </c>
      <c r="BT12" s="1" t="str">
        <f>HYPERLINK("https%3A%2F%2Fwww.webofscience.com%2Fwos%2Fwoscc%2Ffull-record%2FWOS:001143683300006","View Full Record in Web of Science")</f>
        <v>View Full Record in Web of Science</v>
      </c>
    </row>
    <row r="13" ht="12.75" customHeight="1">
      <c r="A13" s="1" t="s">
        <v>72</v>
      </c>
      <c r="B13" s="1" t="s">
        <v>194</v>
      </c>
      <c r="C13" s="1" t="s">
        <v>74</v>
      </c>
      <c r="D13" s="1" t="s">
        <v>74</v>
      </c>
      <c r="E13" s="1" t="s">
        <v>74</v>
      </c>
      <c r="F13" s="1" t="s">
        <v>195</v>
      </c>
      <c r="G13" s="1" t="s">
        <v>74</v>
      </c>
      <c r="H13" s="1" t="s">
        <v>74</v>
      </c>
      <c r="I13" s="1" t="s">
        <v>196</v>
      </c>
      <c r="J13" s="1" t="s">
        <v>197</v>
      </c>
      <c r="K13" s="1" t="s">
        <v>74</v>
      </c>
      <c r="L13" s="1" t="s">
        <v>74</v>
      </c>
      <c r="M13" s="1" t="s">
        <v>74</v>
      </c>
      <c r="N13" s="1" t="s">
        <v>74</v>
      </c>
      <c r="O13" s="1" t="s">
        <v>74</v>
      </c>
      <c r="P13" s="1" t="s">
        <v>74</v>
      </c>
      <c r="Q13" s="1" t="s">
        <v>74</v>
      </c>
      <c r="R13" s="1" t="s">
        <v>74</v>
      </c>
      <c r="S13" s="1" t="s">
        <v>74</v>
      </c>
      <c r="T13" s="1" t="s">
        <v>74</v>
      </c>
      <c r="U13" s="1" t="s">
        <v>74</v>
      </c>
      <c r="V13" s="1" t="s">
        <v>198</v>
      </c>
      <c r="W13" s="1" t="s">
        <v>74</v>
      </c>
      <c r="X13" s="1" t="s">
        <v>74</v>
      </c>
      <c r="Y13" s="1" t="s">
        <v>74</v>
      </c>
      <c r="Z13" s="1" t="s">
        <v>74</v>
      </c>
      <c r="AA13" s="1" t="s">
        <v>199</v>
      </c>
      <c r="AB13" s="1" t="s">
        <v>200</v>
      </c>
      <c r="AC13" s="1" t="s">
        <v>74</v>
      </c>
      <c r="AD13" s="1" t="s">
        <v>74</v>
      </c>
      <c r="AE13" s="1" t="s">
        <v>74</v>
      </c>
      <c r="AF13" s="1" t="s">
        <v>74</v>
      </c>
      <c r="AG13" s="1" t="s">
        <v>74</v>
      </c>
      <c r="AH13" s="1" t="s">
        <v>74</v>
      </c>
      <c r="AI13" s="1" t="s">
        <v>74</v>
      </c>
      <c r="AJ13" s="1" t="s">
        <v>74</v>
      </c>
      <c r="AK13" s="1" t="s">
        <v>74</v>
      </c>
      <c r="AL13" s="1" t="s">
        <v>74</v>
      </c>
      <c r="AM13" s="1" t="s">
        <v>74</v>
      </c>
      <c r="AN13" s="1" t="s">
        <v>74</v>
      </c>
      <c r="AO13" s="1" t="s">
        <v>201</v>
      </c>
      <c r="AP13" s="1" t="s">
        <v>202</v>
      </c>
      <c r="AQ13" s="1" t="s">
        <v>74</v>
      </c>
      <c r="AR13" s="1" t="s">
        <v>74</v>
      </c>
      <c r="AS13" s="1" t="s">
        <v>74</v>
      </c>
      <c r="AT13" s="1" t="s">
        <v>203</v>
      </c>
      <c r="AU13" s="1">
        <v>2021.0</v>
      </c>
      <c r="AV13" s="1">
        <v>801.0</v>
      </c>
      <c r="AW13" s="1" t="s">
        <v>74</v>
      </c>
      <c r="AX13" s="1" t="s">
        <v>74</v>
      </c>
      <c r="AY13" s="1" t="s">
        <v>74</v>
      </c>
      <c r="AZ13" s="1" t="s">
        <v>74</v>
      </c>
      <c r="BA13" s="1" t="s">
        <v>74</v>
      </c>
      <c r="BB13" s="1" t="s">
        <v>74</v>
      </c>
      <c r="BC13" s="1" t="s">
        <v>74</v>
      </c>
      <c r="BD13" s="1">
        <v>149666.0</v>
      </c>
      <c r="BE13" s="1" t="s">
        <v>204</v>
      </c>
      <c r="BF13" s="2" t="str">
        <f>HYPERLINK("http://dx.doi.org/10.1016/j.scitotenv.2021.149666","http://dx.doi.org/10.1016/j.scitotenv.2021.149666")</f>
        <v>http://dx.doi.org/10.1016/j.scitotenv.2021.149666</v>
      </c>
      <c r="BG13" s="1" t="s">
        <v>74</v>
      </c>
      <c r="BH13" s="1" t="s">
        <v>205</v>
      </c>
      <c r="BI13" s="1" t="s">
        <v>74</v>
      </c>
      <c r="BJ13" s="1" t="s">
        <v>74</v>
      </c>
      <c r="BK13" s="1" t="s">
        <v>74</v>
      </c>
      <c r="BL13" s="1" t="s">
        <v>74</v>
      </c>
      <c r="BM13" s="1" t="s">
        <v>74</v>
      </c>
      <c r="BN13" s="1">
        <v>3.4428664E7</v>
      </c>
      <c r="BO13" s="1" t="s">
        <v>74</v>
      </c>
      <c r="BP13" s="1" t="s">
        <v>74</v>
      </c>
      <c r="BQ13" s="1" t="s">
        <v>74</v>
      </c>
      <c r="BR13" s="1" t="s">
        <v>74</v>
      </c>
      <c r="BS13" s="1" t="s">
        <v>206</v>
      </c>
      <c r="BT13" s="1" t="str">
        <f>HYPERLINK("https%3A%2F%2Fwww.webofscience.com%2Fwos%2Fwoscc%2Ffull-record%2FWOS:000701899300005","View Full Record in Web of Science")</f>
        <v>View Full Record in Web of Science</v>
      </c>
    </row>
    <row r="14" ht="12.75" customHeight="1">
      <c r="A14" s="1" t="s">
        <v>72</v>
      </c>
      <c r="B14" s="1" t="s">
        <v>207</v>
      </c>
      <c r="C14" s="1" t="s">
        <v>74</v>
      </c>
      <c r="D14" s="1" t="s">
        <v>74</v>
      </c>
      <c r="E14" s="1" t="s">
        <v>74</v>
      </c>
      <c r="F14" s="1" t="s">
        <v>208</v>
      </c>
      <c r="G14" s="1" t="s">
        <v>74</v>
      </c>
      <c r="H14" s="1" t="s">
        <v>74</v>
      </c>
      <c r="I14" s="1" t="s">
        <v>209</v>
      </c>
      <c r="J14" s="1" t="s">
        <v>210</v>
      </c>
      <c r="K14" s="1" t="s">
        <v>74</v>
      </c>
      <c r="L14" s="1" t="s">
        <v>74</v>
      </c>
      <c r="M14" s="1" t="s">
        <v>74</v>
      </c>
      <c r="N14" s="1" t="s">
        <v>74</v>
      </c>
      <c r="O14" s="1" t="s">
        <v>74</v>
      </c>
      <c r="P14" s="1" t="s">
        <v>74</v>
      </c>
      <c r="Q14" s="1" t="s">
        <v>74</v>
      </c>
      <c r="R14" s="1" t="s">
        <v>74</v>
      </c>
      <c r="S14" s="1" t="s">
        <v>74</v>
      </c>
      <c r="T14" s="1" t="s">
        <v>74</v>
      </c>
      <c r="U14" s="1" t="s">
        <v>74</v>
      </c>
      <c r="V14" s="1" t="s">
        <v>211</v>
      </c>
      <c r="W14" s="1" t="s">
        <v>74</v>
      </c>
      <c r="X14" s="1" t="s">
        <v>74</v>
      </c>
      <c r="Y14" s="1" t="s">
        <v>74</v>
      </c>
      <c r="Z14" s="1" t="s">
        <v>74</v>
      </c>
      <c r="AA14" s="1" t="s">
        <v>212</v>
      </c>
      <c r="AB14" s="1" t="s">
        <v>213</v>
      </c>
      <c r="AC14" s="1" t="s">
        <v>74</v>
      </c>
      <c r="AD14" s="1" t="s">
        <v>74</v>
      </c>
      <c r="AE14" s="1" t="s">
        <v>74</v>
      </c>
      <c r="AF14" s="1" t="s">
        <v>74</v>
      </c>
      <c r="AG14" s="1" t="s">
        <v>74</v>
      </c>
      <c r="AH14" s="1" t="s">
        <v>74</v>
      </c>
      <c r="AI14" s="1" t="s">
        <v>74</v>
      </c>
      <c r="AJ14" s="1" t="s">
        <v>74</v>
      </c>
      <c r="AK14" s="1" t="s">
        <v>74</v>
      </c>
      <c r="AL14" s="1" t="s">
        <v>74</v>
      </c>
      <c r="AM14" s="1" t="s">
        <v>74</v>
      </c>
      <c r="AN14" s="1" t="s">
        <v>74</v>
      </c>
      <c r="AO14" s="1" t="s">
        <v>74</v>
      </c>
      <c r="AP14" s="1" t="s">
        <v>214</v>
      </c>
      <c r="AQ14" s="1" t="s">
        <v>74</v>
      </c>
      <c r="AR14" s="1" t="s">
        <v>74</v>
      </c>
      <c r="AS14" s="1" t="s">
        <v>74</v>
      </c>
      <c r="AT14" s="1" t="s">
        <v>215</v>
      </c>
      <c r="AU14" s="1">
        <v>2021.0</v>
      </c>
      <c r="AV14" s="1">
        <v>18.0</v>
      </c>
      <c r="AW14" s="1">
        <v>11.0</v>
      </c>
      <c r="AX14" s="1" t="s">
        <v>74</v>
      </c>
      <c r="AY14" s="1" t="s">
        <v>74</v>
      </c>
      <c r="AZ14" s="1" t="s">
        <v>74</v>
      </c>
      <c r="BA14" s="1" t="s">
        <v>74</v>
      </c>
      <c r="BB14" s="1" t="s">
        <v>74</v>
      </c>
      <c r="BC14" s="1" t="s">
        <v>74</v>
      </c>
      <c r="BD14" s="1">
        <v>5855.0</v>
      </c>
      <c r="BE14" s="1" t="s">
        <v>216</v>
      </c>
      <c r="BF14" s="2" t="str">
        <f>HYPERLINK("http://dx.doi.org/10.3390/ijerph18115855","http://dx.doi.org/10.3390/ijerph18115855")</f>
        <v>http://dx.doi.org/10.3390/ijerph18115855</v>
      </c>
      <c r="BG14" s="1" t="s">
        <v>74</v>
      </c>
      <c r="BH14" s="1" t="s">
        <v>74</v>
      </c>
      <c r="BI14" s="1" t="s">
        <v>74</v>
      </c>
      <c r="BJ14" s="1" t="s">
        <v>74</v>
      </c>
      <c r="BK14" s="1" t="s">
        <v>74</v>
      </c>
      <c r="BL14" s="1" t="s">
        <v>74</v>
      </c>
      <c r="BM14" s="1" t="s">
        <v>74</v>
      </c>
      <c r="BN14" s="1">
        <v>3.4072527E7</v>
      </c>
      <c r="BO14" s="1" t="s">
        <v>74</v>
      </c>
      <c r="BP14" s="1" t="s">
        <v>74</v>
      </c>
      <c r="BQ14" s="1" t="s">
        <v>74</v>
      </c>
      <c r="BR14" s="1" t="s">
        <v>74</v>
      </c>
      <c r="BS14" s="1" t="s">
        <v>217</v>
      </c>
      <c r="BT14" s="1" t="str">
        <f>HYPERLINK("https%3A%2F%2Fwww.webofscience.com%2Fwos%2Fwoscc%2Ffull-record%2FWOS:000660014900001","View Full Record in Web of Science")</f>
        <v>View Full Record in Web of Science</v>
      </c>
    </row>
    <row r="15" ht="12.75" customHeight="1">
      <c r="A15" s="1" t="s">
        <v>72</v>
      </c>
      <c r="B15" s="1" t="s">
        <v>218</v>
      </c>
      <c r="C15" s="1" t="s">
        <v>74</v>
      </c>
      <c r="D15" s="1" t="s">
        <v>74</v>
      </c>
      <c r="E15" s="1" t="s">
        <v>74</v>
      </c>
      <c r="F15" s="1" t="s">
        <v>219</v>
      </c>
      <c r="G15" s="1" t="s">
        <v>74</v>
      </c>
      <c r="H15" s="1" t="s">
        <v>74</v>
      </c>
      <c r="I15" s="1" t="s">
        <v>220</v>
      </c>
      <c r="J15" s="1" t="s">
        <v>221</v>
      </c>
      <c r="K15" s="1" t="s">
        <v>74</v>
      </c>
      <c r="L15" s="1" t="s">
        <v>74</v>
      </c>
      <c r="M15" s="1" t="s">
        <v>74</v>
      </c>
      <c r="N15" s="1" t="s">
        <v>74</v>
      </c>
      <c r="O15" s="1" t="s">
        <v>74</v>
      </c>
      <c r="P15" s="1" t="s">
        <v>74</v>
      </c>
      <c r="Q15" s="1" t="s">
        <v>74</v>
      </c>
      <c r="R15" s="1" t="s">
        <v>74</v>
      </c>
      <c r="S15" s="1" t="s">
        <v>74</v>
      </c>
      <c r="T15" s="1" t="s">
        <v>74</v>
      </c>
      <c r="U15" s="1" t="s">
        <v>74</v>
      </c>
      <c r="V15" s="1" t="s">
        <v>222</v>
      </c>
      <c r="W15" s="1" t="s">
        <v>74</v>
      </c>
      <c r="X15" s="1" t="s">
        <v>74</v>
      </c>
      <c r="Y15" s="1" t="s">
        <v>74</v>
      </c>
      <c r="Z15" s="1" t="s">
        <v>74</v>
      </c>
      <c r="AA15" s="1" t="s">
        <v>223</v>
      </c>
      <c r="AB15" s="1" t="s">
        <v>224</v>
      </c>
      <c r="AC15" s="1" t="s">
        <v>74</v>
      </c>
      <c r="AD15" s="1" t="s">
        <v>74</v>
      </c>
      <c r="AE15" s="1" t="s">
        <v>74</v>
      </c>
      <c r="AF15" s="1" t="s">
        <v>74</v>
      </c>
      <c r="AG15" s="1" t="s">
        <v>74</v>
      </c>
      <c r="AH15" s="1" t="s">
        <v>74</v>
      </c>
      <c r="AI15" s="1" t="s">
        <v>74</v>
      </c>
      <c r="AJ15" s="1" t="s">
        <v>74</v>
      </c>
      <c r="AK15" s="1" t="s">
        <v>74</v>
      </c>
      <c r="AL15" s="1" t="s">
        <v>74</v>
      </c>
      <c r="AM15" s="1" t="s">
        <v>74</v>
      </c>
      <c r="AN15" s="1" t="s">
        <v>74</v>
      </c>
      <c r="AO15" s="1" t="s">
        <v>225</v>
      </c>
      <c r="AP15" s="1" t="s">
        <v>226</v>
      </c>
      <c r="AQ15" s="1" t="s">
        <v>74</v>
      </c>
      <c r="AR15" s="1" t="s">
        <v>74</v>
      </c>
      <c r="AS15" s="1" t="s">
        <v>74</v>
      </c>
      <c r="AT15" s="1" t="s">
        <v>227</v>
      </c>
      <c r="AU15" s="1">
        <v>2021.0</v>
      </c>
      <c r="AV15" s="1">
        <v>154.0</v>
      </c>
      <c r="AW15" s="1">
        <v>9.0</v>
      </c>
      <c r="AX15" s="1" t="s">
        <v>74</v>
      </c>
      <c r="AY15" s="1" t="s">
        <v>74</v>
      </c>
      <c r="AZ15" s="1" t="s">
        <v>74</v>
      </c>
      <c r="BA15" s="1" t="s">
        <v>74</v>
      </c>
      <c r="BB15" s="1" t="s">
        <v>74</v>
      </c>
      <c r="BC15" s="1" t="s">
        <v>74</v>
      </c>
      <c r="BD15" s="1">
        <v>94120.0</v>
      </c>
      <c r="BE15" s="1" t="s">
        <v>228</v>
      </c>
      <c r="BF15" s="2" t="str">
        <f>HYPERLINK("http://dx.doi.org/10.1063/5.0037995","http://dx.doi.org/10.1063/5.0037995")</f>
        <v>http://dx.doi.org/10.1063/5.0037995</v>
      </c>
      <c r="BG15" s="1" t="s">
        <v>74</v>
      </c>
      <c r="BH15" s="1" t="s">
        <v>74</v>
      </c>
      <c r="BI15" s="1" t="s">
        <v>74</v>
      </c>
      <c r="BJ15" s="1" t="s">
        <v>74</v>
      </c>
      <c r="BK15" s="1" t="s">
        <v>74</v>
      </c>
      <c r="BL15" s="1" t="s">
        <v>74</v>
      </c>
      <c r="BM15" s="1" t="s">
        <v>74</v>
      </c>
      <c r="BN15" s="1">
        <v>3.3685158E7</v>
      </c>
      <c r="BO15" s="1" t="s">
        <v>74</v>
      </c>
      <c r="BP15" s="1" t="s">
        <v>74</v>
      </c>
      <c r="BQ15" s="1" t="s">
        <v>74</v>
      </c>
      <c r="BR15" s="1" t="s">
        <v>74</v>
      </c>
      <c r="BS15" s="1" t="s">
        <v>229</v>
      </c>
      <c r="BT15" s="1" t="str">
        <f>HYPERLINK("https%3A%2F%2Fwww.webofscience.com%2Fwos%2Fwoscc%2Ffull-record%2FWOS:000630524000020","View Full Record in Web of Science")</f>
        <v>View Full Record in Web of Science</v>
      </c>
    </row>
    <row r="16" ht="12.75" customHeight="1">
      <c r="A16" s="1" t="s">
        <v>72</v>
      </c>
      <c r="B16" s="1" t="s">
        <v>230</v>
      </c>
      <c r="C16" s="1" t="s">
        <v>74</v>
      </c>
      <c r="D16" s="1" t="s">
        <v>74</v>
      </c>
      <c r="E16" s="1" t="s">
        <v>74</v>
      </c>
      <c r="F16" s="1" t="s">
        <v>231</v>
      </c>
      <c r="G16" s="1" t="s">
        <v>74</v>
      </c>
      <c r="H16" s="1" t="s">
        <v>74</v>
      </c>
      <c r="I16" s="1" t="s">
        <v>232</v>
      </c>
      <c r="J16" s="1" t="s">
        <v>233</v>
      </c>
      <c r="K16" s="1" t="s">
        <v>74</v>
      </c>
      <c r="L16" s="1" t="s">
        <v>74</v>
      </c>
      <c r="M16" s="1" t="s">
        <v>74</v>
      </c>
      <c r="N16" s="1" t="s">
        <v>74</v>
      </c>
      <c r="O16" s="1" t="s">
        <v>74</v>
      </c>
      <c r="P16" s="1" t="s">
        <v>74</v>
      </c>
      <c r="Q16" s="1" t="s">
        <v>74</v>
      </c>
      <c r="R16" s="1" t="s">
        <v>74</v>
      </c>
      <c r="S16" s="1" t="s">
        <v>74</v>
      </c>
      <c r="T16" s="1" t="s">
        <v>74</v>
      </c>
      <c r="U16" s="1" t="s">
        <v>74</v>
      </c>
      <c r="V16" s="1" t="s">
        <v>234</v>
      </c>
      <c r="W16" s="1" t="s">
        <v>74</v>
      </c>
      <c r="X16" s="1" t="s">
        <v>74</v>
      </c>
      <c r="Y16" s="1" t="s">
        <v>74</v>
      </c>
      <c r="Z16" s="1" t="s">
        <v>74</v>
      </c>
      <c r="AA16" s="1" t="s">
        <v>235</v>
      </c>
      <c r="AB16" s="1" t="s">
        <v>236</v>
      </c>
      <c r="AC16" s="1" t="s">
        <v>74</v>
      </c>
      <c r="AD16" s="1" t="s">
        <v>74</v>
      </c>
      <c r="AE16" s="1" t="s">
        <v>74</v>
      </c>
      <c r="AF16" s="1" t="s">
        <v>74</v>
      </c>
      <c r="AG16" s="1" t="s">
        <v>74</v>
      </c>
      <c r="AH16" s="1" t="s">
        <v>74</v>
      </c>
      <c r="AI16" s="1" t="s">
        <v>74</v>
      </c>
      <c r="AJ16" s="1" t="s">
        <v>74</v>
      </c>
      <c r="AK16" s="1" t="s">
        <v>74</v>
      </c>
      <c r="AL16" s="1" t="s">
        <v>74</v>
      </c>
      <c r="AM16" s="1" t="s">
        <v>74</v>
      </c>
      <c r="AN16" s="1" t="s">
        <v>74</v>
      </c>
      <c r="AO16" s="1" t="s">
        <v>237</v>
      </c>
      <c r="AP16" s="1" t="s">
        <v>238</v>
      </c>
      <c r="AQ16" s="1" t="s">
        <v>74</v>
      </c>
      <c r="AR16" s="1" t="s">
        <v>74</v>
      </c>
      <c r="AS16" s="1" t="s">
        <v>74</v>
      </c>
      <c r="AT16" s="1" t="s">
        <v>239</v>
      </c>
      <c r="AU16" s="1">
        <v>2021.0</v>
      </c>
      <c r="AV16" s="1">
        <v>94.0</v>
      </c>
      <c r="AW16" s="1">
        <v>1.0</v>
      </c>
      <c r="AX16" s="1" t="s">
        <v>74</v>
      </c>
      <c r="AY16" s="1" t="s">
        <v>74</v>
      </c>
      <c r="AZ16" s="1" t="s">
        <v>74</v>
      </c>
      <c r="BA16" s="1" t="s">
        <v>74</v>
      </c>
      <c r="BB16" s="1" t="s">
        <v>74</v>
      </c>
      <c r="BC16" s="1" t="s">
        <v>74</v>
      </c>
      <c r="BD16" s="1">
        <v>23.0</v>
      </c>
      <c r="BE16" s="1" t="s">
        <v>240</v>
      </c>
      <c r="BF16" s="2" t="str">
        <f>HYPERLINK("http://dx.doi.org/10.1140/epjb/s10051-020-00022-6","http://dx.doi.org/10.1140/epjb/s10051-020-00022-6")</f>
        <v>http://dx.doi.org/10.1140/epjb/s10051-020-00022-6</v>
      </c>
      <c r="BG16" s="1" t="s">
        <v>74</v>
      </c>
      <c r="BH16" s="1" t="s">
        <v>74</v>
      </c>
      <c r="BI16" s="1" t="s">
        <v>74</v>
      </c>
      <c r="BJ16" s="1" t="s">
        <v>74</v>
      </c>
      <c r="BK16" s="1" t="s">
        <v>74</v>
      </c>
      <c r="BL16" s="1" t="s">
        <v>74</v>
      </c>
      <c r="BM16" s="1" t="s">
        <v>74</v>
      </c>
      <c r="BN16" s="1" t="s">
        <v>74</v>
      </c>
      <c r="BO16" s="1" t="s">
        <v>74</v>
      </c>
      <c r="BP16" s="1" t="s">
        <v>74</v>
      </c>
      <c r="BQ16" s="1" t="s">
        <v>74</v>
      </c>
      <c r="BR16" s="1" t="s">
        <v>74</v>
      </c>
      <c r="BS16" s="1" t="s">
        <v>241</v>
      </c>
      <c r="BT16" s="1" t="str">
        <f>HYPERLINK("https%3A%2F%2Fwww.webofscience.com%2Fwos%2Fwoscc%2Ffull-record%2FWOS:000612853200002","View Full Record in Web of Science")</f>
        <v>View Full Record in Web of Science</v>
      </c>
    </row>
    <row r="17" ht="12.75" customHeight="1">
      <c r="A17" s="1" t="s">
        <v>242</v>
      </c>
      <c r="B17" s="1" t="s">
        <v>243</v>
      </c>
      <c r="C17" s="1" t="s">
        <v>74</v>
      </c>
      <c r="D17" s="1" t="s">
        <v>244</v>
      </c>
      <c r="E17" s="1" t="s">
        <v>74</v>
      </c>
      <c r="F17" s="1" t="s">
        <v>245</v>
      </c>
      <c r="G17" s="1" t="s">
        <v>74</v>
      </c>
      <c r="H17" s="1" t="s">
        <v>74</v>
      </c>
      <c r="I17" s="1" t="s">
        <v>246</v>
      </c>
      <c r="J17" s="1" t="s">
        <v>247</v>
      </c>
      <c r="K17" s="1" t="s">
        <v>74</v>
      </c>
      <c r="L17" s="1" t="s">
        <v>74</v>
      </c>
      <c r="M17" s="1" t="s">
        <v>74</v>
      </c>
      <c r="N17" s="1" t="s">
        <v>74</v>
      </c>
      <c r="O17" s="1" t="s">
        <v>74</v>
      </c>
      <c r="P17" s="1" t="s">
        <v>74</v>
      </c>
      <c r="Q17" s="1" t="s">
        <v>74</v>
      </c>
      <c r="R17" s="1" t="s">
        <v>74</v>
      </c>
      <c r="S17" s="1" t="s">
        <v>74</v>
      </c>
      <c r="T17" s="1" t="s">
        <v>74</v>
      </c>
      <c r="U17" s="1" t="s">
        <v>74</v>
      </c>
      <c r="V17" s="1" t="s">
        <v>74</v>
      </c>
      <c r="W17" s="1" t="s">
        <v>74</v>
      </c>
      <c r="X17" s="1" t="s">
        <v>74</v>
      </c>
      <c r="Y17" s="1" t="s">
        <v>74</v>
      </c>
      <c r="Z17" s="1" t="s">
        <v>74</v>
      </c>
      <c r="AA17" s="1" t="s">
        <v>74</v>
      </c>
      <c r="AB17" s="1" t="s">
        <v>74</v>
      </c>
      <c r="AC17" s="1" t="s">
        <v>74</v>
      </c>
      <c r="AD17" s="1" t="s">
        <v>74</v>
      </c>
      <c r="AE17" s="1" t="s">
        <v>74</v>
      </c>
      <c r="AF17" s="1" t="s">
        <v>74</v>
      </c>
      <c r="AG17" s="1" t="s">
        <v>74</v>
      </c>
      <c r="AH17" s="1" t="s">
        <v>74</v>
      </c>
      <c r="AI17" s="1" t="s">
        <v>74</v>
      </c>
      <c r="AJ17" s="1" t="s">
        <v>74</v>
      </c>
      <c r="AK17" s="1" t="s">
        <v>74</v>
      </c>
      <c r="AL17" s="1" t="s">
        <v>74</v>
      </c>
      <c r="AM17" s="1" t="s">
        <v>74</v>
      </c>
      <c r="AN17" s="1" t="s">
        <v>74</v>
      </c>
      <c r="AO17" s="1" t="s">
        <v>74</v>
      </c>
      <c r="AP17" s="1" t="s">
        <v>74</v>
      </c>
      <c r="AQ17" s="1" t="s">
        <v>248</v>
      </c>
      <c r="AR17" s="1" t="s">
        <v>74</v>
      </c>
      <c r="AS17" s="1" t="s">
        <v>74</v>
      </c>
      <c r="AT17" s="1" t="s">
        <v>74</v>
      </c>
      <c r="AU17" s="1">
        <v>2021.0</v>
      </c>
      <c r="AV17" s="1" t="s">
        <v>74</v>
      </c>
      <c r="AW17" s="1" t="s">
        <v>74</v>
      </c>
      <c r="AX17" s="1" t="s">
        <v>74</v>
      </c>
      <c r="AY17" s="1" t="s">
        <v>74</v>
      </c>
      <c r="AZ17" s="1" t="s">
        <v>74</v>
      </c>
      <c r="BA17" s="1" t="s">
        <v>74</v>
      </c>
      <c r="BB17" s="1">
        <v>197.0</v>
      </c>
      <c r="BC17" s="1">
        <v>215.0</v>
      </c>
      <c r="BD17" s="1" t="s">
        <v>74</v>
      </c>
      <c r="BE17" s="1" t="s">
        <v>74</v>
      </c>
      <c r="BF17" s="1" t="s">
        <v>74</v>
      </c>
      <c r="BG17" s="1" t="s">
        <v>249</v>
      </c>
      <c r="BH17" s="1" t="s">
        <v>74</v>
      </c>
      <c r="BI17" s="1" t="s">
        <v>74</v>
      </c>
      <c r="BJ17" s="1" t="s">
        <v>74</v>
      </c>
      <c r="BK17" s="1" t="s">
        <v>74</v>
      </c>
      <c r="BL17" s="1" t="s">
        <v>74</v>
      </c>
      <c r="BM17" s="1" t="s">
        <v>74</v>
      </c>
      <c r="BN17" s="1" t="s">
        <v>74</v>
      </c>
      <c r="BO17" s="1" t="s">
        <v>74</v>
      </c>
      <c r="BP17" s="1" t="s">
        <v>74</v>
      </c>
      <c r="BQ17" s="1" t="s">
        <v>74</v>
      </c>
      <c r="BR17" s="1" t="s">
        <v>74</v>
      </c>
      <c r="BS17" s="1" t="s">
        <v>250</v>
      </c>
      <c r="BT17" s="1" t="str">
        <f>HYPERLINK("https%3A%2F%2Fwww.webofscience.com%2Fwos%2Fwoscc%2Ffull-record%2FWOS:001178587400011","View Full Record in Web of Science")</f>
        <v>View Full Record in Web of Science</v>
      </c>
    </row>
    <row r="18" ht="12.75" customHeight="1">
      <c r="A18" s="1" t="s">
        <v>251</v>
      </c>
      <c r="B18" s="1" t="s">
        <v>252</v>
      </c>
      <c r="C18" s="1" t="s">
        <v>74</v>
      </c>
      <c r="D18" s="1" t="s">
        <v>74</v>
      </c>
      <c r="E18" s="1" t="s">
        <v>253</v>
      </c>
      <c r="F18" s="1" t="s">
        <v>254</v>
      </c>
      <c r="G18" s="1" t="s">
        <v>74</v>
      </c>
      <c r="H18" s="1" t="s">
        <v>74</v>
      </c>
      <c r="I18" s="1" t="s">
        <v>255</v>
      </c>
      <c r="J18" s="1" t="s">
        <v>256</v>
      </c>
      <c r="K18" s="1" t="s">
        <v>74</v>
      </c>
      <c r="L18" s="1" t="s">
        <v>74</v>
      </c>
      <c r="M18" s="1" t="s">
        <v>74</v>
      </c>
      <c r="N18" s="1" t="s">
        <v>74</v>
      </c>
      <c r="O18" s="1" t="s">
        <v>257</v>
      </c>
      <c r="P18" s="1" t="s">
        <v>258</v>
      </c>
      <c r="Q18" s="1" t="s">
        <v>259</v>
      </c>
      <c r="R18" s="1" t="s">
        <v>260</v>
      </c>
      <c r="S18" s="1" t="s">
        <v>74</v>
      </c>
      <c r="T18" s="1" t="s">
        <v>74</v>
      </c>
      <c r="U18" s="1" t="s">
        <v>74</v>
      </c>
      <c r="V18" s="1" t="s">
        <v>261</v>
      </c>
      <c r="W18" s="1" t="s">
        <v>74</v>
      </c>
      <c r="X18" s="1" t="s">
        <v>74</v>
      </c>
      <c r="Y18" s="1" t="s">
        <v>74</v>
      </c>
      <c r="Z18" s="1" t="s">
        <v>74</v>
      </c>
      <c r="AA18" s="1" t="s">
        <v>262</v>
      </c>
      <c r="AB18" s="1" t="s">
        <v>263</v>
      </c>
      <c r="AC18" s="1" t="s">
        <v>74</v>
      </c>
      <c r="AD18" s="1" t="s">
        <v>74</v>
      </c>
      <c r="AE18" s="1" t="s">
        <v>74</v>
      </c>
      <c r="AF18" s="1" t="s">
        <v>74</v>
      </c>
      <c r="AG18" s="1" t="s">
        <v>74</v>
      </c>
      <c r="AH18" s="1" t="s">
        <v>74</v>
      </c>
      <c r="AI18" s="1" t="s">
        <v>74</v>
      </c>
      <c r="AJ18" s="1" t="s">
        <v>74</v>
      </c>
      <c r="AK18" s="1" t="s">
        <v>74</v>
      </c>
      <c r="AL18" s="1" t="s">
        <v>74</v>
      </c>
      <c r="AM18" s="1" t="s">
        <v>74</v>
      </c>
      <c r="AN18" s="1" t="s">
        <v>74</v>
      </c>
      <c r="AO18" s="1" t="s">
        <v>74</v>
      </c>
      <c r="AP18" s="1" t="s">
        <v>74</v>
      </c>
      <c r="AQ18" s="1" t="s">
        <v>264</v>
      </c>
      <c r="AR18" s="1" t="s">
        <v>74</v>
      </c>
      <c r="AS18" s="1" t="s">
        <v>74</v>
      </c>
      <c r="AT18" s="1" t="s">
        <v>74</v>
      </c>
      <c r="AU18" s="1">
        <v>2021.0</v>
      </c>
      <c r="AV18" s="1" t="s">
        <v>74</v>
      </c>
      <c r="AW18" s="1" t="s">
        <v>74</v>
      </c>
      <c r="AX18" s="1" t="s">
        <v>74</v>
      </c>
      <c r="AY18" s="1" t="s">
        <v>74</v>
      </c>
      <c r="AZ18" s="1" t="s">
        <v>74</v>
      </c>
      <c r="BA18" s="1" t="s">
        <v>74</v>
      </c>
      <c r="BB18" s="1" t="s">
        <v>74</v>
      </c>
      <c r="BC18" s="1" t="s">
        <v>74</v>
      </c>
      <c r="BD18" s="1" t="s">
        <v>74</v>
      </c>
      <c r="BE18" s="1" t="s">
        <v>265</v>
      </c>
      <c r="BF18" s="2" t="str">
        <f>HYPERLINK("http://dx.doi.org/10.1109/ICAACCA51523.2021.9465273","http://dx.doi.org/10.1109/ICAACCA51523.2021.9465273")</f>
        <v>http://dx.doi.org/10.1109/ICAACCA51523.2021.9465273</v>
      </c>
      <c r="BG18" s="1" t="s">
        <v>74</v>
      </c>
      <c r="BH18" s="1" t="s">
        <v>74</v>
      </c>
      <c r="BI18" s="1" t="s">
        <v>74</v>
      </c>
      <c r="BJ18" s="1" t="s">
        <v>74</v>
      </c>
      <c r="BK18" s="1" t="s">
        <v>74</v>
      </c>
      <c r="BL18" s="1" t="s">
        <v>74</v>
      </c>
      <c r="BM18" s="1" t="s">
        <v>74</v>
      </c>
      <c r="BN18" s="1" t="s">
        <v>74</v>
      </c>
      <c r="BO18" s="1" t="s">
        <v>74</v>
      </c>
      <c r="BP18" s="1" t="s">
        <v>74</v>
      </c>
      <c r="BQ18" s="1" t="s">
        <v>74</v>
      </c>
      <c r="BR18" s="1" t="s">
        <v>74</v>
      </c>
      <c r="BS18" s="1" t="s">
        <v>266</v>
      </c>
      <c r="BT18" s="1" t="str">
        <f>HYPERLINK("https%3A%2F%2Fwww.webofscience.com%2Fwos%2Fwoscc%2Ffull-record%2FWOS:000855764500052","View Full Record in Web of Science")</f>
        <v>View Full Record in Web of Science</v>
      </c>
    </row>
    <row r="19" ht="12.75" customHeight="1">
      <c r="A19" s="1" t="s">
        <v>251</v>
      </c>
      <c r="B19" s="1" t="s">
        <v>267</v>
      </c>
      <c r="C19" s="1" t="s">
        <v>74</v>
      </c>
      <c r="D19" s="1" t="s">
        <v>74</v>
      </c>
      <c r="E19" s="1" t="s">
        <v>253</v>
      </c>
      <c r="F19" s="1" t="s">
        <v>268</v>
      </c>
      <c r="G19" s="1" t="s">
        <v>74</v>
      </c>
      <c r="H19" s="1" t="s">
        <v>74</v>
      </c>
      <c r="I19" s="1" t="s">
        <v>269</v>
      </c>
      <c r="J19" s="1" t="s">
        <v>270</v>
      </c>
      <c r="K19" s="1" t="s">
        <v>74</v>
      </c>
      <c r="L19" s="1" t="s">
        <v>74</v>
      </c>
      <c r="M19" s="1" t="s">
        <v>74</v>
      </c>
      <c r="N19" s="1" t="s">
        <v>74</v>
      </c>
      <c r="O19" s="1" t="s">
        <v>271</v>
      </c>
      <c r="P19" s="1" t="s">
        <v>272</v>
      </c>
      <c r="Q19" s="1" t="s">
        <v>259</v>
      </c>
      <c r="R19" s="1" t="s">
        <v>273</v>
      </c>
      <c r="S19" s="1" t="s">
        <v>74</v>
      </c>
      <c r="T19" s="1" t="s">
        <v>74</v>
      </c>
      <c r="U19" s="1" t="s">
        <v>74</v>
      </c>
      <c r="V19" s="1" t="s">
        <v>274</v>
      </c>
      <c r="W19" s="1" t="s">
        <v>74</v>
      </c>
      <c r="X19" s="1" t="s">
        <v>74</v>
      </c>
      <c r="Y19" s="1" t="s">
        <v>74</v>
      </c>
      <c r="Z19" s="1" t="s">
        <v>74</v>
      </c>
      <c r="AA19" s="1" t="s">
        <v>74</v>
      </c>
      <c r="AB19" s="1" t="s">
        <v>275</v>
      </c>
      <c r="AC19" s="1" t="s">
        <v>74</v>
      </c>
      <c r="AD19" s="1" t="s">
        <v>74</v>
      </c>
      <c r="AE19" s="1" t="s">
        <v>74</v>
      </c>
      <c r="AF19" s="1" t="s">
        <v>74</v>
      </c>
      <c r="AG19" s="1" t="s">
        <v>74</v>
      </c>
      <c r="AH19" s="1" t="s">
        <v>74</v>
      </c>
      <c r="AI19" s="1" t="s">
        <v>74</v>
      </c>
      <c r="AJ19" s="1" t="s">
        <v>74</v>
      </c>
      <c r="AK19" s="1" t="s">
        <v>74</v>
      </c>
      <c r="AL19" s="1" t="s">
        <v>74</v>
      </c>
      <c r="AM19" s="1" t="s">
        <v>74</v>
      </c>
      <c r="AN19" s="1" t="s">
        <v>74</v>
      </c>
      <c r="AO19" s="1" t="s">
        <v>74</v>
      </c>
      <c r="AP19" s="1" t="s">
        <v>74</v>
      </c>
      <c r="AQ19" s="1" t="s">
        <v>276</v>
      </c>
      <c r="AR19" s="1" t="s">
        <v>74</v>
      </c>
      <c r="AS19" s="1" t="s">
        <v>74</v>
      </c>
      <c r="AT19" s="1" t="s">
        <v>74</v>
      </c>
      <c r="AU19" s="1">
        <v>2021.0</v>
      </c>
      <c r="AV19" s="1" t="s">
        <v>74</v>
      </c>
      <c r="AW19" s="1" t="s">
        <v>74</v>
      </c>
      <c r="AX19" s="1" t="s">
        <v>74</v>
      </c>
      <c r="AY19" s="1" t="s">
        <v>74</v>
      </c>
      <c r="AZ19" s="1" t="s">
        <v>74</v>
      </c>
      <c r="BA19" s="1" t="s">
        <v>74</v>
      </c>
      <c r="BB19" s="1">
        <v>198.0</v>
      </c>
      <c r="BC19" s="1">
        <v>202.0</v>
      </c>
      <c r="BD19" s="1" t="s">
        <v>74</v>
      </c>
      <c r="BE19" s="1" t="s">
        <v>277</v>
      </c>
      <c r="BF19" s="2" t="str">
        <f>HYPERLINK("http://dx.doi.org/10.1109/CHILECON54041.2021.9703088","http://dx.doi.org/10.1109/CHILECON54041.2021.9703088")</f>
        <v>http://dx.doi.org/10.1109/CHILECON54041.2021.9703088</v>
      </c>
      <c r="BG19" s="1" t="s">
        <v>74</v>
      </c>
      <c r="BH19" s="1" t="s">
        <v>74</v>
      </c>
      <c r="BI19" s="1" t="s">
        <v>74</v>
      </c>
      <c r="BJ19" s="1" t="s">
        <v>74</v>
      </c>
      <c r="BK19" s="1" t="s">
        <v>74</v>
      </c>
      <c r="BL19" s="1" t="s">
        <v>74</v>
      </c>
      <c r="BM19" s="1" t="s">
        <v>74</v>
      </c>
      <c r="BN19" s="1" t="s">
        <v>74</v>
      </c>
      <c r="BO19" s="1" t="s">
        <v>74</v>
      </c>
      <c r="BP19" s="1" t="s">
        <v>74</v>
      </c>
      <c r="BQ19" s="1" t="s">
        <v>74</v>
      </c>
      <c r="BR19" s="1" t="s">
        <v>74</v>
      </c>
      <c r="BS19" s="1" t="s">
        <v>278</v>
      </c>
      <c r="BT19" s="1" t="str">
        <f>HYPERLINK("https%3A%2F%2Fwww.webofscience.com%2Fwos%2Fwoscc%2Ffull-record%2FWOS:000788072700034","View Full Record in Web of Science")</f>
        <v>View Full Record in Web of Science</v>
      </c>
    </row>
    <row r="20" ht="12.75" customHeight="1">
      <c r="A20" s="1" t="s">
        <v>72</v>
      </c>
      <c r="B20" s="1" t="s">
        <v>279</v>
      </c>
      <c r="C20" s="1" t="s">
        <v>74</v>
      </c>
      <c r="D20" s="1" t="s">
        <v>74</v>
      </c>
      <c r="E20" s="1" t="s">
        <v>74</v>
      </c>
      <c r="F20" s="1" t="s">
        <v>280</v>
      </c>
      <c r="G20" s="1" t="s">
        <v>74</v>
      </c>
      <c r="H20" s="1" t="s">
        <v>74</v>
      </c>
      <c r="I20" s="1" t="s">
        <v>281</v>
      </c>
      <c r="J20" s="1" t="s">
        <v>282</v>
      </c>
      <c r="K20" s="1" t="s">
        <v>74</v>
      </c>
      <c r="L20" s="1" t="s">
        <v>74</v>
      </c>
      <c r="M20" s="1" t="s">
        <v>74</v>
      </c>
      <c r="N20" s="1" t="s">
        <v>74</v>
      </c>
      <c r="O20" s="1" t="s">
        <v>74</v>
      </c>
      <c r="P20" s="1" t="s">
        <v>74</v>
      </c>
      <c r="Q20" s="1" t="s">
        <v>74</v>
      </c>
      <c r="R20" s="1" t="s">
        <v>74</v>
      </c>
      <c r="S20" s="1" t="s">
        <v>74</v>
      </c>
      <c r="T20" s="1" t="s">
        <v>74</v>
      </c>
      <c r="U20" s="1" t="s">
        <v>74</v>
      </c>
      <c r="V20" s="1" t="s">
        <v>283</v>
      </c>
      <c r="W20" s="1" t="s">
        <v>74</v>
      </c>
      <c r="X20" s="1" t="s">
        <v>74</v>
      </c>
      <c r="Y20" s="1" t="s">
        <v>74</v>
      </c>
      <c r="Z20" s="1" t="s">
        <v>74</v>
      </c>
      <c r="AA20" s="1" t="s">
        <v>284</v>
      </c>
      <c r="AB20" s="1" t="s">
        <v>285</v>
      </c>
      <c r="AC20" s="1" t="s">
        <v>74</v>
      </c>
      <c r="AD20" s="1" t="s">
        <v>74</v>
      </c>
      <c r="AE20" s="1" t="s">
        <v>74</v>
      </c>
      <c r="AF20" s="1" t="s">
        <v>74</v>
      </c>
      <c r="AG20" s="1" t="s">
        <v>74</v>
      </c>
      <c r="AH20" s="1" t="s">
        <v>74</v>
      </c>
      <c r="AI20" s="1" t="s">
        <v>74</v>
      </c>
      <c r="AJ20" s="1" t="s">
        <v>74</v>
      </c>
      <c r="AK20" s="1" t="s">
        <v>74</v>
      </c>
      <c r="AL20" s="1" t="s">
        <v>74</v>
      </c>
      <c r="AM20" s="1" t="s">
        <v>74</v>
      </c>
      <c r="AN20" s="1" t="s">
        <v>74</v>
      </c>
      <c r="AO20" s="1" t="s">
        <v>286</v>
      </c>
      <c r="AP20" s="1" t="s">
        <v>287</v>
      </c>
      <c r="AQ20" s="1" t="s">
        <v>74</v>
      </c>
      <c r="AR20" s="1" t="s">
        <v>74</v>
      </c>
      <c r="AS20" s="1" t="s">
        <v>74</v>
      </c>
      <c r="AT20" s="1" t="s">
        <v>110</v>
      </c>
      <c r="AU20" s="1">
        <v>2020.0</v>
      </c>
      <c r="AV20" s="1">
        <v>159.0</v>
      </c>
      <c r="AW20" s="1" t="s">
        <v>74</v>
      </c>
      <c r="AX20" s="1" t="s">
        <v>74</v>
      </c>
      <c r="AY20" s="1" t="s">
        <v>74</v>
      </c>
      <c r="AZ20" s="1" t="s">
        <v>74</v>
      </c>
      <c r="BA20" s="1" t="s">
        <v>74</v>
      </c>
      <c r="BB20" s="1" t="s">
        <v>74</v>
      </c>
      <c r="BC20" s="1" t="s">
        <v>74</v>
      </c>
      <c r="BD20" s="1">
        <v>105393.0</v>
      </c>
      <c r="BE20" s="1" t="s">
        <v>288</v>
      </c>
      <c r="BF20" s="2" t="str">
        <f>HYPERLINK("http://dx.doi.org/10.1016/j.microc.2020.105393","http://dx.doi.org/10.1016/j.microc.2020.105393")</f>
        <v>http://dx.doi.org/10.1016/j.microc.2020.105393</v>
      </c>
      <c r="BG20" s="1" t="s">
        <v>74</v>
      </c>
      <c r="BH20" s="1" t="s">
        <v>74</v>
      </c>
      <c r="BI20" s="1" t="s">
        <v>74</v>
      </c>
      <c r="BJ20" s="1" t="s">
        <v>74</v>
      </c>
      <c r="BK20" s="1" t="s">
        <v>74</v>
      </c>
      <c r="BL20" s="1" t="s">
        <v>74</v>
      </c>
      <c r="BM20" s="1" t="s">
        <v>74</v>
      </c>
      <c r="BN20" s="1" t="s">
        <v>74</v>
      </c>
      <c r="BO20" s="1" t="s">
        <v>74</v>
      </c>
      <c r="BP20" s="1" t="s">
        <v>74</v>
      </c>
      <c r="BQ20" s="1" t="s">
        <v>74</v>
      </c>
      <c r="BR20" s="1" t="s">
        <v>74</v>
      </c>
      <c r="BS20" s="1" t="s">
        <v>289</v>
      </c>
      <c r="BT20" s="1" t="str">
        <f>HYPERLINK("https%3A%2F%2Fwww.webofscience.com%2Fwos%2Fwoscc%2Ffull-record%2FWOS:000598762000009","View Full Record in Web of Science")</f>
        <v>View Full Record in Web of Science</v>
      </c>
    </row>
    <row r="21" ht="12.75" customHeight="1">
      <c r="A21" s="1" t="s">
        <v>72</v>
      </c>
      <c r="B21" s="1" t="s">
        <v>290</v>
      </c>
      <c r="C21" s="1" t="s">
        <v>74</v>
      </c>
      <c r="D21" s="1" t="s">
        <v>74</v>
      </c>
      <c r="E21" s="1" t="s">
        <v>74</v>
      </c>
      <c r="F21" s="1" t="s">
        <v>291</v>
      </c>
      <c r="G21" s="1" t="s">
        <v>74</v>
      </c>
      <c r="H21" s="1" t="s">
        <v>74</v>
      </c>
      <c r="I21" s="1" t="s">
        <v>292</v>
      </c>
      <c r="J21" s="1" t="s">
        <v>293</v>
      </c>
      <c r="K21" s="1" t="s">
        <v>74</v>
      </c>
      <c r="L21" s="1" t="s">
        <v>74</v>
      </c>
      <c r="M21" s="1" t="s">
        <v>74</v>
      </c>
      <c r="N21" s="1" t="s">
        <v>74</v>
      </c>
      <c r="O21" s="1" t="s">
        <v>74</v>
      </c>
      <c r="P21" s="1" t="s">
        <v>74</v>
      </c>
      <c r="Q21" s="1" t="s">
        <v>74</v>
      </c>
      <c r="R21" s="1" t="s">
        <v>74</v>
      </c>
      <c r="S21" s="1" t="s">
        <v>74</v>
      </c>
      <c r="T21" s="1" t="s">
        <v>74</v>
      </c>
      <c r="U21" s="1" t="s">
        <v>74</v>
      </c>
      <c r="V21" s="1" t="s">
        <v>294</v>
      </c>
      <c r="W21" s="1" t="s">
        <v>74</v>
      </c>
      <c r="X21" s="1" t="s">
        <v>74</v>
      </c>
      <c r="Y21" s="1" t="s">
        <v>74</v>
      </c>
      <c r="Z21" s="1" t="s">
        <v>74</v>
      </c>
      <c r="AA21" s="1" t="s">
        <v>295</v>
      </c>
      <c r="AB21" s="1" t="s">
        <v>296</v>
      </c>
      <c r="AC21" s="1" t="s">
        <v>74</v>
      </c>
      <c r="AD21" s="1" t="s">
        <v>74</v>
      </c>
      <c r="AE21" s="1" t="s">
        <v>74</v>
      </c>
      <c r="AF21" s="1" t="s">
        <v>74</v>
      </c>
      <c r="AG21" s="1" t="s">
        <v>74</v>
      </c>
      <c r="AH21" s="1" t="s">
        <v>74</v>
      </c>
      <c r="AI21" s="1" t="s">
        <v>74</v>
      </c>
      <c r="AJ21" s="1" t="s">
        <v>74</v>
      </c>
      <c r="AK21" s="1" t="s">
        <v>74</v>
      </c>
      <c r="AL21" s="1" t="s">
        <v>74</v>
      </c>
      <c r="AM21" s="1" t="s">
        <v>74</v>
      </c>
      <c r="AN21" s="1" t="s">
        <v>74</v>
      </c>
      <c r="AO21" s="1" t="s">
        <v>297</v>
      </c>
      <c r="AP21" s="1" t="s">
        <v>298</v>
      </c>
      <c r="AQ21" s="1" t="s">
        <v>74</v>
      </c>
      <c r="AR21" s="1" t="s">
        <v>74</v>
      </c>
      <c r="AS21" s="1" t="s">
        <v>74</v>
      </c>
      <c r="AT21" s="1" t="s">
        <v>180</v>
      </c>
      <c r="AU21" s="1">
        <v>2021.0</v>
      </c>
      <c r="AV21" s="1">
        <v>45.0</v>
      </c>
      <c r="AW21" s="1">
        <v>3.0</v>
      </c>
      <c r="AX21" s="1" t="s">
        <v>74</v>
      </c>
      <c r="AY21" s="1" t="s">
        <v>74</v>
      </c>
      <c r="AZ21" s="1" t="s">
        <v>74</v>
      </c>
      <c r="BA21" s="1" t="s">
        <v>74</v>
      </c>
      <c r="BB21" s="1">
        <v>335.0</v>
      </c>
      <c r="BC21" s="1">
        <v>349.0</v>
      </c>
      <c r="BD21" s="1" t="s">
        <v>74</v>
      </c>
      <c r="BE21" s="1" t="s">
        <v>299</v>
      </c>
      <c r="BF21" s="2" t="str">
        <f>HYPERLINK("http://dx.doi.org/10.1111/ijcs.12623","http://dx.doi.org/10.1111/ijcs.12623")</f>
        <v>http://dx.doi.org/10.1111/ijcs.12623</v>
      </c>
      <c r="BG21" s="1" t="s">
        <v>74</v>
      </c>
      <c r="BH21" s="1" t="s">
        <v>300</v>
      </c>
      <c r="BI21" s="1" t="s">
        <v>74</v>
      </c>
      <c r="BJ21" s="1" t="s">
        <v>74</v>
      </c>
      <c r="BK21" s="1" t="s">
        <v>74</v>
      </c>
      <c r="BL21" s="1" t="s">
        <v>74</v>
      </c>
      <c r="BM21" s="1" t="s">
        <v>74</v>
      </c>
      <c r="BN21" s="1" t="s">
        <v>74</v>
      </c>
      <c r="BO21" s="1" t="s">
        <v>74</v>
      </c>
      <c r="BP21" s="1" t="s">
        <v>74</v>
      </c>
      <c r="BQ21" s="1" t="s">
        <v>74</v>
      </c>
      <c r="BR21" s="1" t="s">
        <v>74</v>
      </c>
      <c r="BS21" s="1" t="s">
        <v>301</v>
      </c>
      <c r="BT21" s="1" t="str">
        <f>HYPERLINK("https%3A%2F%2Fwww.webofscience.com%2Fwos%2Fwoscc%2Ffull-record%2FWOS:000580970500001","View Full Record in Web of Science")</f>
        <v>View Full Record in Web of Science</v>
      </c>
    </row>
    <row r="22" ht="12.75" customHeight="1">
      <c r="A22" s="1" t="s">
        <v>72</v>
      </c>
      <c r="B22" s="1" t="s">
        <v>302</v>
      </c>
      <c r="C22" s="1" t="s">
        <v>74</v>
      </c>
      <c r="D22" s="1" t="s">
        <v>74</v>
      </c>
      <c r="E22" s="1" t="s">
        <v>74</v>
      </c>
      <c r="F22" s="1" t="s">
        <v>303</v>
      </c>
      <c r="G22" s="1" t="s">
        <v>74</v>
      </c>
      <c r="H22" s="1" t="s">
        <v>74</v>
      </c>
      <c r="I22" s="1" t="s">
        <v>304</v>
      </c>
      <c r="J22" s="1" t="s">
        <v>305</v>
      </c>
      <c r="K22" s="1" t="s">
        <v>74</v>
      </c>
      <c r="L22" s="1" t="s">
        <v>74</v>
      </c>
      <c r="M22" s="1" t="s">
        <v>74</v>
      </c>
      <c r="N22" s="1" t="s">
        <v>74</v>
      </c>
      <c r="O22" s="1" t="s">
        <v>74</v>
      </c>
      <c r="P22" s="1" t="s">
        <v>74</v>
      </c>
      <c r="Q22" s="1" t="s">
        <v>74</v>
      </c>
      <c r="R22" s="1" t="s">
        <v>74</v>
      </c>
      <c r="S22" s="1" t="s">
        <v>74</v>
      </c>
      <c r="T22" s="1" t="s">
        <v>74</v>
      </c>
      <c r="U22" s="1" t="s">
        <v>74</v>
      </c>
      <c r="V22" s="1" t="s">
        <v>306</v>
      </c>
      <c r="W22" s="1" t="s">
        <v>74</v>
      </c>
      <c r="X22" s="1" t="s">
        <v>74</v>
      </c>
      <c r="Y22" s="1" t="s">
        <v>74</v>
      </c>
      <c r="Z22" s="1" t="s">
        <v>74</v>
      </c>
      <c r="AA22" s="1" t="s">
        <v>307</v>
      </c>
      <c r="AB22" s="1" t="s">
        <v>308</v>
      </c>
      <c r="AC22" s="1" t="s">
        <v>74</v>
      </c>
      <c r="AD22" s="1" t="s">
        <v>74</v>
      </c>
      <c r="AE22" s="1" t="s">
        <v>74</v>
      </c>
      <c r="AF22" s="1" t="s">
        <v>74</v>
      </c>
      <c r="AG22" s="1" t="s">
        <v>74</v>
      </c>
      <c r="AH22" s="1" t="s">
        <v>74</v>
      </c>
      <c r="AI22" s="1" t="s">
        <v>74</v>
      </c>
      <c r="AJ22" s="1" t="s">
        <v>74</v>
      </c>
      <c r="AK22" s="1" t="s">
        <v>74</v>
      </c>
      <c r="AL22" s="1" t="s">
        <v>74</v>
      </c>
      <c r="AM22" s="1" t="s">
        <v>74</v>
      </c>
      <c r="AN22" s="1" t="s">
        <v>74</v>
      </c>
      <c r="AO22" s="1" t="s">
        <v>74</v>
      </c>
      <c r="AP22" s="1" t="s">
        <v>309</v>
      </c>
      <c r="AQ22" s="1" t="s">
        <v>74</v>
      </c>
      <c r="AR22" s="1" t="s">
        <v>74</v>
      </c>
      <c r="AS22" s="1" t="s">
        <v>74</v>
      </c>
      <c r="AT22" s="1" t="s">
        <v>310</v>
      </c>
      <c r="AU22" s="1">
        <v>2020.0</v>
      </c>
      <c r="AV22" s="1">
        <v>25.0</v>
      </c>
      <c r="AW22" s="1">
        <v>14.0</v>
      </c>
      <c r="AX22" s="1" t="s">
        <v>74</v>
      </c>
      <c r="AY22" s="1" t="s">
        <v>74</v>
      </c>
      <c r="AZ22" s="1" t="s">
        <v>74</v>
      </c>
      <c r="BA22" s="1" t="s">
        <v>74</v>
      </c>
      <c r="BB22" s="1" t="s">
        <v>74</v>
      </c>
      <c r="BC22" s="1" t="s">
        <v>74</v>
      </c>
      <c r="BD22" s="1">
        <v>3183.0</v>
      </c>
      <c r="BE22" s="1" t="s">
        <v>311</v>
      </c>
      <c r="BF22" s="2" t="str">
        <f>HYPERLINK("http://dx.doi.org/10.3390/molecules25143183","http://dx.doi.org/10.3390/molecules25143183")</f>
        <v>http://dx.doi.org/10.3390/molecules25143183</v>
      </c>
      <c r="BG22" s="1" t="s">
        <v>74</v>
      </c>
      <c r="BH22" s="1" t="s">
        <v>74</v>
      </c>
      <c r="BI22" s="1" t="s">
        <v>74</v>
      </c>
      <c r="BJ22" s="1" t="s">
        <v>74</v>
      </c>
      <c r="BK22" s="1" t="s">
        <v>74</v>
      </c>
      <c r="BL22" s="1" t="s">
        <v>74</v>
      </c>
      <c r="BM22" s="1" t="s">
        <v>74</v>
      </c>
      <c r="BN22" s="1">
        <v>3.2668579E7</v>
      </c>
      <c r="BO22" s="1" t="s">
        <v>74</v>
      </c>
      <c r="BP22" s="1" t="s">
        <v>74</v>
      </c>
      <c r="BQ22" s="1" t="s">
        <v>74</v>
      </c>
      <c r="BR22" s="1" t="s">
        <v>74</v>
      </c>
      <c r="BS22" s="1" t="s">
        <v>312</v>
      </c>
      <c r="BT22" s="1" t="str">
        <f>HYPERLINK("https%3A%2F%2Fwww.webofscience.com%2Fwos%2Fwoscc%2Ffull-record%2FWOS:000557071100001","View Full Record in Web of Science")</f>
        <v>View Full Record in Web of Science</v>
      </c>
    </row>
    <row r="23" ht="12.75" customHeight="1">
      <c r="A23" s="1" t="s">
        <v>72</v>
      </c>
      <c r="B23" s="1" t="s">
        <v>313</v>
      </c>
      <c r="C23" s="1" t="s">
        <v>74</v>
      </c>
      <c r="D23" s="1" t="s">
        <v>74</v>
      </c>
      <c r="E23" s="1" t="s">
        <v>74</v>
      </c>
      <c r="F23" s="1" t="s">
        <v>314</v>
      </c>
      <c r="G23" s="1" t="s">
        <v>74</v>
      </c>
      <c r="H23" s="1" t="s">
        <v>74</v>
      </c>
      <c r="I23" s="1" t="s">
        <v>315</v>
      </c>
      <c r="J23" s="1" t="s">
        <v>316</v>
      </c>
      <c r="K23" s="1" t="s">
        <v>74</v>
      </c>
      <c r="L23" s="1" t="s">
        <v>74</v>
      </c>
      <c r="M23" s="1" t="s">
        <v>74</v>
      </c>
      <c r="N23" s="1" t="s">
        <v>74</v>
      </c>
      <c r="O23" s="1" t="s">
        <v>74</v>
      </c>
      <c r="P23" s="1" t="s">
        <v>74</v>
      </c>
      <c r="Q23" s="1" t="s">
        <v>74</v>
      </c>
      <c r="R23" s="1" t="s">
        <v>74</v>
      </c>
      <c r="S23" s="1" t="s">
        <v>74</v>
      </c>
      <c r="T23" s="1" t="s">
        <v>74</v>
      </c>
      <c r="U23" s="1" t="s">
        <v>74</v>
      </c>
      <c r="V23" s="1" t="s">
        <v>317</v>
      </c>
      <c r="W23" s="1" t="s">
        <v>74</v>
      </c>
      <c r="X23" s="1" t="s">
        <v>74</v>
      </c>
      <c r="Y23" s="1" t="s">
        <v>74</v>
      </c>
      <c r="Z23" s="1" t="s">
        <v>74</v>
      </c>
      <c r="AA23" s="1" t="s">
        <v>74</v>
      </c>
      <c r="AB23" s="1" t="s">
        <v>74</v>
      </c>
      <c r="AC23" s="1" t="s">
        <v>74</v>
      </c>
      <c r="AD23" s="1" t="s">
        <v>74</v>
      </c>
      <c r="AE23" s="1" t="s">
        <v>74</v>
      </c>
      <c r="AF23" s="1" t="s">
        <v>74</v>
      </c>
      <c r="AG23" s="1" t="s">
        <v>74</v>
      </c>
      <c r="AH23" s="1" t="s">
        <v>74</v>
      </c>
      <c r="AI23" s="1" t="s">
        <v>74</v>
      </c>
      <c r="AJ23" s="1" t="s">
        <v>74</v>
      </c>
      <c r="AK23" s="1" t="s">
        <v>74</v>
      </c>
      <c r="AL23" s="1" t="s">
        <v>74</v>
      </c>
      <c r="AM23" s="1" t="s">
        <v>74</v>
      </c>
      <c r="AN23" s="1" t="s">
        <v>74</v>
      </c>
      <c r="AO23" s="1" t="s">
        <v>318</v>
      </c>
      <c r="AP23" s="1" t="s">
        <v>319</v>
      </c>
      <c r="AQ23" s="1" t="s">
        <v>74</v>
      </c>
      <c r="AR23" s="1" t="s">
        <v>74</v>
      </c>
      <c r="AS23" s="1" t="s">
        <v>74</v>
      </c>
      <c r="AT23" s="1" t="s">
        <v>320</v>
      </c>
      <c r="AU23" s="1">
        <v>2020.0</v>
      </c>
      <c r="AV23" s="1">
        <v>10.0</v>
      </c>
      <c r="AW23" s="1">
        <v>2.0</v>
      </c>
      <c r="AX23" s="1" t="s">
        <v>74</v>
      </c>
      <c r="AY23" s="1" t="s">
        <v>74</v>
      </c>
      <c r="AZ23" s="1" t="s">
        <v>74</v>
      </c>
      <c r="BA23" s="1" t="s">
        <v>74</v>
      </c>
      <c r="BB23" s="1">
        <v>263.0</v>
      </c>
      <c r="BC23" s="1">
        <v>296.0</v>
      </c>
      <c r="BD23" s="1" t="s">
        <v>74</v>
      </c>
      <c r="BE23" s="1" t="s">
        <v>74</v>
      </c>
      <c r="BF23" s="1" t="s">
        <v>74</v>
      </c>
      <c r="BG23" s="1" t="s">
        <v>74</v>
      </c>
      <c r="BH23" s="1" t="s">
        <v>74</v>
      </c>
      <c r="BI23" s="1" t="s">
        <v>74</v>
      </c>
      <c r="BJ23" s="1" t="s">
        <v>74</v>
      </c>
      <c r="BK23" s="1" t="s">
        <v>74</v>
      </c>
      <c r="BL23" s="1" t="s">
        <v>74</v>
      </c>
      <c r="BM23" s="1" t="s">
        <v>74</v>
      </c>
      <c r="BN23" s="1" t="s">
        <v>74</v>
      </c>
      <c r="BO23" s="1" t="s">
        <v>74</v>
      </c>
      <c r="BP23" s="1" t="s">
        <v>74</v>
      </c>
      <c r="BQ23" s="1" t="s">
        <v>74</v>
      </c>
      <c r="BR23" s="1" t="s">
        <v>74</v>
      </c>
      <c r="BS23" s="1" t="s">
        <v>321</v>
      </c>
      <c r="BT23" s="1" t="str">
        <f>HYPERLINK("https%3A%2F%2Fwww.webofscience.com%2Fwos%2Fwoscc%2Ffull-record%2FWOS:000609453900010","View Full Record in Web of Science")</f>
        <v>View Full Record in Web of Science</v>
      </c>
    </row>
    <row r="24" ht="12.75" customHeight="1">
      <c r="A24" s="1" t="s">
        <v>72</v>
      </c>
      <c r="B24" s="1" t="s">
        <v>322</v>
      </c>
      <c r="C24" s="1" t="s">
        <v>74</v>
      </c>
      <c r="D24" s="1" t="s">
        <v>74</v>
      </c>
      <c r="E24" s="1" t="s">
        <v>74</v>
      </c>
      <c r="F24" s="1" t="s">
        <v>323</v>
      </c>
      <c r="G24" s="1" t="s">
        <v>74</v>
      </c>
      <c r="H24" s="1" t="s">
        <v>74</v>
      </c>
      <c r="I24" s="1" t="s">
        <v>324</v>
      </c>
      <c r="J24" s="1" t="s">
        <v>325</v>
      </c>
      <c r="K24" s="1" t="s">
        <v>74</v>
      </c>
      <c r="L24" s="1" t="s">
        <v>74</v>
      </c>
      <c r="M24" s="1" t="s">
        <v>74</v>
      </c>
      <c r="N24" s="1" t="s">
        <v>74</v>
      </c>
      <c r="O24" s="1" t="s">
        <v>74</v>
      </c>
      <c r="P24" s="1" t="s">
        <v>74</v>
      </c>
      <c r="Q24" s="1" t="s">
        <v>74</v>
      </c>
      <c r="R24" s="1" t="s">
        <v>74</v>
      </c>
      <c r="S24" s="1" t="s">
        <v>74</v>
      </c>
      <c r="T24" s="1" t="s">
        <v>74</v>
      </c>
      <c r="U24" s="1" t="s">
        <v>74</v>
      </c>
      <c r="V24" s="1" t="s">
        <v>326</v>
      </c>
      <c r="W24" s="1" t="s">
        <v>74</v>
      </c>
      <c r="X24" s="1" t="s">
        <v>74</v>
      </c>
      <c r="Y24" s="1" t="s">
        <v>74</v>
      </c>
      <c r="Z24" s="1" t="s">
        <v>74</v>
      </c>
      <c r="AA24" s="1" t="s">
        <v>74</v>
      </c>
      <c r="AB24" s="1" t="s">
        <v>74</v>
      </c>
      <c r="AC24" s="1" t="s">
        <v>74</v>
      </c>
      <c r="AD24" s="1" t="s">
        <v>74</v>
      </c>
      <c r="AE24" s="1" t="s">
        <v>74</v>
      </c>
      <c r="AF24" s="1" t="s">
        <v>74</v>
      </c>
      <c r="AG24" s="1" t="s">
        <v>74</v>
      </c>
      <c r="AH24" s="1" t="s">
        <v>74</v>
      </c>
      <c r="AI24" s="1" t="s">
        <v>74</v>
      </c>
      <c r="AJ24" s="1" t="s">
        <v>74</v>
      </c>
      <c r="AK24" s="1" t="s">
        <v>74</v>
      </c>
      <c r="AL24" s="1" t="s">
        <v>74</v>
      </c>
      <c r="AM24" s="1" t="s">
        <v>74</v>
      </c>
      <c r="AN24" s="1" t="s">
        <v>74</v>
      </c>
      <c r="AO24" s="1" t="s">
        <v>327</v>
      </c>
      <c r="AP24" s="1" t="s">
        <v>328</v>
      </c>
      <c r="AQ24" s="1" t="s">
        <v>74</v>
      </c>
      <c r="AR24" s="1" t="s">
        <v>74</v>
      </c>
      <c r="AS24" s="1" t="s">
        <v>74</v>
      </c>
      <c r="AT24" s="1" t="s">
        <v>135</v>
      </c>
      <c r="AU24" s="1">
        <v>2019.0</v>
      </c>
      <c r="AV24" s="1">
        <v>57.0</v>
      </c>
      <c r="AW24" s="1">
        <v>2.0</v>
      </c>
      <c r="AX24" s="1" t="s">
        <v>74</v>
      </c>
      <c r="AY24" s="1" t="s">
        <v>74</v>
      </c>
      <c r="AZ24" s="1" t="s">
        <v>74</v>
      </c>
      <c r="BA24" s="1" t="s">
        <v>74</v>
      </c>
      <c r="BB24" s="1">
        <v>589.0</v>
      </c>
      <c r="BC24" s="1">
        <v>601.0</v>
      </c>
      <c r="BD24" s="1" t="s">
        <v>74</v>
      </c>
      <c r="BE24" s="1" t="s">
        <v>329</v>
      </c>
      <c r="BF24" s="2" t="str">
        <f>HYPERLINK("http://dx.doi.org/10.1007/s00181-018-1517-5","http://dx.doi.org/10.1007/s00181-018-1517-5")</f>
        <v>http://dx.doi.org/10.1007/s00181-018-1517-5</v>
      </c>
      <c r="BG24" s="1" t="s">
        <v>74</v>
      </c>
      <c r="BH24" s="1" t="s">
        <v>74</v>
      </c>
      <c r="BI24" s="1" t="s">
        <v>74</v>
      </c>
      <c r="BJ24" s="1" t="s">
        <v>74</v>
      </c>
      <c r="BK24" s="1" t="s">
        <v>74</v>
      </c>
      <c r="BL24" s="1" t="s">
        <v>74</v>
      </c>
      <c r="BM24" s="1" t="s">
        <v>74</v>
      </c>
      <c r="BN24" s="1" t="s">
        <v>74</v>
      </c>
      <c r="BO24" s="1" t="s">
        <v>74</v>
      </c>
      <c r="BP24" s="1" t="s">
        <v>74</v>
      </c>
      <c r="BQ24" s="1" t="s">
        <v>74</v>
      </c>
      <c r="BR24" s="1" t="s">
        <v>74</v>
      </c>
      <c r="BS24" s="1" t="s">
        <v>330</v>
      </c>
      <c r="BT24" s="1" t="str">
        <f>HYPERLINK("https%3A%2F%2Fwww.webofscience.com%2Fwos%2Fwoscc%2Ffull-record%2FWOS:000475700300009","View Full Record in Web of Science")</f>
        <v>View Full Record in Web of Science</v>
      </c>
    </row>
    <row r="25" ht="12.75" customHeight="1">
      <c r="A25" s="1" t="s">
        <v>72</v>
      </c>
      <c r="B25" s="1" t="s">
        <v>331</v>
      </c>
      <c r="C25" s="1" t="s">
        <v>74</v>
      </c>
      <c r="D25" s="1" t="s">
        <v>74</v>
      </c>
      <c r="E25" s="1" t="s">
        <v>74</v>
      </c>
      <c r="F25" s="1" t="s">
        <v>332</v>
      </c>
      <c r="G25" s="1" t="s">
        <v>74</v>
      </c>
      <c r="H25" s="1" t="s">
        <v>74</v>
      </c>
      <c r="I25" s="1" t="s">
        <v>333</v>
      </c>
      <c r="J25" s="1" t="s">
        <v>334</v>
      </c>
      <c r="K25" s="1" t="s">
        <v>74</v>
      </c>
      <c r="L25" s="1" t="s">
        <v>74</v>
      </c>
      <c r="M25" s="1" t="s">
        <v>74</v>
      </c>
      <c r="N25" s="1" t="s">
        <v>74</v>
      </c>
      <c r="O25" s="1" t="s">
        <v>74</v>
      </c>
      <c r="P25" s="1" t="s">
        <v>74</v>
      </c>
      <c r="Q25" s="1" t="s">
        <v>74</v>
      </c>
      <c r="R25" s="1" t="s">
        <v>74</v>
      </c>
      <c r="S25" s="1" t="s">
        <v>74</v>
      </c>
      <c r="T25" s="1" t="s">
        <v>74</v>
      </c>
      <c r="U25" s="1" t="s">
        <v>74</v>
      </c>
      <c r="V25" s="1" t="s">
        <v>335</v>
      </c>
      <c r="W25" s="1" t="s">
        <v>74</v>
      </c>
      <c r="X25" s="1" t="s">
        <v>74</v>
      </c>
      <c r="Y25" s="1" t="s">
        <v>74</v>
      </c>
      <c r="Z25" s="1" t="s">
        <v>74</v>
      </c>
      <c r="AA25" s="1" t="s">
        <v>336</v>
      </c>
      <c r="AB25" s="1" t="s">
        <v>337</v>
      </c>
      <c r="AC25" s="1" t="s">
        <v>74</v>
      </c>
      <c r="AD25" s="1" t="s">
        <v>74</v>
      </c>
      <c r="AE25" s="1" t="s">
        <v>74</v>
      </c>
      <c r="AF25" s="1" t="s">
        <v>74</v>
      </c>
      <c r="AG25" s="1" t="s">
        <v>74</v>
      </c>
      <c r="AH25" s="1" t="s">
        <v>74</v>
      </c>
      <c r="AI25" s="1" t="s">
        <v>74</v>
      </c>
      <c r="AJ25" s="1" t="s">
        <v>74</v>
      </c>
      <c r="AK25" s="1" t="s">
        <v>74</v>
      </c>
      <c r="AL25" s="1" t="s">
        <v>74</v>
      </c>
      <c r="AM25" s="1" t="s">
        <v>74</v>
      </c>
      <c r="AN25" s="1" t="s">
        <v>74</v>
      </c>
      <c r="AO25" s="1" t="s">
        <v>338</v>
      </c>
      <c r="AP25" s="1" t="s">
        <v>339</v>
      </c>
      <c r="AQ25" s="1" t="s">
        <v>74</v>
      </c>
      <c r="AR25" s="1" t="s">
        <v>74</v>
      </c>
      <c r="AS25" s="1" t="s">
        <v>74</v>
      </c>
      <c r="AT25" s="1" t="s">
        <v>147</v>
      </c>
      <c r="AU25" s="1">
        <v>2019.0</v>
      </c>
      <c r="AV25" s="1">
        <v>48.0</v>
      </c>
      <c r="AW25" s="1">
        <v>23.0</v>
      </c>
      <c r="AX25" s="1" t="s">
        <v>74</v>
      </c>
      <c r="AY25" s="1" t="s">
        <v>74</v>
      </c>
      <c r="AZ25" s="1" t="s">
        <v>74</v>
      </c>
      <c r="BA25" s="1" t="s">
        <v>74</v>
      </c>
      <c r="BB25" s="1">
        <v>8418.0</v>
      </c>
      <c r="BC25" s="1">
        <v>8426.0</v>
      </c>
      <c r="BD25" s="1" t="s">
        <v>74</v>
      </c>
      <c r="BE25" s="1" t="s">
        <v>340</v>
      </c>
      <c r="BF25" s="2" t="str">
        <f>HYPERLINK("http://dx.doi.org/10.1039/c9dt01312a","http://dx.doi.org/10.1039/c9dt01312a")</f>
        <v>http://dx.doi.org/10.1039/c9dt01312a</v>
      </c>
      <c r="BG25" s="1" t="s">
        <v>74</v>
      </c>
      <c r="BH25" s="1" t="s">
        <v>74</v>
      </c>
      <c r="BI25" s="1" t="s">
        <v>74</v>
      </c>
      <c r="BJ25" s="1" t="s">
        <v>74</v>
      </c>
      <c r="BK25" s="1" t="s">
        <v>74</v>
      </c>
      <c r="BL25" s="1" t="s">
        <v>74</v>
      </c>
      <c r="BM25" s="1" t="s">
        <v>74</v>
      </c>
      <c r="BN25" s="1">
        <v>3.1115414E7</v>
      </c>
      <c r="BO25" s="1" t="s">
        <v>74</v>
      </c>
      <c r="BP25" s="1" t="s">
        <v>74</v>
      </c>
      <c r="BQ25" s="1" t="s">
        <v>74</v>
      </c>
      <c r="BR25" s="1" t="s">
        <v>74</v>
      </c>
      <c r="BS25" s="1" t="s">
        <v>341</v>
      </c>
      <c r="BT25" s="1" t="str">
        <f>HYPERLINK("https%3A%2F%2Fwww.webofscience.com%2Fwos%2Fwoscc%2Ffull-record%2FWOS:000472537600043","View Full Record in Web of Science")</f>
        <v>View Full Record in Web of Science</v>
      </c>
    </row>
    <row r="26" ht="12.75" customHeight="1">
      <c r="A26" s="1" t="s">
        <v>72</v>
      </c>
      <c r="B26" s="1" t="s">
        <v>342</v>
      </c>
      <c r="C26" s="1" t="s">
        <v>74</v>
      </c>
      <c r="D26" s="1" t="s">
        <v>74</v>
      </c>
      <c r="E26" s="1" t="s">
        <v>74</v>
      </c>
      <c r="F26" s="1" t="s">
        <v>343</v>
      </c>
      <c r="G26" s="1" t="s">
        <v>74</v>
      </c>
      <c r="H26" s="1" t="s">
        <v>74</v>
      </c>
      <c r="I26" s="1" t="s">
        <v>344</v>
      </c>
      <c r="J26" s="1" t="s">
        <v>345</v>
      </c>
      <c r="K26" s="1" t="s">
        <v>74</v>
      </c>
      <c r="L26" s="1" t="s">
        <v>74</v>
      </c>
      <c r="M26" s="1" t="s">
        <v>74</v>
      </c>
      <c r="N26" s="1" t="s">
        <v>74</v>
      </c>
      <c r="O26" s="1" t="s">
        <v>74</v>
      </c>
      <c r="P26" s="1" t="s">
        <v>74</v>
      </c>
      <c r="Q26" s="1" t="s">
        <v>74</v>
      </c>
      <c r="R26" s="1" t="s">
        <v>74</v>
      </c>
      <c r="S26" s="1" t="s">
        <v>74</v>
      </c>
      <c r="T26" s="1" t="s">
        <v>74</v>
      </c>
      <c r="U26" s="1" t="s">
        <v>74</v>
      </c>
      <c r="V26" s="1" t="s">
        <v>346</v>
      </c>
      <c r="W26" s="1" t="s">
        <v>74</v>
      </c>
      <c r="X26" s="1" t="s">
        <v>74</v>
      </c>
      <c r="Y26" s="1" t="s">
        <v>74</v>
      </c>
      <c r="Z26" s="1" t="s">
        <v>74</v>
      </c>
      <c r="AA26" s="1" t="s">
        <v>347</v>
      </c>
      <c r="AB26" s="1" t="s">
        <v>348</v>
      </c>
      <c r="AC26" s="1" t="s">
        <v>74</v>
      </c>
      <c r="AD26" s="1" t="s">
        <v>74</v>
      </c>
      <c r="AE26" s="1" t="s">
        <v>74</v>
      </c>
      <c r="AF26" s="1" t="s">
        <v>74</v>
      </c>
      <c r="AG26" s="1" t="s">
        <v>74</v>
      </c>
      <c r="AH26" s="1" t="s">
        <v>74</v>
      </c>
      <c r="AI26" s="1" t="s">
        <v>74</v>
      </c>
      <c r="AJ26" s="1" t="s">
        <v>74</v>
      </c>
      <c r="AK26" s="1" t="s">
        <v>74</v>
      </c>
      <c r="AL26" s="1" t="s">
        <v>74</v>
      </c>
      <c r="AM26" s="1" t="s">
        <v>74</v>
      </c>
      <c r="AN26" s="1" t="s">
        <v>74</v>
      </c>
      <c r="AO26" s="1" t="s">
        <v>349</v>
      </c>
      <c r="AP26" s="1" t="s">
        <v>74</v>
      </c>
      <c r="AQ26" s="1" t="s">
        <v>74</v>
      </c>
      <c r="AR26" s="1" t="s">
        <v>74</v>
      </c>
      <c r="AS26" s="1" t="s">
        <v>74</v>
      </c>
      <c r="AT26" s="1" t="s">
        <v>88</v>
      </c>
      <c r="AU26" s="1">
        <v>2019.0</v>
      </c>
      <c r="AV26" s="1">
        <v>193.0</v>
      </c>
      <c r="AW26" s="1" t="s">
        <v>74</v>
      </c>
      <c r="AX26" s="1" t="s">
        <v>74</v>
      </c>
      <c r="AY26" s="1" t="s">
        <v>74</v>
      </c>
      <c r="AZ26" s="1" t="s">
        <v>74</v>
      </c>
      <c r="BA26" s="1" t="s">
        <v>74</v>
      </c>
      <c r="BB26" s="1">
        <v>100.0</v>
      </c>
      <c r="BC26" s="1">
        <v>108.0</v>
      </c>
      <c r="BD26" s="1" t="s">
        <v>74</v>
      </c>
      <c r="BE26" s="1" t="s">
        <v>350</v>
      </c>
      <c r="BF26" s="2" t="str">
        <f>HYPERLINK("http://dx.doi.org/10.1016/j.jphotobiol.2019.02.005","http://dx.doi.org/10.1016/j.jphotobiol.2019.02.005")</f>
        <v>http://dx.doi.org/10.1016/j.jphotobiol.2019.02.005</v>
      </c>
      <c r="BG26" s="1" t="s">
        <v>74</v>
      </c>
      <c r="BH26" s="1" t="s">
        <v>74</v>
      </c>
      <c r="BI26" s="1" t="s">
        <v>74</v>
      </c>
      <c r="BJ26" s="1" t="s">
        <v>74</v>
      </c>
      <c r="BK26" s="1" t="s">
        <v>74</v>
      </c>
      <c r="BL26" s="1" t="s">
        <v>74</v>
      </c>
      <c r="BM26" s="1" t="s">
        <v>74</v>
      </c>
      <c r="BN26" s="1">
        <v>3.0826583E7</v>
      </c>
      <c r="BO26" s="1" t="s">
        <v>74</v>
      </c>
      <c r="BP26" s="1" t="s">
        <v>74</v>
      </c>
      <c r="BQ26" s="1" t="s">
        <v>74</v>
      </c>
      <c r="BR26" s="1" t="s">
        <v>74</v>
      </c>
      <c r="BS26" s="1" t="s">
        <v>351</v>
      </c>
      <c r="BT26" s="1" t="str">
        <f>HYPERLINK("https%3A%2F%2Fwww.webofscience.com%2Fwos%2Fwoscc%2Ffull-record%2FWOS:000463982600008","View Full Record in Web of Science")</f>
        <v>View Full Record in Web of Science</v>
      </c>
    </row>
    <row r="27" ht="12.75" customHeight="1">
      <c r="A27" s="1" t="s">
        <v>72</v>
      </c>
      <c r="B27" s="1" t="s">
        <v>352</v>
      </c>
      <c r="C27" s="1" t="s">
        <v>74</v>
      </c>
      <c r="D27" s="1" t="s">
        <v>74</v>
      </c>
      <c r="E27" s="1" t="s">
        <v>74</v>
      </c>
      <c r="F27" s="1" t="s">
        <v>353</v>
      </c>
      <c r="G27" s="1" t="s">
        <v>74</v>
      </c>
      <c r="H27" s="1" t="s">
        <v>74</v>
      </c>
      <c r="I27" s="1" t="s">
        <v>354</v>
      </c>
      <c r="J27" s="1" t="s">
        <v>355</v>
      </c>
      <c r="K27" s="1" t="s">
        <v>74</v>
      </c>
      <c r="L27" s="1" t="s">
        <v>74</v>
      </c>
      <c r="M27" s="1" t="s">
        <v>74</v>
      </c>
      <c r="N27" s="1" t="s">
        <v>74</v>
      </c>
      <c r="O27" s="1" t="s">
        <v>74</v>
      </c>
      <c r="P27" s="1" t="s">
        <v>74</v>
      </c>
      <c r="Q27" s="1" t="s">
        <v>74</v>
      </c>
      <c r="R27" s="1" t="s">
        <v>74</v>
      </c>
      <c r="S27" s="1" t="s">
        <v>74</v>
      </c>
      <c r="T27" s="1" t="s">
        <v>74</v>
      </c>
      <c r="U27" s="1" t="s">
        <v>74</v>
      </c>
      <c r="V27" s="1" t="s">
        <v>356</v>
      </c>
      <c r="W27" s="1" t="s">
        <v>74</v>
      </c>
      <c r="X27" s="1" t="s">
        <v>74</v>
      </c>
      <c r="Y27" s="1" t="s">
        <v>74</v>
      </c>
      <c r="Z27" s="1" t="s">
        <v>74</v>
      </c>
      <c r="AA27" s="1" t="s">
        <v>74</v>
      </c>
      <c r="AB27" s="1" t="s">
        <v>357</v>
      </c>
      <c r="AC27" s="1" t="s">
        <v>74</v>
      </c>
      <c r="AD27" s="1" t="s">
        <v>74</v>
      </c>
      <c r="AE27" s="1" t="s">
        <v>74</v>
      </c>
      <c r="AF27" s="1" t="s">
        <v>74</v>
      </c>
      <c r="AG27" s="1" t="s">
        <v>74</v>
      </c>
      <c r="AH27" s="1" t="s">
        <v>74</v>
      </c>
      <c r="AI27" s="1" t="s">
        <v>74</v>
      </c>
      <c r="AJ27" s="1" t="s">
        <v>74</v>
      </c>
      <c r="AK27" s="1" t="s">
        <v>74</v>
      </c>
      <c r="AL27" s="1" t="s">
        <v>74</v>
      </c>
      <c r="AM27" s="1" t="s">
        <v>74</v>
      </c>
      <c r="AN27" s="1" t="s">
        <v>74</v>
      </c>
      <c r="AO27" s="1" t="s">
        <v>358</v>
      </c>
      <c r="AP27" s="1" t="s">
        <v>359</v>
      </c>
      <c r="AQ27" s="1" t="s">
        <v>74</v>
      </c>
      <c r="AR27" s="1" t="s">
        <v>74</v>
      </c>
      <c r="AS27" s="1" t="s">
        <v>74</v>
      </c>
      <c r="AT27" s="1" t="s">
        <v>360</v>
      </c>
      <c r="AU27" s="1">
        <v>2019.0</v>
      </c>
      <c r="AV27" s="1">
        <v>13.0</v>
      </c>
      <c r="AW27" s="1">
        <v>1.0</v>
      </c>
      <c r="AX27" s="1" t="s">
        <v>74</v>
      </c>
      <c r="AY27" s="1" t="s">
        <v>74</v>
      </c>
      <c r="AZ27" s="1" t="s">
        <v>74</v>
      </c>
      <c r="BA27" s="1" t="s">
        <v>74</v>
      </c>
      <c r="BB27" s="1">
        <v>81.0</v>
      </c>
      <c r="BC27" s="1">
        <v>94.0</v>
      </c>
      <c r="BD27" s="1" t="s">
        <v>74</v>
      </c>
      <c r="BE27" s="1" t="s">
        <v>361</v>
      </c>
      <c r="BF27" s="2" t="str">
        <f>HYPERLINK("http://dx.doi.org/10.1007/s11590-018-1251-0","http://dx.doi.org/10.1007/s11590-018-1251-0")</f>
        <v>http://dx.doi.org/10.1007/s11590-018-1251-0</v>
      </c>
      <c r="BG27" s="1" t="s">
        <v>74</v>
      </c>
      <c r="BH27" s="1" t="s">
        <v>74</v>
      </c>
      <c r="BI27" s="1" t="s">
        <v>74</v>
      </c>
      <c r="BJ27" s="1" t="s">
        <v>74</v>
      </c>
      <c r="BK27" s="1" t="s">
        <v>74</v>
      </c>
      <c r="BL27" s="1" t="s">
        <v>74</v>
      </c>
      <c r="BM27" s="1" t="s">
        <v>74</v>
      </c>
      <c r="BN27" s="1" t="s">
        <v>74</v>
      </c>
      <c r="BO27" s="1" t="s">
        <v>74</v>
      </c>
      <c r="BP27" s="1" t="s">
        <v>74</v>
      </c>
      <c r="BQ27" s="1" t="s">
        <v>74</v>
      </c>
      <c r="BR27" s="1" t="s">
        <v>74</v>
      </c>
      <c r="BS27" s="1" t="s">
        <v>362</v>
      </c>
      <c r="BT27" s="1" t="str">
        <f>HYPERLINK("https%3A%2F%2Fwww.webofscience.com%2Fwos%2Fwoscc%2Ffull-record%2FWOS:000456078100007","View Full Record in Web of Science")</f>
        <v>View Full Record in Web of Science</v>
      </c>
    </row>
    <row r="28" ht="12.75" customHeight="1">
      <c r="A28" s="1" t="s">
        <v>72</v>
      </c>
      <c r="B28" s="1" t="s">
        <v>363</v>
      </c>
      <c r="C28" s="1" t="s">
        <v>74</v>
      </c>
      <c r="D28" s="1" t="s">
        <v>74</v>
      </c>
      <c r="E28" s="1" t="s">
        <v>74</v>
      </c>
      <c r="F28" s="1" t="s">
        <v>364</v>
      </c>
      <c r="G28" s="1" t="s">
        <v>74</v>
      </c>
      <c r="H28" s="1" t="s">
        <v>74</v>
      </c>
      <c r="I28" s="1" t="s">
        <v>365</v>
      </c>
      <c r="J28" s="1" t="s">
        <v>366</v>
      </c>
      <c r="K28" s="1" t="s">
        <v>74</v>
      </c>
      <c r="L28" s="1" t="s">
        <v>74</v>
      </c>
      <c r="M28" s="1" t="s">
        <v>74</v>
      </c>
      <c r="N28" s="1" t="s">
        <v>74</v>
      </c>
      <c r="O28" s="1" t="s">
        <v>74</v>
      </c>
      <c r="P28" s="1" t="s">
        <v>74</v>
      </c>
      <c r="Q28" s="1" t="s">
        <v>74</v>
      </c>
      <c r="R28" s="1" t="s">
        <v>74</v>
      </c>
      <c r="S28" s="1" t="s">
        <v>74</v>
      </c>
      <c r="T28" s="1" t="s">
        <v>74</v>
      </c>
      <c r="U28" s="1" t="s">
        <v>74</v>
      </c>
      <c r="V28" s="1" t="s">
        <v>367</v>
      </c>
      <c r="W28" s="1" t="s">
        <v>74</v>
      </c>
      <c r="X28" s="1" t="s">
        <v>74</v>
      </c>
      <c r="Y28" s="1" t="s">
        <v>74</v>
      </c>
      <c r="Z28" s="1" t="s">
        <v>74</v>
      </c>
      <c r="AA28" s="1" t="s">
        <v>368</v>
      </c>
      <c r="AB28" s="1" t="s">
        <v>74</v>
      </c>
      <c r="AC28" s="1" t="s">
        <v>74</v>
      </c>
      <c r="AD28" s="1" t="s">
        <v>74</v>
      </c>
      <c r="AE28" s="1" t="s">
        <v>74</v>
      </c>
      <c r="AF28" s="1" t="s">
        <v>74</v>
      </c>
      <c r="AG28" s="1" t="s">
        <v>74</v>
      </c>
      <c r="AH28" s="1" t="s">
        <v>74</v>
      </c>
      <c r="AI28" s="1" t="s">
        <v>74</v>
      </c>
      <c r="AJ28" s="1" t="s">
        <v>74</v>
      </c>
      <c r="AK28" s="1" t="s">
        <v>74</v>
      </c>
      <c r="AL28" s="1" t="s">
        <v>74</v>
      </c>
      <c r="AM28" s="1" t="s">
        <v>74</v>
      </c>
      <c r="AN28" s="1" t="s">
        <v>74</v>
      </c>
      <c r="AO28" s="1" t="s">
        <v>369</v>
      </c>
      <c r="AP28" s="1" t="s">
        <v>370</v>
      </c>
      <c r="AQ28" s="1" t="s">
        <v>74</v>
      </c>
      <c r="AR28" s="1" t="s">
        <v>74</v>
      </c>
      <c r="AS28" s="1" t="s">
        <v>74</v>
      </c>
      <c r="AT28" s="1" t="s">
        <v>169</v>
      </c>
      <c r="AU28" s="1">
        <v>2019.0</v>
      </c>
      <c r="AV28" s="1">
        <v>68.0</v>
      </c>
      <c r="AW28" s="1">
        <v>1.0</v>
      </c>
      <c r="AX28" s="1" t="s">
        <v>74</v>
      </c>
      <c r="AY28" s="1" t="s">
        <v>74</v>
      </c>
      <c r="AZ28" s="1" t="s">
        <v>74</v>
      </c>
      <c r="BA28" s="1" t="s">
        <v>74</v>
      </c>
      <c r="BB28" s="1">
        <v>48.0</v>
      </c>
      <c r="BC28" s="1">
        <v>55.0</v>
      </c>
      <c r="BD28" s="1" t="s">
        <v>74</v>
      </c>
      <c r="BE28" s="1" t="s">
        <v>371</v>
      </c>
      <c r="BF28" s="2" t="str">
        <f>HYPERLINK("http://dx.doi.org/10.1111/lam.13086","http://dx.doi.org/10.1111/lam.13086")</f>
        <v>http://dx.doi.org/10.1111/lam.13086</v>
      </c>
      <c r="BG28" s="1" t="s">
        <v>74</v>
      </c>
      <c r="BH28" s="1" t="s">
        <v>74</v>
      </c>
      <c r="BI28" s="1" t="s">
        <v>74</v>
      </c>
      <c r="BJ28" s="1" t="s">
        <v>74</v>
      </c>
      <c r="BK28" s="1" t="s">
        <v>74</v>
      </c>
      <c r="BL28" s="1" t="s">
        <v>74</v>
      </c>
      <c r="BM28" s="1" t="s">
        <v>74</v>
      </c>
      <c r="BN28" s="1">
        <v>3.0325521E7</v>
      </c>
      <c r="BO28" s="1" t="s">
        <v>74</v>
      </c>
      <c r="BP28" s="1" t="s">
        <v>74</v>
      </c>
      <c r="BQ28" s="1" t="s">
        <v>74</v>
      </c>
      <c r="BR28" s="1" t="s">
        <v>74</v>
      </c>
      <c r="BS28" s="1" t="s">
        <v>372</v>
      </c>
      <c r="BT28" s="1" t="str">
        <f>HYPERLINK("https%3A%2F%2Fwww.webofscience.com%2Fwos%2Fwoscc%2Ffull-record%2FWOS:000453016400007","View Full Record in Web of Science")</f>
        <v>View Full Record in Web of Science</v>
      </c>
    </row>
    <row r="29" ht="12.75" customHeight="1">
      <c r="A29" s="1" t="s">
        <v>251</v>
      </c>
      <c r="B29" s="1" t="s">
        <v>373</v>
      </c>
      <c r="C29" s="1" t="s">
        <v>74</v>
      </c>
      <c r="D29" s="1" t="s">
        <v>74</v>
      </c>
      <c r="E29" s="1" t="s">
        <v>253</v>
      </c>
      <c r="F29" s="1" t="s">
        <v>374</v>
      </c>
      <c r="G29" s="1" t="s">
        <v>74</v>
      </c>
      <c r="H29" s="1" t="s">
        <v>74</v>
      </c>
      <c r="I29" s="1" t="s">
        <v>375</v>
      </c>
      <c r="J29" s="1" t="s">
        <v>376</v>
      </c>
      <c r="K29" s="1" t="s">
        <v>74</v>
      </c>
      <c r="L29" s="1" t="s">
        <v>74</v>
      </c>
      <c r="M29" s="1" t="s">
        <v>74</v>
      </c>
      <c r="N29" s="1" t="s">
        <v>74</v>
      </c>
      <c r="O29" s="1" t="s">
        <v>377</v>
      </c>
      <c r="P29" s="1" t="s">
        <v>378</v>
      </c>
      <c r="Q29" s="1" t="s">
        <v>379</v>
      </c>
      <c r="R29" s="1" t="s">
        <v>380</v>
      </c>
      <c r="S29" s="1" t="s">
        <v>74</v>
      </c>
      <c r="T29" s="1" t="s">
        <v>74</v>
      </c>
      <c r="U29" s="1" t="s">
        <v>74</v>
      </c>
      <c r="V29" s="1" t="s">
        <v>381</v>
      </c>
      <c r="W29" s="1" t="s">
        <v>74</v>
      </c>
      <c r="X29" s="1" t="s">
        <v>74</v>
      </c>
      <c r="Y29" s="1" t="s">
        <v>74</v>
      </c>
      <c r="Z29" s="1" t="s">
        <v>74</v>
      </c>
      <c r="AA29" s="1" t="s">
        <v>382</v>
      </c>
      <c r="AB29" s="1" t="s">
        <v>74</v>
      </c>
      <c r="AC29" s="1" t="s">
        <v>74</v>
      </c>
      <c r="AD29" s="1" t="s">
        <v>74</v>
      </c>
      <c r="AE29" s="1" t="s">
        <v>74</v>
      </c>
      <c r="AF29" s="1" t="s">
        <v>74</v>
      </c>
      <c r="AG29" s="1" t="s">
        <v>74</v>
      </c>
      <c r="AH29" s="1" t="s">
        <v>74</v>
      </c>
      <c r="AI29" s="1" t="s">
        <v>74</v>
      </c>
      <c r="AJ29" s="1" t="s">
        <v>74</v>
      </c>
      <c r="AK29" s="1" t="s">
        <v>74</v>
      </c>
      <c r="AL29" s="1" t="s">
        <v>74</v>
      </c>
      <c r="AM29" s="1" t="s">
        <v>74</v>
      </c>
      <c r="AN29" s="1" t="s">
        <v>74</v>
      </c>
      <c r="AO29" s="1" t="s">
        <v>74</v>
      </c>
      <c r="AP29" s="1" t="s">
        <v>74</v>
      </c>
      <c r="AQ29" s="1" t="s">
        <v>383</v>
      </c>
      <c r="AR29" s="1" t="s">
        <v>74</v>
      </c>
      <c r="AS29" s="1" t="s">
        <v>74</v>
      </c>
      <c r="AT29" s="1" t="s">
        <v>74</v>
      </c>
      <c r="AU29" s="1">
        <v>2019.0</v>
      </c>
      <c r="AV29" s="1" t="s">
        <v>74</v>
      </c>
      <c r="AW29" s="1" t="s">
        <v>74</v>
      </c>
      <c r="AX29" s="1" t="s">
        <v>74</v>
      </c>
      <c r="AY29" s="1" t="s">
        <v>74</v>
      </c>
      <c r="AZ29" s="1" t="s">
        <v>74</v>
      </c>
      <c r="BA29" s="1" t="s">
        <v>74</v>
      </c>
      <c r="BB29" s="1" t="s">
        <v>74</v>
      </c>
      <c r="BC29" s="1" t="s">
        <v>74</v>
      </c>
      <c r="BD29" s="1" t="s">
        <v>74</v>
      </c>
      <c r="BE29" s="1" t="s">
        <v>74</v>
      </c>
      <c r="BF29" s="1" t="s">
        <v>74</v>
      </c>
      <c r="BG29" s="1" t="s">
        <v>74</v>
      </c>
      <c r="BH29" s="1" t="s">
        <v>74</v>
      </c>
      <c r="BI29" s="1" t="s">
        <v>74</v>
      </c>
      <c r="BJ29" s="1" t="s">
        <v>74</v>
      </c>
      <c r="BK29" s="1" t="s">
        <v>74</v>
      </c>
      <c r="BL29" s="1" t="s">
        <v>74</v>
      </c>
      <c r="BM29" s="1" t="s">
        <v>74</v>
      </c>
      <c r="BN29" s="1" t="s">
        <v>74</v>
      </c>
      <c r="BO29" s="1" t="s">
        <v>74</v>
      </c>
      <c r="BP29" s="1" t="s">
        <v>74</v>
      </c>
      <c r="BQ29" s="1" t="s">
        <v>74</v>
      </c>
      <c r="BR29" s="1" t="s">
        <v>74</v>
      </c>
      <c r="BS29" s="1" t="s">
        <v>384</v>
      </c>
      <c r="BT29" s="1" t="str">
        <f>HYPERLINK("https%3A%2F%2Fwww.webofscience.com%2Fwos%2Fwoscc%2Ffull-record%2FWOS:000542919100139","View Full Record in Web of Science")</f>
        <v>View Full Record in Web of Science</v>
      </c>
    </row>
    <row r="30" ht="12.75" customHeight="1">
      <c r="A30" s="1" t="s">
        <v>251</v>
      </c>
      <c r="B30" s="1" t="s">
        <v>385</v>
      </c>
      <c r="C30" s="1" t="s">
        <v>74</v>
      </c>
      <c r="D30" s="1" t="s">
        <v>74</v>
      </c>
      <c r="E30" s="1" t="s">
        <v>253</v>
      </c>
      <c r="F30" s="1" t="s">
        <v>386</v>
      </c>
      <c r="G30" s="1" t="s">
        <v>74</v>
      </c>
      <c r="H30" s="1" t="s">
        <v>74</v>
      </c>
      <c r="I30" s="1" t="s">
        <v>387</v>
      </c>
      <c r="J30" s="1" t="s">
        <v>376</v>
      </c>
      <c r="K30" s="1" t="s">
        <v>74</v>
      </c>
      <c r="L30" s="1" t="s">
        <v>74</v>
      </c>
      <c r="M30" s="1" t="s">
        <v>74</v>
      </c>
      <c r="N30" s="1" t="s">
        <v>74</v>
      </c>
      <c r="O30" s="1" t="s">
        <v>377</v>
      </c>
      <c r="P30" s="1" t="s">
        <v>378</v>
      </c>
      <c r="Q30" s="1" t="s">
        <v>379</v>
      </c>
      <c r="R30" s="1" t="s">
        <v>380</v>
      </c>
      <c r="S30" s="1" t="s">
        <v>74</v>
      </c>
      <c r="T30" s="1" t="s">
        <v>74</v>
      </c>
      <c r="U30" s="1" t="s">
        <v>74</v>
      </c>
      <c r="V30" s="1" t="s">
        <v>388</v>
      </c>
      <c r="W30" s="1" t="s">
        <v>74</v>
      </c>
      <c r="X30" s="1" t="s">
        <v>74</v>
      </c>
      <c r="Y30" s="1" t="s">
        <v>74</v>
      </c>
      <c r="Z30" s="1" t="s">
        <v>74</v>
      </c>
      <c r="AA30" s="1" t="s">
        <v>389</v>
      </c>
      <c r="AB30" s="1" t="s">
        <v>390</v>
      </c>
      <c r="AC30" s="1" t="s">
        <v>74</v>
      </c>
      <c r="AD30" s="1" t="s">
        <v>74</v>
      </c>
      <c r="AE30" s="1" t="s">
        <v>74</v>
      </c>
      <c r="AF30" s="1" t="s">
        <v>74</v>
      </c>
      <c r="AG30" s="1" t="s">
        <v>74</v>
      </c>
      <c r="AH30" s="1" t="s">
        <v>74</v>
      </c>
      <c r="AI30" s="1" t="s">
        <v>74</v>
      </c>
      <c r="AJ30" s="1" t="s">
        <v>74</v>
      </c>
      <c r="AK30" s="1" t="s">
        <v>74</v>
      </c>
      <c r="AL30" s="1" t="s">
        <v>74</v>
      </c>
      <c r="AM30" s="1" t="s">
        <v>74</v>
      </c>
      <c r="AN30" s="1" t="s">
        <v>74</v>
      </c>
      <c r="AO30" s="1" t="s">
        <v>74</v>
      </c>
      <c r="AP30" s="1" t="s">
        <v>74</v>
      </c>
      <c r="AQ30" s="1" t="s">
        <v>383</v>
      </c>
      <c r="AR30" s="1" t="s">
        <v>74</v>
      </c>
      <c r="AS30" s="1" t="s">
        <v>74</v>
      </c>
      <c r="AT30" s="1" t="s">
        <v>74</v>
      </c>
      <c r="AU30" s="1">
        <v>2019.0</v>
      </c>
      <c r="AV30" s="1" t="s">
        <v>74</v>
      </c>
      <c r="AW30" s="1" t="s">
        <v>74</v>
      </c>
      <c r="AX30" s="1" t="s">
        <v>74</v>
      </c>
      <c r="AY30" s="1" t="s">
        <v>74</v>
      </c>
      <c r="AZ30" s="1" t="s">
        <v>74</v>
      </c>
      <c r="BA30" s="1" t="s">
        <v>74</v>
      </c>
      <c r="BB30" s="1" t="s">
        <v>74</v>
      </c>
      <c r="BC30" s="1" t="s">
        <v>74</v>
      </c>
      <c r="BD30" s="1" t="s">
        <v>74</v>
      </c>
      <c r="BE30" s="1" t="s">
        <v>74</v>
      </c>
      <c r="BF30" s="1" t="s">
        <v>74</v>
      </c>
      <c r="BG30" s="1" t="s">
        <v>74</v>
      </c>
      <c r="BH30" s="1" t="s">
        <v>74</v>
      </c>
      <c r="BI30" s="1" t="s">
        <v>74</v>
      </c>
      <c r="BJ30" s="1" t="s">
        <v>74</v>
      </c>
      <c r="BK30" s="1" t="s">
        <v>74</v>
      </c>
      <c r="BL30" s="1" t="s">
        <v>74</v>
      </c>
      <c r="BM30" s="1" t="s">
        <v>74</v>
      </c>
      <c r="BN30" s="1" t="s">
        <v>74</v>
      </c>
      <c r="BO30" s="1" t="s">
        <v>74</v>
      </c>
      <c r="BP30" s="1" t="s">
        <v>74</v>
      </c>
      <c r="BQ30" s="1" t="s">
        <v>74</v>
      </c>
      <c r="BR30" s="1" t="s">
        <v>74</v>
      </c>
      <c r="BS30" s="1" t="s">
        <v>391</v>
      </c>
      <c r="BT30" s="1" t="str">
        <f>HYPERLINK("https%3A%2F%2Fwww.webofscience.com%2Fwos%2Fwoscc%2Ffull-record%2FWOS:000542919100112","View Full Record in Web of Science")</f>
        <v>View Full Record in Web of Science</v>
      </c>
    </row>
    <row r="31" ht="12.75" customHeight="1">
      <c r="A31" s="1" t="s">
        <v>72</v>
      </c>
      <c r="B31" s="1" t="s">
        <v>392</v>
      </c>
      <c r="C31" s="1" t="s">
        <v>74</v>
      </c>
      <c r="D31" s="1" t="s">
        <v>74</v>
      </c>
      <c r="E31" s="1" t="s">
        <v>74</v>
      </c>
      <c r="F31" s="1" t="s">
        <v>393</v>
      </c>
      <c r="G31" s="1" t="s">
        <v>74</v>
      </c>
      <c r="H31" s="1" t="s">
        <v>74</v>
      </c>
      <c r="I31" s="1" t="s">
        <v>394</v>
      </c>
      <c r="J31" s="1" t="s">
        <v>395</v>
      </c>
      <c r="K31" s="1" t="s">
        <v>74</v>
      </c>
      <c r="L31" s="1" t="s">
        <v>74</v>
      </c>
      <c r="M31" s="1" t="s">
        <v>74</v>
      </c>
      <c r="N31" s="1" t="s">
        <v>74</v>
      </c>
      <c r="O31" s="1" t="s">
        <v>74</v>
      </c>
      <c r="P31" s="1" t="s">
        <v>74</v>
      </c>
      <c r="Q31" s="1" t="s">
        <v>74</v>
      </c>
      <c r="R31" s="1" t="s">
        <v>74</v>
      </c>
      <c r="S31" s="1" t="s">
        <v>74</v>
      </c>
      <c r="T31" s="1" t="s">
        <v>74</v>
      </c>
      <c r="U31" s="1" t="s">
        <v>74</v>
      </c>
      <c r="V31" s="1" t="s">
        <v>396</v>
      </c>
      <c r="W31" s="1" t="s">
        <v>74</v>
      </c>
      <c r="X31" s="1" t="s">
        <v>74</v>
      </c>
      <c r="Y31" s="1" t="s">
        <v>74</v>
      </c>
      <c r="Z31" s="1" t="s">
        <v>74</v>
      </c>
      <c r="AA31" s="1" t="s">
        <v>397</v>
      </c>
      <c r="AB31" s="1" t="s">
        <v>74</v>
      </c>
      <c r="AC31" s="1" t="s">
        <v>74</v>
      </c>
      <c r="AD31" s="1" t="s">
        <v>74</v>
      </c>
      <c r="AE31" s="1" t="s">
        <v>74</v>
      </c>
      <c r="AF31" s="1" t="s">
        <v>74</v>
      </c>
      <c r="AG31" s="1" t="s">
        <v>74</v>
      </c>
      <c r="AH31" s="1" t="s">
        <v>74</v>
      </c>
      <c r="AI31" s="1" t="s">
        <v>74</v>
      </c>
      <c r="AJ31" s="1" t="s">
        <v>74</v>
      </c>
      <c r="AK31" s="1" t="s">
        <v>74</v>
      </c>
      <c r="AL31" s="1" t="s">
        <v>74</v>
      </c>
      <c r="AM31" s="1" t="s">
        <v>74</v>
      </c>
      <c r="AN31" s="1" t="s">
        <v>74</v>
      </c>
      <c r="AO31" s="1" t="s">
        <v>398</v>
      </c>
      <c r="AP31" s="1" t="s">
        <v>399</v>
      </c>
      <c r="AQ31" s="1" t="s">
        <v>74</v>
      </c>
      <c r="AR31" s="1" t="s">
        <v>74</v>
      </c>
      <c r="AS31" s="1" t="s">
        <v>74</v>
      </c>
      <c r="AT31" s="1" t="s">
        <v>110</v>
      </c>
      <c r="AU31" s="1">
        <v>2018.0</v>
      </c>
      <c r="AV31" s="1" t="s">
        <v>74</v>
      </c>
      <c r="AW31" s="1">
        <v>76.0</v>
      </c>
      <c r="AX31" s="1" t="s">
        <v>74</v>
      </c>
      <c r="AY31" s="1" t="s">
        <v>74</v>
      </c>
      <c r="AZ31" s="1" t="s">
        <v>74</v>
      </c>
      <c r="BA31" s="1" t="s">
        <v>74</v>
      </c>
      <c r="BB31" s="1">
        <v>123.0</v>
      </c>
      <c r="BC31" s="1">
        <v>155.0</v>
      </c>
      <c r="BD31" s="1" t="s">
        <v>74</v>
      </c>
      <c r="BE31" s="1" t="s">
        <v>400</v>
      </c>
      <c r="BF31" s="2" t="str">
        <f>HYPERLINK("http://dx.doi.org/10.26882/histagrar.076e04m","http://dx.doi.org/10.26882/histagrar.076e04m")</f>
        <v>http://dx.doi.org/10.26882/histagrar.076e04m</v>
      </c>
      <c r="BG31" s="1" t="s">
        <v>74</v>
      </c>
      <c r="BH31" s="1" t="s">
        <v>74</v>
      </c>
      <c r="BI31" s="1" t="s">
        <v>74</v>
      </c>
      <c r="BJ31" s="1" t="s">
        <v>74</v>
      </c>
      <c r="BK31" s="1" t="s">
        <v>74</v>
      </c>
      <c r="BL31" s="1" t="s">
        <v>74</v>
      </c>
      <c r="BM31" s="1" t="s">
        <v>74</v>
      </c>
      <c r="BN31" s="1" t="s">
        <v>74</v>
      </c>
      <c r="BO31" s="1" t="s">
        <v>74</v>
      </c>
      <c r="BP31" s="1" t="s">
        <v>74</v>
      </c>
      <c r="BQ31" s="1" t="s">
        <v>74</v>
      </c>
      <c r="BR31" s="1" t="s">
        <v>74</v>
      </c>
      <c r="BS31" s="1" t="s">
        <v>401</v>
      </c>
      <c r="BT31" s="1" t="str">
        <f>HYPERLINK("https%3A%2F%2Fwww.webofscience.com%2Fwos%2Fwoscc%2Ffull-record%2FWOS:000451362000005","View Full Record in Web of Science")</f>
        <v>View Full Record in Web of Science</v>
      </c>
    </row>
    <row r="32" ht="12.75" customHeight="1">
      <c r="A32" s="1" t="s">
        <v>72</v>
      </c>
      <c r="B32" s="1" t="s">
        <v>402</v>
      </c>
      <c r="C32" s="1" t="s">
        <v>74</v>
      </c>
      <c r="D32" s="1" t="s">
        <v>74</v>
      </c>
      <c r="E32" s="1" t="s">
        <v>74</v>
      </c>
      <c r="F32" s="1" t="s">
        <v>403</v>
      </c>
      <c r="G32" s="1" t="s">
        <v>74</v>
      </c>
      <c r="H32" s="1" t="s">
        <v>74</v>
      </c>
      <c r="I32" s="1" t="s">
        <v>404</v>
      </c>
      <c r="J32" s="1" t="s">
        <v>405</v>
      </c>
      <c r="K32" s="1" t="s">
        <v>74</v>
      </c>
      <c r="L32" s="1" t="s">
        <v>74</v>
      </c>
      <c r="M32" s="1" t="s">
        <v>74</v>
      </c>
      <c r="N32" s="1" t="s">
        <v>74</v>
      </c>
      <c r="O32" s="1" t="s">
        <v>74</v>
      </c>
      <c r="P32" s="1" t="s">
        <v>74</v>
      </c>
      <c r="Q32" s="1" t="s">
        <v>74</v>
      </c>
      <c r="R32" s="1" t="s">
        <v>74</v>
      </c>
      <c r="S32" s="1" t="s">
        <v>74</v>
      </c>
      <c r="T32" s="1" t="s">
        <v>74</v>
      </c>
      <c r="U32" s="1" t="s">
        <v>74</v>
      </c>
      <c r="V32" s="1" t="s">
        <v>406</v>
      </c>
      <c r="W32" s="1" t="s">
        <v>74</v>
      </c>
      <c r="X32" s="1" t="s">
        <v>74</v>
      </c>
      <c r="Y32" s="1" t="s">
        <v>74</v>
      </c>
      <c r="Z32" s="1" t="s">
        <v>74</v>
      </c>
      <c r="AA32" s="1" t="s">
        <v>407</v>
      </c>
      <c r="AB32" s="1" t="s">
        <v>408</v>
      </c>
      <c r="AC32" s="1" t="s">
        <v>74</v>
      </c>
      <c r="AD32" s="1" t="s">
        <v>74</v>
      </c>
      <c r="AE32" s="1" t="s">
        <v>74</v>
      </c>
      <c r="AF32" s="1" t="s">
        <v>74</v>
      </c>
      <c r="AG32" s="1" t="s">
        <v>74</v>
      </c>
      <c r="AH32" s="1" t="s">
        <v>74</v>
      </c>
      <c r="AI32" s="1" t="s">
        <v>74</v>
      </c>
      <c r="AJ32" s="1" t="s">
        <v>74</v>
      </c>
      <c r="AK32" s="1" t="s">
        <v>74</v>
      </c>
      <c r="AL32" s="1" t="s">
        <v>74</v>
      </c>
      <c r="AM32" s="1" t="s">
        <v>74</v>
      </c>
      <c r="AN32" s="1" t="s">
        <v>74</v>
      </c>
      <c r="AO32" s="1" t="s">
        <v>409</v>
      </c>
      <c r="AP32" s="1" t="s">
        <v>410</v>
      </c>
      <c r="AQ32" s="1" t="s">
        <v>74</v>
      </c>
      <c r="AR32" s="1" t="s">
        <v>74</v>
      </c>
      <c r="AS32" s="1" t="s">
        <v>74</v>
      </c>
      <c r="AT32" s="1" t="s">
        <v>135</v>
      </c>
      <c r="AU32" s="1">
        <v>2018.0</v>
      </c>
      <c r="AV32" s="1">
        <v>346.0</v>
      </c>
      <c r="AW32" s="1">
        <v>8.0</v>
      </c>
      <c r="AX32" s="1" t="s">
        <v>74</v>
      </c>
      <c r="AY32" s="1" t="s">
        <v>74</v>
      </c>
      <c r="AZ32" s="1" t="s">
        <v>411</v>
      </c>
      <c r="BA32" s="1" t="s">
        <v>74</v>
      </c>
      <c r="BB32" s="1">
        <v>794.0</v>
      </c>
      <c r="BC32" s="1">
        <v>805.0</v>
      </c>
      <c r="BD32" s="1" t="s">
        <v>74</v>
      </c>
      <c r="BE32" s="1" t="s">
        <v>412</v>
      </c>
      <c r="BF32" s="2" t="str">
        <f>HYPERLINK("http://dx.doi.org/10.1016/j.crme.2018.05.001","http://dx.doi.org/10.1016/j.crme.2018.05.001")</f>
        <v>http://dx.doi.org/10.1016/j.crme.2018.05.001</v>
      </c>
      <c r="BG32" s="1" t="s">
        <v>74</v>
      </c>
      <c r="BH32" s="1" t="s">
        <v>74</v>
      </c>
      <c r="BI32" s="1" t="s">
        <v>74</v>
      </c>
      <c r="BJ32" s="1" t="s">
        <v>74</v>
      </c>
      <c r="BK32" s="1" t="s">
        <v>74</v>
      </c>
      <c r="BL32" s="1" t="s">
        <v>74</v>
      </c>
      <c r="BM32" s="1" t="s">
        <v>74</v>
      </c>
      <c r="BN32" s="1" t="s">
        <v>74</v>
      </c>
      <c r="BO32" s="1" t="s">
        <v>74</v>
      </c>
      <c r="BP32" s="1" t="s">
        <v>74</v>
      </c>
      <c r="BQ32" s="1" t="s">
        <v>74</v>
      </c>
      <c r="BR32" s="1" t="s">
        <v>74</v>
      </c>
      <c r="BS32" s="1" t="s">
        <v>413</v>
      </c>
      <c r="BT32" s="1" t="str">
        <f>HYPERLINK("https%3A%2F%2Fwww.webofscience.com%2Fwos%2Fwoscc%2Ffull-record%2FWOS:000438394600014","View Full Record in Web of Science")</f>
        <v>View Full Record in Web of Science</v>
      </c>
    </row>
    <row r="33" ht="12.75" customHeight="1">
      <c r="A33" s="1" t="s">
        <v>72</v>
      </c>
      <c r="B33" s="1" t="s">
        <v>414</v>
      </c>
      <c r="C33" s="1" t="s">
        <v>74</v>
      </c>
      <c r="D33" s="1" t="s">
        <v>74</v>
      </c>
      <c r="E33" s="1" t="s">
        <v>74</v>
      </c>
      <c r="F33" s="1" t="s">
        <v>415</v>
      </c>
      <c r="G33" s="1" t="s">
        <v>74</v>
      </c>
      <c r="H33" s="1" t="s">
        <v>74</v>
      </c>
      <c r="I33" s="1" t="s">
        <v>416</v>
      </c>
      <c r="J33" s="1" t="s">
        <v>417</v>
      </c>
      <c r="K33" s="1" t="s">
        <v>74</v>
      </c>
      <c r="L33" s="1" t="s">
        <v>74</v>
      </c>
      <c r="M33" s="1" t="s">
        <v>74</v>
      </c>
      <c r="N33" s="1" t="s">
        <v>74</v>
      </c>
      <c r="O33" s="1" t="s">
        <v>418</v>
      </c>
      <c r="P33" s="1" t="s">
        <v>419</v>
      </c>
      <c r="Q33" s="1" t="s">
        <v>420</v>
      </c>
      <c r="R33" s="1" t="s">
        <v>421</v>
      </c>
      <c r="S33" s="1" t="s">
        <v>74</v>
      </c>
      <c r="T33" s="1" t="s">
        <v>74</v>
      </c>
      <c r="U33" s="1" t="s">
        <v>74</v>
      </c>
      <c r="V33" s="1" t="s">
        <v>74</v>
      </c>
      <c r="W33" s="1" t="s">
        <v>74</v>
      </c>
      <c r="X33" s="1" t="s">
        <v>74</v>
      </c>
      <c r="Y33" s="1" t="s">
        <v>74</v>
      </c>
      <c r="Z33" s="1" t="s">
        <v>74</v>
      </c>
      <c r="AA33" s="1" t="s">
        <v>422</v>
      </c>
      <c r="AB33" s="1" t="s">
        <v>423</v>
      </c>
      <c r="AC33" s="1" t="s">
        <v>74</v>
      </c>
      <c r="AD33" s="1" t="s">
        <v>74</v>
      </c>
      <c r="AE33" s="1" t="s">
        <v>74</v>
      </c>
      <c r="AF33" s="1" t="s">
        <v>74</v>
      </c>
      <c r="AG33" s="1" t="s">
        <v>74</v>
      </c>
      <c r="AH33" s="1" t="s">
        <v>74</v>
      </c>
      <c r="AI33" s="1" t="s">
        <v>74</v>
      </c>
      <c r="AJ33" s="1" t="s">
        <v>74</v>
      </c>
      <c r="AK33" s="1" t="s">
        <v>74</v>
      </c>
      <c r="AL33" s="1" t="s">
        <v>74</v>
      </c>
      <c r="AM33" s="1" t="s">
        <v>74</v>
      </c>
      <c r="AN33" s="1" t="s">
        <v>74</v>
      </c>
      <c r="AO33" s="1" t="s">
        <v>424</v>
      </c>
      <c r="AP33" s="1" t="s">
        <v>425</v>
      </c>
      <c r="AQ33" s="1" t="s">
        <v>74</v>
      </c>
      <c r="AR33" s="1" t="s">
        <v>74</v>
      </c>
      <c r="AS33" s="1" t="s">
        <v>74</v>
      </c>
      <c r="AT33" s="1" t="s">
        <v>180</v>
      </c>
      <c r="AU33" s="1">
        <v>2017.0</v>
      </c>
      <c r="AV33" s="1">
        <v>49.0</v>
      </c>
      <c r="AW33" s="1">
        <v>5.0</v>
      </c>
      <c r="AX33" s="1" t="s">
        <v>74</v>
      </c>
      <c r="AY33" s="1">
        <v>1.0</v>
      </c>
      <c r="AZ33" s="1" t="s">
        <v>74</v>
      </c>
      <c r="BA33" s="1">
        <v>3231.0</v>
      </c>
      <c r="BB33" s="1">
        <v>917.0</v>
      </c>
      <c r="BC33" s="1">
        <v>917.0</v>
      </c>
      <c r="BD33" s="1" t="s">
        <v>74</v>
      </c>
      <c r="BE33" s="1" t="s">
        <v>426</v>
      </c>
      <c r="BF33" s="2" t="str">
        <f>HYPERLINK("http://dx.doi.org/10.1249/01.mss.0000519495.92617.80","http://dx.doi.org/10.1249/01.mss.0000519495.92617.80")</f>
        <v>http://dx.doi.org/10.1249/01.mss.0000519495.92617.80</v>
      </c>
      <c r="BG33" s="1" t="s">
        <v>74</v>
      </c>
      <c r="BH33" s="1" t="s">
        <v>74</v>
      </c>
      <c r="BI33" s="1" t="s">
        <v>74</v>
      </c>
      <c r="BJ33" s="1" t="s">
        <v>74</v>
      </c>
      <c r="BK33" s="1" t="s">
        <v>74</v>
      </c>
      <c r="BL33" s="1" t="s">
        <v>74</v>
      </c>
      <c r="BM33" s="1" t="s">
        <v>74</v>
      </c>
      <c r="BN33" s="1" t="s">
        <v>74</v>
      </c>
      <c r="BO33" s="1" t="s">
        <v>74</v>
      </c>
      <c r="BP33" s="1" t="s">
        <v>74</v>
      </c>
      <c r="BQ33" s="1" t="s">
        <v>74</v>
      </c>
      <c r="BR33" s="1" t="s">
        <v>74</v>
      </c>
      <c r="BS33" s="1" t="s">
        <v>427</v>
      </c>
      <c r="BT33" s="1" t="str">
        <f>HYPERLINK("https%3A%2F%2Fwww.webofscience.com%2Fwos%2Fwoscc%2Ffull-record%2FWOS:000415216000285","View Full Record in Web of Science")</f>
        <v>View Full Record in Web of Science</v>
      </c>
    </row>
    <row r="34" ht="12.75" customHeight="1">
      <c r="A34" s="1" t="s">
        <v>72</v>
      </c>
      <c r="B34" s="1" t="s">
        <v>428</v>
      </c>
      <c r="C34" s="1" t="s">
        <v>74</v>
      </c>
      <c r="D34" s="1" t="s">
        <v>74</v>
      </c>
      <c r="E34" s="1" t="s">
        <v>74</v>
      </c>
      <c r="F34" s="1" t="s">
        <v>429</v>
      </c>
      <c r="G34" s="1" t="s">
        <v>74</v>
      </c>
      <c r="H34" s="1" t="s">
        <v>74</v>
      </c>
      <c r="I34" s="1" t="s">
        <v>430</v>
      </c>
      <c r="J34" s="1" t="s">
        <v>431</v>
      </c>
      <c r="K34" s="1" t="s">
        <v>74</v>
      </c>
      <c r="L34" s="1" t="s">
        <v>74</v>
      </c>
      <c r="M34" s="1" t="s">
        <v>74</v>
      </c>
      <c r="N34" s="1" t="s">
        <v>74</v>
      </c>
      <c r="O34" s="1" t="s">
        <v>74</v>
      </c>
      <c r="P34" s="1" t="s">
        <v>74</v>
      </c>
      <c r="Q34" s="1" t="s">
        <v>74</v>
      </c>
      <c r="R34" s="1" t="s">
        <v>74</v>
      </c>
      <c r="S34" s="1" t="s">
        <v>74</v>
      </c>
      <c r="T34" s="1" t="s">
        <v>74</v>
      </c>
      <c r="U34" s="1" t="s">
        <v>74</v>
      </c>
      <c r="V34" s="1" t="s">
        <v>432</v>
      </c>
      <c r="W34" s="1" t="s">
        <v>74</v>
      </c>
      <c r="X34" s="1" t="s">
        <v>74</v>
      </c>
      <c r="Y34" s="1" t="s">
        <v>74</v>
      </c>
      <c r="Z34" s="1" t="s">
        <v>74</v>
      </c>
      <c r="AA34" s="1" t="s">
        <v>433</v>
      </c>
      <c r="AB34" s="1" t="s">
        <v>434</v>
      </c>
      <c r="AC34" s="1" t="s">
        <v>74</v>
      </c>
      <c r="AD34" s="1" t="s">
        <v>74</v>
      </c>
      <c r="AE34" s="1" t="s">
        <v>74</v>
      </c>
      <c r="AF34" s="1" t="s">
        <v>74</v>
      </c>
      <c r="AG34" s="1" t="s">
        <v>74</v>
      </c>
      <c r="AH34" s="1" t="s">
        <v>74</v>
      </c>
      <c r="AI34" s="1" t="s">
        <v>74</v>
      </c>
      <c r="AJ34" s="1" t="s">
        <v>74</v>
      </c>
      <c r="AK34" s="1" t="s">
        <v>74</v>
      </c>
      <c r="AL34" s="1" t="s">
        <v>74</v>
      </c>
      <c r="AM34" s="1" t="s">
        <v>74</v>
      </c>
      <c r="AN34" s="1" t="s">
        <v>74</v>
      </c>
      <c r="AO34" s="1" t="s">
        <v>435</v>
      </c>
      <c r="AP34" s="1" t="s">
        <v>436</v>
      </c>
      <c r="AQ34" s="1" t="s">
        <v>74</v>
      </c>
      <c r="AR34" s="1" t="s">
        <v>74</v>
      </c>
      <c r="AS34" s="1" t="s">
        <v>74</v>
      </c>
      <c r="AT34" s="1" t="s">
        <v>74</v>
      </c>
      <c r="AU34" s="1">
        <v>2017.0</v>
      </c>
      <c r="AV34" s="1">
        <v>55.0</v>
      </c>
      <c r="AW34" s="1">
        <v>6.0</v>
      </c>
      <c r="AX34" s="1" t="s">
        <v>74</v>
      </c>
      <c r="AY34" s="1" t="s">
        <v>74</v>
      </c>
      <c r="AZ34" s="1" t="s">
        <v>74</v>
      </c>
      <c r="BA34" s="1" t="s">
        <v>74</v>
      </c>
      <c r="BB34" s="1">
        <v>847.0</v>
      </c>
      <c r="BC34" s="1">
        <v>862.0</v>
      </c>
      <c r="BD34" s="1" t="s">
        <v>74</v>
      </c>
      <c r="BE34" s="1" t="s">
        <v>437</v>
      </c>
      <c r="BF34" s="2" t="str">
        <f>HYPERLINK("http://dx.doi.org/10.1080/00221686.2017.1289257","http://dx.doi.org/10.1080/00221686.2017.1289257")</f>
        <v>http://dx.doi.org/10.1080/00221686.2017.1289257</v>
      </c>
      <c r="BG34" s="1" t="s">
        <v>74</v>
      </c>
      <c r="BH34" s="1" t="s">
        <v>74</v>
      </c>
      <c r="BI34" s="1" t="s">
        <v>74</v>
      </c>
      <c r="BJ34" s="1" t="s">
        <v>74</v>
      </c>
      <c r="BK34" s="1" t="s">
        <v>74</v>
      </c>
      <c r="BL34" s="1" t="s">
        <v>74</v>
      </c>
      <c r="BM34" s="1" t="s">
        <v>74</v>
      </c>
      <c r="BN34" s="1" t="s">
        <v>74</v>
      </c>
      <c r="BO34" s="1" t="s">
        <v>74</v>
      </c>
      <c r="BP34" s="1" t="s">
        <v>74</v>
      </c>
      <c r="BQ34" s="1" t="s">
        <v>74</v>
      </c>
      <c r="BR34" s="1" t="s">
        <v>74</v>
      </c>
      <c r="BS34" s="1" t="s">
        <v>438</v>
      </c>
      <c r="BT34" s="1" t="str">
        <f>HYPERLINK("https%3A%2F%2Fwww.webofscience.com%2Fwos%2Fwoscc%2Ffull-record%2FWOS:000423221500009","View Full Record in Web of Science")</f>
        <v>View Full Record in Web of Science</v>
      </c>
    </row>
    <row r="35" ht="12.75" customHeight="1">
      <c r="A35" s="1" t="s">
        <v>72</v>
      </c>
      <c r="B35" s="1" t="s">
        <v>439</v>
      </c>
      <c r="C35" s="1" t="s">
        <v>74</v>
      </c>
      <c r="D35" s="1" t="s">
        <v>74</v>
      </c>
      <c r="E35" s="1" t="s">
        <v>74</v>
      </c>
      <c r="F35" s="1" t="s">
        <v>440</v>
      </c>
      <c r="G35" s="1" t="s">
        <v>74</v>
      </c>
      <c r="H35" s="1" t="s">
        <v>74</v>
      </c>
      <c r="I35" s="1" t="s">
        <v>441</v>
      </c>
      <c r="J35" s="1" t="s">
        <v>442</v>
      </c>
      <c r="K35" s="1" t="s">
        <v>74</v>
      </c>
      <c r="L35" s="1" t="s">
        <v>74</v>
      </c>
      <c r="M35" s="1" t="s">
        <v>74</v>
      </c>
      <c r="N35" s="1" t="s">
        <v>74</v>
      </c>
      <c r="O35" s="1" t="s">
        <v>74</v>
      </c>
      <c r="P35" s="1" t="s">
        <v>74</v>
      </c>
      <c r="Q35" s="1" t="s">
        <v>74</v>
      </c>
      <c r="R35" s="1" t="s">
        <v>74</v>
      </c>
      <c r="S35" s="1" t="s">
        <v>74</v>
      </c>
      <c r="T35" s="1" t="s">
        <v>74</v>
      </c>
      <c r="U35" s="1" t="s">
        <v>74</v>
      </c>
      <c r="V35" s="1" t="s">
        <v>443</v>
      </c>
      <c r="W35" s="1" t="s">
        <v>74</v>
      </c>
      <c r="X35" s="1" t="s">
        <v>74</v>
      </c>
      <c r="Y35" s="1" t="s">
        <v>74</v>
      </c>
      <c r="Z35" s="1" t="s">
        <v>74</v>
      </c>
      <c r="AA35" s="1" t="s">
        <v>444</v>
      </c>
      <c r="AB35" s="1" t="s">
        <v>423</v>
      </c>
      <c r="AC35" s="1" t="s">
        <v>74</v>
      </c>
      <c r="AD35" s="1" t="s">
        <v>74</v>
      </c>
      <c r="AE35" s="1" t="s">
        <v>74</v>
      </c>
      <c r="AF35" s="1" t="s">
        <v>74</v>
      </c>
      <c r="AG35" s="1" t="s">
        <v>74</v>
      </c>
      <c r="AH35" s="1" t="s">
        <v>74</v>
      </c>
      <c r="AI35" s="1" t="s">
        <v>74</v>
      </c>
      <c r="AJ35" s="1" t="s">
        <v>74</v>
      </c>
      <c r="AK35" s="1" t="s">
        <v>74</v>
      </c>
      <c r="AL35" s="1" t="s">
        <v>74</v>
      </c>
      <c r="AM35" s="1" t="s">
        <v>74</v>
      </c>
      <c r="AN35" s="1" t="s">
        <v>74</v>
      </c>
      <c r="AO35" s="1" t="s">
        <v>445</v>
      </c>
      <c r="AP35" s="1" t="s">
        <v>446</v>
      </c>
      <c r="AQ35" s="1" t="s">
        <v>74</v>
      </c>
      <c r="AR35" s="1" t="s">
        <v>74</v>
      </c>
      <c r="AS35" s="1" t="s">
        <v>74</v>
      </c>
      <c r="AT35" s="1" t="s">
        <v>447</v>
      </c>
      <c r="AU35" s="1">
        <v>2017.0</v>
      </c>
      <c r="AV35" s="1">
        <v>11.0</v>
      </c>
      <c r="AW35" s="1">
        <v>1.0</v>
      </c>
      <c r="AX35" s="1" t="s">
        <v>74</v>
      </c>
      <c r="AY35" s="1" t="s">
        <v>74</v>
      </c>
      <c r="AZ35" s="1" t="s">
        <v>74</v>
      </c>
      <c r="BA35" s="1" t="s">
        <v>74</v>
      </c>
      <c r="BB35" s="1">
        <v>44.0</v>
      </c>
      <c r="BC35" s="1">
        <v>50.0</v>
      </c>
      <c r="BD35" s="1" t="s">
        <v>74</v>
      </c>
      <c r="BE35" s="1" t="s">
        <v>448</v>
      </c>
      <c r="BF35" s="2" t="str">
        <f>HYPERLINK("http://dx.doi.org/10.1016/j.orcp.2015.07.006","http://dx.doi.org/10.1016/j.orcp.2015.07.006")</f>
        <v>http://dx.doi.org/10.1016/j.orcp.2015.07.006</v>
      </c>
      <c r="BG35" s="1" t="s">
        <v>74</v>
      </c>
      <c r="BH35" s="1" t="s">
        <v>74</v>
      </c>
      <c r="BI35" s="1" t="s">
        <v>74</v>
      </c>
      <c r="BJ35" s="1" t="s">
        <v>74</v>
      </c>
      <c r="BK35" s="1" t="s">
        <v>74</v>
      </c>
      <c r="BL35" s="1" t="s">
        <v>74</v>
      </c>
      <c r="BM35" s="1" t="s">
        <v>74</v>
      </c>
      <c r="BN35" s="1">
        <v>2.6249128E7</v>
      </c>
      <c r="BO35" s="1" t="s">
        <v>74</v>
      </c>
      <c r="BP35" s="1" t="s">
        <v>74</v>
      </c>
      <c r="BQ35" s="1" t="s">
        <v>74</v>
      </c>
      <c r="BR35" s="1" t="s">
        <v>74</v>
      </c>
      <c r="BS35" s="1" t="s">
        <v>449</v>
      </c>
      <c r="BT35" s="1" t="str">
        <f>HYPERLINK("https%3A%2F%2Fwww.webofscience.com%2Fwos%2Fwoscc%2Ffull-record%2FWOS:000396400000006","View Full Record in Web of Science")</f>
        <v>View Full Record in Web of Science</v>
      </c>
    </row>
    <row r="36" ht="12.75" customHeight="1">
      <c r="A36" s="1" t="s">
        <v>72</v>
      </c>
      <c r="B36" s="1" t="s">
        <v>450</v>
      </c>
      <c r="C36" s="1" t="s">
        <v>74</v>
      </c>
      <c r="D36" s="1" t="s">
        <v>74</v>
      </c>
      <c r="E36" s="1" t="s">
        <v>74</v>
      </c>
      <c r="F36" s="1" t="s">
        <v>451</v>
      </c>
      <c r="G36" s="1" t="s">
        <v>74</v>
      </c>
      <c r="H36" s="1" t="s">
        <v>74</v>
      </c>
      <c r="I36" s="1" t="s">
        <v>452</v>
      </c>
      <c r="J36" s="1" t="s">
        <v>453</v>
      </c>
      <c r="K36" s="1" t="s">
        <v>74</v>
      </c>
      <c r="L36" s="1" t="s">
        <v>74</v>
      </c>
      <c r="M36" s="1" t="s">
        <v>74</v>
      </c>
      <c r="N36" s="1" t="s">
        <v>74</v>
      </c>
      <c r="O36" s="1" t="s">
        <v>74</v>
      </c>
      <c r="P36" s="1" t="s">
        <v>74</v>
      </c>
      <c r="Q36" s="1" t="s">
        <v>74</v>
      </c>
      <c r="R36" s="1" t="s">
        <v>74</v>
      </c>
      <c r="S36" s="1" t="s">
        <v>74</v>
      </c>
      <c r="T36" s="1" t="s">
        <v>74</v>
      </c>
      <c r="U36" s="1" t="s">
        <v>74</v>
      </c>
      <c r="V36" s="1" t="s">
        <v>454</v>
      </c>
      <c r="W36" s="1" t="s">
        <v>74</v>
      </c>
      <c r="X36" s="1" t="s">
        <v>74</v>
      </c>
      <c r="Y36" s="1" t="s">
        <v>74</v>
      </c>
      <c r="Z36" s="1" t="s">
        <v>74</v>
      </c>
      <c r="AA36" s="1" t="s">
        <v>455</v>
      </c>
      <c r="AB36" s="1" t="s">
        <v>456</v>
      </c>
      <c r="AC36" s="1" t="s">
        <v>74</v>
      </c>
      <c r="AD36" s="1" t="s">
        <v>74</v>
      </c>
      <c r="AE36" s="1" t="s">
        <v>74</v>
      </c>
      <c r="AF36" s="1" t="s">
        <v>74</v>
      </c>
      <c r="AG36" s="1" t="s">
        <v>74</v>
      </c>
      <c r="AH36" s="1" t="s">
        <v>74</v>
      </c>
      <c r="AI36" s="1" t="s">
        <v>74</v>
      </c>
      <c r="AJ36" s="1" t="s">
        <v>74</v>
      </c>
      <c r="AK36" s="1" t="s">
        <v>74</v>
      </c>
      <c r="AL36" s="1" t="s">
        <v>74</v>
      </c>
      <c r="AM36" s="1" t="s">
        <v>74</v>
      </c>
      <c r="AN36" s="1" t="s">
        <v>74</v>
      </c>
      <c r="AO36" s="1" t="s">
        <v>457</v>
      </c>
      <c r="AP36" s="1" t="s">
        <v>458</v>
      </c>
      <c r="AQ36" s="1" t="s">
        <v>74</v>
      </c>
      <c r="AR36" s="1" t="s">
        <v>74</v>
      </c>
      <c r="AS36" s="1" t="s">
        <v>74</v>
      </c>
      <c r="AT36" s="1" t="s">
        <v>459</v>
      </c>
      <c r="AU36" s="1">
        <v>2016.0</v>
      </c>
      <c r="AV36" s="1">
        <v>16.0</v>
      </c>
      <c r="AW36" s="1">
        <v>9.0</v>
      </c>
      <c r="AX36" s="1" t="s">
        <v>74</v>
      </c>
      <c r="AY36" s="1" t="s">
        <v>74</v>
      </c>
      <c r="AZ36" s="1" t="s">
        <v>74</v>
      </c>
      <c r="BA36" s="1" t="s">
        <v>74</v>
      </c>
      <c r="BB36" s="1">
        <v>2172.0</v>
      </c>
      <c r="BC36" s="1">
        <v>2185.0</v>
      </c>
      <c r="BD36" s="1" t="s">
        <v>74</v>
      </c>
      <c r="BE36" s="1" t="s">
        <v>460</v>
      </c>
      <c r="BF36" s="2" t="str">
        <f>HYPERLINK("http://dx.doi.org/10.4209/aaqr.2015.12.0691","http://dx.doi.org/10.4209/aaqr.2015.12.0691")</f>
        <v>http://dx.doi.org/10.4209/aaqr.2015.12.0691</v>
      </c>
      <c r="BG36" s="1" t="s">
        <v>74</v>
      </c>
      <c r="BH36" s="1" t="s">
        <v>74</v>
      </c>
      <c r="BI36" s="1" t="s">
        <v>74</v>
      </c>
      <c r="BJ36" s="1" t="s">
        <v>74</v>
      </c>
      <c r="BK36" s="1" t="s">
        <v>74</v>
      </c>
      <c r="BL36" s="1" t="s">
        <v>74</v>
      </c>
      <c r="BM36" s="1" t="s">
        <v>74</v>
      </c>
      <c r="BN36" s="1" t="s">
        <v>74</v>
      </c>
      <c r="BO36" s="1" t="s">
        <v>74</v>
      </c>
      <c r="BP36" s="1" t="s">
        <v>74</v>
      </c>
      <c r="BQ36" s="1" t="s">
        <v>74</v>
      </c>
      <c r="BR36" s="1" t="s">
        <v>74</v>
      </c>
      <c r="BS36" s="1" t="s">
        <v>461</v>
      </c>
      <c r="BT36" s="1" t="str">
        <f>HYPERLINK("https%3A%2F%2Fwww.webofscience.com%2Fwos%2Fwoscc%2Ffull-record%2FWOS:000392304100009","View Full Record in Web of Science")</f>
        <v>View Full Record in Web of Science</v>
      </c>
    </row>
    <row r="37" ht="12.75" customHeight="1">
      <c r="A37" s="1" t="s">
        <v>251</v>
      </c>
      <c r="B37" s="1" t="s">
        <v>462</v>
      </c>
      <c r="C37" s="1" t="s">
        <v>74</v>
      </c>
      <c r="D37" s="1" t="s">
        <v>463</v>
      </c>
      <c r="E37" s="1" t="s">
        <v>74</v>
      </c>
      <c r="F37" s="1" t="s">
        <v>464</v>
      </c>
      <c r="G37" s="1" t="s">
        <v>74</v>
      </c>
      <c r="H37" s="1" t="s">
        <v>74</v>
      </c>
      <c r="I37" s="1" t="s">
        <v>465</v>
      </c>
      <c r="J37" s="1" t="s">
        <v>466</v>
      </c>
      <c r="K37" s="1" t="s">
        <v>467</v>
      </c>
      <c r="L37" s="1" t="s">
        <v>74</v>
      </c>
      <c r="M37" s="1" t="s">
        <v>74</v>
      </c>
      <c r="N37" s="1" t="s">
        <v>74</v>
      </c>
      <c r="O37" s="1" t="s">
        <v>468</v>
      </c>
      <c r="P37" s="1" t="s">
        <v>469</v>
      </c>
      <c r="Q37" s="1" t="s">
        <v>470</v>
      </c>
      <c r="R37" s="1" t="s">
        <v>471</v>
      </c>
      <c r="S37" s="1" t="s">
        <v>74</v>
      </c>
      <c r="T37" s="1" t="s">
        <v>74</v>
      </c>
      <c r="U37" s="1" t="s">
        <v>74</v>
      </c>
      <c r="V37" s="1" t="s">
        <v>472</v>
      </c>
      <c r="W37" s="1" t="s">
        <v>74</v>
      </c>
      <c r="X37" s="1" t="s">
        <v>74</v>
      </c>
      <c r="Y37" s="1" t="s">
        <v>74</v>
      </c>
      <c r="Z37" s="1" t="s">
        <v>74</v>
      </c>
      <c r="AA37" s="1" t="s">
        <v>473</v>
      </c>
      <c r="AB37" s="1" t="s">
        <v>474</v>
      </c>
      <c r="AC37" s="1" t="s">
        <v>74</v>
      </c>
      <c r="AD37" s="1" t="s">
        <v>74</v>
      </c>
      <c r="AE37" s="1" t="s">
        <v>74</v>
      </c>
      <c r="AF37" s="1" t="s">
        <v>74</v>
      </c>
      <c r="AG37" s="1" t="s">
        <v>74</v>
      </c>
      <c r="AH37" s="1" t="s">
        <v>74</v>
      </c>
      <c r="AI37" s="1" t="s">
        <v>74</v>
      </c>
      <c r="AJ37" s="1" t="s">
        <v>74</v>
      </c>
      <c r="AK37" s="1" t="s">
        <v>74</v>
      </c>
      <c r="AL37" s="1" t="s">
        <v>74</v>
      </c>
      <c r="AM37" s="1" t="s">
        <v>74</v>
      </c>
      <c r="AN37" s="1" t="s">
        <v>74</v>
      </c>
      <c r="AO37" s="1" t="s">
        <v>475</v>
      </c>
      <c r="AP37" s="1" t="s">
        <v>74</v>
      </c>
      <c r="AQ37" s="1" t="s">
        <v>74</v>
      </c>
      <c r="AR37" s="1" t="s">
        <v>74</v>
      </c>
      <c r="AS37" s="1" t="s">
        <v>74</v>
      </c>
      <c r="AT37" s="1" t="s">
        <v>74</v>
      </c>
      <c r="AU37" s="1">
        <v>2016.0</v>
      </c>
      <c r="AV37" s="1">
        <v>91.0</v>
      </c>
      <c r="AW37" s="1" t="s">
        <v>74</v>
      </c>
      <c r="AX37" s="1" t="s">
        <v>74</v>
      </c>
      <c r="AY37" s="1" t="s">
        <v>74</v>
      </c>
      <c r="AZ37" s="1" t="s">
        <v>74</v>
      </c>
      <c r="BA37" s="1" t="s">
        <v>74</v>
      </c>
      <c r="BB37" s="1">
        <v>65.0</v>
      </c>
      <c r="BC37" s="1">
        <v>74.0</v>
      </c>
      <c r="BD37" s="1" t="s">
        <v>74</v>
      </c>
      <c r="BE37" s="1" t="s">
        <v>476</v>
      </c>
      <c r="BF37" s="2" t="str">
        <f>HYPERLINK("http://dx.doi.org/10.1016/j.procs.2016.07.042","http://dx.doi.org/10.1016/j.procs.2016.07.042")</f>
        <v>http://dx.doi.org/10.1016/j.procs.2016.07.042</v>
      </c>
      <c r="BG37" s="1" t="s">
        <v>74</v>
      </c>
      <c r="BH37" s="1" t="s">
        <v>74</v>
      </c>
      <c r="BI37" s="1" t="s">
        <v>74</v>
      </c>
      <c r="BJ37" s="1" t="s">
        <v>74</v>
      </c>
      <c r="BK37" s="1" t="s">
        <v>74</v>
      </c>
      <c r="BL37" s="1" t="s">
        <v>74</v>
      </c>
      <c r="BM37" s="1" t="s">
        <v>74</v>
      </c>
      <c r="BN37" s="1" t="s">
        <v>74</v>
      </c>
      <c r="BO37" s="1" t="s">
        <v>74</v>
      </c>
      <c r="BP37" s="1" t="s">
        <v>74</v>
      </c>
      <c r="BQ37" s="1" t="s">
        <v>74</v>
      </c>
      <c r="BR37" s="1" t="s">
        <v>74</v>
      </c>
      <c r="BS37" s="1" t="s">
        <v>477</v>
      </c>
      <c r="BT37" s="1" t="str">
        <f>HYPERLINK("https%3A%2F%2Fwww.webofscience.com%2Fwos%2Fwoscc%2Ffull-record%2FWOS:000387683300007","View Full Record in Web of Science")</f>
        <v>View Full Record in Web of Science</v>
      </c>
    </row>
    <row r="38" ht="12.75" customHeight="1">
      <c r="A38" s="1" t="s">
        <v>72</v>
      </c>
      <c r="B38" s="1" t="s">
        <v>478</v>
      </c>
      <c r="C38" s="1" t="s">
        <v>74</v>
      </c>
      <c r="D38" s="1" t="s">
        <v>74</v>
      </c>
      <c r="E38" s="1" t="s">
        <v>74</v>
      </c>
      <c r="F38" s="1" t="s">
        <v>479</v>
      </c>
      <c r="G38" s="1" t="s">
        <v>74</v>
      </c>
      <c r="H38" s="1" t="s">
        <v>74</v>
      </c>
      <c r="I38" s="1" t="s">
        <v>480</v>
      </c>
      <c r="J38" s="1" t="s">
        <v>481</v>
      </c>
      <c r="K38" s="1" t="s">
        <v>74</v>
      </c>
      <c r="L38" s="1" t="s">
        <v>74</v>
      </c>
      <c r="M38" s="1" t="s">
        <v>74</v>
      </c>
      <c r="N38" s="1" t="s">
        <v>74</v>
      </c>
      <c r="O38" s="1" t="s">
        <v>74</v>
      </c>
      <c r="P38" s="1" t="s">
        <v>74</v>
      </c>
      <c r="Q38" s="1" t="s">
        <v>74</v>
      </c>
      <c r="R38" s="1" t="s">
        <v>74</v>
      </c>
      <c r="S38" s="1" t="s">
        <v>74</v>
      </c>
      <c r="T38" s="1" t="s">
        <v>74</v>
      </c>
      <c r="U38" s="1" t="s">
        <v>74</v>
      </c>
      <c r="V38" s="1" t="s">
        <v>482</v>
      </c>
      <c r="W38" s="1" t="s">
        <v>74</v>
      </c>
      <c r="X38" s="1" t="s">
        <v>74</v>
      </c>
      <c r="Y38" s="1" t="s">
        <v>74</v>
      </c>
      <c r="Z38" s="1" t="s">
        <v>74</v>
      </c>
      <c r="AA38" s="1" t="s">
        <v>74</v>
      </c>
      <c r="AB38" s="1" t="s">
        <v>74</v>
      </c>
      <c r="AC38" s="1" t="s">
        <v>74</v>
      </c>
      <c r="AD38" s="1" t="s">
        <v>74</v>
      </c>
      <c r="AE38" s="1" t="s">
        <v>74</v>
      </c>
      <c r="AF38" s="1" t="s">
        <v>74</v>
      </c>
      <c r="AG38" s="1" t="s">
        <v>74</v>
      </c>
      <c r="AH38" s="1" t="s">
        <v>74</v>
      </c>
      <c r="AI38" s="1" t="s">
        <v>74</v>
      </c>
      <c r="AJ38" s="1" t="s">
        <v>74</v>
      </c>
      <c r="AK38" s="1" t="s">
        <v>74</v>
      </c>
      <c r="AL38" s="1" t="s">
        <v>74</v>
      </c>
      <c r="AM38" s="1" t="s">
        <v>74</v>
      </c>
      <c r="AN38" s="1" t="s">
        <v>74</v>
      </c>
      <c r="AO38" s="1" t="s">
        <v>483</v>
      </c>
      <c r="AP38" s="1" t="s">
        <v>74</v>
      </c>
      <c r="AQ38" s="1" t="s">
        <v>74</v>
      </c>
      <c r="AR38" s="1" t="s">
        <v>74</v>
      </c>
      <c r="AS38" s="1" t="s">
        <v>74</v>
      </c>
      <c r="AT38" s="1" t="s">
        <v>74</v>
      </c>
      <c r="AU38" s="1">
        <v>2016.0</v>
      </c>
      <c r="AV38" s="1" t="s">
        <v>74</v>
      </c>
      <c r="AW38" s="1">
        <v>53.0</v>
      </c>
      <c r="AX38" s="1" t="s">
        <v>74</v>
      </c>
      <c r="AY38" s="1" t="s">
        <v>74</v>
      </c>
      <c r="AZ38" s="1" t="s">
        <v>74</v>
      </c>
      <c r="BA38" s="1" t="s">
        <v>74</v>
      </c>
      <c r="BB38" s="1">
        <v>117.0</v>
      </c>
      <c r="BC38" s="1">
        <v>134.0</v>
      </c>
      <c r="BD38" s="1" t="s">
        <v>74</v>
      </c>
      <c r="BE38" s="1" t="s">
        <v>74</v>
      </c>
      <c r="BF38" s="1" t="s">
        <v>74</v>
      </c>
      <c r="BG38" s="1" t="s">
        <v>74</v>
      </c>
      <c r="BH38" s="1" t="s">
        <v>74</v>
      </c>
      <c r="BI38" s="1" t="s">
        <v>74</v>
      </c>
      <c r="BJ38" s="1" t="s">
        <v>74</v>
      </c>
      <c r="BK38" s="1" t="s">
        <v>74</v>
      </c>
      <c r="BL38" s="1" t="s">
        <v>74</v>
      </c>
      <c r="BM38" s="1" t="s">
        <v>74</v>
      </c>
      <c r="BN38" s="1" t="s">
        <v>74</v>
      </c>
      <c r="BO38" s="1" t="s">
        <v>74</v>
      </c>
      <c r="BP38" s="1" t="s">
        <v>74</v>
      </c>
      <c r="BQ38" s="1" t="s">
        <v>74</v>
      </c>
      <c r="BR38" s="1" t="s">
        <v>74</v>
      </c>
      <c r="BS38" s="1" t="s">
        <v>484</v>
      </c>
      <c r="BT38" s="1" t="str">
        <f>HYPERLINK("https%3A%2F%2Fwww.webofscience.com%2Fwos%2Fwoscc%2Ffull-record%2FWOS:000397596600003","View Full Record in Web of Science")</f>
        <v>View Full Record in Web of Science</v>
      </c>
    </row>
    <row r="39" ht="12.75" customHeight="1">
      <c r="A39" s="1" t="s">
        <v>72</v>
      </c>
      <c r="B39" s="1" t="s">
        <v>485</v>
      </c>
      <c r="C39" s="1" t="s">
        <v>74</v>
      </c>
      <c r="D39" s="1" t="s">
        <v>74</v>
      </c>
      <c r="E39" s="1" t="s">
        <v>74</v>
      </c>
      <c r="F39" s="1" t="s">
        <v>486</v>
      </c>
      <c r="G39" s="1" t="s">
        <v>74</v>
      </c>
      <c r="H39" s="1" t="s">
        <v>74</v>
      </c>
      <c r="I39" s="1" t="s">
        <v>487</v>
      </c>
      <c r="J39" s="1" t="s">
        <v>488</v>
      </c>
      <c r="K39" s="1" t="s">
        <v>74</v>
      </c>
      <c r="L39" s="1" t="s">
        <v>74</v>
      </c>
      <c r="M39" s="1" t="s">
        <v>74</v>
      </c>
      <c r="N39" s="1" t="s">
        <v>74</v>
      </c>
      <c r="O39" s="1" t="s">
        <v>74</v>
      </c>
      <c r="P39" s="1" t="s">
        <v>74</v>
      </c>
      <c r="Q39" s="1" t="s">
        <v>74</v>
      </c>
      <c r="R39" s="1" t="s">
        <v>74</v>
      </c>
      <c r="S39" s="1" t="s">
        <v>74</v>
      </c>
      <c r="T39" s="1" t="s">
        <v>74</v>
      </c>
      <c r="U39" s="1" t="s">
        <v>74</v>
      </c>
      <c r="V39" s="1" t="s">
        <v>489</v>
      </c>
      <c r="W39" s="1" t="s">
        <v>74</v>
      </c>
      <c r="X39" s="1" t="s">
        <v>74</v>
      </c>
      <c r="Y39" s="1" t="s">
        <v>74</v>
      </c>
      <c r="Z39" s="1" t="s">
        <v>74</v>
      </c>
      <c r="AA39" s="1" t="s">
        <v>490</v>
      </c>
      <c r="AB39" s="1" t="s">
        <v>491</v>
      </c>
      <c r="AC39" s="1" t="s">
        <v>74</v>
      </c>
      <c r="AD39" s="1" t="s">
        <v>74</v>
      </c>
      <c r="AE39" s="1" t="s">
        <v>74</v>
      </c>
      <c r="AF39" s="1" t="s">
        <v>74</v>
      </c>
      <c r="AG39" s="1" t="s">
        <v>74</v>
      </c>
      <c r="AH39" s="1" t="s">
        <v>74</v>
      </c>
      <c r="AI39" s="1" t="s">
        <v>74</v>
      </c>
      <c r="AJ39" s="1" t="s">
        <v>74</v>
      </c>
      <c r="AK39" s="1" t="s">
        <v>74</v>
      </c>
      <c r="AL39" s="1" t="s">
        <v>74</v>
      </c>
      <c r="AM39" s="1" t="s">
        <v>74</v>
      </c>
      <c r="AN39" s="1" t="s">
        <v>74</v>
      </c>
      <c r="AO39" s="1" t="s">
        <v>492</v>
      </c>
      <c r="AP39" s="1" t="s">
        <v>493</v>
      </c>
      <c r="AQ39" s="1" t="s">
        <v>74</v>
      </c>
      <c r="AR39" s="1" t="s">
        <v>74</v>
      </c>
      <c r="AS39" s="1" t="s">
        <v>74</v>
      </c>
      <c r="AT39" s="1" t="s">
        <v>110</v>
      </c>
      <c r="AU39" s="1">
        <v>2015.0</v>
      </c>
      <c r="AV39" s="1">
        <v>85.0</v>
      </c>
      <c r="AW39" s="1">
        <v>3.0</v>
      </c>
      <c r="AX39" s="1" t="s">
        <v>74</v>
      </c>
      <c r="AY39" s="1" t="s">
        <v>74</v>
      </c>
      <c r="AZ39" s="1" t="s">
        <v>74</v>
      </c>
      <c r="BA39" s="1" t="s">
        <v>74</v>
      </c>
      <c r="BB39" s="1">
        <v>809.0</v>
      </c>
      <c r="BC39" s="1">
        <v>824.0</v>
      </c>
      <c r="BD39" s="1" t="s">
        <v>74</v>
      </c>
      <c r="BE39" s="1" t="s">
        <v>494</v>
      </c>
      <c r="BF39" s="2" t="str">
        <f>HYPERLINK("http://dx.doi.org/10.1007/s11277-015-2810-7","http://dx.doi.org/10.1007/s11277-015-2810-7")</f>
        <v>http://dx.doi.org/10.1007/s11277-015-2810-7</v>
      </c>
      <c r="BG39" s="1" t="s">
        <v>74</v>
      </c>
      <c r="BH39" s="1" t="s">
        <v>74</v>
      </c>
      <c r="BI39" s="1" t="s">
        <v>74</v>
      </c>
      <c r="BJ39" s="1" t="s">
        <v>74</v>
      </c>
      <c r="BK39" s="1" t="s">
        <v>74</v>
      </c>
      <c r="BL39" s="1" t="s">
        <v>74</v>
      </c>
      <c r="BM39" s="1" t="s">
        <v>74</v>
      </c>
      <c r="BN39" s="1" t="s">
        <v>74</v>
      </c>
      <c r="BO39" s="1" t="s">
        <v>74</v>
      </c>
      <c r="BP39" s="1" t="s">
        <v>74</v>
      </c>
      <c r="BQ39" s="1" t="s">
        <v>74</v>
      </c>
      <c r="BR39" s="1" t="s">
        <v>74</v>
      </c>
      <c r="BS39" s="1" t="s">
        <v>495</v>
      </c>
      <c r="BT39" s="1" t="str">
        <f>HYPERLINK("https%3A%2F%2Fwww.webofscience.com%2Fwos%2Fwoscc%2Ffull-record%2FWOS:000365217200014","View Full Record in Web of Science")</f>
        <v>View Full Record in Web of Science</v>
      </c>
    </row>
    <row r="40" ht="12.75" customHeight="1">
      <c r="A40" s="1" t="s">
        <v>72</v>
      </c>
      <c r="B40" s="1" t="s">
        <v>496</v>
      </c>
      <c r="C40" s="1" t="s">
        <v>74</v>
      </c>
      <c r="D40" s="1" t="s">
        <v>74</v>
      </c>
      <c r="E40" s="1" t="s">
        <v>74</v>
      </c>
      <c r="F40" s="1" t="s">
        <v>497</v>
      </c>
      <c r="G40" s="1" t="s">
        <v>74</v>
      </c>
      <c r="H40" s="1" t="s">
        <v>74</v>
      </c>
      <c r="I40" s="1" t="s">
        <v>498</v>
      </c>
      <c r="J40" s="1" t="s">
        <v>499</v>
      </c>
      <c r="K40" s="1" t="s">
        <v>74</v>
      </c>
      <c r="L40" s="1" t="s">
        <v>74</v>
      </c>
      <c r="M40" s="1" t="s">
        <v>74</v>
      </c>
      <c r="N40" s="1" t="s">
        <v>74</v>
      </c>
      <c r="O40" s="1" t="s">
        <v>74</v>
      </c>
      <c r="P40" s="1" t="s">
        <v>74</v>
      </c>
      <c r="Q40" s="1" t="s">
        <v>74</v>
      </c>
      <c r="R40" s="1" t="s">
        <v>74</v>
      </c>
      <c r="S40" s="1" t="s">
        <v>74</v>
      </c>
      <c r="T40" s="1" t="s">
        <v>74</v>
      </c>
      <c r="U40" s="1" t="s">
        <v>74</v>
      </c>
      <c r="V40" s="1" t="s">
        <v>500</v>
      </c>
      <c r="W40" s="1" t="s">
        <v>74</v>
      </c>
      <c r="X40" s="1" t="s">
        <v>74</v>
      </c>
      <c r="Y40" s="1" t="s">
        <v>74</v>
      </c>
      <c r="Z40" s="1" t="s">
        <v>74</v>
      </c>
      <c r="AA40" s="1" t="s">
        <v>501</v>
      </c>
      <c r="AB40" s="1" t="s">
        <v>502</v>
      </c>
      <c r="AC40" s="1" t="s">
        <v>74</v>
      </c>
      <c r="AD40" s="1" t="s">
        <v>74</v>
      </c>
      <c r="AE40" s="1" t="s">
        <v>74</v>
      </c>
      <c r="AF40" s="1" t="s">
        <v>74</v>
      </c>
      <c r="AG40" s="1" t="s">
        <v>74</v>
      </c>
      <c r="AH40" s="1" t="s">
        <v>74</v>
      </c>
      <c r="AI40" s="1" t="s">
        <v>74</v>
      </c>
      <c r="AJ40" s="1" t="s">
        <v>74</v>
      </c>
      <c r="AK40" s="1" t="s">
        <v>74</v>
      </c>
      <c r="AL40" s="1" t="s">
        <v>74</v>
      </c>
      <c r="AM40" s="1" t="s">
        <v>74</v>
      </c>
      <c r="AN40" s="1" t="s">
        <v>74</v>
      </c>
      <c r="AO40" s="1" t="s">
        <v>503</v>
      </c>
      <c r="AP40" s="1" t="s">
        <v>504</v>
      </c>
      <c r="AQ40" s="1" t="s">
        <v>74</v>
      </c>
      <c r="AR40" s="1" t="s">
        <v>74</v>
      </c>
      <c r="AS40" s="1" t="s">
        <v>74</v>
      </c>
      <c r="AT40" s="1" t="s">
        <v>310</v>
      </c>
      <c r="AU40" s="1">
        <v>2015.0</v>
      </c>
      <c r="AV40" s="1">
        <v>12.0</v>
      </c>
      <c r="AW40" s="1">
        <v>4.0</v>
      </c>
      <c r="AX40" s="1" t="s">
        <v>74</v>
      </c>
      <c r="AY40" s="1" t="s">
        <v>74</v>
      </c>
      <c r="AZ40" s="1" t="s">
        <v>74</v>
      </c>
      <c r="BA40" s="1" t="s">
        <v>74</v>
      </c>
      <c r="BB40" s="1" t="s">
        <v>74</v>
      </c>
      <c r="BC40" s="1" t="s">
        <v>74</v>
      </c>
      <c r="BD40" s="1">
        <v>46011.0</v>
      </c>
      <c r="BE40" s="1" t="s">
        <v>505</v>
      </c>
      <c r="BF40" s="2" t="str">
        <f>HYPERLINK("http://dx.doi.org/10.1088/1478-3975/12/4/046011","http://dx.doi.org/10.1088/1478-3975/12/4/046011")</f>
        <v>http://dx.doi.org/10.1088/1478-3975/12/4/046011</v>
      </c>
      <c r="BG40" s="1" t="s">
        <v>74</v>
      </c>
      <c r="BH40" s="1" t="s">
        <v>74</v>
      </c>
      <c r="BI40" s="1" t="s">
        <v>74</v>
      </c>
      <c r="BJ40" s="1" t="s">
        <v>74</v>
      </c>
      <c r="BK40" s="1" t="s">
        <v>74</v>
      </c>
      <c r="BL40" s="1" t="s">
        <v>74</v>
      </c>
      <c r="BM40" s="1" t="s">
        <v>74</v>
      </c>
      <c r="BN40" s="1">
        <v>2.6200136E7</v>
      </c>
      <c r="BO40" s="1" t="s">
        <v>74</v>
      </c>
      <c r="BP40" s="1" t="s">
        <v>74</v>
      </c>
      <c r="BQ40" s="1" t="s">
        <v>74</v>
      </c>
      <c r="BR40" s="1" t="s">
        <v>74</v>
      </c>
      <c r="BS40" s="1" t="s">
        <v>506</v>
      </c>
      <c r="BT40" s="1" t="str">
        <f>HYPERLINK("https%3A%2F%2Fwww.webofscience.com%2Fwos%2Fwoscc%2Ffull-record%2FWOS:000361837200019","View Full Record in Web of Science")</f>
        <v>View Full Record in Web of Science</v>
      </c>
    </row>
    <row r="41" ht="12.75" customHeight="1">
      <c r="A41" s="1" t="s">
        <v>251</v>
      </c>
      <c r="B41" s="1" t="s">
        <v>507</v>
      </c>
      <c r="C41" s="1" t="s">
        <v>74</v>
      </c>
      <c r="D41" s="1" t="s">
        <v>508</v>
      </c>
      <c r="E41" s="1" t="s">
        <v>74</v>
      </c>
      <c r="F41" s="1" t="s">
        <v>509</v>
      </c>
      <c r="G41" s="1" t="s">
        <v>74</v>
      </c>
      <c r="H41" s="1" t="s">
        <v>74</v>
      </c>
      <c r="I41" s="1" t="s">
        <v>510</v>
      </c>
      <c r="J41" s="1" t="s">
        <v>511</v>
      </c>
      <c r="K41" s="1" t="s">
        <v>512</v>
      </c>
      <c r="L41" s="1" t="s">
        <v>74</v>
      </c>
      <c r="M41" s="1" t="s">
        <v>74</v>
      </c>
      <c r="N41" s="1" t="s">
        <v>74</v>
      </c>
      <c r="O41" s="1" t="s">
        <v>513</v>
      </c>
      <c r="P41" s="1" t="s">
        <v>514</v>
      </c>
      <c r="Q41" s="1" t="s">
        <v>515</v>
      </c>
      <c r="R41" s="1" t="s">
        <v>74</v>
      </c>
      <c r="S41" s="1" t="s">
        <v>74</v>
      </c>
      <c r="T41" s="1" t="s">
        <v>74</v>
      </c>
      <c r="U41" s="1" t="s">
        <v>74</v>
      </c>
      <c r="V41" s="1" t="s">
        <v>516</v>
      </c>
      <c r="W41" s="1" t="s">
        <v>74</v>
      </c>
      <c r="X41" s="1" t="s">
        <v>74</v>
      </c>
      <c r="Y41" s="1" t="s">
        <v>74</v>
      </c>
      <c r="Z41" s="1" t="s">
        <v>74</v>
      </c>
      <c r="AA41" s="1" t="s">
        <v>517</v>
      </c>
      <c r="AB41" s="1" t="s">
        <v>518</v>
      </c>
      <c r="AC41" s="1" t="s">
        <v>74</v>
      </c>
      <c r="AD41" s="1" t="s">
        <v>74</v>
      </c>
      <c r="AE41" s="1" t="s">
        <v>74</v>
      </c>
      <c r="AF41" s="1" t="s">
        <v>74</v>
      </c>
      <c r="AG41" s="1" t="s">
        <v>74</v>
      </c>
      <c r="AH41" s="1" t="s">
        <v>74</v>
      </c>
      <c r="AI41" s="1" t="s">
        <v>74</v>
      </c>
      <c r="AJ41" s="1" t="s">
        <v>74</v>
      </c>
      <c r="AK41" s="1" t="s">
        <v>74</v>
      </c>
      <c r="AL41" s="1" t="s">
        <v>74</v>
      </c>
      <c r="AM41" s="1" t="s">
        <v>74</v>
      </c>
      <c r="AN41" s="1" t="s">
        <v>74</v>
      </c>
      <c r="AO41" s="1" t="s">
        <v>519</v>
      </c>
      <c r="AP41" s="1" t="s">
        <v>520</v>
      </c>
      <c r="AQ41" s="1" t="s">
        <v>521</v>
      </c>
      <c r="AR41" s="1" t="s">
        <v>74</v>
      </c>
      <c r="AS41" s="1" t="s">
        <v>74</v>
      </c>
      <c r="AT41" s="1" t="s">
        <v>74</v>
      </c>
      <c r="AU41" s="1">
        <v>2015.0</v>
      </c>
      <c r="AV41" s="1">
        <v>315.0</v>
      </c>
      <c r="AW41" s="1" t="s">
        <v>74</v>
      </c>
      <c r="AX41" s="1" t="s">
        <v>74</v>
      </c>
      <c r="AY41" s="1" t="s">
        <v>74</v>
      </c>
      <c r="AZ41" s="1" t="s">
        <v>74</v>
      </c>
      <c r="BA41" s="1" t="s">
        <v>74</v>
      </c>
      <c r="BB41" s="1">
        <v>3.0</v>
      </c>
      <c r="BC41" s="1">
        <v>14.0</v>
      </c>
      <c r="BD41" s="1" t="s">
        <v>74</v>
      </c>
      <c r="BE41" s="1" t="s">
        <v>522</v>
      </c>
      <c r="BF41" s="2" t="str">
        <f>HYPERLINK("http://dx.doi.org/10.1007/978-3-319-07674-4_1","http://dx.doi.org/10.1007/978-3-319-07674-4_1")</f>
        <v>http://dx.doi.org/10.1007/978-3-319-07674-4_1</v>
      </c>
      <c r="BG41" s="1" t="s">
        <v>74</v>
      </c>
      <c r="BH41" s="1" t="s">
        <v>74</v>
      </c>
      <c r="BI41" s="1" t="s">
        <v>74</v>
      </c>
      <c r="BJ41" s="1" t="s">
        <v>74</v>
      </c>
      <c r="BK41" s="1" t="s">
        <v>74</v>
      </c>
      <c r="BL41" s="1" t="s">
        <v>74</v>
      </c>
      <c r="BM41" s="1" t="s">
        <v>74</v>
      </c>
      <c r="BN41" s="1" t="s">
        <v>74</v>
      </c>
      <c r="BO41" s="1" t="s">
        <v>74</v>
      </c>
      <c r="BP41" s="1" t="s">
        <v>74</v>
      </c>
      <c r="BQ41" s="1" t="s">
        <v>74</v>
      </c>
      <c r="BR41" s="1" t="s">
        <v>74</v>
      </c>
      <c r="BS41" s="1" t="s">
        <v>523</v>
      </c>
      <c r="BT41" s="1" t="str">
        <f>HYPERLINK("https%3A%2F%2Fwww.webofscience.com%2Fwos%2Fwoscc%2Ffull-record%2FWOS:000357791500001","View Full Record in Web of Science")</f>
        <v>View Full Record in Web of Science</v>
      </c>
    </row>
    <row r="42" ht="12.75" customHeight="1">
      <c r="A42" s="1" t="s">
        <v>251</v>
      </c>
      <c r="B42" s="1" t="s">
        <v>524</v>
      </c>
      <c r="C42" s="1" t="s">
        <v>74</v>
      </c>
      <c r="D42" s="1" t="s">
        <v>525</v>
      </c>
      <c r="E42" s="1" t="s">
        <v>74</v>
      </c>
      <c r="F42" s="1" t="s">
        <v>526</v>
      </c>
      <c r="G42" s="1" t="s">
        <v>74</v>
      </c>
      <c r="H42" s="1" t="s">
        <v>74</v>
      </c>
      <c r="I42" s="1" t="s">
        <v>527</v>
      </c>
      <c r="J42" s="1" t="s">
        <v>528</v>
      </c>
      <c r="K42" s="1" t="s">
        <v>467</v>
      </c>
      <c r="L42" s="1" t="s">
        <v>74</v>
      </c>
      <c r="M42" s="1" t="s">
        <v>74</v>
      </c>
      <c r="N42" s="1" t="s">
        <v>74</v>
      </c>
      <c r="O42" s="1" t="s">
        <v>529</v>
      </c>
      <c r="P42" s="1" t="s">
        <v>530</v>
      </c>
      <c r="Q42" s="1" t="s">
        <v>531</v>
      </c>
      <c r="R42" s="1" t="s">
        <v>532</v>
      </c>
      <c r="S42" s="1" t="s">
        <v>533</v>
      </c>
      <c r="T42" s="1" t="s">
        <v>74</v>
      </c>
      <c r="U42" s="1" t="s">
        <v>74</v>
      </c>
      <c r="V42" s="1" t="s">
        <v>534</v>
      </c>
      <c r="W42" s="1" t="s">
        <v>74</v>
      </c>
      <c r="X42" s="1" t="s">
        <v>74</v>
      </c>
      <c r="Y42" s="1" t="s">
        <v>74</v>
      </c>
      <c r="Z42" s="1" t="s">
        <v>74</v>
      </c>
      <c r="AA42" s="1" t="s">
        <v>535</v>
      </c>
      <c r="AB42" s="1" t="s">
        <v>536</v>
      </c>
      <c r="AC42" s="1" t="s">
        <v>74</v>
      </c>
      <c r="AD42" s="1" t="s">
        <v>74</v>
      </c>
      <c r="AE42" s="1" t="s">
        <v>74</v>
      </c>
      <c r="AF42" s="1" t="s">
        <v>74</v>
      </c>
      <c r="AG42" s="1" t="s">
        <v>74</v>
      </c>
      <c r="AH42" s="1" t="s">
        <v>74</v>
      </c>
      <c r="AI42" s="1" t="s">
        <v>74</v>
      </c>
      <c r="AJ42" s="1" t="s">
        <v>74</v>
      </c>
      <c r="AK42" s="1" t="s">
        <v>74</v>
      </c>
      <c r="AL42" s="1" t="s">
        <v>74</v>
      </c>
      <c r="AM42" s="1" t="s">
        <v>74</v>
      </c>
      <c r="AN42" s="1" t="s">
        <v>74</v>
      </c>
      <c r="AO42" s="1" t="s">
        <v>475</v>
      </c>
      <c r="AP42" s="1" t="s">
        <v>74</v>
      </c>
      <c r="AQ42" s="1" t="s">
        <v>74</v>
      </c>
      <c r="AR42" s="1" t="s">
        <v>74</v>
      </c>
      <c r="AS42" s="1" t="s">
        <v>74</v>
      </c>
      <c r="AT42" s="1" t="s">
        <v>74</v>
      </c>
      <c r="AU42" s="1">
        <v>2014.0</v>
      </c>
      <c r="AV42" s="1">
        <v>31.0</v>
      </c>
      <c r="AW42" s="1" t="s">
        <v>74</v>
      </c>
      <c r="AX42" s="1" t="s">
        <v>74</v>
      </c>
      <c r="AY42" s="1" t="s">
        <v>74</v>
      </c>
      <c r="AZ42" s="1" t="s">
        <v>74</v>
      </c>
      <c r="BA42" s="1" t="s">
        <v>74</v>
      </c>
      <c r="BB42" s="1">
        <v>95.0</v>
      </c>
      <c r="BC42" s="1">
        <v>104.0</v>
      </c>
      <c r="BD42" s="1" t="s">
        <v>74</v>
      </c>
      <c r="BE42" s="1" t="s">
        <v>537</v>
      </c>
      <c r="BF42" s="2" t="str">
        <f>HYPERLINK("http://dx.doi.org/10.1016/j.procs.2014.05.249","http://dx.doi.org/10.1016/j.procs.2014.05.249")</f>
        <v>http://dx.doi.org/10.1016/j.procs.2014.05.249</v>
      </c>
      <c r="BG42" s="1" t="s">
        <v>74</v>
      </c>
      <c r="BH42" s="1" t="s">
        <v>74</v>
      </c>
      <c r="BI42" s="1" t="s">
        <v>74</v>
      </c>
      <c r="BJ42" s="1" t="s">
        <v>74</v>
      </c>
      <c r="BK42" s="1" t="s">
        <v>74</v>
      </c>
      <c r="BL42" s="1" t="s">
        <v>74</v>
      </c>
      <c r="BM42" s="1" t="s">
        <v>74</v>
      </c>
      <c r="BN42" s="1" t="s">
        <v>74</v>
      </c>
      <c r="BO42" s="1" t="s">
        <v>74</v>
      </c>
      <c r="BP42" s="1" t="s">
        <v>74</v>
      </c>
      <c r="BQ42" s="1" t="s">
        <v>74</v>
      </c>
      <c r="BR42" s="1" t="s">
        <v>74</v>
      </c>
      <c r="BS42" s="1" t="s">
        <v>538</v>
      </c>
      <c r="BT42" s="1" t="str">
        <f>HYPERLINK("https%3A%2F%2Fwww.webofscience.com%2Fwos%2Fwoscc%2Ffull-record%2FWOS:000360713800011","View Full Record in Web of Science")</f>
        <v>View Full Record in Web of Science</v>
      </c>
    </row>
    <row r="43" ht="12.75" customHeight="1">
      <c r="A43" s="1" t="s">
        <v>251</v>
      </c>
      <c r="B43" s="1" t="s">
        <v>539</v>
      </c>
      <c r="C43" s="1" t="s">
        <v>74</v>
      </c>
      <c r="D43" s="1" t="s">
        <v>74</v>
      </c>
      <c r="E43" s="1" t="s">
        <v>253</v>
      </c>
      <c r="F43" s="1" t="s">
        <v>540</v>
      </c>
      <c r="G43" s="1" t="s">
        <v>74</v>
      </c>
      <c r="H43" s="1" t="s">
        <v>74</v>
      </c>
      <c r="I43" s="1" t="s">
        <v>541</v>
      </c>
      <c r="J43" s="1" t="s">
        <v>542</v>
      </c>
      <c r="K43" s="1" t="s">
        <v>74</v>
      </c>
      <c r="L43" s="1" t="s">
        <v>74</v>
      </c>
      <c r="M43" s="1" t="s">
        <v>74</v>
      </c>
      <c r="N43" s="1" t="s">
        <v>74</v>
      </c>
      <c r="O43" s="1" t="s">
        <v>543</v>
      </c>
      <c r="P43" s="1" t="s">
        <v>544</v>
      </c>
      <c r="Q43" s="1" t="s">
        <v>545</v>
      </c>
      <c r="R43" s="1" t="s">
        <v>546</v>
      </c>
      <c r="S43" s="1" t="s">
        <v>74</v>
      </c>
      <c r="T43" s="1" t="s">
        <v>74</v>
      </c>
      <c r="U43" s="1" t="s">
        <v>74</v>
      </c>
      <c r="V43" s="1" t="s">
        <v>547</v>
      </c>
      <c r="W43" s="1" t="s">
        <v>74</v>
      </c>
      <c r="X43" s="1" t="s">
        <v>74</v>
      </c>
      <c r="Y43" s="1" t="s">
        <v>74</v>
      </c>
      <c r="Z43" s="1" t="s">
        <v>74</v>
      </c>
      <c r="AA43" s="1" t="s">
        <v>548</v>
      </c>
      <c r="AB43" s="1" t="s">
        <v>74</v>
      </c>
      <c r="AC43" s="1" t="s">
        <v>74</v>
      </c>
      <c r="AD43" s="1" t="s">
        <v>74</v>
      </c>
      <c r="AE43" s="1" t="s">
        <v>74</v>
      </c>
      <c r="AF43" s="1" t="s">
        <v>74</v>
      </c>
      <c r="AG43" s="1" t="s">
        <v>74</v>
      </c>
      <c r="AH43" s="1" t="s">
        <v>74</v>
      </c>
      <c r="AI43" s="1" t="s">
        <v>74</v>
      </c>
      <c r="AJ43" s="1" t="s">
        <v>74</v>
      </c>
      <c r="AK43" s="1" t="s">
        <v>74</v>
      </c>
      <c r="AL43" s="1" t="s">
        <v>74</v>
      </c>
      <c r="AM43" s="1" t="s">
        <v>74</v>
      </c>
      <c r="AN43" s="1" t="s">
        <v>74</v>
      </c>
      <c r="AO43" s="1" t="s">
        <v>74</v>
      </c>
      <c r="AP43" s="1" t="s">
        <v>74</v>
      </c>
      <c r="AQ43" s="1" t="s">
        <v>549</v>
      </c>
      <c r="AR43" s="1" t="s">
        <v>74</v>
      </c>
      <c r="AS43" s="1" t="s">
        <v>74</v>
      </c>
      <c r="AT43" s="1" t="s">
        <v>74</v>
      </c>
      <c r="AU43" s="1">
        <v>2014.0</v>
      </c>
      <c r="AV43" s="1" t="s">
        <v>74</v>
      </c>
      <c r="AW43" s="1" t="s">
        <v>74</v>
      </c>
      <c r="AX43" s="1" t="s">
        <v>74</v>
      </c>
      <c r="AY43" s="1" t="s">
        <v>74</v>
      </c>
      <c r="AZ43" s="1" t="s">
        <v>74</v>
      </c>
      <c r="BA43" s="1" t="s">
        <v>74</v>
      </c>
      <c r="BB43" s="1" t="s">
        <v>74</v>
      </c>
      <c r="BC43" s="1" t="s">
        <v>74</v>
      </c>
      <c r="BD43" s="1" t="s">
        <v>74</v>
      </c>
      <c r="BE43" s="1" t="s">
        <v>74</v>
      </c>
      <c r="BF43" s="1" t="s">
        <v>74</v>
      </c>
      <c r="BG43" s="1" t="s">
        <v>74</v>
      </c>
      <c r="BH43" s="1" t="s">
        <v>74</v>
      </c>
      <c r="BI43" s="1" t="s">
        <v>74</v>
      </c>
      <c r="BJ43" s="1" t="s">
        <v>74</v>
      </c>
      <c r="BK43" s="1" t="s">
        <v>74</v>
      </c>
      <c r="BL43" s="1" t="s">
        <v>74</v>
      </c>
      <c r="BM43" s="1" t="s">
        <v>74</v>
      </c>
      <c r="BN43" s="1" t="s">
        <v>74</v>
      </c>
      <c r="BO43" s="1" t="s">
        <v>74</v>
      </c>
      <c r="BP43" s="1" t="s">
        <v>74</v>
      </c>
      <c r="BQ43" s="1" t="s">
        <v>74</v>
      </c>
      <c r="BR43" s="1" t="s">
        <v>74</v>
      </c>
      <c r="BS43" s="1" t="s">
        <v>550</v>
      </c>
      <c r="BT43" s="1" t="str">
        <f>HYPERLINK("https%3A%2F%2Fwww.webofscience.com%2Fwos%2Fwoscc%2Ffull-record%2FWOS:000360288900102","View Full Record in Web of Science")</f>
        <v>View Full Record in Web of Science</v>
      </c>
    </row>
    <row r="44" ht="12.75" customHeight="1">
      <c r="A44" s="1" t="s">
        <v>72</v>
      </c>
      <c r="B44" s="1" t="s">
        <v>551</v>
      </c>
      <c r="C44" s="1" t="s">
        <v>74</v>
      </c>
      <c r="D44" s="1" t="s">
        <v>74</v>
      </c>
      <c r="E44" s="1" t="s">
        <v>74</v>
      </c>
      <c r="F44" s="1" t="s">
        <v>552</v>
      </c>
      <c r="G44" s="1" t="s">
        <v>74</v>
      </c>
      <c r="H44" s="1" t="s">
        <v>74</v>
      </c>
      <c r="I44" s="1" t="s">
        <v>553</v>
      </c>
      <c r="J44" s="1" t="s">
        <v>554</v>
      </c>
      <c r="K44" s="1" t="s">
        <v>74</v>
      </c>
      <c r="L44" s="1" t="s">
        <v>74</v>
      </c>
      <c r="M44" s="1" t="s">
        <v>74</v>
      </c>
      <c r="N44" s="1" t="s">
        <v>74</v>
      </c>
      <c r="O44" s="1" t="s">
        <v>74</v>
      </c>
      <c r="P44" s="1" t="s">
        <v>74</v>
      </c>
      <c r="Q44" s="1" t="s">
        <v>74</v>
      </c>
      <c r="R44" s="1" t="s">
        <v>74</v>
      </c>
      <c r="S44" s="1" t="s">
        <v>74</v>
      </c>
      <c r="T44" s="1" t="s">
        <v>74</v>
      </c>
      <c r="U44" s="1" t="s">
        <v>74</v>
      </c>
      <c r="V44" s="1" t="s">
        <v>555</v>
      </c>
      <c r="W44" s="1" t="s">
        <v>74</v>
      </c>
      <c r="X44" s="1" t="s">
        <v>74</v>
      </c>
      <c r="Y44" s="1" t="s">
        <v>74</v>
      </c>
      <c r="Z44" s="1" t="s">
        <v>74</v>
      </c>
      <c r="AA44" s="1" t="s">
        <v>556</v>
      </c>
      <c r="AB44" s="1" t="s">
        <v>557</v>
      </c>
      <c r="AC44" s="1" t="s">
        <v>74</v>
      </c>
      <c r="AD44" s="1" t="s">
        <v>74</v>
      </c>
      <c r="AE44" s="1" t="s">
        <v>74</v>
      </c>
      <c r="AF44" s="1" t="s">
        <v>74</v>
      </c>
      <c r="AG44" s="1" t="s">
        <v>74</v>
      </c>
      <c r="AH44" s="1" t="s">
        <v>74</v>
      </c>
      <c r="AI44" s="1" t="s">
        <v>74</v>
      </c>
      <c r="AJ44" s="1" t="s">
        <v>74</v>
      </c>
      <c r="AK44" s="1" t="s">
        <v>74</v>
      </c>
      <c r="AL44" s="1" t="s">
        <v>74</v>
      </c>
      <c r="AM44" s="1" t="s">
        <v>74</v>
      </c>
      <c r="AN44" s="1" t="s">
        <v>74</v>
      </c>
      <c r="AO44" s="1" t="s">
        <v>558</v>
      </c>
      <c r="AP44" s="1" t="s">
        <v>74</v>
      </c>
      <c r="AQ44" s="1" t="s">
        <v>74</v>
      </c>
      <c r="AR44" s="1" t="s">
        <v>74</v>
      </c>
      <c r="AS44" s="1" t="s">
        <v>74</v>
      </c>
      <c r="AT44" s="1" t="s">
        <v>74</v>
      </c>
      <c r="AU44" s="1">
        <v>2014.0</v>
      </c>
      <c r="AV44" s="1">
        <v>47.0</v>
      </c>
      <c r="AW44" s="1">
        <v>84.0</v>
      </c>
      <c r="AX44" s="1" t="s">
        <v>74</v>
      </c>
      <c r="AY44" s="1" t="s">
        <v>74</v>
      </c>
      <c r="AZ44" s="1" t="s">
        <v>74</v>
      </c>
      <c r="BA44" s="1" t="s">
        <v>74</v>
      </c>
      <c r="BB44" s="1">
        <v>21.0</v>
      </c>
      <c r="BC44" s="1">
        <v>39.0</v>
      </c>
      <c r="BD44" s="1" t="s">
        <v>74</v>
      </c>
      <c r="BE44" s="1" t="s">
        <v>559</v>
      </c>
      <c r="BF44" s="2" t="str">
        <f>HYPERLINK("http://dx.doi.org/10.4067/S0718-09342014000100002","http://dx.doi.org/10.4067/S0718-09342014000100002")</f>
        <v>http://dx.doi.org/10.4067/S0718-09342014000100002</v>
      </c>
      <c r="BG44" s="1" t="s">
        <v>74</v>
      </c>
      <c r="BH44" s="1" t="s">
        <v>74</v>
      </c>
      <c r="BI44" s="1" t="s">
        <v>74</v>
      </c>
      <c r="BJ44" s="1" t="s">
        <v>74</v>
      </c>
      <c r="BK44" s="1" t="s">
        <v>74</v>
      </c>
      <c r="BL44" s="1" t="s">
        <v>74</v>
      </c>
      <c r="BM44" s="1" t="s">
        <v>74</v>
      </c>
      <c r="BN44" s="1" t="s">
        <v>74</v>
      </c>
      <c r="BO44" s="1" t="s">
        <v>74</v>
      </c>
      <c r="BP44" s="1" t="s">
        <v>74</v>
      </c>
      <c r="BQ44" s="1" t="s">
        <v>74</v>
      </c>
      <c r="BR44" s="1" t="s">
        <v>74</v>
      </c>
      <c r="BS44" s="1" t="s">
        <v>560</v>
      </c>
      <c r="BT44" s="1" t="str">
        <f>HYPERLINK("https%3A%2F%2Fwww.webofscience.com%2Fwos%2Fwoscc%2Ffull-record%2FWOS:000348518100002","View Full Record in Web of Science")</f>
        <v>View Full Record in Web of Science</v>
      </c>
    </row>
    <row r="45" ht="12.75" customHeight="1">
      <c r="A45" s="1" t="s">
        <v>251</v>
      </c>
      <c r="B45" s="1" t="s">
        <v>561</v>
      </c>
      <c r="C45" s="1" t="s">
        <v>74</v>
      </c>
      <c r="D45" s="1" t="s">
        <v>562</v>
      </c>
      <c r="E45" s="1" t="s">
        <v>74</v>
      </c>
      <c r="F45" s="1" t="s">
        <v>563</v>
      </c>
      <c r="G45" s="1" t="s">
        <v>74</v>
      </c>
      <c r="H45" s="1" t="s">
        <v>74</v>
      </c>
      <c r="I45" s="1" t="s">
        <v>564</v>
      </c>
      <c r="J45" s="1" t="s">
        <v>565</v>
      </c>
      <c r="K45" s="1" t="s">
        <v>566</v>
      </c>
      <c r="L45" s="1" t="s">
        <v>74</v>
      </c>
      <c r="M45" s="1" t="s">
        <v>74</v>
      </c>
      <c r="N45" s="1" t="s">
        <v>74</v>
      </c>
      <c r="O45" s="1" t="s">
        <v>567</v>
      </c>
      <c r="P45" s="1" t="s">
        <v>568</v>
      </c>
      <c r="Q45" s="1" t="s">
        <v>569</v>
      </c>
      <c r="R45" s="1" t="s">
        <v>570</v>
      </c>
      <c r="S45" s="1" t="s">
        <v>74</v>
      </c>
      <c r="T45" s="1" t="s">
        <v>74</v>
      </c>
      <c r="U45" s="1" t="s">
        <v>74</v>
      </c>
      <c r="V45" s="1" t="s">
        <v>571</v>
      </c>
      <c r="W45" s="1" t="s">
        <v>74</v>
      </c>
      <c r="X45" s="1" t="s">
        <v>74</v>
      </c>
      <c r="Y45" s="1" t="s">
        <v>74</v>
      </c>
      <c r="Z45" s="1" t="s">
        <v>74</v>
      </c>
      <c r="AA45" s="1" t="s">
        <v>572</v>
      </c>
      <c r="AB45" s="1" t="s">
        <v>573</v>
      </c>
      <c r="AC45" s="1" t="s">
        <v>74</v>
      </c>
      <c r="AD45" s="1" t="s">
        <v>74</v>
      </c>
      <c r="AE45" s="1" t="s">
        <v>74</v>
      </c>
      <c r="AF45" s="1" t="s">
        <v>74</v>
      </c>
      <c r="AG45" s="1" t="s">
        <v>74</v>
      </c>
      <c r="AH45" s="1" t="s">
        <v>74</v>
      </c>
      <c r="AI45" s="1" t="s">
        <v>74</v>
      </c>
      <c r="AJ45" s="1" t="s">
        <v>74</v>
      </c>
      <c r="AK45" s="1" t="s">
        <v>74</v>
      </c>
      <c r="AL45" s="1" t="s">
        <v>74</v>
      </c>
      <c r="AM45" s="1" t="s">
        <v>74</v>
      </c>
      <c r="AN45" s="1" t="s">
        <v>74</v>
      </c>
      <c r="AO45" s="1" t="s">
        <v>574</v>
      </c>
      <c r="AP45" s="1" t="s">
        <v>74</v>
      </c>
      <c r="AQ45" s="1" t="s">
        <v>575</v>
      </c>
      <c r="AR45" s="1" t="s">
        <v>74</v>
      </c>
      <c r="AS45" s="1" t="s">
        <v>74</v>
      </c>
      <c r="AT45" s="1" t="s">
        <v>74</v>
      </c>
      <c r="AU45" s="1">
        <v>2014.0</v>
      </c>
      <c r="AV45" s="1">
        <v>472.0</v>
      </c>
      <c r="AW45" s="1" t="s">
        <v>74</v>
      </c>
      <c r="AX45" s="1" t="s">
        <v>74</v>
      </c>
      <c r="AY45" s="1" t="s">
        <v>74</v>
      </c>
      <c r="AZ45" s="1" t="s">
        <v>74</v>
      </c>
      <c r="BA45" s="1" t="s">
        <v>74</v>
      </c>
      <c r="BB45" s="1">
        <v>1027.0</v>
      </c>
      <c r="BC45" s="1" t="s">
        <v>576</v>
      </c>
      <c r="BD45" s="1" t="s">
        <v>74</v>
      </c>
      <c r="BE45" s="1" t="s">
        <v>577</v>
      </c>
      <c r="BF45" s="2" t="str">
        <f>HYPERLINK("http://dx.doi.org/10.4028/www.scientific.net/AMM.472.1027","http://dx.doi.org/10.4028/www.scientific.net/AMM.472.1027")</f>
        <v>http://dx.doi.org/10.4028/www.scientific.net/AMM.472.1027</v>
      </c>
      <c r="BG45" s="1" t="s">
        <v>74</v>
      </c>
      <c r="BH45" s="1" t="s">
        <v>74</v>
      </c>
      <c r="BI45" s="1" t="s">
        <v>74</v>
      </c>
      <c r="BJ45" s="1" t="s">
        <v>74</v>
      </c>
      <c r="BK45" s="1" t="s">
        <v>74</v>
      </c>
      <c r="BL45" s="1" t="s">
        <v>74</v>
      </c>
      <c r="BM45" s="1" t="s">
        <v>74</v>
      </c>
      <c r="BN45" s="1" t="s">
        <v>74</v>
      </c>
      <c r="BO45" s="1" t="s">
        <v>74</v>
      </c>
      <c r="BP45" s="1" t="s">
        <v>74</v>
      </c>
      <c r="BQ45" s="1" t="s">
        <v>74</v>
      </c>
      <c r="BR45" s="1" t="s">
        <v>74</v>
      </c>
      <c r="BS45" s="1" t="s">
        <v>578</v>
      </c>
      <c r="BT45" s="1" t="str">
        <f>HYPERLINK("https%3A%2F%2Fwww.webofscience.com%2Fwos%2Fwoscc%2Ffull-record%2FWOS:000335879800181","View Full Record in Web of Science")</f>
        <v>View Full Record in Web of Science</v>
      </c>
    </row>
    <row r="46" ht="12.75" customHeight="1">
      <c r="A46" s="1" t="s">
        <v>72</v>
      </c>
      <c r="B46" s="1" t="s">
        <v>579</v>
      </c>
      <c r="C46" s="1" t="s">
        <v>74</v>
      </c>
      <c r="D46" s="1" t="s">
        <v>74</v>
      </c>
      <c r="E46" s="1" t="s">
        <v>74</v>
      </c>
      <c r="F46" s="1" t="s">
        <v>580</v>
      </c>
      <c r="G46" s="1" t="s">
        <v>74</v>
      </c>
      <c r="H46" s="1" t="s">
        <v>74</v>
      </c>
      <c r="I46" s="1" t="s">
        <v>581</v>
      </c>
      <c r="J46" s="1" t="s">
        <v>582</v>
      </c>
      <c r="K46" s="1" t="s">
        <v>74</v>
      </c>
      <c r="L46" s="1" t="s">
        <v>74</v>
      </c>
      <c r="M46" s="1" t="s">
        <v>74</v>
      </c>
      <c r="N46" s="1" t="s">
        <v>74</v>
      </c>
      <c r="O46" s="1" t="s">
        <v>74</v>
      </c>
      <c r="P46" s="1" t="s">
        <v>74</v>
      </c>
      <c r="Q46" s="1" t="s">
        <v>74</v>
      </c>
      <c r="R46" s="1" t="s">
        <v>74</v>
      </c>
      <c r="S46" s="1" t="s">
        <v>74</v>
      </c>
      <c r="T46" s="1" t="s">
        <v>74</v>
      </c>
      <c r="U46" s="1" t="s">
        <v>74</v>
      </c>
      <c r="V46" s="1" t="s">
        <v>583</v>
      </c>
      <c r="W46" s="1" t="s">
        <v>74</v>
      </c>
      <c r="X46" s="1" t="s">
        <v>74</v>
      </c>
      <c r="Y46" s="1" t="s">
        <v>74</v>
      </c>
      <c r="Z46" s="1" t="s">
        <v>74</v>
      </c>
      <c r="AA46" s="1" t="s">
        <v>584</v>
      </c>
      <c r="AB46" s="1" t="s">
        <v>74</v>
      </c>
      <c r="AC46" s="1" t="s">
        <v>74</v>
      </c>
      <c r="AD46" s="1" t="s">
        <v>74</v>
      </c>
      <c r="AE46" s="1" t="s">
        <v>74</v>
      </c>
      <c r="AF46" s="1" t="s">
        <v>74</v>
      </c>
      <c r="AG46" s="1" t="s">
        <v>74</v>
      </c>
      <c r="AH46" s="1" t="s">
        <v>74</v>
      </c>
      <c r="AI46" s="1" t="s">
        <v>74</v>
      </c>
      <c r="AJ46" s="1" t="s">
        <v>74</v>
      </c>
      <c r="AK46" s="1" t="s">
        <v>74</v>
      </c>
      <c r="AL46" s="1" t="s">
        <v>74</v>
      </c>
      <c r="AM46" s="1" t="s">
        <v>74</v>
      </c>
      <c r="AN46" s="1" t="s">
        <v>74</v>
      </c>
      <c r="AO46" s="1" t="s">
        <v>585</v>
      </c>
      <c r="AP46" s="1" t="s">
        <v>74</v>
      </c>
      <c r="AQ46" s="1" t="s">
        <v>74</v>
      </c>
      <c r="AR46" s="1" t="s">
        <v>74</v>
      </c>
      <c r="AS46" s="1" t="s">
        <v>74</v>
      </c>
      <c r="AT46" s="1" t="s">
        <v>110</v>
      </c>
      <c r="AU46" s="1">
        <v>2013.0</v>
      </c>
      <c r="AV46" s="1">
        <v>58.0</v>
      </c>
      <c r="AW46" s="1">
        <v>4.0</v>
      </c>
      <c r="AX46" s="1" t="s">
        <v>74</v>
      </c>
      <c r="AY46" s="1" t="s">
        <v>74</v>
      </c>
      <c r="AZ46" s="1" t="s">
        <v>74</v>
      </c>
      <c r="BA46" s="1" t="s">
        <v>74</v>
      </c>
      <c r="BB46" s="1">
        <v>2061.0</v>
      </c>
      <c r="BC46" s="1">
        <v>2066.0</v>
      </c>
      <c r="BD46" s="1" t="s">
        <v>74</v>
      </c>
      <c r="BE46" s="1" t="s">
        <v>586</v>
      </c>
      <c r="BF46" s="2" t="str">
        <f>HYPERLINK("http://dx.doi.org/10.4067/S0717-97072013000400035","http://dx.doi.org/10.4067/S0717-97072013000400035")</f>
        <v>http://dx.doi.org/10.4067/S0717-97072013000400035</v>
      </c>
      <c r="BG46" s="1" t="s">
        <v>74</v>
      </c>
      <c r="BH46" s="1" t="s">
        <v>74</v>
      </c>
      <c r="BI46" s="1" t="s">
        <v>74</v>
      </c>
      <c r="BJ46" s="1" t="s">
        <v>74</v>
      </c>
      <c r="BK46" s="1" t="s">
        <v>74</v>
      </c>
      <c r="BL46" s="1" t="s">
        <v>74</v>
      </c>
      <c r="BM46" s="1" t="s">
        <v>74</v>
      </c>
      <c r="BN46" s="1" t="s">
        <v>74</v>
      </c>
      <c r="BO46" s="1" t="s">
        <v>74</v>
      </c>
      <c r="BP46" s="1" t="s">
        <v>74</v>
      </c>
      <c r="BQ46" s="1" t="s">
        <v>74</v>
      </c>
      <c r="BR46" s="1" t="s">
        <v>74</v>
      </c>
      <c r="BS46" s="1" t="s">
        <v>587</v>
      </c>
      <c r="BT46" s="1" t="str">
        <f>HYPERLINK("https%3A%2F%2Fwww.webofscience.com%2Fwos%2Fwoscc%2Ffull-record%2FWOS:000331238800031","View Full Record in Web of Science")</f>
        <v>View Full Record in Web of Science</v>
      </c>
    </row>
    <row r="47" ht="12.75" customHeight="1">
      <c r="A47" s="1" t="s">
        <v>72</v>
      </c>
      <c r="B47" s="1" t="s">
        <v>588</v>
      </c>
      <c r="C47" s="1" t="s">
        <v>74</v>
      </c>
      <c r="D47" s="1" t="s">
        <v>74</v>
      </c>
      <c r="E47" s="1" t="s">
        <v>74</v>
      </c>
      <c r="F47" s="1" t="s">
        <v>589</v>
      </c>
      <c r="G47" s="1" t="s">
        <v>74</v>
      </c>
      <c r="H47" s="1" t="s">
        <v>74</v>
      </c>
      <c r="I47" s="1" t="s">
        <v>590</v>
      </c>
      <c r="J47" s="1" t="s">
        <v>591</v>
      </c>
      <c r="K47" s="1" t="s">
        <v>74</v>
      </c>
      <c r="L47" s="1" t="s">
        <v>74</v>
      </c>
      <c r="M47" s="1" t="s">
        <v>74</v>
      </c>
      <c r="N47" s="1" t="s">
        <v>74</v>
      </c>
      <c r="O47" s="1" t="s">
        <v>74</v>
      </c>
      <c r="P47" s="1" t="s">
        <v>74</v>
      </c>
      <c r="Q47" s="1" t="s">
        <v>74</v>
      </c>
      <c r="R47" s="1" t="s">
        <v>74</v>
      </c>
      <c r="S47" s="1" t="s">
        <v>74</v>
      </c>
      <c r="T47" s="1" t="s">
        <v>74</v>
      </c>
      <c r="U47" s="1" t="s">
        <v>74</v>
      </c>
      <c r="V47" s="1" t="s">
        <v>592</v>
      </c>
      <c r="W47" s="1" t="s">
        <v>74</v>
      </c>
      <c r="X47" s="1" t="s">
        <v>74</v>
      </c>
      <c r="Y47" s="1" t="s">
        <v>74</v>
      </c>
      <c r="Z47" s="1" t="s">
        <v>74</v>
      </c>
      <c r="AA47" s="1" t="s">
        <v>593</v>
      </c>
      <c r="AB47" s="1" t="s">
        <v>594</v>
      </c>
      <c r="AC47" s="1" t="s">
        <v>74</v>
      </c>
      <c r="AD47" s="1" t="s">
        <v>74</v>
      </c>
      <c r="AE47" s="1" t="s">
        <v>74</v>
      </c>
      <c r="AF47" s="1" t="s">
        <v>74</v>
      </c>
      <c r="AG47" s="1" t="s">
        <v>74</v>
      </c>
      <c r="AH47" s="1" t="s">
        <v>74</v>
      </c>
      <c r="AI47" s="1" t="s">
        <v>74</v>
      </c>
      <c r="AJ47" s="1" t="s">
        <v>74</v>
      </c>
      <c r="AK47" s="1" t="s">
        <v>74</v>
      </c>
      <c r="AL47" s="1" t="s">
        <v>74</v>
      </c>
      <c r="AM47" s="1" t="s">
        <v>74</v>
      </c>
      <c r="AN47" s="1" t="s">
        <v>74</v>
      </c>
      <c r="AO47" s="1" t="s">
        <v>595</v>
      </c>
      <c r="AP47" s="1" t="s">
        <v>596</v>
      </c>
      <c r="AQ47" s="1" t="s">
        <v>74</v>
      </c>
      <c r="AR47" s="1" t="s">
        <v>74</v>
      </c>
      <c r="AS47" s="1" t="s">
        <v>74</v>
      </c>
      <c r="AT47" s="1" t="s">
        <v>123</v>
      </c>
      <c r="AU47" s="1">
        <v>2013.0</v>
      </c>
      <c r="AV47" s="1">
        <v>12.0</v>
      </c>
      <c r="AW47" s="1">
        <v>2.0</v>
      </c>
      <c r="AX47" s="1" t="s">
        <v>74</v>
      </c>
      <c r="AY47" s="1" t="s">
        <v>74</v>
      </c>
      <c r="AZ47" s="1" t="s">
        <v>74</v>
      </c>
      <c r="BA47" s="1" t="s">
        <v>74</v>
      </c>
      <c r="BB47" s="1">
        <v>427.0</v>
      </c>
      <c r="BC47" s="1">
        <v>441.0</v>
      </c>
      <c r="BD47" s="1" t="s">
        <v>74</v>
      </c>
      <c r="BE47" s="1" t="s">
        <v>597</v>
      </c>
      <c r="BF47" s="2" t="str">
        <f>HYPERLINK("http://dx.doi.org/10.1007/s12346-013-0102-8","http://dx.doi.org/10.1007/s12346-013-0102-8")</f>
        <v>http://dx.doi.org/10.1007/s12346-013-0102-8</v>
      </c>
      <c r="BG47" s="1" t="s">
        <v>74</v>
      </c>
      <c r="BH47" s="1" t="s">
        <v>74</v>
      </c>
      <c r="BI47" s="1" t="s">
        <v>74</v>
      </c>
      <c r="BJ47" s="1" t="s">
        <v>74</v>
      </c>
      <c r="BK47" s="1" t="s">
        <v>74</v>
      </c>
      <c r="BL47" s="1" t="s">
        <v>74</v>
      </c>
      <c r="BM47" s="1" t="s">
        <v>74</v>
      </c>
      <c r="BN47" s="1" t="s">
        <v>74</v>
      </c>
      <c r="BO47" s="1" t="s">
        <v>74</v>
      </c>
      <c r="BP47" s="1" t="s">
        <v>74</v>
      </c>
      <c r="BQ47" s="1" t="s">
        <v>74</v>
      </c>
      <c r="BR47" s="1" t="s">
        <v>74</v>
      </c>
      <c r="BS47" s="1" t="s">
        <v>598</v>
      </c>
      <c r="BT47" s="1" t="str">
        <f>HYPERLINK("https%3A%2F%2Fwww.webofscience.com%2Fwos%2Fwoscc%2Ffull-record%2FWOS:000330802200012","View Full Record in Web of Science")</f>
        <v>View Full Record in Web of Science</v>
      </c>
    </row>
    <row r="48" ht="12.75" customHeight="1">
      <c r="A48" s="1" t="s">
        <v>72</v>
      </c>
      <c r="B48" s="1" t="s">
        <v>599</v>
      </c>
      <c r="C48" s="1" t="s">
        <v>74</v>
      </c>
      <c r="D48" s="1" t="s">
        <v>74</v>
      </c>
      <c r="E48" s="1" t="s">
        <v>74</v>
      </c>
      <c r="F48" s="1" t="s">
        <v>600</v>
      </c>
      <c r="G48" s="1" t="s">
        <v>74</v>
      </c>
      <c r="H48" s="1" t="s">
        <v>74</v>
      </c>
      <c r="I48" s="1" t="s">
        <v>601</v>
      </c>
      <c r="J48" s="1" t="s">
        <v>602</v>
      </c>
      <c r="K48" s="1" t="s">
        <v>74</v>
      </c>
      <c r="L48" s="1" t="s">
        <v>74</v>
      </c>
      <c r="M48" s="1" t="s">
        <v>74</v>
      </c>
      <c r="N48" s="1" t="s">
        <v>74</v>
      </c>
      <c r="O48" s="1" t="s">
        <v>74</v>
      </c>
      <c r="P48" s="1" t="s">
        <v>74</v>
      </c>
      <c r="Q48" s="1" t="s">
        <v>74</v>
      </c>
      <c r="R48" s="1" t="s">
        <v>74</v>
      </c>
      <c r="S48" s="1" t="s">
        <v>74</v>
      </c>
      <c r="T48" s="1" t="s">
        <v>74</v>
      </c>
      <c r="U48" s="1" t="s">
        <v>74</v>
      </c>
      <c r="V48" s="1" t="s">
        <v>603</v>
      </c>
      <c r="W48" s="1" t="s">
        <v>74</v>
      </c>
      <c r="X48" s="1" t="s">
        <v>74</v>
      </c>
      <c r="Y48" s="1" t="s">
        <v>74</v>
      </c>
      <c r="Z48" s="1" t="s">
        <v>74</v>
      </c>
      <c r="AA48" s="1" t="s">
        <v>74</v>
      </c>
      <c r="AB48" s="1" t="s">
        <v>604</v>
      </c>
      <c r="AC48" s="1" t="s">
        <v>74</v>
      </c>
      <c r="AD48" s="1" t="s">
        <v>74</v>
      </c>
      <c r="AE48" s="1" t="s">
        <v>74</v>
      </c>
      <c r="AF48" s="1" t="s">
        <v>74</v>
      </c>
      <c r="AG48" s="1" t="s">
        <v>74</v>
      </c>
      <c r="AH48" s="1" t="s">
        <v>74</v>
      </c>
      <c r="AI48" s="1" t="s">
        <v>74</v>
      </c>
      <c r="AJ48" s="1" t="s">
        <v>74</v>
      </c>
      <c r="AK48" s="1" t="s">
        <v>74</v>
      </c>
      <c r="AL48" s="1" t="s">
        <v>74</v>
      </c>
      <c r="AM48" s="1" t="s">
        <v>74</v>
      </c>
      <c r="AN48" s="1" t="s">
        <v>74</v>
      </c>
      <c r="AO48" s="1" t="s">
        <v>605</v>
      </c>
      <c r="AP48" s="1" t="s">
        <v>606</v>
      </c>
      <c r="AQ48" s="1" t="s">
        <v>74</v>
      </c>
      <c r="AR48" s="1" t="s">
        <v>74</v>
      </c>
      <c r="AS48" s="1" t="s">
        <v>74</v>
      </c>
      <c r="AT48" s="1" t="s">
        <v>110</v>
      </c>
      <c r="AU48" s="1">
        <v>2012.0</v>
      </c>
      <c r="AV48" s="1" t="s">
        <v>74</v>
      </c>
      <c r="AW48" s="1">
        <v>35.0</v>
      </c>
      <c r="AX48" s="1" t="s">
        <v>74</v>
      </c>
      <c r="AY48" s="1" t="s">
        <v>74</v>
      </c>
      <c r="AZ48" s="1" t="s">
        <v>74</v>
      </c>
      <c r="BA48" s="1" t="s">
        <v>74</v>
      </c>
      <c r="BB48" s="1">
        <v>9.0</v>
      </c>
      <c r="BC48" s="1">
        <v>22.0</v>
      </c>
      <c r="BD48" s="1" t="s">
        <v>74</v>
      </c>
      <c r="BE48" s="1" t="s">
        <v>607</v>
      </c>
      <c r="BF48" s="2" t="str">
        <f>HYPERLINK("http://dx.doi.org/10.4067/S0718-22012012000200002","http://dx.doi.org/10.4067/S0718-22012012000200002")</f>
        <v>http://dx.doi.org/10.4067/S0718-22012012000200002</v>
      </c>
      <c r="BG48" s="1" t="s">
        <v>74</v>
      </c>
      <c r="BH48" s="1" t="s">
        <v>74</v>
      </c>
      <c r="BI48" s="1" t="s">
        <v>74</v>
      </c>
      <c r="BJ48" s="1" t="s">
        <v>74</v>
      </c>
      <c r="BK48" s="1" t="s">
        <v>74</v>
      </c>
      <c r="BL48" s="1" t="s">
        <v>74</v>
      </c>
      <c r="BM48" s="1" t="s">
        <v>74</v>
      </c>
      <c r="BN48" s="1" t="s">
        <v>74</v>
      </c>
      <c r="BO48" s="1" t="s">
        <v>74</v>
      </c>
      <c r="BP48" s="1" t="s">
        <v>74</v>
      </c>
      <c r="BQ48" s="1" t="s">
        <v>74</v>
      </c>
      <c r="BR48" s="1" t="s">
        <v>74</v>
      </c>
      <c r="BS48" s="1" t="s">
        <v>608</v>
      </c>
      <c r="BT48" s="1" t="str">
        <f>HYPERLINK("https%3A%2F%2Fwww.webofscience.com%2Fwos%2Fwoscc%2Ffull-record%2FWOS:000326735800002","View Full Record in Web of Science")</f>
        <v>View Full Record in Web of Science</v>
      </c>
    </row>
    <row r="49" ht="12.75" customHeight="1">
      <c r="A49" s="1" t="s">
        <v>72</v>
      </c>
      <c r="B49" s="1" t="s">
        <v>609</v>
      </c>
      <c r="C49" s="1" t="s">
        <v>74</v>
      </c>
      <c r="D49" s="1" t="s">
        <v>74</v>
      </c>
      <c r="E49" s="1" t="s">
        <v>74</v>
      </c>
      <c r="F49" s="1" t="s">
        <v>610</v>
      </c>
      <c r="G49" s="1" t="s">
        <v>74</v>
      </c>
      <c r="H49" s="1" t="s">
        <v>74</v>
      </c>
      <c r="I49" s="1" t="s">
        <v>611</v>
      </c>
      <c r="J49" s="1" t="s">
        <v>612</v>
      </c>
      <c r="K49" s="1" t="s">
        <v>74</v>
      </c>
      <c r="L49" s="1" t="s">
        <v>74</v>
      </c>
      <c r="M49" s="1" t="s">
        <v>74</v>
      </c>
      <c r="N49" s="1" t="s">
        <v>74</v>
      </c>
      <c r="O49" s="1" t="s">
        <v>74</v>
      </c>
      <c r="P49" s="1" t="s">
        <v>74</v>
      </c>
      <c r="Q49" s="1" t="s">
        <v>74</v>
      </c>
      <c r="R49" s="1" t="s">
        <v>74</v>
      </c>
      <c r="S49" s="1" t="s">
        <v>74</v>
      </c>
      <c r="T49" s="1" t="s">
        <v>74</v>
      </c>
      <c r="U49" s="1" t="s">
        <v>74</v>
      </c>
      <c r="V49" s="1" t="s">
        <v>613</v>
      </c>
      <c r="W49" s="1" t="s">
        <v>74</v>
      </c>
      <c r="X49" s="1" t="s">
        <v>74</v>
      </c>
      <c r="Y49" s="1" t="s">
        <v>74</v>
      </c>
      <c r="Z49" s="1" t="s">
        <v>74</v>
      </c>
      <c r="AA49" s="1" t="s">
        <v>74</v>
      </c>
      <c r="AB49" s="1" t="s">
        <v>614</v>
      </c>
      <c r="AC49" s="1" t="s">
        <v>74</v>
      </c>
      <c r="AD49" s="1" t="s">
        <v>74</v>
      </c>
      <c r="AE49" s="1" t="s">
        <v>74</v>
      </c>
      <c r="AF49" s="1" t="s">
        <v>74</v>
      </c>
      <c r="AG49" s="1" t="s">
        <v>74</v>
      </c>
      <c r="AH49" s="1" t="s">
        <v>74</v>
      </c>
      <c r="AI49" s="1" t="s">
        <v>74</v>
      </c>
      <c r="AJ49" s="1" t="s">
        <v>74</v>
      </c>
      <c r="AK49" s="1" t="s">
        <v>74</v>
      </c>
      <c r="AL49" s="1" t="s">
        <v>74</v>
      </c>
      <c r="AM49" s="1" t="s">
        <v>74</v>
      </c>
      <c r="AN49" s="1" t="s">
        <v>74</v>
      </c>
      <c r="AO49" s="1" t="s">
        <v>615</v>
      </c>
      <c r="AP49" s="1" t="s">
        <v>616</v>
      </c>
      <c r="AQ49" s="1" t="s">
        <v>74</v>
      </c>
      <c r="AR49" s="1" t="s">
        <v>74</v>
      </c>
      <c r="AS49" s="1" t="s">
        <v>74</v>
      </c>
      <c r="AT49" s="1" t="s">
        <v>123</v>
      </c>
      <c r="AU49" s="1">
        <v>2012.0</v>
      </c>
      <c r="AV49" s="1">
        <v>32.0</v>
      </c>
      <c r="AW49" s="1" t="s">
        <v>74</v>
      </c>
      <c r="AX49" s="1">
        <v>5.0</v>
      </c>
      <c r="AY49" s="1" t="s">
        <v>74</v>
      </c>
      <c r="AZ49" s="1" t="s">
        <v>74</v>
      </c>
      <c r="BA49" s="1" t="s">
        <v>74</v>
      </c>
      <c r="BB49" s="1">
        <v>1501.0</v>
      </c>
      <c r="BC49" s="1">
        <v>1526.0</v>
      </c>
      <c r="BD49" s="1" t="s">
        <v>74</v>
      </c>
      <c r="BE49" s="1" t="s">
        <v>617</v>
      </c>
      <c r="BF49" s="2" t="str">
        <f>HYPERLINK("http://dx.doi.org/10.1017/S0143385711000435","http://dx.doi.org/10.1017/S0143385711000435")</f>
        <v>http://dx.doi.org/10.1017/S0143385711000435</v>
      </c>
      <c r="BG49" s="1" t="s">
        <v>74</v>
      </c>
      <c r="BH49" s="1" t="s">
        <v>74</v>
      </c>
      <c r="BI49" s="1" t="s">
        <v>74</v>
      </c>
      <c r="BJ49" s="1" t="s">
        <v>74</v>
      </c>
      <c r="BK49" s="1" t="s">
        <v>74</v>
      </c>
      <c r="BL49" s="1" t="s">
        <v>74</v>
      </c>
      <c r="BM49" s="1" t="s">
        <v>74</v>
      </c>
      <c r="BN49" s="1" t="s">
        <v>74</v>
      </c>
      <c r="BO49" s="1" t="s">
        <v>74</v>
      </c>
      <c r="BP49" s="1" t="s">
        <v>74</v>
      </c>
      <c r="BQ49" s="1" t="s">
        <v>74</v>
      </c>
      <c r="BR49" s="1" t="s">
        <v>74</v>
      </c>
      <c r="BS49" s="1" t="s">
        <v>618</v>
      </c>
      <c r="BT49" s="1" t="str">
        <f>HYPERLINK("https%3A%2F%2Fwww.webofscience.com%2Fwos%2Fwoscc%2Ffull-record%2FWOS:000308364200002","View Full Record in Web of Science")</f>
        <v>View Full Record in Web of Science</v>
      </c>
    </row>
    <row r="50" ht="12.75" customHeight="1">
      <c r="A50" s="1" t="s">
        <v>72</v>
      </c>
      <c r="B50" s="1" t="s">
        <v>619</v>
      </c>
      <c r="C50" s="1" t="s">
        <v>74</v>
      </c>
      <c r="D50" s="1" t="s">
        <v>74</v>
      </c>
      <c r="E50" s="1" t="s">
        <v>74</v>
      </c>
      <c r="F50" s="1" t="s">
        <v>620</v>
      </c>
      <c r="G50" s="1" t="s">
        <v>74</v>
      </c>
      <c r="H50" s="1" t="s">
        <v>74</v>
      </c>
      <c r="I50" s="1" t="s">
        <v>621</v>
      </c>
      <c r="J50" s="1" t="s">
        <v>622</v>
      </c>
      <c r="K50" s="1" t="s">
        <v>74</v>
      </c>
      <c r="L50" s="1" t="s">
        <v>74</v>
      </c>
      <c r="M50" s="1" t="s">
        <v>74</v>
      </c>
      <c r="N50" s="1" t="s">
        <v>74</v>
      </c>
      <c r="O50" s="1" t="s">
        <v>74</v>
      </c>
      <c r="P50" s="1" t="s">
        <v>74</v>
      </c>
      <c r="Q50" s="1" t="s">
        <v>74</v>
      </c>
      <c r="R50" s="1" t="s">
        <v>74</v>
      </c>
      <c r="S50" s="1" t="s">
        <v>74</v>
      </c>
      <c r="T50" s="1" t="s">
        <v>74</v>
      </c>
      <c r="U50" s="1" t="s">
        <v>74</v>
      </c>
      <c r="V50" s="1" t="s">
        <v>623</v>
      </c>
      <c r="W50" s="1" t="s">
        <v>74</v>
      </c>
      <c r="X50" s="1" t="s">
        <v>74</v>
      </c>
      <c r="Y50" s="1" t="s">
        <v>74</v>
      </c>
      <c r="Z50" s="1" t="s">
        <v>74</v>
      </c>
      <c r="AA50" s="1" t="s">
        <v>624</v>
      </c>
      <c r="AB50" s="1" t="s">
        <v>625</v>
      </c>
      <c r="AC50" s="1" t="s">
        <v>74</v>
      </c>
      <c r="AD50" s="1" t="s">
        <v>74</v>
      </c>
      <c r="AE50" s="1" t="s">
        <v>74</v>
      </c>
      <c r="AF50" s="1" t="s">
        <v>74</v>
      </c>
      <c r="AG50" s="1" t="s">
        <v>74</v>
      </c>
      <c r="AH50" s="1" t="s">
        <v>74</v>
      </c>
      <c r="AI50" s="1" t="s">
        <v>74</v>
      </c>
      <c r="AJ50" s="1" t="s">
        <v>74</v>
      </c>
      <c r="AK50" s="1" t="s">
        <v>74</v>
      </c>
      <c r="AL50" s="1" t="s">
        <v>74</v>
      </c>
      <c r="AM50" s="1" t="s">
        <v>74</v>
      </c>
      <c r="AN50" s="1" t="s">
        <v>74</v>
      </c>
      <c r="AO50" s="1" t="s">
        <v>626</v>
      </c>
      <c r="AP50" s="1" t="s">
        <v>74</v>
      </c>
      <c r="AQ50" s="1" t="s">
        <v>74</v>
      </c>
      <c r="AR50" s="1" t="s">
        <v>74</v>
      </c>
      <c r="AS50" s="1" t="s">
        <v>74</v>
      </c>
      <c r="AT50" s="1" t="s">
        <v>627</v>
      </c>
      <c r="AU50" s="1">
        <v>2012.0</v>
      </c>
      <c r="AV50" s="1">
        <v>28.0</v>
      </c>
      <c r="AW50" s="1">
        <v>25.0</v>
      </c>
      <c r="AX50" s="1" t="s">
        <v>74</v>
      </c>
      <c r="AY50" s="1" t="s">
        <v>74</v>
      </c>
      <c r="AZ50" s="1" t="s">
        <v>74</v>
      </c>
      <c r="BA50" s="1" t="s">
        <v>74</v>
      </c>
      <c r="BB50" s="1">
        <v>9506.0</v>
      </c>
      <c r="BC50" s="1">
        <v>9514.0</v>
      </c>
      <c r="BD50" s="1" t="s">
        <v>74</v>
      </c>
      <c r="BE50" s="1" t="s">
        <v>628</v>
      </c>
      <c r="BF50" s="2" t="str">
        <f>HYPERLINK("http://dx.doi.org/10.1021/la3011053","http://dx.doi.org/10.1021/la3011053")</f>
        <v>http://dx.doi.org/10.1021/la3011053</v>
      </c>
      <c r="BG50" s="1" t="s">
        <v>74</v>
      </c>
      <c r="BH50" s="1" t="s">
        <v>74</v>
      </c>
      <c r="BI50" s="1" t="s">
        <v>74</v>
      </c>
      <c r="BJ50" s="1" t="s">
        <v>74</v>
      </c>
      <c r="BK50" s="1" t="s">
        <v>74</v>
      </c>
      <c r="BL50" s="1" t="s">
        <v>74</v>
      </c>
      <c r="BM50" s="1" t="s">
        <v>74</v>
      </c>
      <c r="BN50" s="1">
        <v>2.2607055E7</v>
      </c>
      <c r="BO50" s="1" t="s">
        <v>74</v>
      </c>
      <c r="BP50" s="1" t="s">
        <v>74</v>
      </c>
      <c r="BQ50" s="1" t="s">
        <v>74</v>
      </c>
      <c r="BR50" s="1" t="s">
        <v>74</v>
      </c>
      <c r="BS50" s="1" t="s">
        <v>629</v>
      </c>
      <c r="BT50" s="1" t="str">
        <f>HYPERLINK("https%3A%2F%2Fwww.webofscience.com%2Fwos%2Fwoscc%2Ffull-record%2FWOS:000305661400040","View Full Record in Web of Science")</f>
        <v>View Full Record in Web of Science</v>
      </c>
    </row>
    <row r="51" ht="12.75" customHeight="1">
      <c r="A51" s="1" t="s">
        <v>72</v>
      </c>
      <c r="B51" s="1" t="s">
        <v>630</v>
      </c>
      <c r="C51" s="1" t="s">
        <v>74</v>
      </c>
      <c r="D51" s="1" t="s">
        <v>74</v>
      </c>
      <c r="E51" s="1" t="s">
        <v>74</v>
      </c>
      <c r="F51" s="1" t="s">
        <v>631</v>
      </c>
      <c r="G51" s="1" t="s">
        <v>74</v>
      </c>
      <c r="H51" s="1" t="s">
        <v>74</v>
      </c>
      <c r="I51" s="1" t="s">
        <v>632</v>
      </c>
      <c r="J51" s="1" t="s">
        <v>633</v>
      </c>
      <c r="K51" s="1" t="s">
        <v>74</v>
      </c>
      <c r="L51" s="1" t="s">
        <v>74</v>
      </c>
      <c r="M51" s="1" t="s">
        <v>74</v>
      </c>
      <c r="N51" s="1" t="s">
        <v>74</v>
      </c>
      <c r="O51" s="1" t="s">
        <v>74</v>
      </c>
      <c r="P51" s="1" t="s">
        <v>74</v>
      </c>
      <c r="Q51" s="1" t="s">
        <v>74</v>
      </c>
      <c r="R51" s="1" t="s">
        <v>74</v>
      </c>
      <c r="S51" s="1" t="s">
        <v>74</v>
      </c>
      <c r="T51" s="1" t="s">
        <v>74</v>
      </c>
      <c r="U51" s="1" t="s">
        <v>74</v>
      </c>
      <c r="V51" s="1" t="s">
        <v>634</v>
      </c>
      <c r="W51" s="1" t="s">
        <v>74</v>
      </c>
      <c r="X51" s="1" t="s">
        <v>74</v>
      </c>
      <c r="Y51" s="1" t="s">
        <v>74</v>
      </c>
      <c r="Z51" s="1" t="s">
        <v>74</v>
      </c>
      <c r="AA51" s="1" t="s">
        <v>635</v>
      </c>
      <c r="AB51" s="1" t="s">
        <v>636</v>
      </c>
      <c r="AC51" s="1" t="s">
        <v>74</v>
      </c>
      <c r="AD51" s="1" t="s">
        <v>74</v>
      </c>
      <c r="AE51" s="1" t="s">
        <v>74</v>
      </c>
      <c r="AF51" s="1" t="s">
        <v>74</v>
      </c>
      <c r="AG51" s="1" t="s">
        <v>74</v>
      </c>
      <c r="AH51" s="1" t="s">
        <v>74</v>
      </c>
      <c r="AI51" s="1" t="s">
        <v>74</v>
      </c>
      <c r="AJ51" s="1" t="s">
        <v>74</v>
      </c>
      <c r="AK51" s="1" t="s">
        <v>74</v>
      </c>
      <c r="AL51" s="1" t="s">
        <v>74</v>
      </c>
      <c r="AM51" s="1" t="s">
        <v>74</v>
      </c>
      <c r="AN51" s="1" t="s">
        <v>74</v>
      </c>
      <c r="AO51" s="1" t="s">
        <v>637</v>
      </c>
      <c r="AP51" s="1" t="s">
        <v>638</v>
      </c>
      <c r="AQ51" s="1" t="s">
        <v>74</v>
      </c>
      <c r="AR51" s="1" t="s">
        <v>74</v>
      </c>
      <c r="AS51" s="1" t="s">
        <v>74</v>
      </c>
      <c r="AT51" s="1" t="s">
        <v>88</v>
      </c>
      <c r="AU51" s="1">
        <v>2012.0</v>
      </c>
      <c r="AV51" s="1">
        <v>234.0</v>
      </c>
      <c r="AW51" s="1">
        <v>4.0</v>
      </c>
      <c r="AX51" s="1" t="s">
        <v>74</v>
      </c>
      <c r="AY51" s="1" t="s">
        <v>74</v>
      </c>
      <c r="AZ51" s="1" t="s">
        <v>74</v>
      </c>
      <c r="BA51" s="1" t="s">
        <v>74</v>
      </c>
      <c r="BB51" s="1">
        <v>713.0</v>
      </c>
      <c r="BC51" s="1">
        <v>722.0</v>
      </c>
      <c r="BD51" s="1" t="s">
        <v>74</v>
      </c>
      <c r="BE51" s="1" t="s">
        <v>639</v>
      </c>
      <c r="BF51" s="2" t="str">
        <f>HYPERLINK("http://dx.doi.org/10.1007/s00217-012-1683-1","http://dx.doi.org/10.1007/s00217-012-1683-1")</f>
        <v>http://dx.doi.org/10.1007/s00217-012-1683-1</v>
      </c>
      <c r="BG51" s="1" t="s">
        <v>74</v>
      </c>
      <c r="BH51" s="1" t="s">
        <v>74</v>
      </c>
      <c r="BI51" s="1" t="s">
        <v>74</v>
      </c>
      <c r="BJ51" s="1" t="s">
        <v>74</v>
      </c>
      <c r="BK51" s="1" t="s">
        <v>74</v>
      </c>
      <c r="BL51" s="1" t="s">
        <v>74</v>
      </c>
      <c r="BM51" s="1" t="s">
        <v>74</v>
      </c>
      <c r="BN51" s="1" t="s">
        <v>74</v>
      </c>
      <c r="BO51" s="1" t="s">
        <v>74</v>
      </c>
      <c r="BP51" s="1" t="s">
        <v>74</v>
      </c>
      <c r="BQ51" s="1" t="s">
        <v>74</v>
      </c>
      <c r="BR51" s="1" t="s">
        <v>74</v>
      </c>
      <c r="BS51" s="1" t="s">
        <v>640</v>
      </c>
      <c r="BT51" s="1" t="str">
        <f>HYPERLINK("https%3A%2F%2Fwww.webofscience.com%2Fwos%2Fwoscc%2Ffull-record%2FWOS:000301638500017","View Full Record in Web of Science")</f>
        <v>View Full Record in Web of Science</v>
      </c>
    </row>
    <row r="52" ht="12.75" customHeight="1">
      <c r="A52" s="1" t="s">
        <v>72</v>
      </c>
      <c r="B52" s="1" t="s">
        <v>641</v>
      </c>
      <c r="C52" s="1" t="s">
        <v>74</v>
      </c>
      <c r="D52" s="1" t="s">
        <v>74</v>
      </c>
      <c r="E52" s="1" t="s">
        <v>74</v>
      </c>
      <c r="F52" s="1" t="s">
        <v>642</v>
      </c>
      <c r="G52" s="1" t="s">
        <v>74</v>
      </c>
      <c r="H52" s="1" t="s">
        <v>74</v>
      </c>
      <c r="I52" s="1" t="s">
        <v>643</v>
      </c>
      <c r="J52" s="1" t="s">
        <v>644</v>
      </c>
      <c r="K52" s="1" t="s">
        <v>74</v>
      </c>
      <c r="L52" s="1" t="s">
        <v>74</v>
      </c>
      <c r="M52" s="1" t="s">
        <v>74</v>
      </c>
      <c r="N52" s="1" t="s">
        <v>74</v>
      </c>
      <c r="O52" s="1" t="s">
        <v>74</v>
      </c>
      <c r="P52" s="1" t="s">
        <v>74</v>
      </c>
      <c r="Q52" s="1" t="s">
        <v>74</v>
      </c>
      <c r="R52" s="1" t="s">
        <v>74</v>
      </c>
      <c r="S52" s="1" t="s">
        <v>74</v>
      </c>
      <c r="T52" s="1" t="s">
        <v>74</v>
      </c>
      <c r="U52" s="1" t="s">
        <v>74</v>
      </c>
      <c r="V52" s="1" t="s">
        <v>645</v>
      </c>
      <c r="W52" s="1" t="s">
        <v>74</v>
      </c>
      <c r="X52" s="1" t="s">
        <v>74</v>
      </c>
      <c r="Y52" s="1" t="s">
        <v>74</v>
      </c>
      <c r="Z52" s="1" t="s">
        <v>74</v>
      </c>
      <c r="AA52" s="1" t="s">
        <v>646</v>
      </c>
      <c r="AB52" s="1" t="s">
        <v>647</v>
      </c>
      <c r="AC52" s="1" t="s">
        <v>74</v>
      </c>
      <c r="AD52" s="1" t="s">
        <v>74</v>
      </c>
      <c r="AE52" s="1" t="s">
        <v>74</v>
      </c>
      <c r="AF52" s="1" t="s">
        <v>74</v>
      </c>
      <c r="AG52" s="1" t="s">
        <v>74</v>
      </c>
      <c r="AH52" s="1" t="s">
        <v>74</v>
      </c>
      <c r="AI52" s="1" t="s">
        <v>74</v>
      </c>
      <c r="AJ52" s="1" t="s">
        <v>74</v>
      </c>
      <c r="AK52" s="1" t="s">
        <v>74</v>
      </c>
      <c r="AL52" s="1" t="s">
        <v>74</v>
      </c>
      <c r="AM52" s="1" t="s">
        <v>74</v>
      </c>
      <c r="AN52" s="1" t="s">
        <v>74</v>
      </c>
      <c r="AO52" s="1" t="s">
        <v>648</v>
      </c>
      <c r="AP52" s="1" t="s">
        <v>649</v>
      </c>
      <c r="AQ52" s="1" t="s">
        <v>74</v>
      </c>
      <c r="AR52" s="1" t="s">
        <v>74</v>
      </c>
      <c r="AS52" s="1" t="s">
        <v>74</v>
      </c>
      <c r="AT52" s="1" t="s">
        <v>650</v>
      </c>
      <c r="AU52" s="1">
        <v>2012.0</v>
      </c>
      <c r="AV52" s="1">
        <v>93.0</v>
      </c>
      <c r="AW52" s="1">
        <v>5.0</v>
      </c>
      <c r="AX52" s="1" t="s">
        <v>74</v>
      </c>
      <c r="AY52" s="1" t="s">
        <v>74</v>
      </c>
      <c r="AZ52" s="1" t="s">
        <v>74</v>
      </c>
      <c r="BA52" s="1" t="s">
        <v>74</v>
      </c>
      <c r="BB52" s="1">
        <v>2091.0</v>
      </c>
      <c r="BC52" s="1">
        <v>2098.0</v>
      </c>
      <c r="BD52" s="1" t="s">
        <v>74</v>
      </c>
      <c r="BE52" s="1" t="s">
        <v>651</v>
      </c>
      <c r="BF52" s="2" t="str">
        <f>HYPERLINK("http://dx.doi.org/10.1007/s00253-012-3917-3","http://dx.doi.org/10.1007/s00253-012-3917-3")</f>
        <v>http://dx.doi.org/10.1007/s00253-012-3917-3</v>
      </c>
      <c r="BG52" s="1" t="s">
        <v>74</v>
      </c>
      <c r="BH52" s="1" t="s">
        <v>74</v>
      </c>
      <c r="BI52" s="1" t="s">
        <v>74</v>
      </c>
      <c r="BJ52" s="1" t="s">
        <v>74</v>
      </c>
      <c r="BK52" s="1" t="s">
        <v>74</v>
      </c>
      <c r="BL52" s="1" t="s">
        <v>74</v>
      </c>
      <c r="BM52" s="1" t="s">
        <v>74</v>
      </c>
      <c r="BN52" s="1">
        <v>2.2307501E7</v>
      </c>
      <c r="BO52" s="1" t="s">
        <v>74</v>
      </c>
      <c r="BP52" s="1" t="s">
        <v>74</v>
      </c>
      <c r="BQ52" s="1" t="s">
        <v>74</v>
      </c>
      <c r="BR52" s="1" t="s">
        <v>74</v>
      </c>
      <c r="BS52" s="1" t="s">
        <v>652</v>
      </c>
      <c r="BT52" s="1" t="str">
        <f>HYPERLINK("https%3A%2F%2Fwww.webofscience.com%2Fwos%2Fwoscc%2Ffull-record%2FWOS:000300657900027","View Full Record in Web of Science")</f>
        <v>View Full Record in Web of Science</v>
      </c>
    </row>
    <row r="53" ht="12.75" customHeight="1">
      <c r="A53" s="1" t="s">
        <v>72</v>
      </c>
      <c r="B53" s="1" t="s">
        <v>653</v>
      </c>
      <c r="C53" s="1" t="s">
        <v>74</v>
      </c>
      <c r="D53" s="1" t="s">
        <v>74</v>
      </c>
      <c r="E53" s="1" t="s">
        <v>74</v>
      </c>
      <c r="F53" s="1" t="s">
        <v>654</v>
      </c>
      <c r="G53" s="1" t="s">
        <v>74</v>
      </c>
      <c r="H53" s="1" t="s">
        <v>74</v>
      </c>
      <c r="I53" s="1" t="s">
        <v>655</v>
      </c>
      <c r="J53" s="1" t="s">
        <v>656</v>
      </c>
      <c r="K53" s="1" t="s">
        <v>74</v>
      </c>
      <c r="L53" s="1" t="s">
        <v>74</v>
      </c>
      <c r="M53" s="1" t="s">
        <v>74</v>
      </c>
      <c r="N53" s="1" t="s">
        <v>74</v>
      </c>
      <c r="O53" s="1" t="s">
        <v>74</v>
      </c>
      <c r="P53" s="1" t="s">
        <v>74</v>
      </c>
      <c r="Q53" s="1" t="s">
        <v>74</v>
      </c>
      <c r="R53" s="1" t="s">
        <v>74</v>
      </c>
      <c r="S53" s="1" t="s">
        <v>74</v>
      </c>
      <c r="T53" s="1" t="s">
        <v>74</v>
      </c>
      <c r="U53" s="1" t="s">
        <v>74</v>
      </c>
      <c r="V53" s="1" t="s">
        <v>657</v>
      </c>
      <c r="W53" s="1" t="s">
        <v>74</v>
      </c>
      <c r="X53" s="1" t="s">
        <v>74</v>
      </c>
      <c r="Y53" s="1" t="s">
        <v>74</v>
      </c>
      <c r="Z53" s="1" t="s">
        <v>74</v>
      </c>
      <c r="AA53" s="1" t="s">
        <v>658</v>
      </c>
      <c r="AB53" s="1" t="s">
        <v>659</v>
      </c>
      <c r="AC53" s="1" t="s">
        <v>74</v>
      </c>
      <c r="AD53" s="1" t="s">
        <v>74</v>
      </c>
      <c r="AE53" s="1" t="s">
        <v>74</v>
      </c>
      <c r="AF53" s="1" t="s">
        <v>74</v>
      </c>
      <c r="AG53" s="1" t="s">
        <v>74</v>
      </c>
      <c r="AH53" s="1" t="s">
        <v>74</v>
      </c>
      <c r="AI53" s="1" t="s">
        <v>74</v>
      </c>
      <c r="AJ53" s="1" t="s">
        <v>74</v>
      </c>
      <c r="AK53" s="1" t="s">
        <v>74</v>
      </c>
      <c r="AL53" s="1" t="s">
        <v>74</v>
      </c>
      <c r="AM53" s="1" t="s">
        <v>74</v>
      </c>
      <c r="AN53" s="1" t="s">
        <v>74</v>
      </c>
      <c r="AO53" s="1" t="s">
        <v>660</v>
      </c>
      <c r="AP53" s="1" t="s">
        <v>661</v>
      </c>
      <c r="AQ53" s="1" t="s">
        <v>74</v>
      </c>
      <c r="AR53" s="1" t="s">
        <v>74</v>
      </c>
      <c r="AS53" s="1" t="s">
        <v>74</v>
      </c>
      <c r="AT53" s="1" t="s">
        <v>169</v>
      </c>
      <c r="AU53" s="1">
        <v>2012.0</v>
      </c>
      <c r="AV53" s="1">
        <v>21.0</v>
      </c>
      <c r="AW53" s="1">
        <v>1.0</v>
      </c>
      <c r="AX53" s="1" t="s">
        <v>74</v>
      </c>
      <c r="AY53" s="1" t="s">
        <v>74</v>
      </c>
      <c r="AZ53" s="1" t="s">
        <v>74</v>
      </c>
      <c r="BA53" s="1" t="s">
        <v>74</v>
      </c>
      <c r="BB53" s="1" t="s">
        <v>74</v>
      </c>
      <c r="BC53" s="1" t="s">
        <v>74</v>
      </c>
      <c r="BD53" s="1">
        <v>1250007.0</v>
      </c>
      <c r="BE53" s="1" t="s">
        <v>662</v>
      </c>
      <c r="BF53" s="2" t="str">
        <f>HYPERLINK("http://dx.doi.org/10.1142/S0218271812500071","http://dx.doi.org/10.1142/S0218271812500071")</f>
        <v>http://dx.doi.org/10.1142/S0218271812500071</v>
      </c>
      <c r="BG53" s="1" t="s">
        <v>74</v>
      </c>
      <c r="BH53" s="1" t="s">
        <v>74</v>
      </c>
      <c r="BI53" s="1" t="s">
        <v>74</v>
      </c>
      <c r="BJ53" s="1" t="s">
        <v>74</v>
      </c>
      <c r="BK53" s="1" t="s">
        <v>74</v>
      </c>
      <c r="BL53" s="1" t="s">
        <v>74</v>
      </c>
      <c r="BM53" s="1" t="s">
        <v>74</v>
      </c>
      <c r="BN53" s="1" t="s">
        <v>74</v>
      </c>
      <c r="BO53" s="1" t="s">
        <v>74</v>
      </c>
      <c r="BP53" s="1" t="s">
        <v>74</v>
      </c>
      <c r="BQ53" s="1" t="s">
        <v>74</v>
      </c>
      <c r="BR53" s="1" t="s">
        <v>74</v>
      </c>
      <c r="BS53" s="1" t="s">
        <v>663</v>
      </c>
      <c r="BT53" s="1" t="str">
        <f>HYPERLINK("https%3A%2F%2Fwww.webofscience.com%2Fwos%2Fwoscc%2Ffull-record%2FWOS:000300934200007","View Full Record in Web of Science")</f>
        <v>View Full Record in Web of Science</v>
      </c>
    </row>
    <row r="54" ht="12.75" customHeight="1">
      <c r="A54" s="1" t="s">
        <v>251</v>
      </c>
      <c r="B54" s="1" t="s">
        <v>664</v>
      </c>
      <c r="C54" s="1" t="s">
        <v>74</v>
      </c>
      <c r="D54" s="1" t="s">
        <v>665</v>
      </c>
      <c r="E54" s="1" t="s">
        <v>74</v>
      </c>
      <c r="F54" s="1" t="s">
        <v>666</v>
      </c>
      <c r="G54" s="1" t="s">
        <v>74</v>
      </c>
      <c r="H54" s="1" t="s">
        <v>74</v>
      </c>
      <c r="I54" s="1" t="s">
        <v>667</v>
      </c>
      <c r="J54" s="1" t="s">
        <v>668</v>
      </c>
      <c r="K54" s="1" t="s">
        <v>669</v>
      </c>
      <c r="L54" s="1" t="s">
        <v>74</v>
      </c>
      <c r="M54" s="1" t="s">
        <v>74</v>
      </c>
      <c r="N54" s="1" t="s">
        <v>74</v>
      </c>
      <c r="O54" s="1" t="s">
        <v>670</v>
      </c>
      <c r="P54" s="1" t="s">
        <v>671</v>
      </c>
      <c r="Q54" s="1" t="s">
        <v>672</v>
      </c>
      <c r="R54" s="1" t="s">
        <v>673</v>
      </c>
      <c r="S54" s="1" t="s">
        <v>74</v>
      </c>
      <c r="T54" s="1" t="s">
        <v>74</v>
      </c>
      <c r="U54" s="1" t="s">
        <v>74</v>
      </c>
      <c r="V54" s="1" t="s">
        <v>674</v>
      </c>
      <c r="W54" s="1" t="s">
        <v>74</v>
      </c>
      <c r="X54" s="1" t="s">
        <v>74</v>
      </c>
      <c r="Y54" s="1" t="s">
        <v>74</v>
      </c>
      <c r="Z54" s="1" t="s">
        <v>74</v>
      </c>
      <c r="AA54" s="1" t="s">
        <v>74</v>
      </c>
      <c r="AB54" s="1" t="s">
        <v>74</v>
      </c>
      <c r="AC54" s="1" t="s">
        <v>74</v>
      </c>
      <c r="AD54" s="1" t="s">
        <v>74</v>
      </c>
      <c r="AE54" s="1" t="s">
        <v>74</v>
      </c>
      <c r="AF54" s="1" t="s">
        <v>74</v>
      </c>
      <c r="AG54" s="1" t="s">
        <v>74</v>
      </c>
      <c r="AH54" s="1" t="s">
        <v>74</v>
      </c>
      <c r="AI54" s="1" t="s">
        <v>74</v>
      </c>
      <c r="AJ54" s="1" t="s">
        <v>74</v>
      </c>
      <c r="AK54" s="1" t="s">
        <v>74</v>
      </c>
      <c r="AL54" s="1" t="s">
        <v>74</v>
      </c>
      <c r="AM54" s="1" t="s">
        <v>74</v>
      </c>
      <c r="AN54" s="1" t="s">
        <v>74</v>
      </c>
      <c r="AO54" s="1" t="s">
        <v>675</v>
      </c>
      <c r="AP54" s="1" t="s">
        <v>676</v>
      </c>
      <c r="AQ54" s="1" t="s">
        <v>677</v>
      </c>
      <c r="AR54" s="1" t="s">
        <v>74</v>
      </c>
      <c r="AS54" s="1" t="s">
        <v>74</v>
      </c>
      <c r="AT54" s="1" t="s">
        <v>74</v>
      </c>
      <c r="AU54" s="1">
        <v>2011.0</v>
      </c>
      <c r="AV54" s="1">
        <v>7042.0</v>
      </c>
      <c r="AW54" s="1" t="s">
        <v>74</v>
      </c>
      <c r="AX54" s="1" t="s">
        <v>74</v>
      </c>
      <c r="AY54" s="1" t="s">
        <v>74</v>
      </c>
      <c r="AZ54" s="1" t="s">
        <v>74</v>
      </c>
      <c r="BA54" s="1" t="s">
        <v>74</v>
      </c>
      <c r="BB54" s="1">
        <v>630.0</v>
      </c>
      <c r="BC54" s="1" t="s">
        <v>576</v>
      </c>
      <c r="BD54" s="1" t="s">
        <v>74</v>
      </c>
      <c r="BE54" s="1" t="s">
        <v>74</v>
      </c>
      <c r="BF54" s="1" t="s">
        <v>74</v>
      </c>
      <c r="BG54" s="1" t="s">
        <v>74</v>
      </c>
      <c r="BH54" s="1" t="s">
        <v>74</v>
      </c>
      <c r="BI54" s="1" t="s">
        <v>74</v>
      </c>
      <c r="BJ54" s="1" t="s">
        <v>74</v>
      </c>
      <c r="BK54" s="1" t="s">
        <v>74</v>
      </c>
      <c r="BL54" s="1" t="s">
        <v>74</v>
      </c>
      <c r="BM54" s="1" t="s">
        <v>74</v>
      </c>
      <c r="BN54" s="1" t="s">
        <v>74</v>
      </c>
      <c r="BO54" s="1" t="s">
        <v>74</v>
      </c>
      <c r="BP54" s="1" t="s">
        <v>74</v>
      </c>
      <c r="BQ54" s="1" t="s">
        <v>74</v>
      </c>
      <c r="BR54" s="1" t="s">
        <v>74</v>
      </c>
      <c r="BS54" s="1" t="s">
        <v>678</v>
      </c>
      <c r="BT54" s="1" t="str">
        <f>HYPERLINK("https%3A%2F%2Fwww.webofscience.com%2Fwos%2Fwoscc%2Ffull-record%2FWOS:000307257600075","View Full Record in Web of Science")</f>
        <v>View Full Record in Web of Science</v>
      </c>
    </row>
    <row r="55" ht="12.75" customHeight="1">
      <c r="A55" s="1" t="s">
        <v>72</v>
      </c>
      <c r="B55" s="1" t="s">
        <v>679</v>
      </c>
      <c r="C55" s="1" t="s">
        <v>74</v>
      </c>
      <c r="D55" s="1" t="s">
        <v>74</v>
      </c>
      <c r="E55" s="1" t="s">
        <v>74</v>
      </c>
      <c r="F55" s="1" t="s">
        <v>680</v>
      </c>
      <c r="G55" s="1" t="s">
        <v>74</v>
      </c>
      <c r="H55" s="1" t="s">
        <v>74</v>
      </c>
      <c r="I55" s="1" t="s">
        <v>681</v>
      </c>
      <c r="J55" s="1" t="s">
        <v>682</v>
      </c>
      <c r="K55" s="1" t="s">
        <v>74</v>
      </c>
      <c r="L55" s="1" t="s">
        <v>74</v>
      </c>
      <c r="M55" s="1" t="s">
        <v>74</v>
      </c>
      <c r="N55" s="1" t="s">
        <v>74</v>
      </c>
      <c r="O55" s="1" t="s">
        <v>74</v>
      </c>
      <c r="P55" s="1" t="s">
        <v>74</v>
      </c>
      <c r="Q55" s="1" t="s">
        <v>74</v>
      </c>
      <c r="R55" s="1" t="s">
        <v>74</v>
      </c>
      <c r="S55" s="1" t="s">
        <v>74</v>
      </c>
      <c r="T55" s="1" t="s">
        <v>74</v>
      </c>
      <c r="U55" s="1" t="s">
        <v>74</v>
      </c>
      <c r="V55" s="1" t="s">
        <v>683</v>
      </c>
      <c r="W55" s="1" t="s">
        <v>74</v>
      </c>
      <c r="X55" s="1" t="s">
        <v>74</v>
      </c>
      <c r="Y55" s="1" t="s">
        <v>74</v>
      </c>
      <c r="Z55" s="1" t="s">
        <v>74</v>
      </c>
      <c r="AA55" s="1" t="s">
        <v>74</v>
      </c>
      <c r="AB55" s="1" t="s">
        <v>74</v>
      </c>
      <c r="AC55" s="1" t="s">
        <v>74</v>
      </c>
      <c r="AD55" s="1" t="s">
        <v>74</v>
      </c>
      <c r="AE55" s="1" t="s">
        <v>74</v>
      </c>
      <c r="AF55" s="1" t="s">
        <v>74</v>
      </c>
      <c r="AG55" s="1" t="s">
        <v>74</v>
      </c>
      <c r="AH55" s="1" t="s">
        <v>74</v>
      </c>
      <c r="AI55" s="1" t="s">
        <v>74</v>
      </c>
      <c r="AJ55" s="1" t="s">
        <v>74</v>
      </c>
      <c r="AK55" s="1" t="s">
        <v>74</v>
      </c>
      <c r="AL55" s="1" t="s">
        <v>74</v>
      </c>
      <c r="AM55" s="1" t="s">
        <v>74</v>
      </c>
      <c r="AN55" s="1" t="s">
        <v>74</v>
      </c>
      <c r="AO55" s="1" t="s">
        <v>684</v>
      </c>
      <c r="AP55" s="1" t="s">
        <v>74</v>
      </c>
      <c r="AQ55" s="1" t="s">
        <v>74</v>
      </c>
      <c r="AR55" s="1" t="s">
        <v>74</v>
      </c>
      <c r="AS55" s="1" t="s">
        <v>74</v>
      </c>
      <c r="AT55" s="1" t="s">
        <v>110</v>
      </c>
      <c r="AU55" s="1">
        <v>2010.0</v>
      </c>
      <c r="AV55" s="1">
        <v>28.0</v>
      </c>
      <c r="AW55" s="1">
        <v>2.0</v>
      </c>
      <c r="AX55" s="1" t="s">
        <v>74</v>
      </c>
      <c r="AY55" s="1" t="s">
        <v>74</v>
      </c>
      <c r="AZ55" s="1" t="s">
        <v>411</v>
      </c>
      <c r="BA55" s="1" t="s">
        <v>74</v>
      </c>
      <c r="BB55" s="1">
        <v>169.0</v>
      </c>
      <c r="BC55" s="1">
        <v>177.0</v>
      </c>
      <c r="BD55" s="1" t="s">
        <v>74</v>
      </c>
      <c r="BE55" s="1" t="s">
        <v>74</v>
      </c>
      <c r="BF55" s="1" t="s">
        <v>74</v>
      </c>
      <c r="BG55" s="1" t="s">
        <v>74</v>
      </c>
      <c r="BH55" s="1" t="s">
        <v>74</v>
      </c>
      <c r="BI55" s="1" t="s">
        <v>74</v>
      </c>
      <c r="BJ55" s="1" t="s">
        <v>74</v>
      </c>
      <c r="BK55" s="1" t="s">
        <v>74</v>
      </c>
      <c r="BL55" s="1" t="s">
        <v>74</v>
      </c>
      <c r="BM55" s="1" t="s">
        <v>74</v>
      </c>
      <c r="BN55" s="1" t="s">
        <v>74</v>
      </c>
      <c r="BO55" s="1" t="s">
        <v>74</v>
      </c>
      <c r="BP55" s="1" t="s">
        <v>74</v>
      </c>
      <c r="BQ55" s="1" t="s">
        <v>74</v>
      </c>
      <c r="BR55" s="1" t="s">
        <v>74</v>
      </c>
      <c r="BS55" s="1" t="s">
        <v>685</v>
      </c>
      <c r="BT55" s="1" t="str">
        <f>HYPERLINK("https%3A%2F%2Fwww.webofscience.com%2Fwos%2Fwoscc%2Ffull-record%2FWOS:000293210700005","View Full Record in Web of Science")</f>
        <v>View Full Record in Web of Science</v>
      </c>
    </row>
    <row r="56" ht="12.75" customHeight="1">
      <c r="A56" s="1" t="s">
        <v>72</v>
      </c>
      <c r="B56" s="1" t="s">
        <v>686</v>
      </c>
      <c r="C56" s="1" t="s">
        <v>74</v>
      </c>
      <c r="D56" s="1" t="s">
        <v>74</v>
      </c>
      <c r="E56" s="1" t="s">
        <v>74</v>
      </c>
      <c r="F56" s="1" t="s">
        <v>687</v>
      </c>
      <c r="G56" s="1" t="s">
        <v>74</v>
      </c>
      <c r="H56" s="1" t="s">
        <v>74</v>
      </c>
      <c r="I56" s="1" t="s">
        <v>688</v>
      </c>
      <c r="J56" s="1" t="s">
        <v>689</v>
      </c>
      <c r="K56" s="1" t="s">
        <v>74</v>
      </c>
      <c r="L56" s="1" t="s">
        <v>74</v>
      </c>
      <c r="M56" s="1" t="s">
        <v>74</v>
      </c>
      <c r="N56" s="1" t="s">
        <v>74</v>
      </c>
      <c r="O56" s="1" t="s">
        <v>74</v>
      </c>
      <c r="P56" s="1" t="s">
        <v>74</v>
      </c>
      <c r="Q56" s="1" t="s">
        <v>74</v>
      </c>
      <c r="R56" s="1" t="s">
        <v>74</v>
      </c>
      <c r="S56" s="1" t="s">
        <v>74</v>
      </c>
      <c r="T56" s="1" t="s">
        <v>74</v>
      </c>
      <c r="U56" s="1" t="s">
        <v>74</v>
      </c>
      <c r="V56" s="1" t="s">
        <v>690</v>
      </c>
      <c r="W56" s="1" t="s">
        <v>74</v>
      </c>
      <c r="X56" s="1" t="s">
        <v>74</v>
      </c>
      <c r="Y56" s="1" t="s">
        <v>74</v>
      </c>
      <c r="Z56" s="1" t="s">
        <v>74</v>
      </c>
      <c r="AA56" s="1" t="s">
        <v>691</v>
      </c>
      <c r="AB56" s="1" t="s">
        <v>74</v>
      </c>
      <c r="AC56" s="1" t="s">
        <v>74</v>
      </c>
      <c r="AD56" s="1" t="s">
        <v>74</v>
      </c>
      <c r="AE56" s="1" t="s">
        <v>74</v>
      </c>
      <c r="AF56" s="1" t="s">
        <v>74</v>
      </c>
      <c r="AG56" s="1" t="s">
        <v>74</v>
      </c>
      <c r="AH56" s="1" t="s">
        <v>74</v>
      </c>
      <c r="AI56" s="1" t="s">
        <v>74</v>
      </c>
      <c r="AJ56" s="1" t="s">
        <v>74</v>
      </c>
      <c r="AK56" s="1" t="s">
        <v>74</v>
      </c>
      <c r="AL56" s="1" t="s">
        <v>74</v>
      </c>
      <c r="AM56" s="1" t="s">
        <v>74</v>
      </c>
      <c r="AN56" s="1" t="s">
        <v>74</v>
      </c>
      <c r="AO56" s="1" t="s">
        <v>692</v>
      </c>
      <c r="AP56" s="1" t="s">
        <v>693</v>
      </c>
      <c r="AQ56" s="1" t="s">
        <v>74</v>
      </c>
      <c r="AR56" s="1" t="s">
        <v>74</v>
      </c>
      <c r="AS56" s="1" t="s">
        <v>74</v>
      </c>
      <c r="AT56" s="1" t="s">
        <v>694</v>
      </c>
      <c r="AU56" s="1">
        <v>2008.0</v>
      </c>
      <c r="AV56" s="1">
        <v>343.0</v>
      </c>
      <c r="AW56" s="1">
        <v>2.0</v>
      </c>
      <c r="AX56" s="1" t="s">
        <v>74</v>
      </c>
      <c r="AY56" s="1" t="s">
        <v>74</v>
      </c>
      <c r="AZ56" s="1" t="s">
        <v>74</v>
      </c>
      <c r="BA56" s="1" t="s">
        <v>74</v>
      </c>
      <c r="BB56" s="1">
        <v>1119.0</v>
      </c>
      <c r="BC56" s="1">
        <v>1130.0</v>
      </c>
      <c r="BD56" s="1" t="s">
        <v>74</v>
      </c>
      <c r="BE56" s="1" t="s">
        <v>695</v>
      </c>
      <c r="BF56" s="2" t="str">
        <f>HYPERLINK("http://dx.doi.org/10.1016/j.jmaa.2008.02.023","http://dx.doi.org/10.1016/j.jmaa.2008.02.023")</f>
        <v>http://dx.doi.org/10.1016/j.jmaa.2008.02.023</v>
      </c>
      <c r="BG56" s="1" t="s">
        <v>74</v>
      </c>
      <c r="BH56" s="1" t="s">
        <v>74</v>
      </c>
      <c r="BI56" s="1" t="s">
        <v>74</v>
      </c>
      <c r="BJ56" s="1" t="s">
        <v>74</v>
      </c>
      <c r="BK56" s="1" t="s">
        <v>74</v>
      </c>
      <c r="BL56" s="1" t="s">
        <v>74</v>
      </c>
      <c r="BM56" s="1" t="s">
        <v>74</v>
      </c>
      <c r="BN56" s="1" t="s">
        <v>74</v>
      </c>
      <c r="BO56" s="1" t="s">
        <v>74</v>
      </c>
      <c r="BP56" s="1" t="s">
        <v>74</v>
      </c>
      <c r="BQ56" s="1" t="s">
        <v>74</v>
      </c>
      <c r="BR56" s="1" t="s">
        <v>74</v>
      </c>
      <c r="BS56" s="1" t="s">
        <v>696</v>
      </c>
      <c r="BT56" s="1" t="str">
        <f>HYPERLINK("https%3A%2F%2Fwww.webofscience.com%2Fwos%2Fwoscc%2Ffull-record%2FWOS:000256041400046","View Full Record in Web of Science")</f>
        <v>View Full Record in Web of Science</v>
      </c>
    </row>
    <row r="57" ht="12.75" customHeight="1">
      <c r="A57" s="1" t="s">
        <v>251</v>
      </c>
      <c r="B57" s="1" t="s">
        <v>697</v>
      </c>
      <c r="C57" s="1" t="s">
        <v>74</v>
      </c>
      <c r="D57" s="1" t="s">
        <v>698</v>
      </c>
      <c r="E57" s="1" t="s">
        <v>74</v>
      </c>
      <c r="F57" s="1" t="s">
        <v>699</v>
      </c>
      <c r="G57" s="1" t="s">
        <v>74</v>
      </c>
      <c r="H57" s="1" t="s">
        <v>74</v>
      </c>
      <c r="I57" s="1" t="s">
        <v>700</v>
      </c>
      <c r="J57" s="1" t="s">
        <v>701</v>
      </c>
      <c r="K57" s="1" t="s">
        <v>74</v>
      </c>
      <c r="L57" s="1" t="s">
        <v>74</v>
      </c>
      <c r="M57" s="1" t="s">
        <v>74</v>
      </c>
      <c r="N57" s="1" t="s">
        <v>74</v>
      </c>
      <c r="O57" s="1" t="s">
        <v>702</v>
      </c>
      <c r="P57" s="1" t="s">
        <v>703</v>
      </c>
      <c r="Q57" s="1" t="s">
        <v>704</v>
      </c>
      <c r="R57" s="1" t="s">
        <v>705</v>
      </c>
      <c r="S57" s="1" t="s">
        <v>706</v>
      </c>
      <c r="T57" s="1" t="s">
        <v>74</v>
      </c>
      <c r="U57" s="1" t="s">
        <v>74</v>
      </c>
      <c r="V57" s="1" t="s">
        <v>707</v>
      </c>
      <c r="W57" s="1" t="s">
        <v>74</v>
      </c>
      <c r="X57" s="1" t="s">
        <v>74</v>
      </c>
      <c r="Y57" s="1" t="s">
        <v>74</v>
      </c>
      <c r="Z57" s="1" t="s">
        <v>74</v>
      </c>
      <c r="AA57" s="1" t="s">
        <v>708</v>
      </c>
      <c r="AB57" s="1" t="s">
        <v>709</v>
      </c>
      <c r="AC57" s="1" t="s">
        <v>74</v>
      </c>
      <c r="AD57" s="1" t="s">
        <v>74</v>
      </c>
      <c r="AE57" s="1" t="s">
        <v>74</v>
      </c>
      <c r="AF57" s="1" t="s">
        <v>74</v>
      </c>
      <c r="AG57" s="1" t="s">
        <v>74</v>
      </c>
      <c r="AH57" s="1" t="s">
        <v>74</v>
      </c>
      <c r="AI57" s="1" t="s">
        <v>74</v>
      </c>
      <c r="AJ57" s="1" t="s">
        <v>74</v>
      </c>
      <c r="AK57" s="1" t="s">
        <v>74</v>
      </c>
      <c r="AL57" s="1" t="s">
        <v>74</v>
      </c>
      <c r="AM57" s="1" t="s">
        <v>74</v>
      </c>
      <c r="AN57" s="1" t="s">
        <v>74</v>
      </c>
      <c r="AO57" s="1" t="s">
        <v>74</v>
      </c>
      <c r="AP57" s="1" t="s">
        <v>74</v>
      </c>
      <c r="AQ57" s="1" t="s">
        <v>710</v>
      </c>
      <c r="AR57" s="1" t="s">
        <v>74</v>
      </c>
      <c r="AS57" s="1" t="s">
        <v>74</v>
      </c>
      <c r="AT57" s="1" t="s">
        <v>74</v>
      </c>
      <c r="AU57" s="1">
        <v>2008.0</v>
      </c>
      <c r="AV57" s="1" t="s">
        <v>74</v>
      </c>
      <c r="AW57" s="1" t="s">
        <v>74</v>
      </c>
      <c r="AX57" s="1" t="s">
        <v>74</v>
      </c>
      <c r="AY57" s="1" t="s">
        <v>74</v>
      </c>
      <c r="AZ57" s="1" t="s">
        <v>74</v>
      </c>
      <c r="BA57" s="1" t="s">
        <v>74</v>
      </c>
      <c r="BB57" s="1">
        <v>600.0</v>
      </c>
      <c r="BC57" s="1" t="s">
        <v>576</v>
      </c>
      <c r="BD57" s="1" t="s">
        <v>74</v>
      </c>
      <c r="BE57" s="1" t="s">
        <v>711</v>
      </c>
      <c r="BF57" s="2" t="str">
        <f>HYPERLINK("http://dx.doi.org/10.1109/CSNDSP.2008.4610803","http://dx.doi.org/10.1109/CSNDSP.2008.4610803")</f>
        <v>http://dx.doi.org/10.1109/CSNDSP.2008.4610803</v>
      </c>
      <c r="BG57" s="1" t="s">
        <v>74</v>
      </c>
      <c r="BH57" s="1" t="s">
        <v>74</v>
      </c>
      <c r="BI57" s="1" t="s">
        <v>74</v>
      </c>
      <c r="BJ57" s="1" t="s">
        <v>74</v>
      </c>
      <c r="BK57" s="1" t="s">
        <v>74</v>
      </c>
      <c r="BL57" s="1" t="s">
        <v>74</v>
      </c>
      <c r="BM57" s="1" t="s">
        <v>74</v>
      </c>
      <c r="BN57" s="1" t="s">
        <v>74</v>
      </c>
      <c r="BO57" s="1" t="s">
        <v>74</v>
      </c>
      <c r="BP57" s="1" t="s">
        <v>74</v>
      </c>
      <c r="BQ57" s="1" t="s">
        <v>74</v>
      </c>
      <c r="BR57" s="1" t="s">
        <v>74</v>
      </c>
      <c r="BS57" s="1" t="s">
        <v>712</v>
      </c>
      <c r="BT57" s="1" t="str">
        <f>HYPERLINK("https%3A%2F%2Fwww.webofscience.com%2Fwos%2Fwoscc%2Ffull-record%2FWOS:000259386600131","View Full Record in Web of Science")</f>
        <v>View Full Record in Web of Science</v>
      </c>
    </row>
    <row r="58" ht="12.75" customHeight="1">
      <c r="A58" s="1" t="s">
        <v>72</v>
      </c>
      <c r="B58" s="1" t="s">
        <v>713</v>
      </c>
      <c r="C58" s="1" t="s">
        <v>74</v>
      </c>
      <c r="D58" s="1" t="s">
        <v>74</v>
      </c>
      <c r="E58" s="1" t="s">
        <v>74</v>
      </c>
      <c r="F58" s="1" t="s">
        <v>714</v>
      </c>
      <c r="G58" s="1" t="s">
        <v>74</v>
      </c>
      <c r="H58" s="1" t="s">
        <v>74</v>
      </c>
      <c r="I58" s="1" t="s">
        <v>715</v>
      </c>
      <c r="J58" s="1" t="s">
        <v>716</v>
      </c>
      <c r="K58" s="1" t="s">
        <v>74</v>
      </c>
      <c r="L58" s="1" t="s">
        <v>74</v>
      </c>
      <c r="M58" s="1" t="s">
        <v>74</v>
      </c>
      <c r="N58" s="1" t="s">
        <v>74</v>
      </c>
      <c r="O58" s="1" t="s">
        <v>74</v>
      </c>
      <c r="P58" s="1" t="s">
        <v>74</v>
      </c>
      <c r="Q58" s="1" t="s">
        <v>74</v>
      </c>
      <c r="R58" s="1" t="s">
        <v>74</v>
      </c>
      <c r="S58" s="1" t="s">
        <v>74</v>
      </c>
      <c r="T58" s="1" t="s">
        <v>74</v>
      </c>
      <c r="U58" s="1" t="s">
        <v>74</v>
      </c>
      <c r="V58" s="1" t="s">
        <v>717</v>
      </c>
      <c r="W58" s="1" t="s">
        <v>74</v>
      </c>
      <c r="X58" s="1" t="s">
        <v>74</v>
      </c>
      <c r="Y58" s="1" t="s">
        <v>74</v>
      </c>
      <c r="Z58" s="1" t="s">
        <v>74</v>
      </c>
      <c r="AA58" s="1" t="s">
        <v>718</v>
      </c>
      <c r="AB58" s="1" t="s">
        <v>719</v>
      </c>
      <c r="AC58" s="1" t="s">
        <v>74</v>
      </c>
      <c r="AD58" s="1" t="s">
        <v>74</v>
      </c>
      <c r="AE58" s="1" t="s">
        <v>74</v>
      </c>
      <c r="AF58" s="1" t="s">
        <v>74</v>
      </c>
      <c r="AG58" s="1" t="s">
        <v>74</v>
      </c>
      <c r="AH58" s="1" t="s">
        <v>74</v>
      </c>
      <c r="AI58" s="1" t="s">
        <v>74</v>
      </c>
      <c r="AJ58" s="1" t="s">
        <v>74</v>
      </c>
      <c r="AK58" s="1" t="s">
        <v>74</v>
      </c>
      <c r="AL58" s="1" t="s">
        <v>74</v>
      </c>
      <c r="AM58" s="1" t="s">
        <v>74</v>
      </c>
      <c r="AN58" s="1" t="s">
        <v>74</v>
      </c>
      <c r="AO58" s="1" t="s">
        <v>720</v>
      </c>
      <c r="AP58" s="1" t="s">
        <v>721</v>
      </c>
      <c r="AQ58" s="1" t="s">
        <v>74</v>
      </c>
      <c r="AR58" s="1" t="s">
        <v>74</v>
      </c>
      <c r="AS58" s="1" t="s">
        <v>74</v>
      </c>
      <c r="AT58" s="1" t="s">
        <v>459</v>
      </c>
      <c r="AU58" s="1">
        <v>2007.0</v>
      </c>
      <c r="AV58" s="1">
        <v>7.0</v>
      </c>
      <c r="AW58" s="1">
        <v>3.0</v>
      </c>
      <c r="AX58" s="1" t="s">
        <v>74</v>
      </c>
      <c r="AY58" s="1" t="s">
        <v>74</v>
      </c>
      <c r="AZ58" s="1" t="s">
        <v>74</v>
      </c>
      <c r="BA58" s="1" t="s">
        <v>74</v>
      </c>
      <c r="BB58" s="1">
        <v>795.0</v>
      </c>
      <c r="BC58" s="1">
        <v>806.0</v>
      </c>
      <c r="BD58" s="1" t="s">
        <v>74</v>
      </c>
      <c r="BE58" s="1" t="s">
        <v>74</v>
      </c>
      <c r="BF58" s="1" t="s">
        <v>74</v>
      </c>
      <c r="BG58" s="1" t="s">
        <v>74</v>
      </c>
      <c r="BH58" s="1" t="s">
        <v>74</v>
      </c>
      <c r="BI58" s="1" t="s">
        <v>74</v>
      </c>
      <c r="BJ58" s="1" t="s">
        <v>74</v>
      </c>
      <c r="BK58" s="1" t="s">
        <v>74</v>
      </c>
      <c r="BL58" s="1" t="s">
        <v>74</v>
      </c>
      <c r="BM58" s="1" t="s">
        <v>74</v>
      </c>
      <c r="BN58" s="1" t="s">
        <v>74</v>
      </c>
      <c r="BO58" s="1" t="s">
        <v>74</v>
      </c>
      <c r="BP58" s="1" t="s">
        <v>74</v>
      </c>
      <c r="BQ58" s="1" t="s">
        <v>74</v>
      </c>
      <c r="BR58" s="1" t="s">
        <v>74</v>
      </c>
      <c r="BS58" s="1" t="s">
        <v>722</v>
      </c>
      <c r="BT58" s="1" t="str">
        <f>HYPERLINK("https%3A%2F%2Fwww.webofscience.com%2Fwos%2Fwoscc%2Ffull-record%2FWOS:000249504000015","View Full Record in Web of Science")</f>
        <v>View Full Record in Web of Science</v>
      </c>
    </row>
    <row r="59" ht="12.75" customHeight="1">
      <c r="A59" s="1" t="s">
        <v>72</v>
      </c>
      <c r="B59" s="1" t="s">
        <v>723</v>
      </c>
      <c r="C59" s="1" t="s">
        <v>74</v>
      </c>
      <c r="D59" s="1" t="s">
        <v>74</v>
      </c>
      <c r="E59" s="1" t="s">
        <v>74</v>
      </c>
      <c r="F59" s="1" t="s">
        <v>724</v>
      </c>
      <c r="G59" s="1" t="s">
        <v>74</v>
      </c>
      <c r="H59" s="1" t="s">
        <v>74</v>
      </c>
      <c r="I59" s="1" t="s">
        <v>725</v>
      </c>
      <c r="J59" s="1" t="s">
        <v>726</v>
      </c>
      <c r="K59" s="1" t="s">
        <v>74</v>
      </c>
      <c r="L59" s="1" t="s">
        <v>74</v>
      </c>
      <c r="M59" s="1" t="s">
        <v>74</v>
      </c>
      <c r="N59" s="1" t="s">
        <v>74</v>
      </c>
      <c r="O59" s="1" t="s">
        <v>74</v>
      </c>
      <c r="P59" s="1" t="s">
        <v>74</v>
      </c>
      <c r="Q59" s="1" t="s">
        <v>74</v>
      </c>
      <c r="R59" s="1" t="s">
        <v>74</v>
      </c>
      <c r="S59" s="1" t="s">
        <v>74</v>
      </c>
      <c r="T59" s="1" t="s">
        <v>74</v>
      </c>
      <c r="U59" s="1" t="s">
        <v>74</v>
      </c>
      <c r="V59" s="1" t="s">
        <v>727</v>
      </c>
      <c r="W59" s="1" t="s">
        <v>74</v>
      </c>
      <c r="X59" s="1" t="s">
        <v>74</v>
      </c>
      <c r="Y59" s="1" t="s">
        <v>74</v>
      </c>
      <c r="Z59" s="1" t="s">
        <v>74</v>
      </c>
      <c r="AA59" s="1" t="s">
        <v>728</v>
      </c>
      <c r="AB59" s="1" t="s">
        <v>729</v>
      </c>
      <c r="AC59" s="1" t="s">
        <v>74</v>
      </c>
      <c r="AD59" s="1" t="s">
        <v>74</v>
      </c>
      <c r="AE59" s="1" t="s">
        <v>74</v>
      </c>
      <c r="AF59" s="1" t="s">
        <v>74</v>
      </c>
      <c r="AG59" s="1" t="s">
        <v>74</v>
      </c>
      <c r="AH59" s="1" t="s">
        <v>74</v>
      </c>
      <c r="AI59" s="1" t="s">
        <v>74</v>
      </c>
      <c r="AJ59" s="1" t="s">
        <v>74</v>
      </c>
      <c r="AK59" s="1" t="s">
        <v>74</v>
      </c>
      <c r="AL59" s="1" t="s">
        <v>74</v>
      </c>
      <c r="AM59" s="1" t="s">
        <v>74</v>
      </c>
      <c r="AN59" s="1" t="s">
        <v>74</v>
      </c>
      <c r="AO59" s="1" t="s">
        <v>730</v>
      </c>
      <c r="AP59" s="1" t="s">
        <v>731</v>
      </c>
      <c r="AQ59" s="1" t="s">
        <v>74</v>
      </c>
      <c r="AR59" s="1" t="s">
        <v>74</v>
      </c>
      <c r="AS59" s="1" t="s">
        <v>74</v>
      </c>
      <c r="AT59" s="1" t="s">
        <v>732</v>
      </c>
      <c r="AU59" s="1">
        <v>2007.0</v>
      </c>
      <c r="AV59" s="1">
        <v>158.0</v>
      </c>
      <c r="AW59" s="1">
        <v>6.0</v>
      </c>
      <c r="AX59" s="1" t="s">
        <v>74</v>
      </c>
      <c r="AY59" s="1" t="s">
        <v>74</v>
      </c>
      <c r="AZ59" s="1" t="s">
        <v>74</v>
      </c>
      <c r="BA59" s="1" t="s">
        <v>74</v>
      </c>
      <c r="BB59" s="1">
        <v>529.0</v>
      </c>
      <c r="BC59" s="1">
        <v>536.0</v>
      </c>
      <c r="BD59" s="1" t="s">
        <v>74</v>
      </c>
      <c r="BE59" s="1" t="s">
        <v>733</v>
      </c>
      <c r="BF59" s="2" t="str">
        <f>HYPERLINK("http://dx.doi.org/10.1016/j.resmic.2007.05.004","http://dx.doi.org/10.1016/j.resmic.2007.05.004")</f>
        <v>http://dx.doi.org/10.1016/j.resmic.2007.05.004</v>
      </c>
      <c r="BG59" s="1" t="s">
        <v>74</v>
      </c>
      <c r="BH59" s="1" t="s">
        <v>74</v>
      </c>
      <c r="BI59" s="1" t="s">
        <v>74</v>
      </c>
      <c r="BJ59" s="1" t="s">
        <v>74</v>
      </c>
      <c r="BK59" s="1" t="s">
        <v>74</v>
      </c>
      <c r="BL59" s="1" t="s">
        <v>74</v>
      </c>
      <c r="BM59" s="1" t="s">
        <v>74</v>
      </c>
      <c r="BN59" s="1">
        <v>1.7618087E7</v>
      </c>
      <c r="BO59" s="1" t="s">
        <v>74</v>
      </c>
      <c r="BP59" s="1" t="s">
        <v>74</v>
      </c>
      <c r="BQ59" s="1" t="s">
        <v>74</v>
      </c>
      <c r="BR59" s="1" t="s">
        <v>74</v>
      </c>
      <c r="BS59" s="1" t="s">
        <v>734</v>
      </c>
      <c r="BT59" s="1" t="str">
        <f>HYPERLINK("https%3A%2F%2Fwww.webofscience.com%2Fwos%2Fwoscc%2Ffull-record%2FWOS:000249247800008","View Full Record in Web of Science")</f>
        <v>View Full Record in Web of Science</v>
      </c>
    </row>
    <row r="60" ht="12.75" customHeight="1">
      <c r="A60" s="1" t="s">
        <v>251</v>
      </c>
      <c r="B60" s="1" t="s">
        <v>735</v>
      </c>
      <c r="C60" s="1" t="s">
        <v>74</v>
      </c>
      <c r="D60" s="1" t="s">
        <v>736</v>
      </c>
      <c r="E60" s="1" t="s">
        <v>74</v>
      </c>
      <c r="F60" s="1" t="s">
        <v>737</v>
      </c>
      <c r="G60" s="1" t="s">
        <v>74</v>
      </c>
      <c r="H60" s="1" t="s">
        <v>74</v>
      </c>
      <c r="I60" s="1" t="s">
        <v>738</v>
      </c>
      <c r="J60" s="1" t="s">
        <v>739</v>
      </c>
      <c r="K60" s="1" t="s">
        <v>74</v>
      </c>
      <c r="L60" s="1" t="s">
        <v>74</v>
      </c>
      <c r="M60" s="1" t="s">
        <v>74</v>
      </c>
      <c r="N60" s="1" t="s">
        <v>74</v>
      </c>
      <c r="O60" s="1" t="s">
        <v>740</v>
      </c>
      <c r="P60" s="1" t="s">
        <v>741</v>
      </c>
      <c r="Q60" s="1" t="s">
        <v>742</v>
      </c>
      <c r="R60" s="1" t="s">
        <v>743</v>
      </c>
      <c r="S60" s="1" t="s">
        <v>74</v>
      </c>
      <c r="T60" s="1" t="s">
        <v>74</v>
      </c>
      <c r="U60" s="1" t="s">
        <v>74</v>
      </c>
      <c r="V60" s="1" t="s">
        <v>744</v>
      </c>
      <c r="W60" s="1" t="s">
        <v>74</v>
      </c>
      <c r="X60" s="1" t="s">
        <v>74</v>
      </c>
      <c r="Y60" s="1" t="s">
        <v>74</v>
      </c>
      <c r="Z60" s="1" t="s">
        <v>74</v>
      </c>
      <c r="AA60" s="1" t="s">
        <v>745</v>
      </c>
      <c r="AB60" s="1" t="s">
        <v>74</v>
      </c>
      <c r="AC60" s="1" t="s">
        <v>74</v>
      </c>
      <c r="AD60" s="1" t="s">
        <v>74</v>
      </c>
      <c r="AE60" s="1" t="s">
        <v>74</v>
      </c>
      <c r="AF60" s="1" t="s">
        <v>74</v>
      </c>
      <c r="AG60" s="1" t="s">
        <v>74</v>
      </c>
      <c r="AH60" s="1" t="s">
        <v>74</v>
      </c>
      <c r="AI60" s="1" t="s">
        <v>74</v>
      </c>
      <c r="AJ60" s="1" t="s">
        <v>74</v>
      </c>
      <c r="AK60" s="1" t="s">
        <v>74</v>
      </c>
      <c r="AL60" s="1" t="s">
        <v>74</v>
      </c>
      <c r="AM60" s="1" t="s">
        <v>74</v>
      </c>
      <c r="AN60" s="1" t="s">
        <v>74</v>
      </c>
      <c r="AO60" s="1" t="s">
        <v>74</v>
      </c>
      <c r="AP60" s="1" t="s">
        <v>74</v>
      </c>
      <c r="AQ60" s="1" t="s">
        <v>746</v>
      </c>
      <c r="AR60" s="1" t="s">
        <v>74</v>
      </c>
      <c r="AS60" s="1" t="s">
        <v>74</v>
      </c>
      <c r="AT60" s="1" t="s">
        <v>74</v>
      </c>
      <c r="AU60" s="1">
        <v>2007.0</v>
      </c>
      <c r="AV60" s="1" t="s">
        <v>74</v>
      </c>
      <c r="AW60" s="1" t="s">
        <v>74</v>
      </c>
      <c r="AX60" s="1" t="s">
        <v>74</v>
      </c>
      <c r="AY60" s="1" t="s">
        <v>74</v>
      </c>
      <c r="AZ60" s="1" t="s">
        <v>74</v>
      </c>
      <c r="BA60" s="1" t="s">
        <v>74</v>
      </c>
      <c r="BB60" s="1">
        <v>168.0</v>
      </c>
      <c r="BC60" s="1">
        <v>171.0</v>
      </c>
      <c r="BD60" s="1" t="s">
        <v>74</v>
      </c>
      <c r="BE60" s="1" t="s">
        <v>74</v>
      </c>
      <c r="BF60" s="1" t="s">
        <v>74</v>
      </c>
      <c r="BG60" s="1" t="s">
        <v>74</v>
      </c>
      <c r="BH60" s="1" t="s">
        <v>74</v>
      </c>
      <c r="BI60" s="1" t="s">
        <v>74</v>
      </c>
      <c r="BJ60" s="1" t="s">
        <v>74</v>
      </c>
      <c r="BK60" s="1" t="s">
        <v>74</v>
      </c>
      <c r="BL60" s="1" t="s">
        <v>74</v>
      </c>
      <c r="BM60" s="1" t="s">
        <v>74</v>
      </c>
      <c r="BN60" s="1" t="s">
        <v>74</v>
      </c>
      <c r="BO60" s="1" t="s">
        <v>74</v>
      </c>
      <c r="BP60" s="1" t="s">
        <v>74</v>
      </c>
      <c r="BQ60" s="1" t="s">
        <v>74</v>
      </c>
      <c r="BR60" s="1" t="s">
        <v>74</v>
      </c>
      <c r="BS60" s="1" t="s">
        <v>747</v>
      </c>
      <c r="BT60" s="1" t="str">
        <f>HYPERLINK("https%3A%2F%2Fwww.webofscience.com%2Fwos%2Fwoscc%2Ffull-record%2FWOS:000250384900032","View Full Record in Web of Science")</f>
        <v>View Full Record in Web of Science</v>
      </c>
    </row>
    <row r="61" ht="12.75" customHeight="1">
      <c r="A61" s="1" t="s">
        <v>72</v>
      </c>
      <c r="B61" s="1" t="s">
        <v>748</v>
      </c>
      <c r="C61" s="1" t="s">
        <v>74</v>
      </c>
      <c r="D61" s="1" t="s">
        <v>74</v>
      </c>
      <c r="E61" s="1" t="s">
        <v>74</v>
      </c>
      <c r="F61" s="1" t="s">
        <v>749</v>
      </c>
      <c r="G61" s="1" t="s">
        <v>74</v>
      </c>
      <c r="H61" s="1" t="s">
        <v>74</v>
      </c>
      <c r="I61" s="1" t="s">
        <v>750</v>
      </c>
      <c r="J61" s="1" t="s">
        <v>751</v>
      </c>
      <c r="K61" s="1" t="s">
        <v>74</v>
      </c>
      <c r="L61" s="1" t="s">
        <v>74</v>
      </c>
      <c r="M61" s="1" t="s">
        <v>74</v>
      </c>
      <c r="N61" s="1" t="s">
        <v>74</v>
      </c>
      <c r="O61" s="1" t="s">
        <v>74</v>
      </c>
      <c r="P61" s="1" t="s">
        <v>74</v>
      </c>
      <c r="Q61" s="1" t="s">
        <v>74</v>
      </c>
      <c r="R61" s="1" t="s">
        <v>74</v>
      </c>
      <c r="S61" s="1" t="s">
        <v>74</v>
      </c>
      <c r="T61" s="1" t="s">
        <v>74</v>
      </c>
      <c r="U61" s="1" t="s">
        <v>74</v>
      </c>
      <c r="V61" s="1" t="s">
        <v>752</v>
      </c>
      <c r="W61" s="1" t="s">
        <v>74</v>
      </c>
      <c r="X61" s="1" t="s">
        <v>74</v>
      </c>
      <c r="Y61" s="1" t="s">
        <v>74</v>
      </c>
      <c r="Z61" s="1" t="s">
        <v>74</v>
      </c>
      <c r="AA61" s="1" t="s">
        <v>753</v>
      </c>
      <c r="AB61" s="1" t="s">
        <v>754</v>
      </c>
      <c r="AC61" s="1" t="s">
        <v>74</v>
      </c>
      <c r="AD61" s="1" t="s">
        <v>74</v>
      </c>
      <c r="AE61" s="1" t="s">
        <v>74</v>
      </c>
      <c r="AF61" s="1" t="s">
        <v>74</v>
      </c>
      <c r="AG61" s="1" t="s">
        <v>74</v>
      </c>
      <c r="AH61" s="1" t="s">
        <v>74</v>
      </c>
      <c r="AI61" s="1" t="s">
        <v>74</v>
      </c>
      <c r="AJ61" s="1" t="s">
        <v>74</v>
      </c>
      <c r="AK61" s="1" t="s">
        <v>74</v>
      </c>
      <c r="AL61" s="1" t="s">
        <v>74</v>
      </c>
      <c r="AM61" s="1" t="s">
        <v>74</v>
      </c>
      <c r="AN61" s="1" t="s">
        <v>74</v>
      </c>
      <c r="AO61" s="1" t="s">
        <v>755</v>
      </c>
      <c r="AP61" s="1" t="s">
        <v>756</v>
      </c>
      <c r="AQ61" s="1" t="s">
        <v>74</v>
      </c>
      <c r="AR61" s="1" t="s">
        <v>74</v>
      </c>
      <c r="AS61" s="1" t="s">
        <v>74</v>
      </c>
      <c r="AT61" s="1" t="s">
        <v>310</v>
      </c>
      <c r="AU61" s="1">
        <v>2006.0</v>
      </c>
      <c r="AV61" s="1">
        <v>37.0</v>
      </c>
      <c r="AW61" s="1">
        <v>4.0</v>
      </c>
      <c r="AX61" s="1" t="s">
        <v>74</v>
      </c>
      <c r="AY61" s="1" t="s">
        <v>74</v>
      </c>
      <c r="AZ61" s="1" t="s">
        <v>74</v>
      </c>
      <c r="BA61" s="1" t="s">
        <v>74</v>
      </c>
      <c r="BB61" s="1">
        <v>359.0</v>
      </c>
      <c r="BC61" s="1">
        <v>365.0</v>
      </c>
      <c r="BD61" s="1" t="s">
        <v>74</v>
      </c>
      <c r="BE61" s="1" t="s">
        <v>757</v>
      </c>
      <c r="BF61" s="2" t="str">
        <f>HYPERLINK("http://dx.doi.org/10.1177/0022022106288474","http://dx.doi.org/10.1177/0022022106288474")</f>
        <v>http://dx.doi.org/10.1177/0022022106288474</v>
      </c>
      <c r="BG61" s="1" t="s">
        <v>74</v>
      </c>
      <c r="BH61" s="1" t="s">
        <v>74</v>
      </c>
      <c r="BI61" s="1" t="s">
        <v>74</v>
      </c>
      <c r="BJ61" s="1" t="s">
        <v>74</v>
      </c>
      <c r="BK61" s="1" t="s">
        <v>74</v>
      </c>
      <c r="BL61" s="1" t="s">
        <v>74</v>
      </c>
      <c r="BM61" s="1" t="s">
        <v>74</v>
      </c>
      <c r="BN61" s="1" t="s">
        <v>74</v>
      </c>
      <c r="BO61" s="1" t="s">
        <v>74</v>
      </c>
      <c r="BP61" s="1" t="s">
        <v>74</v>
      </c>
      <c r="BQ61" s="1" t="s">
        <v>74</v>
      </c>
      <c r="BR61" s="1" t="s">
        <v>74</v>
      </c>
      <c r="BS61" s="1" t="s">
        <v>758</v>
      </c>
      <c r="BT61" s="1" t="str">
        <f>HYPERLINK("https%3A%2F%2Fwww.webofscience.com%2Fwos%2Fwoscc%2Ffull-record%2FWOS:000238391700001","View Full Record in Web of Science")</f>
        <v>View Full Record in Web of Science</v>
      </c>
    </row>
    <row r="62" ht="12.75" customHeight="1">
      <c r="A62" s="1" t="s">
        <v>251</v>
      </c>
      <c r="B62" s="1" t="s">
        <v>759</v>
      </c>
      <c r="C62" s="1" t="s">
        <v>74</v>
      </c>
      <c r="D62" s="1" t="s">
        <v>760</v>
      </c>
      <c r="E62" s="1" t="s">
        <v>74</v>
      </c>
      <c r="F62" s="1" t="s">
        <v>761</v>
      </c>
      <c r="G62" s="1" t="s">
        <v>74</v>
      </c>
      <c r="H62" s="1" t="s">
        <v>74</v>
      </c>
      <c r="I62" s="1" t="s">
        <v>762</v>
      </c>
      <c r="J62" s="1" t="s">
        <v>763</v>
      </c>
      <c r="K62" s="1" t="s">
        <v>764</v>
      </c>
      <c r="L62" s="1" t="s">
        <v>74</v>
      </c>
      <c r="M62" s="1" t="s">
        <v>74</v>
      </c>
      <c r="N62" s="1" t="s">
        <v>74</v>
      </c>
      <c r="O62" s="1" t="s">
        <v>765</v>
      </c>
      <c r="P62" s="1" t="s">
        <v>766</v>
      </c>
      <c r="Q62" s="1" t="s">
        <v>767</v>
      </c>
      <c r="R62" s="1" t="s">
        <v>768</v>
      </c>
      <c r="S62" s="1" t="s">
        <v>769</v>
      </c>
      <c r="T62" s="1" t="s">
        <v>74</v>
      </c>
      <c r="U62" s="1" t="s">
        <v>74</v>
      </c>
      <c r="V62" s="1" t="s">
        <v>770</v>
      </c>
      <c r="W62" s="1" t="s">
        <v>74</v>
      </c>
      <c r="X62" s="1" t="s">
        <v>74</v>
      </c>
      <c r="Y62" s="1" t="s">
        <v>74</v>
      </c>
      <c r="Z62" s="1" t="s">
        <v>74</v>
      </c>
      <c r="AA62" s="1" t="s">
        <v>771</v>
      </c>
      <c r="AB62" s="1" t="s">
        <v>772</v>
      </c>
      <c r="AC62" s="1" t="s">
        <v>74</v>
      </c>
      <c r="AD62" s="1" t="s">
        <v>74</v>
      </c>
      <c r="AE62" s="1" t="s">
        <v>74</v>
      </c>
      <c r="AF62" s="1" t="s">
        <v>74</v>
      </c>
      <c r="AG62" s="1" t="s">
        <v>74</v>
      </c>
      <c r="AH62" s="1" t="s">
        <v>74</v>
      </c>
      <c r="AI62" s="1" t="s">
        <v>74</v>
      </c>
      <c r="AJ62" s="1" t="s">
        <v>74</v>
      </c>
      <c r="AK62" s="1" t="s">
        <v>74</v>
      </c>
      <c r="AL62" s="1" t="s">
        <v>74</v>
      </c>
      <c r="AM62" s="1" t="s">
        <v>74</v>
      </c>
      <c r="AN62" s="1" t="s">
        <v>74</v>
      </c>
      <c r="AO62" s="1" t="s">
        <v>675</v>
      </c>
      <c r="AP62" s="1" t="s">
        <v>676</v>
      </c>
      <c r="AQ62" s="1" t="s">
        <v>773</v>
      </c>
      <c r="AR62" s="1" t="s">
        <v>74</v>
      </c>
      <c r="AS62" s="1" t="s">
        <v>74</v>
      </c>
      <c r="AT62" s="1" t="s">
        <v>74</v>
      </c>
      <c r="AU62" s="1">
        <v>2006.0</v>
      </c>
      <c r="AV62" s="1">
        <v>4293.0</v>
      </c>
      <c r="AW62" s="1" t="s">
        <v>74</v>
      </c>
      <c r="AX62" s="1" t="s">
        <v>74</v>
      </c>
      <c r="AY62" s="1" t="s">
        <v>74</v>
      </c>
      <c r="AZ62" s="1" t="s">
        <v>74</v>
      </c>
      <c r="BA62" s="1" t="s">
        <v>74</v>
      </c>
      <c r="BB62" s="1">
        <v>305.0</v>
      </c>
      <c r="BC62" s="1" t="s">
        <v>576</v>
      </c>
      <c r="BD62" s="1" t="s">
        <v>74</v>
      </c>
      <c r="BE62" s="1" t="s">
        <v>74</v>
      </c>
      <c r="BF62" s="1" t="s">
        <v>74</v>
      </c>
      <c r="BG62" s="1" t="s">
        <v>74</v>
      </c>
      <c r="BH62" s="1" t="s">
        <v>74</v>
      </c>
      <c r="BI62" s="1" t="s">
        <v>74</v>
      </c>
      <c r="BJ62" s="1" t="s">
        <v>74</v>
      </c>
      <c r="BK62" s="1" t="s">
        <v>74</v>
      </c>
      <c r="BL62" s="1" t="s">
        <v>74</v>
      </c>
      <c r="BM62" s="1" t="s">
        <v>74</v>
      </c>
      <c r="BN62" s="1" t="s">
        <v>74</v>
      </c>
      <c r="BO62" s="1" t="s">
        <v>74</v>
      </c>
      <c r="BP62" s="1" t="s">
        <v>74</v>
      </c>
      <c r="BQ62" s="1" t="s">
        <v>74</v>
      </c>
      <c r="BR62" s="1" t="s">
        <v>74</v>
      </c>
      <c r="BS62" s="1" t="s">
        <v>774</v>
      </c>
      <c r="BT62" s="1" t="str">
        <f>HYPERLINK("https%3A%2F%2Fwww.webofscience.com%2Fwos%2Fwoscc%2Ffull-record%2FWOS:000244587700029","View Full Record in Web of Science")</f>
        <v>View Full Record in Web of Science</v>
      </c>
    </row>
    <row r="63" ht="12.75" customHeight="1">
      <c r="A63" s="1" t="s">
        <v>72</v>
      </c>
      <c r="B63" s="1" t="s">
        <v>775</v>
      </c>
      <c r="C63" s="1" t="s">
        <v>74</v>
      </c>
      <c r="D63" s="1" t="s">
        <v>74</v>
      </c>
      <c r="E63" s="1" t="s">
        <v>74</v>
      </c>
      <c r="F63" s="1" t="s">
        <v>775</v>
      </c>
      <c r="G63" s="1" t="s">
        <v>74</v>
      </c>
      <c r="H63" s="1" t="s">
        <v>74</v>
      </c>
      <c r="I63" s="1" t="s">
        <v>776</v>
      </c>
      <c r="J63" s="1" t="s">
        <v>777</v>
      </c>
      <c r="K63" s="1" t="s">
        <v>74</v>
      </c>
      <c r="L63" s="1" t="s">
        <v>74</v>
      </c>
      <c r="M63" s="1" t="s">
        <v>74</v>
      </c>
      <c r="N63" s="1" t="s">
        <v>74</v>
      </c>
      <c r="O63" s="1" t="s">
        <v>74</v>
      </c>
      <c r="P63" s="1" t="s">
        <v>74</v>
      </c>
      <c r="Q63" s="1" t="s">
        <v>74</v>
      </c>
      <c r="R63" s="1" t="s">
        <v>74</v>
      </c>
      <c r="S63" s="1" t="s">
        <v>74</v>
      </c>
      <c r="T63" s="1" t="s">
        <v>74</v>
      </c>
      <c r="U63" s="1" t="s">
        <v>74</v>
      </c>
      <c r="V63" s="1" t="s">
        <v>778</v>
      </c>
      <c r="W63" s="1" t="s">
        <v>74</v>
      </c>
      <c r="X63" s="1" t="s">
        <v>74</v>
      </c>
      <c r="Y63" s="1" t="s">
        <v>74</v>
      </c>
      <c r="Z63" s="1" t="s">
        <v>74</v>
      </c>
      <c r="AA63" s="1" t="s">
        <v>74</v>
      </c>
      <c r="AB63" s="1" t="s">
        <v>74</v>
      </c>
      <c r="AC63" s="1" t="s">
        <v>74</v>
      </c>
      <c r="AD63" s="1" t="s">
        <v>74</v>
      </c>
      <c r="AE63" s="1" t="s">
        <v>74</v>
      </c>
      <c r="AF63" s="1" t="s">
        <v>74</v>
      </c>
      <c r="AG63" s="1" t="s">
        <v>74</v>
      </c>
      <c r="AH63" s="1" t="s">
        <v>74</v>
      </c>
      <c r="AI63" s="1" t="s">
        <v>74</v>
      </c>
      <c r="AJ63" s="1" t="s">
        <v>74</v>
      </c>
      <c r="AK63" s="1" t="s">
        <v>74</v>
      </c>
      <c r="AL63" s="1" t="s">
        <v>74</v>
      </c>
      <c r="AM63" s="1" t="s">
        <v>74</v>
      </c>
      <c r="AN63" s="1" t="s">
        <v>74</v>
      </c>
      <c r="AO63" s="1" t="s">
        <v>779</v>
      </c>
      <c r="AP63" s="1" t="s">
        <v>780</v>
      </c>
      <c r="AQ63" s="1" t="s">
        <v>74</v>
      </c>
      <c r="AR63" s="1" t="s">
        <v>74</v>
      </c>
      <c r="AS63" s="1" t="s">
        <v>74</v>
      </c>
      <c r="AT63" s="1" t="s">
        <v>781</v>
      </c>
      <c r="AU63" s="1">
        <v>2004.0</v>
      </c>
      <c r="AV63" s="1">
        <v>206.0</v>
      </c>
      <c r="AW63" s="1">
        <v>1.0</v>
      </c>
      <c r="AX63" s="1" t="s">
        <v>74</v>
      </c>
      <c r="AY63" s="1" t="s">
        <v>74</v>
      </c>
      <c r="AZ63" s="1" t="s">
        <v>74</v>
      </c>
      <c r="BA63" s="1" t="s">
        <v>74</v>
      </c>
      <c r="BB63" s="1">
        <v>127.0</v>
      </c>
      <c r="BC63" s="1">
        <v>155.0</v>
      </c>
      <c r="BD63" s="1" t="s">
        <v>74</v>
      </c>
      <c r="BE63" s="1" t="s">
        <v>782</v>
      </c>
      <c r="BF63" s="2" t="str">
        <f>HYPERLINK("http://dx.doi.org/10.1016/j.jde.2004.07.015","http://dx.doi.org/10.1016/j.jde.2004.07.015")</f>
        <v>http://dx.doi.org/10.1016/j.jde.2004.07.015</v>
      </c>
      <c r="BG63" s="1" t="s">
        <v>74</v>
      </c>
      <c r="BH63" s="1" t="s">
        <v>74</v>
      </c>
      <c r="BI63" s="1" t="s">
        <v>74</v>
      </c>
      <c r="BJ63" s="1" t="s">
        <v>74</v>
      </c>
      <c r="BK63" s="1" t="s">
        <v>74</v>
      </c>
      <c r="BL63" s="1" t="s">
        <v>74</v>
      </c>
      <c r="BM63" s="1" t="s">
        <v>74</v>
      </c>
      <c r="BN63" s="1" t="s">
        <v>74</v>
      </c>
      <c r="BO63" s="1" t="s">
        <v>74</v>
      </c>
      <c r="BP63" s="1" t="s">
        <v>74</v>
      </c>
      <c r="BQ63" s="1" t="s">
        <v>74</v>
      </c>
      <c r="BR63" s="1" t="s">
        <v>74</v>
      </c>
      <c r="BS63" s="1" t="s">
        <v>783</v>
      </c>
      <c r="BT63" s="1" t="str">
        <f>HYPERLINK("https%3A%2F%2Fwww.webofscience.com%2Fwos%2Fwoscc%2Ffull-record%2FWOS:000224505700005","View Full Record in Web of Science")</f>
        <v>View Full Record in Web of Science</v>
      </c>
    </row>
    <row r="64" ht="12.75" customHeight="1">
      <c r="A64" s="1" t="s">
        <v>72</v>
      </c>
      <c r="B64" s="1" t="s">
        <v>784</v>
      </c>
      <c r="C64" s="1" t="s">
        <v>74</v>
      </c>
      <c r="D64" s="1" t="s">
        <v>74</v>
      </c>
      <c r="E64" s="1" t="s">
        <v>74</v>
      </c>
      <c r="F64" s="1" t="s">
        <v>784</v>
      </c>
      <c r="G64" s="1" t="s">
        <v>74</v>
      </c>
      <c r="H64" s="1" t="s">
        <v>74</v>
      </c>
      <c r="I64" s="1" t="s">
        <v>785</v>
      </c>
      <c r="J64" s="1" t="s">
        <v>582</v>
      </c>
      <c r="K64" s="1" t="s">
        <v>74</v>
      </c>
      <c r="L64" s="1" t="s">
        <v>74</v>
      </c>
      <c r="M64" s="1" t="s">
        <v>74</v>
      </c>
      <c r="N64" s="1" t="s">
        <v>74</v>
      </c>
      <c r="O64" s="1" t="s">
        <v>74</v>
      </c>
      <c r="P64" s="1" t="s">
        <v>74</v>
      </c>
      <c r="Q64" s="1" t="s">
        <v>74</v>
      </c>
      <c r="R64" s="1" t="s">
        <v>74</v>
      </c>
      <c r="S64" s="1" t="s">
        <v>74</v>
      </c>
      <c r="T64" s="1" t="s">
        <v>74</v>
      </c>
      <c r="U64" s="1" t="s">
        <v>74</v>
      </c>
      <c r="V64" s="1" t="s">
        <v>786</v>
      </c>
      <c r="W64" s="1" t="s">
        <v>74</v>
      </c>
      <c r="X64" s="1" t="s">
        <v>74</v>
      </c>
      <c r="Y64" s="1" t="s">
        <v>74</v>
      </c>
      <c r="Z64" s="1" t="s">
        <v>74</v>
      </c>
      <c r="AA64" s="1" t="s">
        <v>74</v>
      </c>
      <c r="AB64" s="1" t="s">
        <v>74</v>
      </c>
      <c r="AC64" s="1" t="s">
        <v>74</v>
      </c>
      <c r="AD64" s="1" t="s">
        <v>74</v>
      </c>
      <c r="AE64" s="1" t="s">
        <v>74</v>
      </c>
      <c r="AF64" s="1" t="s">
        <v>74</v>
      </c>
      <c r="AG64" s="1" t="s">
        <v>74</v>
      </c>
      <c r="AH64" s="1" t="s">
        <v>74</v>
      </c>
      <c r="AI64" s="1" t="s">
        <v>74</v>
      </c>
      <c r="AJ64" s="1" t="s">
        <v>74</v>
      </c>
      <c r="AK64" s="1" t="s">
        <v>74</v>
      </c>
      <c r="AL64" s="1" t="s">
        <v>74</v>
      </c>
      <c r="AM64" s="1" t="s">
        <v>74</v>
      </c>
      <c r="AN64" s="1" t="s">
        <v>74</v>
      </c>
      <c r="AO64" s="1" t="s">
        <v>787</v>
      </c>
      <c r="AP64" s="1" t="s">
        <v>74</v>
      </c>
      <c r="AQ64" s="1" t="s">
        <v>74</v>
      </c>
      <c r="AR64" s="1" t="s">
        <v>74</v>
      </c>
      <c r="AS64" s="1" t="s">
        <v>74</v>
      </c>
      <c r="AT64" s="1" t="s">
        <v>215</v>
      </c>
      <c r="AU64" s="1">
        <v>2004.0</v>
      </c>
      <c r="AV64" s="1">
        <v>49.0</v>
      </c>
      <c r="AW64" s="1">
        <v>2.0</v>
      </c>
      <c r="AX64" s="1" t="s">
        <v>74</v>
      </c>
      <c r="AY64" s="1" t="s">
        <v>74</v>
      </c>
      <c r="AZ64" s="1" t="s">
        <v>74</v>
      </c>
      <c r="BA64" s="1" t="s">
        <v>74</v>
      </c>
      <c r="BB64" s="1">
        <v>143.0</v>
      </c>
      <c r="BC64" s="1">
        <v>145.0</v>
      </c>
      <c r="BD64" s="1" t="s">
        <v>74</v>
      </c>
      <c r="BE64" s="1" t="s">
        <v>74</v>
      </c>
      <c r="BF64" s="1" t="s">
        <v>74</v>
      </c>
      <c r="BG64" s="1" t="s">
        <v>74</v>
      </c>
      <c r="BH64" s="1" t="s">
        <v>74</v>
      </c>
      <c r="BI64" s="1" t="s">
        <v>74</v>
      </c>
      <c r="BJ64" s="1" t="s">
        <v>74</v>
      </c>
      <c r="BK64" s="1" t="s">
        <v>74</v>
      </c>
      <c r="BL64" s="1" t="s">
        <v>74</v>
      </c>
      <c r="BM64" s="1" t="s">
        <v>74</v>
      </c>
      <c r="BN64" s="1" t="s">
        <v>74</v>
      </c>
      <c r="BO64" s="1" t="s">
        <v>74</v>
      </c>
      <c r="BP64" s="1" t="s">
        <v>74</v>
      </c>
      <c r="BQ64" s="1" t="s">
        <v>74</v>
      </c>
      <c r="BR64" s="1" t="s">
        <v>74</v>
      </c>
      <c r="BS64" s="1" t="s">
        <v>788</v>
      </c>
      <c r="BT64" s="1" t="str">
        <f>HYPERLINK("https%3A%2F%2Fwww.webofscience.com%2Fwos%2Fwoscc%2Ffull-record%2FWOS:000221509600007","View Full Record in Web of Science")</f>
        <v>View Full Record in Web of Science</v>
      </c>
    </row>
    <row r="65" ht="12.75" customHeight="1">
      <c r="A65" s="1" t="s">
        <v>72</v>
      </c>
      <c r="B65" s="1" t="s">
        <v>789</v>
      </c>
      <c r="C65" s="1" t="s">
        <v>74</v>
      </c>
      <c r="D65" s="1" t="s">
        <v>74</v>
      </c>
      <c r="E65" s="1" t="s">
        <v>74</v>
      </c>
      <c r="F65" s="1" t="s">
        <v>789</v>
      </c>
      <c r="G65" s="1" t="s">
        <v>74</v>
      </c>
      <c r="H65" s="1" t="s">
        <v>74</v>
      </c>
      <c r="I65" s="1" t="s">
        <v>790</v>
      </c>
      <c r="J65" s="1" t="s">
        <v>791</v>
      </c>
      <c r="K65" s="1" t="s">
        <v>74</v>
      </c>
      <c r="L65" s="1" t="s">
        <v>74</v>
      </c>
      <c r="M65" s="1" t="s">
        <v>74</v>
      </c>
      <c r="N65" s="1" t="s">
        <v>74</v>
      </c>
      <c r="O65" s="1" t="s">
        <v>74</v>
      </c>
      <c r="P65" s="1" t="s">
        <v>74</v>
      </c>
      <c r="Q65" s="1" t="s">
        <v>74</v>
      </c>
      <c r="R65" s="1" t="s">
        <v>74</v>
      </c>
      <c r="S65" s="1" t="s">
        <v>74</v>
      </c>
      <c r="T65" s="1" t="s">
        <v>74</v>
      </c>
      <c r="U65" s="1" t="s">
        <v>74</v>
      </c>
      <c r="V65" s="1" t="s">
        <v>792</v>
      </c>
      <c r="W65" s="1" t="s">
        <v>74</v>
      </c>
      <c r="X65" s="1" t="s">
        <v>74</v>
      </c>
      <c r="Y65" s="1" t="s">
        <v>74</v>
      </c>
      <c r="Z65" s="1" t="s">
        <v>74</v>
      </c>
      <c r="AA65" s="1" t="s">
        <v>793</v>
      </c>
      <c r="AB65" s="1" t="s">
        <v>794</v>
      </c>
      <c r="AC65" s="1" t="s">
        <v>74</v>
      </c>
      <c r="AD65" s="1" t="s">
        <v>74</v>
      </c>
      <c r="AE65" s="1" t="s">
        <v>74</v>
      </c>
      <c r="AF65" s="1" t="s">
        <v>74</v>
      </c>
      <c r="AG65" s="1" t="s">
        <v>74</v>
      </c>
      <c r="AH65" s="1" t="s">
        <v>74</v>
      </c>
      <c r="AI65" s="1" t="s">
        <v>74</v>
      </c>
      <c r="AJ65" s="1" t="s">
        <v>74</v>
      </c>
      <c r="AK65" s="1" t="s">
        <v>74</v>
      </c>
      <c r="AL65" s="1" t="s">
        <v>74</v>
      </c>
      <c r="AM65" s="1" t="s">
        <v>74</v>
      </c>
      <c r="AN65" s="1" t="s">
        <v>74</v>
      </c>
      <c r="AO65" s="1" t="s">
        <v>795</v>
      </c>
      <c r="AP65" s="1" t="s">
        <v>796</v>
      </c>
      <c r="AQ65" s="1" t="s">
        <v>74</v>
      </c>
      <c r="AR65" s="1" t="s">
        <v>74</v>
      </c>
      <c r="AS65" s="1" t="s">
        <v>74</v>
      </c>
      <c r="AT65" s="1" t="s">
        <v>459</v>
      </c>
      <c r="AU65" s="1">
        <v>2003.0</v>
      </c>
      <c r="AV65" s="1">
        <v>68.0</v>
      </c>
      <c r="AW65" s="1">
        <v>3.0</v>
      </c>
      <c r="AX65" s="1">
        <v>2.0</v>
      </c>
      <c r="AY65" s="1" t="s">
        <v>74</v>
      </c>
      <c r="AZ65" s="1" t="s">
        <v>74</v>
      </c>
      <c r="BA65" s="1" t="s">
        <v>74</v>
      </c>
      <c r="BB65" s="1" t="s">
        <v>74</v>
      </c>
      <c r="BC65" s="1" t="s">
        <v>74</v>
      </c>
      <c r="BD65" s="1">
        <v>36117.0</v>
      </c>
      <c r="BE65" s="1" t="s">
        <v>797</v>
      </c>
      <c r="BF65" s="2" t="str">
        <f>HYPERLINK("http://dx.doi.org/10.1103/PhysRevE.68.036117","http://dx.doi.org/10.1103/PhysRevE.68.036117")</f>
        <v>http://dx.doi.org/10.1103/PhysRevE.68.036117</v>
      </c>
      <c r="BG65" s="1" t="s">
        <v>74</v>
      </c>
      <c r="BH65" s="1" t="s">
        <v>74</v>
      </c>
      <c r="BI65" s="1" t="s">
        <v>74</v>
      </c>
      <c r="BJ65" s="1" t="s">
        <v>74</v>
      </c>
      <c r="BK65" s="1" t="s">
        <v>74</v>
      </c>
      <c r="BL65" s="1" t="s">
        <v>74</v>
      </c>
      <c r="BM65" s="1" t="s">
        <v>74</v>
      </c>
      <c r="BN65" s="1">
        <v>1.4524842E7</v>
      </c>
      <c r="BO65" s="1" t="s">
        <v>74</v>
      </c>
      <c r="BP65" s="1" t="s">
        <v>74</v>
      </c>
      <c r="BQ65" s="1" t="s">
        <v>74</v>
      </c>
      <c r="BR65" s="1" t="s">
        <v>74</v>
      </c>
      <c r="BS65" s="1" t="s">
        <v>798</v>
      </c>
      <c r="BT65" s="1" t="str">
        <f>HYPERLINK("https%3A%2F%2Fwww.webofscience.com%2Fwos%2Fwoscc%2Ffull-record%2FWOS:000185756400026","View Full Record in Web of Science")</f>
        <v>View Full Record in Web of Science</v>
      </c>
    </row>
    <row r="66" ht="12.75" customHeight="1">
      <c r="A66" s="1" t="s">
        <v>72</v>
      </c>
      <c r="B66" s="1" t="s">
        <v>799</v>
      </c>
      <c r="C66" s="1" t="s">
        <v>74</v>
      </c>
      <c r="D66" s="1" t="s">
        <v>74</v>
      </c>
      <c r="E66" s="1" t="s">
        <v>74</v>
      </c>
      <c r="F66" s="1" t="s">
        <v>799</v>
      </c>
      <c r="G66" s="1" t="s">
        <v>74</v>
      </c>
      <c r="H66" s="1" t="s">
        <v>74</v>
      </c>
      <c r="I66" s="1" t="s">
        <v>800</v>
      </c>
      <c r="J66" s="1" t="s">
        <v>801</v>
      </c>
      <c r="K66" s="1" t="s">
        <v>74</v>
      </c>
      <c r="L66" s="1" t="s">
        <v>74</v>
      </c>
      <c r="M66" s="1" t="s">
        <v>74</v>
      </c>
      <c r="N66" s="1" t="s">
        <v>74</v>
      </c>
      <c r="O66" s="1" t="s">
        <v>74</v>
      </c>
      <c r="P66" s="1" t="s">
        <v>74</v>
      </c>
      <c r="Q66" s="1" t="s">
        <v>74</v>
      </c>
      <c r="R66" s="1" t="s">
        <v>74</v>
      </c>
      <c r="S66" s="1" t="s">
        <v>74</v>
      </c>
      <c r="T66" s="1" t="s">
        <v>74</v>
      </c>
      <c r="U66" s="1" t="s">
        <v>74</v>
      </c>
      <c r="V66" s="1" t="s">
        <v>802</v>
      </c>
      <c r="W66" s="1" t="s">
        <v>74</v>
      </c>
      <c r="X66" s="1" t="s">
        <v>74</v>
      </c>
      <c r="Y66" s="1" t="s">
        <v>74</v>
      </c>
      <c r="Z66" s="1" t="s">
        <v>74</v>
      </c>
      <c r="AA66" s="1" t="s">
        <v>74</v>
      </c>
      <c r="AB66" s="1" t="s">
        <v>74</v>
      </c>
      <c r="AC66" s="1" t="s">
        <v>74</v>
      </c>
      <c r="AD66" s="1" t="s">
        <v>74</v>
      </c>
      <c r="AE66" s="1" t="s">
        <v>74</v>
      </c>
      <c r="AF66" s="1" t="s">
        <v>74</v>
      </c>
      <c r="AG66" s="1" t="s">
        <v>74</v>
      </c>
      <c r="AH66" s="1" t="s">
        <v>74</v>
      </c>
      <c r="AI66" s="1" t="s">
        <v>74</v>
      </c>
      <c r="AJ66" s="1" t="s">
        <v>74</v>
      </c>
      <c r="AK66" s="1" t="s">
        <v>74</v>
      </c>
      <c r="AL66" s="1" t="s">
        <v>74</v>
      </c>
      <c r="AM66" s="1" t="s">
        <v>74</v>
      </c>
      <c r="AN66" s="1" t="s">
        <v>74</v>
      </c>
      <c r="AO66" s="1" t="s">
        <v>803</v>
      </c>
      <c r="AP66" s="1" t="s">
        <v>804</v>
      </c>
      <c r="AQ66" s="1" t="s">
        <v>74</v>
      </c>
      <c r="AR66" s="1" t="s">
        <v>74</v>
      </c>
      <c r="AS66" s="1" t="s">
        <v>74</v>
      </c>
      <c r="AT66" s="1" t="s">
        <v>74</v>
      </c>
      <c r="AU66" s="1">
        <v>2003.0</v>
      </c>
      <c r="AV66" s="1">
        <v>36.0</v>
      </c>
      <c r="AW66" s="1">
        <v>2.0</v>
      </c>
      <c r="AX66" s="1" t="s">
        <v>74</v>
      </c>
      <c r="AY66" s="1" t="s">
        <v>74</v>
      </c>
      <c r="AZ66" s="1" t="s">
        <v>74</v>
      </c>
      <c r="BA66" s="1" t="s">
        <v>74</v>
      </c>
      <c r="BB66" s="1">
        <v>161.0</v>
      </c>
      <c r="BC66" s="1">
        <v>166.0</v>
      </c>
      <c r="BD66" s="1" t="s">
        <v>805</v>
      </c>
      <c r="BE66" s="1" t="s">
        <v>806</v>
      </c>
      <c r="BF66" s="2" t="str">
        <f>HYPERLINK("http://dx.doi.org/10.1016/S0963-9969(02)00131-X","http://dx.doi.org/10.1016/S0963-9969(02)00131-X")</f>
        <v>http://dx.doi.org/10.1016/S0963-9969(02)00131-X</v>
      </c>
      <c r="BG66" s="1" t="s">
        <v>74</v>
      </c>
      <c r="BH66" s="1" t="s">
        <v>74</v>
      </c>
      <c r="BI66" s="1" t="s">
        <v>74</v>
      </c>
      <c r="BJ66" s="1" t="s">
        <v>74</v>
      </c>
      <c r="BK66" s="1" t="s">
        <v>74</v>
      </c>
      <c r="BL66" s="1" t="s">
        <v>74</v>
      </c>
      <c r="BM66" s="1" t="s">
        <v>74</v>
      </c>
      <c r="BN66" s="1" t="s">
        <v>74</v>
      </c>
      <c r="BO66" s="1" t="s">
        <v>74</v>
      </c>
      <c r="BP66" s="1" t="s">
        <v>74</v>
      </c>
      <c r="BQ66" s="1" t="s">
        <v>74</v>
      </c>
      <c r="BR66" s="1" t="s">
        <v>74</v>
      </c>
      <c r="BS66" s="1" t="s">
        <v>807</v>
      </c>
      <c r="BT66" s="1" t="str">
        <f>HYPERLINK("https%3A%2F%2Fwww.webofscience.com%2Fwos%2Fwoscc%2Ffull-record%2FWOS:000181222700007","View Full Record in Web of Science")</f>
        <v>View Full Record in Web of Science</v>
      </c>
    </row>
    <row r="67" ht="12.75" customHeight="1">
      <c r="A67" s="1" t="s">
        <v>72</v>
      </c>
      <c r="B67" s="1" t="s">
        <v>808</v>
      </c>
      <c r="C67" s="1" t="s">
        <v>74</v>
      </c>
      <c r="D67" s="1" t="s">
        <v>74</v>
      </c>
      <c r="E67" s="1" t="s">
        <v>74</v>
      </c>
      <c r="F67" s="1" t="s">
        <v>808</v>
      </c>
      <c r="G67" s="1" t="s">
        <v>74</v>
      </c>
      <c r="H67" s="1" t="s">
        <v>74</v>
      </c>
      <c r="I67" s="1" t="s">
        <v>809</v>
      </c>
      <c r="J67" s="1" t="s">
        <v>810</v>
      </c>
      <c r="K67" s="1" t="s">
        <v>74</v>
      </c>
      <c r="L67" s="1" t="s">
        <v>74</v>
      </c>
      <c r="M67" s="1" t="s">
        <v>74</v>
      </c>
      <c r="N67" s="1" t="s">
        <v>74</v>
      </c>
      <c r="O67" s="1" t="s">
        <v>811</v>
      </c>
      <c r="P67" s="1" t="s">
        <v>812</v>
      </c>
      <c r="Q67" s="1" t="s">
        <v>813</v>
      </c>
      <c r="R67" s="1" t="s">
        <v>74</v>
      </c>
      <c r="S67" s="1" t="s">
        <v>74</v>
      </c>
      <c r="T67" s="1" t="s">
        <v>74</v>
      </c>
      <c r="U67" s="1" t="s">
        <v>74</v>
      </c>
      <c r="V67" s="1" t="s">
        <v>814</v>
      </c>
      <c r="W67" s="1" t="s">
        <v>74</v>
      </c>
      <c r="X67" s="1" t="s">
        <v>74</v>
      </c>
      <c r="Y67" s="1" t="s">
        <v>74</v>
      </c>
      <c r="Z67" s="1" t="s">
        <v>74</v>
      </c>
      <c r="AA67" s="1" t="s">
        <v>815</v>
      </c>
      <c r="AB67" s="1" t="s">
        <v>816</v>
      </c>
      <c r="AC67" s="1" t="s">
        <v>74</v>
      </c>
      <c r="AD67" s="1" t="s">
        <v>74</v>
      </c>
      <c r="AE67" s="1" t="s">
        <v>74</v>
      </c>
      <c r="AF67" s="1" t="s">
        <v>74</v>
      </c>
      <c r="AG67" s="1" t="s">
        <v>74</v>
      </c>
      <c r="AH67" s="1" t="s">
        <v>74</v>
      </c>
      <c r="AI67" s="1" t="s">
        <v>74</v>
      </c>
      <c r="AJ67" s="1" t="s">
        <v>74</v>
      </c>
      <c r="AK67" s="1" t="s">
        <v>74</v>
      </c>
      <c r="AL67" s="1" t="s">
        <v>74</v>
      </c>
      <c r="AM67" s="1" t="s">
        <v>74</v>
      </c>
      <c r="AN67" s="1" t="s">
        <v>74</v>
      </c>
      <c r="AO67" s="1" t="s">
        <v>817</v>
      </c>
      <c r="AP67" s="1" t="s">
        <v>74</v>
      </c>
      <c r="AQ67" s="1" t="s">
        <v>74</v>
      </c>
      <c r="AR67" s="1" t="s">
        <v>74</v>
      </c>
      <c r="AS67" s="1" t="s">
        <v>74</v>
      </c>
      <c r="AT67" s="1" t="s">
        <v>818</v>
      </c>
      <c r="AU67" s="1">
        <v>2002.0</v>
      </c>
      <c r="AV67" s="1">
        <v>580.0</v>
      </c>
      <c r="AW67" s="1" t="s">
        <v>74</v>
      </c>
      <c r="AX67" s="1" t="s">
        <v>74</v>
      </c>
      <c r="AY67" s="1" t="s">
        <v>74</v>
      </c>
      <c r="AZ67" s="1" t="s">
        <v>411</v>
      </c>
      <c r="BA67" s="1" t="s">
        <v>74</v>
      </c>
      <c r="BB67" s="1">
        <v>193.0</v>
      </c>
      <c r="BC67" s="1">
        <v>200.0</v>
      </c>
      <c r="BD67" s="1" t="s">
        <v>819</v>
      </c>
      <c r="BE67" s="1" t="s">
        <v>820</v>
      </c>
      <c r="BF67" s="2" t="str">
        <f>HYPERLINK("http://dx.doi.org/10.1016/S0166-1280(01)00613-3","http://dx.doi.org/10.1016/S0166-1280(01)00613-3")</f>
        <v>http://dx.doi.org/10.1016/S0166-1280(01)00613-3</v>
      </c>
      <c r="BG67" s="1" t="s">
        <v>74</v>
      </c>
      <c r="BH67" s="1" t="s">
        <v>74</v>
      </c>
      <c r="BI67" s="1" t="s">
        <v>74</v>
      </c>
      <c r="BJ67" s="1" t="s">
        <v>74</v>
      </c>
      <c r="BK67" s="1" t="s">
        <v>74</v>
      </c>
      <c r="BL67" s="1" t="s">
        <v>74</v>
      </c>
      <c r="BM67" s="1" t="s">
        <v>74</v>
      </c>
      <c r="BN67" s="1" t="s">
        <v>74</v>
      </c>
      <c r="BO67" s="1" t="s">
        <v>74</v>
      </c>
      <c r="BP67" s="1" t="s">
        <v>74</v>
      </c>
      <c r="BQ67" s="1" t="s">
        <v>74</v>
      </c>
      <c r="BR67" s="1" t="s">
        <v>74</v>
      </c>
      <c r="BS67" s="1" t="s">
        <v>821</v>
      </c>
      <c r="BT67" s="1" t="str">
        <f>HYPERLINK("https%3A%2F%2Fwww.webofscience.com%2Fwos%2Fwoscc%2Ffull-record%2FWOS:000175256200022","View Full Record in Web of Science")</f>
        <v>View Full Record in Web of Science</v>
      </c>
    </row>
    <row r="68" ht="12.75" customHeight="1">
      <c r="A68" s="1" t="s">
        <v>72</v>
      </c>
      <c r="B68" s="1" t="s">
        <v>822</v>
      </c>
      <c r="C68" s="1" t="s">
        <v>74</v>
      </c>
      <c r="D68" s="1" t="s">
        <v>74</v>
      </c>
      <c r="E68" s="1" t="s">
        <v>74</v>
      </c>
      <c r="F68" s="1" t="s">
        <v>822</v>
      </c>
      <c r="G68" s="1" t="s">
        <v>74</v>
      </c>
      <c r="H68" s="1" t="s">
        <v>74</v>
      </c>
      <c r="I68" s="1" t="s">
        <v>823</v>
      </c>
      <c r="J68" s="1" t="s">
        <v>824</v>
      </c>
      <c r="K68" s="1" t="s">
        <v>74</v>
      </c>
      <c r="L68" s="1" t="s">
        <v>74</v>
      </c>
      <c r="M68" s="1" t="s">
        <v>74</v>
      </c>
      <c r="N68" s="1" t="s">
        <v>74</v>
      </c>
      <c r="O68" s="1" t="s">
        <v>74</v>
      </c>
      <c r="P68" s="1" t="s">
        <v>74</v>
      </c>
      <c r="Q68" s="1" t="s">
        <v>74</v>
      </c>
      <c r="R68" s="1" t="s">
        <v>74</v>
      </c>
      <c r="S68" s="1" t="s">
        <v>74</v>
      </c>
      <c r="T68" s="1" t="s">
        <v>74</v>
      </c>
      <c r="U68" s="1" t="s">
        <v>74</v>
      </c>
      <c r="V68" s="1" t="s">
        <v>74</v>
      </c>
      <c r="W68" s="1" t="s">
        <v>74</v>
      </c>
      <c r="X68" s="1" t="s">
        <v>74</v>
      </c>
      <c r="Y68" s="1" t="s">
        <v>74</v>
      </c>
      <c r="Z68" s="1" t="s">
        <v>74</v>
      </c>
      <c r="AA68" s="1" t="s">
        <v>825</v>
      </c>
      <c r="AB68" s="1" t="s">
        <v>74</v>
      </c>
      <c r="AC68" s="1" t="s">
        <v>74</v>
      </c>
      <c r="AD68" s="1" t="s">
        <v>74</v>
      </c>
      <c r="AE68" s="1" t="s">
        <v>74</v>
      </c>
      <c r="AF68" s="1" t="s">
        <v>74</v>
      </c>
      <c r="AG68" s="1" t="s">
        <v>74</v>
      </c>
      <c r="AH68" s="1" t="s">
        <v>74</v>
      </c>
      <c r="AI68" s="1" t="s">
        <v>74</v>
      </c>
      <c r="AJ68" s="1" t="s">
        <v>74</v>
      </c>
      <c r="AK68" s="1" t="s">
        <v>74</v>
      </c>
      <c r="AL68" s="1" t="s">
        <v>74</v>
      </c>
      <c r="AM68" s="1" t="s">
        <v>74</v>
      </c>
      <c r="AN68" s="1" t="s">
        <v>74</v>
      </c>
      <c r="AO68" s="1" t="s">
        <v>826</v>
      </c>
      <c r="AP68" s="1" t="s">
        <v>74</v>
      </c>
      <c r="AQ68" s="1" t="s">
        <v>74</v>
      </c>
      <c r="AR68" s="1" t="s">
        <v>74</v>
      </c>
      <c r="AS68" s="1" t="s">
        <v>74</v>
      </c>
      <c r="AT68" s="1" t="s">
        <v>827</v>
      </c>
      <c r="AU68" s="1">
        <v>2001.0</v>
      </c>
      <c r="AV68" s="1">
        <v>202.0</v>
      </c>
      <c r="AW68" s="1">
        <v>5.0</v>
      </c>
      <c r="AX68" s="1" t="s">
        <v>74</v>
      </c>
      <c r="AY68" s="1" t="s">
        <v>74</v>
      </c>
      <c r="AZ68" s="1" t="s">
        <v>74</v>
      </c>
      <c r="BA68" s="1" t="s">
        <v>74</v>
      </c>
      <c r="BB68" s="1">
        <v>689.0</v>
      </c>
      <c r="BC68" s="1">
        <v>693.0</v>
      </c>
      <c r="BD68" s="1" t="s">
        <v>74</v>
      </c>
      <c r="BE68" s="1" t="s">
        <v>828</v>
      </c>
      <c r="BF68" s="2" t="str">
        <f>HYPERLINK("http://dx.doi.org/10.1002/1521-3935(20010301)202:5&lt;689::AID-MACP689&gt;3.0.CO;2-1","http://dx.doi.org/10.1002/1521-3935(20010301)202:5&lt;689::AID-MACP689&gt;3.0.CO;2-1")</f>
        <v>http://dx.doi.org/10.1002/1521-3935(20010301)202:5&lt;689::AID-MACP689&gt;3.0.CO;2-1</v>
      </c>
      <c r="BG68" s="1" t="s">
        <v>74</v>
      </c>
      <c r="BH68" s="1" t="s">
        <v>74</v>
      </c>
      <c r="BI68" s="1" t="s">
        <v>74</v>
      </c>
      <c r="BJ68" s="1" t="s">
        <v>74</v>
      </c>
      <c r="BK68" s="1" t="s">
        <v>74</v>
      </c>
      <c r="BL68" s="1" t="s">
        <v>74</v>
      </c>
      <c r="BM68" s="1" t="s">
        <v>74</v>
      </c>
      <c r="BN68" s="1" t="s">
        <v>74</v>
      </c>
      <c r="BO68" s="1" t="s">
        <v>74</v>
      </c>
      <c r="BP68" s="1" t="s">
        <v>74</v>
      </c>
      <c r="BQ68" s="1" t="s">
        <v>74</v>
      </c>
      <c r="BR68" s="1" t="s">
        <v>74</v>
      </c>
      <c r="BS68" s="1" t="s">
        <v>829</v>
      </c>
      <c r="BT68" s="1" t="str">
        <f>HYPERLINK("https%3A%2F%2Fwww.webofscience.com%2Fwos%2Fwoscc%2Ffull-record%2FWOS:000167923600012","View Full Record in Web of Science")</f>
        <v>View Full Record in Web of Science</v>
      </c>
    </row>
    <row r="69" ht="12.75" customHeight="1">
      <c r="A69" s="1" t="s">
        <v>72</v>
      </c>
      <c r="B69" s="1" t="s">
        <v>830</v>
      </c>
      <c r="C69" s="1" t="s">
        <v>74</v>
      </c>
      <c r="D69" s="1" t="s">
        <v>74</v>
      </c>
      <c r="E69" s="1" t="s">
        <v>74</v>
      </c>
      <c r="F69" s="1" t="s">
        <v>830</v>
      </c>
      <c r="G69" s="1" t="s">
        <v>74</v>
      </c>
      <c r="H69" s="1" t="s">
        <v>74</v>
      </c>
      <c r="I69" s="1" t="s">
        <v>831</v>
      </c>
      <c r="J69" s="1" t="s">
        <v>832</v>
      </c>
      <c r="K69" s="1" t="s">
        <v>74</v>
      </c>
      <c r="L69" s="1" t="s">
        <v>74</v>
      </c>
      <c r="M69" s="1" t="s">
        <v>74</v>
      </c>
      <c r="N69" s="1" t="s">
        <v>74</v>
      </c>
      <c r="O69" s="1" t="s">
        <v>74</v>
      </c>
      <c r="P69" s="1" t="s">
        <v>74</v>
      </c>
      <c r="Q69" s="1" t="s">
        <v>74</v>
      </c>
      <c r="R69" s="1" t="s">
        <v>74</v>
      </c>
      <c r="S69" s="1" t="s">
        <v>74</v>
      </c>
      <c r="T69" s="1" t="s">
        <v>74</v>
      </c>
      <c r="U69" s="1" t="s">
        <v>74</v>
      </c>
      <c r="V69" s="1" t="s">
        <v>833</v>
      </c>
      <c r="W69" s="1" t="s">
        <v>74</v>
      </c>
      <c r="X69" s="1" t="s">
        <v>74</v>
      </c>
      <c r="Y69" s="1" t="s">
        <v>74</v>
      </c>
      <c r="Z69" s="1" t="s">
        <v>74</v>
      </c>
      <c r="AA69" s="1" t="s">
        <v>834</v>
      </c>
      <c r="AB69" s="1" t="s">
        <v>835</v>
      </c>
      <c r="AC69" s="1" t="s">
        <v>74</v>
      </c>
      <c r="AD69" s="1" t="s">
        <v>74</v>
      </c>
      <c r="AE69" s="1" t="s">
        <v>74</v>
      </c>
      <c r="AF69" s="1" t="s">
        <v>74</v>
      </c>
      <c r="AG69" s="1" t="s">
        <v>74</v>
      </c>
      <c r="AH69" s="1" t="s">
        <v>74</v>
      </c>
      <c r="AI69" s="1" t="s">
        <v>74</v>
      </c>
      <c r="AJ69" s="1" t="s">
        <v>74</v>
      </c>
      <c r="AK69" s="1" t="s">
        <v>74</v>
      </c>
      <c r="AL69" s="1" t="s">
        <v>74</v>
      </c>
      <c r="AM69" s="1" t="s">
        <v>74</v>
      </c>
      <c r="AN69" s="1" t="s">
        <v>74</v>
      </c>
      <c r="AO69" s="1" t="s">
        <v>836</v>
      </c>
      <c r="AP69" s="1" t="s">
        <v>74</v>
      </c>
      <c r="AQ69" s="1" t="s">
        <v>74</v>
      </c>
      <c r="AR69" s="1" t="s">
        <v>74</v>
      </c>
      <c r="AS69" s="1" t="s">
        <v>74</v>
      </c>
      <c r="AT69" s="1" t="s">
        <v>74</v>
      </c>
      <c r="AU69" s="1">
        <v>2000.0</v>
      </c>
      <c r="AV69" s="1">
        <v>13.0</v>
      </c>
      <c r="AW69" s="1" t="s">
        <v>837</v>
      </c>
      <c r="AX69" s="1" t="s">
        <v>74</v>
      </c>
      <c r="AY69" s="1" t="s">
        <v>74</v>
      </c>
      <c r="AZ69" s="1" t="s">
        <v>74</v>
      </c>
      <c r="BA69" s="1" t="s">
        <v>74</v>
      </c>
      <c r="BB69" s="1">
        <v>453.0</v>
      </c>
      <c r="BC69" s="1">
        <v>472.0</v>
      </c>
      <c r="BD69" s="1" t="s">
        <v>74</v>
      </c>
      <c r="BE69" s="1" t="s">
        <v>74</v>
      </c>
      <c r="BF69" s="1" t="s">
        <v>74</v>
      </c>
      <c r="BG69" s="1" t="s">
        <v>74</v>
      </c>
      <c r="BH69" s="1" t="s">
        <v>74</v>
      </c>
      <c r="BI69" s="1" t="s">
        <v>74</v>
      </c>
      <c r="BJ69" s="1" t="s">
        <v>74</v>
      </c>
      <c r="BK69" s="1" t="s">
        <v>74</v>
      </c>
      <c r="BL69" s="1" t="s">
        <v>74</v>
      </c>
      <c r="BM69" s="1" t="s">
        <v>74</v>
      </c>
      <c r="BN69" s="1" t="s">
        <v>74</v>
      </c>
      <c r="BO69" s="1" t="s">
        <v>74</v>
      </c>
      <c r="BP69" s="1" t="s">
        <v>74</v>
      </c>
      <c r="BQ69" s="1" t="s">
        <v>74</v>
      </c>
      <c r="BR69" s="1" t="s">
        <v>74</v>
      </c>
      <c r="BS69" s="1" t="s">
        <v>838</v>
      </c>
      <c r="BT69" s="1" t="str">
        <f>HYPERLINK("https%3A%2F%2Fwww.webofscience.com%2Fwos%2Fwoscc%2Ffull-record%2FWOS:000088280100025","View Full Record in Web of Science")</f>
        <v>View Full Record in Web of Science</v>
      </c>
    </row>
    <row r="70" ht="12.75" customHeight="1">
      <c r="A70" s="1" t="s">
        <v>72</v>
      </c>
      <c r="B70" s="1" t="s">
        <v>839</v>
      </c>
      <c r="C70" s="1" t="s">
        <v>74</v>
      </c>
      <c r="D70" s="1" t="s">
        <v>74</v>
      </c>
      <c r="E70" s="1" t="s">
        <v>74</v>
      </c>
      <c r="F70" s="1" t="s">
        <v>839</v>
      </c>
      <c r="G70" s="1" t="s">
        <v>74</v>
      </c>
      <c r="H70" s="1" t="s">
        <v>74</v>
      </c>
      <c r="I70" s="1" t="s">
        <v>840</v>
      </c>
      <c r="J70" s="1" t="s">
        <v>841</v>
      </c>
      <c r="K70" s="1" t="s">
        <v>74</v>
      </c>
      <c r="L70" s="1" t="s">
        <v>74</v>
      </c>
      <c r="M70" s="1" t="s">
        <v>74</v>
      </c>
      <c r="N70" s="1" t="s">
        <v>74</v>
      </c>
      <c r="O70" s="1" t="s">
        <v>74</v>
      </c>
      <c r="P70" s="1" t="s">
        <v>74</v>
      </c>
      <c r="Q70" s="1" t="s">
        <v>74</v>
      </c>
      <c r="R70" s="1" t="s">
        <v>74</v>
      </c>
      <c r="S70" s="1" t="s">
        <v>74</v>
      </c>
      <c r="T70" s="1" t="s">
        <v>74</v>
      </c>
      <c r="U70" s="1" t="s">
        <v>74</v>
      </c>
      <c r="V70" s="1" t="s">
        <v>74</v>
      </c>
      <c r="W70" s="1" t="s">
        <v>74</v>
      </c>
      <c r="X70" s="1" t="s">
        <v>74</v>
      </c>
      <c r="Y70" s="1" t="s">
        <v>74</v>
      </c>
      <c r="Z70" s="1" t="s">
        <v>74</v>
      </c>
      <c r="AA70" s="1" t="s">
        <v>842</v>
      </c>
      <c r="AB70" s="1" t="s">
        <v>843</v>
      </c>
      <c r="AC70" s="1" t="s">
        <v>74</v>
      </c>
      <c r="AD70" s="1" t="s">
        <v>74</v>
      </c>
      <c r="AE70" s="1" t="s">
        <v>74</v>
      </c>
      <c r="AF70" s="1" t="s">
        <v>74</v>
      </c>
      <c r="AG70" s="1" t="s">
        <v>74</v>
      </c>
      <c r="AH70" s="1" t="s">
        <v>74</v>
      </c>
      <c r="AI70" s="1" t="s">
        <v>74</v>
      </c>
      <c r="AJ70" s="1" t="s">
        <v>74</v>
      </c>
      <c r="AK70" s="1" t="s">
        <v>74</v>
      </c>
      <c r="AL70" s="1" t="s">
        <v>74</v>
      </c>
      <c r="AM70" s="1" t="s">
        <v>74</v>
      </c>
      <c r="AN70" s="1" t="s">
        <v>74</v>
      </c>
      <c r="AO70" s="1" t="s">
        <v>844</v>
      </c>
      <c r="AP70" s="1" t="s">
        <v>74</v>
      </c>
      <c r="AQ70" s="1" t="s">
        <v>74</v>
      </c>
      <c r="AR70" s="1" t="s">
        <v>74</v>
      </c>
      <c r="AS70" s="1" t="s">
        <v>74</v>
      </c>
      <c r="AT70" s="1" t="s">
        <v>215</v>
      </c>
      <c r="AU70" s="1">
        <v>1999.0</v>
      </c>
      <c r="AV70" s="1">
        <v>50.0</v>
      </c>
      <c r="AW70" s="1">
        <v>198.0</v>
      </c>
      <c r="AX70" s="1" t="s">
        <v>74</v>
      </c>
      <c r="AY70" s="1" t="s">
        <v>74</v>
      </c>
      <c r="AZ70" s="1" t="s">
        <v>74</v>
      </c>
      <c r="BA70" s="1" t="s">
        <v>74</v>
      </c>
      <c r="BB70" s="1">
        <v>197.0</v>
      </c>
      <c r="BC70" s="1">
        <v>206.0</v>
      </c>
      <c r="BD70" s="1" t="s">
        <v>74</v>
      </c>
      <c r="BE70" s="1" t="s">
        <v>845</v>
      </c>
      <c r="BF70" s="2" t="str">
        <f>HYPERLINK("http://dx.doi.org/10.1093/qjmath/50.198.197","http://dx.doi.org/10.1093/qjmath/50.198.197")</f>
        <v>http://dx.doi.org/10.1093/qjmath/50.198.197</v>
      </c>
      <c r="BG70" s="1" t="s">
        <v>74</v>
      </c>
      <c r="BH70" s="1" t="s">
        <v>74</v>
      </c>
      <c r="BI70" s="1" t="s">
        <v>74</v>
      </c>
      <c r="BJ70" s="1" t="s">
        <v>74</v>
      </c>
      <c r="BK70" s="1" t="s">
        <v>74</v>
      </c>
      <c r="BL70" s="1" t="s">
        <v>74</v>
      </c>
      <c r="BM70" s="1" t="s">
        <v>74</v>
      </c>
      <c r="BN70" s="1" t="s">
        <v>74</v>
      </c>
      <c r="BO70" s="1" t="s">
        <v>74</v>
      </c>
      <c r="BP70" s="1" t="s">
        <v>74</v>
      </c>
      <c r="BQ70" s="1" t="s">
        <v>74</v>
      </c>
      <c r="BR70" s="1" t="s">
        <v>74</v>
      </c>
      <c r="BS70" s="1" t="s">
        <v>846</v>
      </c>
      <c r="BT70" s="1" t="str">
        <f>HYPERLINK("https%3A%2F%2Fwww.webofscience.com%2Fwos%2Fwoscc%2Ffull-record%2FWOS:000081363600005","View Full Record in Web of Science")</f>
        <v>View Full Record in Web of Science</v>
      </c>
    </row>
    <row r="71" ht="12.75" customHeight="1">
      <c r="A71" s="1" t="s">
        <v>72</v>
      </c>
      <c r="B71" s="1" t="s">
        <v>847</v>
      </c>
      <c r="C71" s="1" t="s">
        <v>74</v>
      </c>
      <c r="D71" s="1" t="s">
        <v>74</v>
      </c>
      <c r="E71" s="1" t="s">
        <v>74</v>
      </c>
      <c r="F71" s="1" t="s">
        <v>847</v>
      </c>
      <c r="G71" s="1" t="s">
        <v>74</v>
      </c>
      <c r="H71" s="1" t="s">
        <v>74</v>
      </c>
      <c r="I71" s="1" t="s">
        <v>848</v>
      </c>
      <c r="J71" s="1" t="s">
        <v>849</v>
      </c>
      <c r="K71" s="1" t="s">
        <v>74</v>
      </c>
      <c r="L71" s="1" t="s">
        <v>74</v>
      </c>
      <c r="M71" s="1" t="s">
        <v>74</v>
      </c>
      <c r="N71" s="1" t="s">
        <v>74</v>
      </c>
      <c r="O71" s="1" t="s">
        <v>74</v>
      </c>
      <c r="P71" s="1" t="s">
        <v>74</v>
      </c>
      <c r="Q71" s="1" t="s">
        <v>74</v>
      </c>
      <c r="R71" s="1" t="s">
        <v>74</v>
      </c>
      <c r="S71" s="1" t="s">
        <v>74</v>
      </c>
      <c r="T71" s="1" t="s">
        <v>74</v>
      </c>
      <c r="U71" s="1" t="s">
        <v>74</v>
      </c>
      <c r="V71" s="1" t="s">
        <v>850</v>
      </c>
      <c r="W71" s="1" t="s">
        <v>74</v>
      </c>
      <c r="X71" s="1" t="s">
        <v>74</v>
      </c>
      <c r="Y71" s="1" t="s">
        <v>74</v>
      </c>
      <c r="Z71" s="1" t="s">
        <v>74</v>
      </c>
      <c r="AA71" s="1" t="s">
        <v>74</v>
      </c>
      <c r="AB71" s="1" t="s">
        <v>74</v>
      </c>
      <c r="AC71" s="1" t="s">
        <v>74</v>
      </c>
      <c r="AD71" s="1" t="s">
        <v>74</v>
      </c>
      <c r="AE71" s="1" t="s">
        <v>74</v>
      </c>
      <c r="AF71" s="1" t="s">
        <v>74</v>
      </c>
      <c r="AG71" s="1" t="s">
        <v>74</v>
      </c>
      <c r="AH71" s="1" t="s">
        <v>74</v>
      </c>
      <c r="AI71" s="1" t="s">
        <v>74</v>
      </c>
      <c r="AJ71" s="1" t="s">
        <v>74</v>
      </c>
      <c r="AK71" s="1" t="s">
        <v>74</v>
      </c>
      <c r="AL71" s="1" t="s">
        <v>74</v>
      </c>
      <c r="AM71" s="1" t="s">
        <v>74</v>
      </c>
      <c r="AN71" s="1" t="s">
        <v>74</v>
      </c>
      <c r="AO71" s="1" t="s">
        <v>851</v>
      </c>
      <c r="AP71" s="1" t="s">
        <v>74</v>
      </c>
      <c r="AQ71" s="1" t="s">
        <v>74</v>
      </c>
      <c r="AR71" s="1" t="s">
        <v>74</v>
      </c>
      <c r="AS71" s="1" t="s">
        <v>74</v>
      </c>
      <c r="AT71" s="1" t="s">
        <v>852</v>
      </c>
      <c r="AU71" s="1">
        <v>1997.0</v>
      </c>
      <c r="AV71" s="1">
        <v>12.0</v>
      </c>
      <c r="AW71" s="1">
        <v>3.0</v>
      </c>
      <c r="AX71" s="1" t="s">
        <v>74</v>
      </c>
      <c r="AY71" s="1" t="s">
        <v>74</v>
      </c>
      <c r="AZ71" s="1" t="s">
        <v>74</v>
      </c>
      <c r="BA71" s="1" t="s">
        <v>74</v>
      </c>
      <c r="BB71" s="1">
        <v>141.0</v>
      </c>
      <c r="BC71" s="1">
        <v>148.0</v>
      </c>
      <c r="BD71" s="1" t="s">
        <v>74</v>
      </c>
      <c r="BE71" s="1" t="s">
        <v>74</v>
      </c>
      <c r="BF71" s="1" t="s">
        <v>74</v>
      </c>
      <c r="BG71" s="1" t="s">
        <v>74</v>
      </c>
      <c r="BH71" s="1" t="s">
        <v>74</v>
      </c>
      <c r="BI71" s="1" t="s">
        <v>74</v>
      </c>
      <c r="BJ71" s="1" t="s">
        <v>74</v>
      </c>
      <c r="BK71" s="1" t="s">
        <v>74</v>
      </c>
      <c r="BL71" s="1" t="s">
        <v>74</v>
      </c>
      <c r="BM71" s="1" t="s">
        <v>74</v>
      </c>
      <c r="BN71" s="1">
        <v>9427113.0</v>
      </c>
      <c r="BO71" s="1" t="s">
        <v>74</v>
      </c>
      <c r="BP71" s="1" t="s">
        <v>74</v>
      </c>
      <c r="BQ71" s="1" t="s">
        <v>74</v>
      </c>
      <c r="BR71" s="1" t="s">
        <v>74</v>
      </c>
      <c r="BS71" s="1" t="s">
        <v>853</v>
      </c>
      <c r="BT71" s="1" t="str">
        <f>HYPERLINK("https%3A%2F%2Fwww.webofscience.com%2Fwos%2Fwoscc%2Ffull-record%2FWOS:A1997YK17100002","View Full Record in Web of Science")</f>
        <v>View Full Record in Web of Science</v>
      </c>
    </row>
    <row r="72" ht="12.75" customHeight="1">
      <c r="A72" s="1" t="s">
        <v>72</v>
      </c>
      <c r="B72" s="1" t="s">
        <v>854</v>
      </c>
      <c r="C72" s="1" t="s">
        <v>74</v>
      </c>
      <c r="D72" s="1" t="s">
        <v>74</v>
      </c>
      <c r="E72" s="1" t="s">
        <v>74</v>
      </c>
      <c r="F72" s="1" t="s">
        <v>854</v>
      </c>
      <c r="G72" s="1" t="s">
        <v>74</v>
      </c>
      <c r="H72" s="1" t="s">
        <v>74</v>
      </c>
      <c r="I72" s="1" t="s">
        <v>855</v>
      </c>
      <c r="J72" s="1" t="s">
        <v>856</v>
      </c>
      <c r="K72" s="1" t="s">
        <v>74</v>
      </c>
      <c r="L72" s="1" t="s">
        <v>74</v>
      </c>
      <c r="M72" s="1" t="s">
        <v>74</v>
      </c>
      <c r="N72" s="1" t="s">
        <v>74</v>
      </c>
      <c r="O72" s="1" t="s">
        <v>74</v>
      </c>
      <c r="P72" s="1" t="s">
        <v>74</v>
      </c>
      <c r="Q72" s="1" t="s">
        <v>74</v>
      </c>
      <c r="R72" s="1" t="s">
        <v>74</v>
      </c>
      <c r="S72" s="1" t="s">
        <v>74</v>
      </c>
      <c r="T72" s="1" t="s">
        <v>74</v>
      </c>
      <c r="U72" s="1" t="s">
        <v>74</v>
      </c>
      <c r="V72" s="1" t="s">
        <v>857</v>
      </c>
      <c r="W72" s="1" t="s">
        <v>74</v>
      </c>
      <c r="X72" s="1" t="s">
        <v>74</v>
      </c>
      <c r="Y72" s="1" t="s">
        <v>74</v>
      </c>
      <c r="Z72" s="1" t="s">
        <v>74</v>
      </c>
      <c r="AA72" s="1" t="s">
        <v>858</v>
      </c>
      <c r="AB72" s="1" t="s">
        <v>859</v>
      </c>
      <c r="AC72" s="1" t="s">
        <v>74</v>
      </c>
      <c r="AD72" s="1" t="s">
        <v>74</v>
      </c>
      <c r="AE72" s="1" t="s">
        <v>74</v>
      </c>
      <c r="AF72" s="1" t="s">
        <v>74</v>
      </c>
      <c r="AG72" s="1" t="s">
        <v>74</v>
      </c>
      <c r="AH72" s="1" t="s">
        <v>74</v>
      </c>
      <c r="AI72" s="1" t="s">
        <v>74</v>
      </c>
      <c r="AJ72" s="1" t="s">
        <v>74</v>
      </c>
      <c r="AK72" s="1" t="s">
        <v>74</v>
      </c>
      <c r="AL72" s="1" t="s">
        <v>74</v>
      </c>
      <c r="AM72" s="1" t="s">
        <v>74</v>
      </c>
      <c r="AN72" s="1" t="s">
        <v>74</v>
      </c>
      <c r="AO72" s="1" t="s">
        <v>860</v>
      </c>
      <c r="AP72" s="1" t="s">
        <v>74</v>
      </c>
      <c r="AQ72" s="1" t="s">
        <v>74</v>
      </c>
      <c r="AR72" s="1" t="s">
        <v>74</v>
      </c>
      <c r="AS72" s="1" t="s">
        <v>74</v>
      </c>
      <c r="AT72" s="1" t="s">
        <v>861</v>
      </c>
      <c r="AU72" s="1">
        <v>1996.0</v>
      </c>
      <c r="AV72" s="1">
        <v>184.0</v>
      </c>
      <c r="AW72" s="1">
        <v>2.0</v>
      </c>
      <c r="AX72" s="1" t="s">
        <v>74</v>
      </c>
      <c r="AY72" s="1" t="s">
        <v>74</v>
      </c>
      <c r="AZ72" s="1" t="s">
        <v>74</v>
      </c>
      <c r="BA72" s="1" t="s">
        <v>74</v>
      </c>
      <c r="BB72" s="1">
        <v>652.0</v>
      </c>
      <c r="BC72" s="1">
        <v>657.0</v>
      </c>
      <c r="BD72" s="1" t="s">
        <v>74</v>
      </c>
      <c r="BE72" s="1" t="s">
        <v>862</v>
      </c>
      <c r="BF72" s="2" t="str">
        <f>HYPERLINK("http://dx.doi.org/10.1006/jcis.1996.0662","http://dx.doi.org/10.1006/jcis.1996.0662")</f>
        <v>http://dx.doi.org/10.1006/jcis.1996.0662</v>
      </c>
      <c r="BG72" s="1" t="s">
        <v>74</v>
      </c>
      <c r="BH72" s="1" t="s">
        <v>74</v>
      </c>
      <c r="BI72" s="1" t="s">
        <v>74</v>
      </c>
      <c r="BJ72" s="1" t="s">
        <v>74</v>
      </c>
      <c r="BK72" s="1" t="s">
        <v>74</v>
      </c>
      <c r="BL72" s="1" t="s">
        <v>74</v>
      </c>
      <c r="BM72" s="1" t="s">
        <v>74</v>
      </c>
      <c r="BN72" s="1">
        <v>8978570.0</v>
      </c>
      <c r="BO72" s="1" t="s">
        <v>74</v>
      </c>
      <c r="BP72" s="1" t="s">
        <v>74</v>
      </c>
      <c r="BQ72" s="1" t="s">
        <v>74</v>
      </c>
      <c r="BR72" s="1" t="s">
        <v>74</v>
      </c>
      <c r="BS72" s="1" t="s">
        <v>863</v>
      </c>
      <c r="BT72" s="1" t="str">
        <f>HYPERLINK("https%3A%2F%2Fwww.webofscience.com%2Fwos%2Fwoscc%2Ffull-record%2FWOS:A1996WA88400035","View Full Record in Web of Science")</f>
        <v>View Full Record in Web of Science</v>
      </c>
    </row>
    <row r="73" ht="12.75" customHeight="1">
      <c r="A73" s="1" t="s">
        <v>72</v>
      </c>
      <c r="B73" s="1" t="s">
        <v>864</v>
      </c>
      <c r="C73" s="1" t="s">
        <v>74</v>
      </c>
      <c r="D73" s="1" t="s">
        <v>74</v>
      </c>
      <c r="E73" s="1" t="s">
        <v>74</v>
      </c>
      <c r="F73" s="1" t="s">
        <v>864</v>
      </c>
      <c r="G73" s="1" t="s">
        <v>74</v>
      </c>
      <c r="H73" s="1" t="s">
        <v>74</v>
      </c>
      <c r="I73" s="1" t="s">
        <v>865</v>
      </c>
      <c r="J73" s="1" t="s">
        <v>866</v>
      </c>
      <c r="K73" s="1" t="s">
        <v>74</v>
      </c>
      <c r="L73" s="1" t="s">
        <v>74</v>
      </c>
      <c r="M73" s="1" t="s">
        <v>74</v>
      </c>
      <c r="N73" s="1" t="s">
        <v>74</v>
      </c>
      <c r="O73" s="1" t="s">
        <v>74</v>
      </c>
      <c r="P73" s="1" t="s">
        <v>74</v>
      </c>
      <c r="Q73" s="1" t="s">
        <v>74</v>
      </c>
      <c r="R73" s="1" t="s">
        <v>74</v>
      </c>
      <c r="S73" s="1" t="s">
        <v>74</v>
      </c>
      <c r="T73" s="1" t="s">
        <v>74</v>
      </c>
      <c r="U73" s="1" t="s">
        <v>74</v>
      </c>
      <c r="V73" s="1" t="s">
        <v>867</v>
      </c>
      <c r="W73" s="1" t="s">
        <v>74</v>
      </c>
      <c r="X73" s="1" t="s">
        <v>74</v>
      </c>
      <c r="Y73" s="1" t="s">
        <v>74</v>
      </c>
      <c r="Z73" s="1" t="s">
        <v>74</v>
      </c>
      <c r="AA73" s="1" t="s">
        <v>825</v>
      </c>
      <c r="AB73" s="1" t="s">
        <v>74</v>
      </c>
      <c r="AC73" s="1" t="s">
        <v>74</v>
      </c>
      <c r="AD73" s="1" t="s">
        <v>74</v>
      </c>
      <c r="AE73" s="1" t="s">
        <v>74</v>
      </c>
      <c r="AF73" s="1" t="s">
        <v>74</v>
      </c>
      <c r="AG73" s="1" t="s">
        <v>74</v>
      </c>
      <c r="AH73" s="1" t="s">
        <v>74</v>
      </c>
      <c r="AI73" s="1" t="s">
        <v>74</v>
      </c>
      <c r="AJ73" s="1" t="s">
        <v>74</v>
      </c>
      <c r="AK73" s="1" t="s">
        <v>74</v>
      </c>
      <c r="AL73" s="1" t="s">
        <v>74</v>
      </c>
      <c r="AM73" s="1" t="s">
        <v>74</v>
      </c>
      <c r="AN73" s="1" t="s">
        <v>74</v>
      </c>
      <c r="AO73" s="1" t="s">
        <v>868</v>
      </c>
      <c r="AP73" s="1" t="s">
        <v>869</v>
      </c>
      <c r="AQ73" s="1" t="s">
        <v>74</v>
      </c>
      <c r="AR73" s="1" t="s">
        <v>74</v>
      </c>
      <c r="AS73" s="1" t="s">
        <v>74</v>
      </c>
      <c r="AT73" s="1" t="s">
        <v>650</v>
      </c>
      <c r="AU73" s="1">
        <v>1994.0</v>
      </c>
      <c r="AV73" s="1">
        <v>309.0</v>
      </c>
      <c r="AW73" s="1">
        <v>2.0</v>
      </c>
      <c r="AX73" s="1" t="s">
        <v>74</v>
      </c>
      <c r="AY73" s="1" t="s">
        <v>74</v>
      </c>
      <c r="AZ73" s="1" t="s">
        <v>74</v>
      </c>
      <c r="BA73" s="1" t="s">
        <v>74</v>
      </c>
      <c r="BB73" s="1">
        <v>231.0</v>
      </c>
      <c r="BC73" s="1">
        <v>238.0</v>
      </c>
      <c r="BD73" s="1" t="s">
        <v>74</v>
      </c>
      <c r="BE73" s="1" t="s">
        <v>870</v>
      </c>
      <c r="BF73" s="2" t="str">
        <f>HYPERLINK("http://dx.doi.org/10.1006/abbi.1994.1107","http://dx.doi.org/10.1006/abbi.1994.1107")</f>
        <v>http://dx.doi.org/10.1006/abbi.1994.1107</v>
      </c>
      <c r="BG73" s="1" t="s">
        <v>74</v>
      </c>
      <c r="BH73" s="1" t="s">
        <v>74</v>
      </c>
      <c r="BI73" s="1" t="s">
        <v>74</v>
      </c>
      <c r="BJ73" s="1" t="s">
        <v>74</v>
      </c>
      <c r="BK73" s="1" t="s">
        <v>74</v>
      </c>
      <c r="BL73" s="1" t="s">
        <v>74</v>
      </c>
      <c r="BM73" s="1" t="s">
        <v>74</v>
      </c>
      <c r="BN73" s="1">
        <v>8135532.0</v>
      </c>
      <c r="BO73" s="1" t="s">
        <v>74</v>
      </c>
      <c r="BP73" s="1" t="s">
        <v>74</v>
      </c>
      <c r="BQ73" s="1" t="s">
        <v>74</v>
      </c>
      <c r="BR73" s="1" t="s">
        <v>74</v>
      </c>
      <c r="BS73" s="1" t="s">
        <v>871</v>
      </c>
      <c r="BT73" s="1" t="str">
        <f>HYPERLINK("https%3A%2F%2Fwww.webofscience.com%2Fwos%2Fwoscc%2Ffull-record%2FWOS:A1994MY85800005","View Full Record in Web of Science")</f>
        <v>View Full Record in Web of Science</v>
      </c>
    </row>
    <row r="74" ht="12.75" customHeight="1">
      <c r="A74" s="1" t="s">
        <v>72</v>
      </c>
      <c r="B74" s="1" t="s">
        <v>872</v>
      </c>
      <c r="C74" s="1" t="s">
        <v>74</v>
      </c>
      <c r="D74" s="1" t="s">
        <v>74</v>
      </c>
      <c r="E74" s="1" t="s">
        <v>74</v>
      </c>
      <c r="F74" s="1" t="s">
        <v>872</v>
      </c>
      <c r="G74" s="1" t="s">
        <v>74</v>
      </c>
      <c r="H74" s="1" t="s">
        <v>74</v>
      </c>
      <c r="I74" s="1" t="s">
        <v>873</v>
      </c>
      <c r="J74" s="1" t="s">
        <v>856</v>
      </c>
      <c r="K74" s="1" t="s">
        <v>74</v>
      </c>
      <c r="L74" s="1" t="s">
        <v>74</v>
      </c>
      <c r="M74" s="1" t="s">
        <v>74</v>
      </c>
      <c r="N74" s="1" t="s">
        <v>74</v>
      </c>
      <c r="O74" s="1" t="s">
        <v>74</v>
      </c>
      <c r="P74" s="1" t="s">
        <v>74</v>
      </c>
      <c r="Q74" s="1" t="s">
        <v>74</v>
      </c>
      <c r="R74" s="1" t="s">
        <v>74</v>
      </c>
      <c r="S74" s="1" t="s">
        <v>74</v>
      </c>
      <c r="T74" s="1" t="s">
        <v>74</v>
      </c>
      <c r="U74" s="1" t="s">
        <v>74</v>
      </c>
      <c r="V74" s="1" t="s">
        <v>874</v>
      </c>
      <c r="W74" s="1" t="s">
        <v>74</v>
      </c>
      <c r="X74" s="1" t="s">
        <v>74</v>
      </c>
      <c r="Y74" s="1" t="s">
        <v>74</v>
      </c>
      <c r="Z74" s="1" t="s">
        <v>74</v>
      </c>
      <c r="AA74" s="1" t="s">
        <v>875</v>
      </c>
      <c r="AB74" s="1" t="s">
        <v>876</v>
      </c>
      <c r="AC74" s="1" t="s">
        <v>74</v>
      </c>
      <c r="AD74" s="1" t="s">
        <v>74</v>
      </c>
      <c r="AE74" s="1" t="s">
        <v>74</v>
      </c>
      <c r="AF74" s="1" t="s">
        <v>74</v>
      </c>
      <c r="AG74" s="1" t="s">
        <v>74</v>
      </c>
      <c r="AH74" s="1" t="s">
        <v>74</v>
      </c>
      <c r="AI74" s="1" t="s">
        <v>74</v>
      </c>
      <c r="AJ74" s="1" t="s">
        <v>74</v>
      </c>
      <c r="AK74" s="1" t="s">
        <v>74</v>
      </c>
      <c r="AL74" s="1" t="s">
        <v>74</v>
      </c>
      <c r="AM74" s="1" t="s">
        <v>74</v>
      </c>
      <c r="AN74" s="1" t="s">
        <v>74</v>
      </c>
      <c r="AO74" s="1" t="s">
        <v>860</v>
      </c>
      <c r="AP74" s="1" t="s">
        <v>877</v>
      </c>
      <c r="AQ74" s="1" t="s">
        <v>74</v>
      </c>
      <c r="AR74" s="1" t="s">
        <v>74</v>
      </c>
      <c r="AS74" s="1" t="s">
        <v>74</v>
      </c>
      <c r="AT74" s="1" t="s">
        <v>135</v>
      </c>
      <c r="AU74" s="1">
        <v>1986.0</v>
      </c>
      <c r="AV74" s="1">
        <v>112.0</v>
      </c>
      <c r="AW74" s="1">
        <v>2.0</v>
      </c>
      <c r="AX74" s="1" t="s">
        <v>74</v>
      </c>
      <c r="AY74" s="1" t="s">
        <v>74</v>
      </c>
      <c r="AZ74" s="1" t="s">
        <v>74</v>
      </c>
      <c r="BA74" s="1" t="s">
        <v>74</v>
      </c>
      <c r="BB74" s="1">
        <v>513.0</v>
      </c>
      <c r="BC74" s="1">
        <v>520.0</v>
      </c>
      <c r="BD74" s="1" t="s">
        <v>74</v>
      </c>
      <c r="BE74" s="1" t="s">
        <v>878</v>
      </c>
      <c r="BF74" s="2" t="str">
        <f>HYPERLINK("http://dx.doi.org/10.1016/0021-9797(86)90120-7","http://dx.doi.org/10.1016/0021-9797(86)90120-7")</f>
        <v>http://dx.doi.org/10.1016/0021-9797(86)90120-7</v>
      </c>
      <c r="BG74" s="1" t="s">
        <v>74</v>
      </c>
      <c r="BH74" s="1" t="s">
        <v>74</v>
      </c>
      <c r="BI74" s="1" t="s">
        <v>74</v>
      </c>
      <c r="BJ74" s="1" t="s">
        <v>74</v>
      </c>
      <c r="BK74" s="1" t="s">
        <v>74</v>
      </c>
      <c r="BL74" s="1" t="s">
        <v>74</v>
      </c>
      <c r="BM74" s="1" t="s">
        <v>74</v>
      </c>
      <c r="BN74" s="1" t="s">
        <v>74</v>
      </c>
      <c r="BO74" s="1" t="s">
        <v>74</v>
      </c>
      <c r="BP74" s="1" t="s">
        <v>74</v>
      </c>
      <c r="BQ74" s="1" t="s">
        <v>74</v>
      </c>
      <c r="BR74" s="1" t="s">
        <v>74</v>
      </c>
      <c r="BS74" s="1" t="s">
        <v>879</v>
      </c>
      <c r="BT74" s="1" t="str">
        <f>HYPERLINK("https%3A%2F%2Fwww.webofscience.com%2Fwos%2Fwoscc%2Ffull-record%2FWOS:A1986D321900020","View Full Record in Web of Science")</f>
        <v>View Full Record in Web of Science</v>
      </c>
    </row>
    <row r="75" ht="12.75" customHeight="1">
      <c r="A75" s="1" t="s">
        <v>72</v>
      </c>
      <c r="B75" s="1" t="s">
        <v>880</v>
      </c>
      <c r="C75" s="1" t="s">
        <v>74</v>
      </c>
      <c r="D75" s="1" t="s">
        <v>74</v>
      </c>
      <c r="E75" s="1" t="s">
        <v>74</v>
      </c>
      <c r="F75" s="1" t="s">
        <v>880</v>
      </c>
      <c r="G75" s="1" t="s">
        <v>74</v>
      </c>
      <c r="H75" s="1" t="s">
        <v>74</v>
      </c>
      <c r="I75" s="1" t="s">
        <v>881</v>
      </c>
      <c r="J75" s="1" t="s">
        <v>882</v>
      </c>
      <c r="K75" s="1" t="s">
        <v>74</v>
      </c>
      <c r="L75" s="1" t="s">
        <v>74</v>
      </c>
      <c r="M75" s="1" t="s">
        <v>74</v>
      </c>
      <c r="N75" s="1" t="s">
        <v>74</v>
      </c>
      <c r="O75" s="1" t="s">
        <v>74</v>
      </c>
      <c r="P75" s="1" t="s">
        <v>74</v>
      </c>
      <c r="Q75" s="1" t="s">
        <v>74</v>
      </c>
      <c r="R75" s="1" t="s">
        <v>74</v>
      </c>
      <c r="S75" s="1" t="s">
        <v>74</v>
      </c>
      <c r="T75" s="1" t="s">
        <v>74</v>
      </c>
      <c r="U75" s="1" t="s">
        <v>74</v>
      </c>
      <c r="V75" s="1" t="s">
        <v>74</v>
      </c>
      <c r="W75" s="1" t="s">
        <v>74</v>
      </c>
      <c r="X75" s="1" t="s">
        <v>74</v>
      </c>
      <c r="Y75" s="1" t="s">
        <v>74</v>
      </c>
      <c r="Z75" s="1" t="s">
        <v>74</v>
      </c>
      <c r="AA75" s="1" t="s">
        <v>883</v>
      </c>
      <c r="AB75" s="1" t="s">
        <v>884</v>
      </c>
      <c r="AC75" s="1" t="s">
        <v>74</v>
      </c>
      <c r="AD75" s="1" t="s">
        <v>74</v>
      </c>
      <c r="AE75" s="1" t="s">
        <v>74</v>
      </c>
      <c r="AF75" s="1" t="s">
        <v>74</v>
      </c>
      <c r="AG75" s="1" t="s">
        <v>74</v>
      </c>
      <c r="AH75" s="1" t="s">
        <v>74</v>
      </c>
      <c r="AI75" s="1" t="s">
        <v>74</v>
      </c>
      <c r="AJ75" s="1" t="s">
        <v>74</v>
      </c>
      <c r="AK75" s="1" t="s">
        <v>74</v>
      </c>
      <c r="AL75" s="1" t="s">
        <v>74</v>
      </c>
      <c r="AM75" s="1" t="s">
        <v>74</v>
      </c>
      <c r="AN75" s="1" t="s">
        <v>74</v>
      </c>
      <c r="AO75" s="1" t="s">
        <v>885</v>
      </c>
      <c r="AP75" s="1" t="s">
        <v>74</v>
      </c>
      <c r="AQ75" s="1" t="s">
        <v>74</v>
      </c>
      <c r="AR75" s="1" t="s">
        <v>74</v>
      </c>
      <c r="AS75" s="1" t="s">
        <v>74</v>
      </c>
      <c r="AT75" s="1" t="s">
        <v>74</v>
      </c>
      <c r="AU75" s="1">
        <v>1980.0</v>
      </c>
      <c r="AV75" s="1">
        <v>84.0</v>
      </c>
      <c r="AW75" s="1">
        <v>3.0</v>
      </c>
      <c r="AX75" s="1" t="s">
        <v>74</v>
      </c>
      <c r="AY75" s="1" t="s">
        <v>74</v>
      </c>
      <c r="AZ75" s="1" t="s">
        <v>74</v>
      </c>
      <c r="BA75" s="1" t="s">
        <v>74</v>
      </c>
      <c r="BB75" s="1">
        <v>251.0</v>
      </c>
      <c r="BC75" s="1">
        <v>255.0</v>
      </c>
      <c r="BD75" s="1" t="s">
        <v>74</v>
      </c>
      <c r="BE75" s="1" t="s">
        <v>886</v>
      </c>
      <c r="BF75" s="2" t="str">
        <f>HYPERLINK("http://dx.doi.org/10.1021/j100440a005","http://dx.doi.org/10.1021/j100440a005")</f>
        <v>http://dx.doi.org/10.1021/j100440a005</v>
      </c>
      <c r="BG75" s="1" t="s">
        <v>74</v>
      </c>
      <c r="BH75" s="1" t="s">
        <v>74</v>
      </c>
      <c r="BI75" s="1" t="s">
        <v>74</v>
      </c>
      <c r="BJ75" s="1" t="s">
        <v>74</v>
      </c>
      <c r="BK75" s="1" t="s">
        <v>74</v>
      </c>
      <c r="BL75" s="1" t="s">
        <v>74</v>
      </c>
      <c r="BM75" s="1" t="s">
        <v>74</v>
      </c>
      <c r="BN75" s="1" t="s">
        <v>74</v>
      </c>
      <c r="BO75" s="1" t="s">
        <v>74</v>
      </c>
      <c r="BP75" s="1" t="s">
        <v>74</v>
      </c>
      <c r="BQ75" s="1" t="s">
        <v>74</v>
      </c>
      <c r="BR75" s="1" t="s">
        <v>74</v>
      </c>
      <c r="BS75" s="1" t="s">
        <v>887</v>
      </c>
      <c r="BT75" s="1" t="str">
        <f>HYPERLINK("https%3A%2F%2Fwww.webofscience.com%2Fwos%2Fwoscc%2Ffull-record%2FWOS:A1980JE25000005","View Full Record in Web of Science")</f>
        <v>View Full Record in Web of Science</v>
      </c>
    </row>
    <row r="76" ht="12.75" customHeight="1">
      <c r="A76" s="1" t="s">
        <v>72</v>
      </c>
      <c r="B76" s="1" t="s">
        <v>888</v>
      </c>
      <c r="C76" s="1" t="s">
        <v>74</v>
      </c>
      <c r="D76" s="1" t="s">
        <v>74</v>
      </c>
      <c r="E76" s="1" t="s">
        <v>74</v>
      </c>
      <c r="F76" s="1" t="s">
        <v>888</v>
      </c>
      <c r="G76" s="1" t="s">
        <v>74</v>
      </c>
      <c r="H76" s="1" t="s">
        <v>74</v>
      </c>
      <c r="I76" s="1" t="s">
        <v>889</v>
      </c>
      <c r="J76" s="1" t="s">
        <v>890</v>
      </c>
      <c r="K76" s="1" t="s">
        <v>74</v>
      </c>
      <c r="L76" s="1" t="s">
        <v>74</v>
      </c>
      <c r="M76" s="1" t="s">
        <v>74</v>
      </c>
      <c r="N76" s="1" t="s">
        <v>74</v>
      </c>
      <c r="O76" s="1" t="s">
        <v>74</v>
      </c>
      <c r="P76" s="1" t="s">
        <v>74</v>
      </c>
      <c r="Q76" s="1" t="s">
        <v>74</v>
      </c>
      <c r="R76" s="1" t="s">
        <v>74</v>
      </c>
      <c r="S76" s="1" t="s">
        <v>74</v>
      </c>
      <c r="T76" s="1" t="s">
        <v>74</v>
      </c>
      <c r="U76" s="1" t="s">
        <v>74</v>
      </c>
      <c r="V76" s="1" t="s">
        <v>74</v>
      </c>
      <c r="W76" s="1" t="s">
        <v>74</v>
      </c>
      <c r="X76" s="1" t="s">
        <v>74</v>
      </c>
      <c r="Y76" s="1" t="s">
        <v>74</v>
      </c>
      <c r="Z76" s="1" t="s">
        <v>74</v>
      </c>
      <c r="AA76" s="1" t="s">
        <v>74</v>
      </c>
      <c r="AB76" s="1" t="s">
        <v>74</v>
      </c>
      <c r="AC76" s="1" t="s">
        <v>74</v>
      </c>
      <c r="AD76" s="1" t="s">
        <v>74</v>
      </c>
      <c r="AE76" s="1" t="s">
        <v>74</v>
      </c>
      <c r="AF76" s="1" t="s">
        <v>74</v>
      </c>
      <c r="AG76" s="1" t="s">
        <v>74</v>
      </c>
      <c r="AH76" s="1" t="s">
        <v>74</v>
      </c>
      <c r="AI76" s="1" t="s">
        <v>74</v>
      </c>
      <c r="AJ76" s="1" t="s">
        <v>74</v>
      </c>
      <c r="AK76" s="1" t="s">
        <v>74</v>
      </c>
      <c r="AL76" s="1" t="s">
        <v>74</v>
      </c>
      <c r="AM76" s="1" t="s">
        <v>74</v>
      </c>
      <c r="AN76" s="1" t="s">
        <v>74</v>
      </c>
      <c r="AO76" s="1" t="s">
        <v>891</v>
      </c>
      <c r="AP76" s="1" t="s">
        <v>74</v>
      </c>
      <c r="AQ76" s="1" t="s">
        <v>74</v>
      </c>
      <c r="AR76" s="1" t="s">
        <v>74</v>
      </c>
      <c r="AS76" s="1" t="s">
        <v>74</v>
      </c>
      <c r="AT76" s="1" t="s">
        <v>74</v>
      </c>
      <c r="AU76" s="1">
        <v>1977.0</v>
      </c>
      <c r="AV76" s="1">
        <v>103.0</v>
      </c>
      <c r="AW76" s="1">
        <v>7.0</v>
      </c>
      <c r="AX76" s="1" t="s">
        <v>74</v>
      </c>
      <c r="AY76" s="1" t="s">
        <v>74</v>
      </c>
      <c r="AZ76" s="1" t="s">
        <v>74</v>
      </c>
      <c r="BA76" s="1" t="s">
        <v>74</v>
      </c>
      <c r="BB76" s="1">
        <v>808.0</v>
      </c>
      <c r="BC76" s="1">
        <v>808.0</v>
      </c>
      <c r="BD76" s="1" t="s">
        <v>74</v>
      </c>
      <c r="BE76" s="1" t="s">
        <v>74</v>
      </c>
      <c r="BF76" s="1" t="s">
        <v>74</v>
      </c>
      <c r="BG76" s="1" t="s">
        <v>74</v>
      </c>
      <c r="BH76" s="1" t="s">
        <v>74</v>
      </c>
      <c r="BI76" s="1" t="s">
        <v>74</v>
      </c>
      <c r="BJ76" s="1" t="s">
        <v>74</v>
      </c>
      <c r="BK76" s="1" t="s">
        <v>74</v>
      </c>
      <c r="BL76" s="1" t="s">
        <v>74</v>
      </c>
      <c r="BM76" s="1" t="s">
        <v>74</v>
      </c>
      <c r="BN76" s="1" t="s">
        <v>74</v>
      </c>
      <c r="BO76" s="1" t="s">
        <v>74</v>
      </c>
      <c r="BP76" s="1" t="s">
        <v>74</v>
      </c>
      <c r="BQ76" s="1" t="s">
        <v>74</v>
      </c>
      <c r="BR76" s="1" t="s">
        <v>74</v>
      </c>
      <c r="BS76" s="1" t="s">
        <v>892</v>
      </c>
      <c r="BT76" s="1" t="str">
        <f>HYPERLINK("https%3A%2F%2Fwww.webofscience.com%2Fwos%2Fwoscc%2Ffull-record%2FWOS:A1977DL14100013","View Full Record in Web of Science")</f>
        <v>View Full Record in Web of Science</v>
      </c>
    </row>
    <row r="77" ht="12.75" customHeight="1">
      <c r="A77" s="1" t="s">
        <v>72</v>
      </c>
      <c r="B77" s="1" t="s">
        <v>893</v>
      </c>
      <c r="C77" s="1" t="s">
        <v>74</v>
      </c>
      <c r="D77" s="1" t="s">
        <v>74</v>
      </c>
      <c r="E77" s="1" t="s">
        <v>74</v>
      </c>
      <c r="F77" s="1" t="s">
        <v>893</v>
      </c>
      <c r="G77" s="1" t="s">
        <v>74</v>
      </c>
      <c r="H77" s="1" t="s">
        <v>74</v>
      </c>
      <c r="I77" s="1" t="s">
        <v>894</v>
      </c>
      <c r="J77" s="1" t="s">
        <v>895</v>
      </c>
      <c r="K77" s="1" t="s">
        <v>74</v>
      </c>
      <c r="L77" s="1" t="s">
        <v>74</v>
      </c>
      <c r="M77" s="1" t="s">
        <v>74</v>
      </c>
      <c r="N77" s="1" t="s">
        <v>74</v>
      </c>
      <c r="O77" s="1" t="s">
        <v>74</v>
      </c>
      <c r="P77" s="1" t="s">
        <v>74</v>
      </c>
      <c r="Q77" s="1" t="s">
        <v>74</v>
      </c>
      <c r="R77" s="1" t="s">
        <v>74</v>
      </c>
      <c r="S77" s="1" t="s">
        <v>74</v>
      </c>
      <c r="T77" s="1" t="s">
        <v>74</v>
      </c>
      <c r="U77" s="1" t="s">
        <v>74</v>
      </c>
      <c r="V77" s="1" t="s">
        <v>74</v>
      </c>
      <c r="W77" s="1" t="s">
        <v>74</v>
      </c>
      <c r="X77" s="1" t="s">
        <v>74</v>
      </c>
      <c r="Y77" s="1" t="s">
        <v>74</v>
      </c>
      <c r="Z77" s="1" t="s">
        <v>74</v>
      </c>
      <c r="AA77" s="1" t="s">
        <v>74</v>
      </c>
      <c r="AB77" s="1" t="s">
        <v>74</v>
      </c>
      <c r="AC77" s="1" t="s">
        <v>74</v>
      </c>
      <c r="AD77" s="1" t="s">
        <v>74</v>
      </c>
      <c r="AE77" s="1" t="s">
        <v>74</v>
      </c>
      <c r="AF77" s="1" t="s">
        <v>74</v>
      </c>
      <c r="AG77" s="1" t="s">
        <v>74</v>
      </c>
      <c r="AH77" s="1" t="s">
        <v>74</v>
      </c>
      <c r="AI77" s="1" t="s">
        <v>74</v>
      </c>
      <c r="AJ77" s="1" t="s">
        <v>74</v>
      </c>
      <c r="AK77" s="1" t="s">
        <v>74</v>
      </c>
      <c r="AL77" s="1" t="s">
        <v>74</v>
      </c>
      <c r="AM77" s="1" t="s">
        <v>74</v>
      </c>
      <c r="AN77" s="1" t="s">
        <v>74</v>
      </c>
      <c r="AO77" s="1" t="s">
        <v>896</v>
      </c>
      <c r="AP77" s="1" t="s">
        <v>74</v>
      </c>
      <c r="AQ77" s="1" t="s">
        <v>74</v>
      </c>
      <c r="AR77" s="1" t="s">
        <v>74</v>
      </c>
      <c r="AS77" s="1" t="s">
        <v>74</v>
      </c>
      <c r="AT77" s="1" t="s">
        <v>74</v>
      </c>
      <c r="AU77" s="1">
        <v>1975.0</v>
      </c>
      <c r="AV77" s="1">
        <v>63.0</v>
      </c>
      <c r="AW77" s="1" t="s">
        <v>897</v>
      </c>
      <c r="AX77" s="1" t="s">
        <v>74</v>
      </c>
      <c r="AY77" s="1" t="s">
        <v>74</v>
      </c>
      <c r="AZ77" s="1" t="s">
        <v>74</v>
      </c>
      <c r="BA77" s="1" t="s">
        <v>74</v>
      </c>
      <c r="BB77" s="1">
        <v>259.0</v>
      </c>
      <c r="BC77" s="1">
        <v>264.0</v>
      </c>
      <c r="BD77" s="1" t="s">
        <v>74</v>
      </c>
      <c r="BE77" s="1" t="s">
        <v>74</v>
      </c>
      <c r="BF77" s="1" t="s">
        <v>74</v>
      </c>
      <c r="BG77" s="1" t="s">
        <v>74</v>
      </c>
      <c r="BH77" s="1" t="s">
        <v>74</v>
      </c>
      <c r="BI77" s="1" t="s">
        <v>74</v>
      </c>
      <c r="BJ77" s="1" t="s">
        <v>74</v>
      </c>
      <c r="BK77" s="1" t="s">
        <v>74</v>
      </c>
      <c r="BL77" s="1" t="s">
        <v>74</v>
      </c>
      <c r="BM77" s="1" t="s">
        <v>74</v>
      </c>
      <c r="BN77" s="1" t="s">
        <v>74</v>
      </c>
      <c r="BO77" s="1" t="s">
        <v>74</v>
      </c>
      <c r="BP77" s="1" t="s">
        <v>74</v>
      </c>
      <c r="BQ77" s="1" t="s">
        <v>74</v>
      </c>
      <c r="BR77" s="1" t="s">
        <v>74</v>
      </c>
      <c r="BS77" s="1" t="s">
        <v>898</v>
      </c>
      <c r="BT77" s="1" t="str">
        <f>HYPERLINK("https%3A%2F%2Fwww.webofscience.com%2Fwos%2Fwoscc%2Ffull-record%2FWOS:A1975CS64700003","View Full Record in Web of Science")</f>
        <v>View Full Record in Web of Science</v>
      </c>
    </row>
    <row r="78" ht="12.75" customHeight="1">
      <c r="A78" s="1" t="s">
        <v>72</v>
      </c>
      <c r="B78" s="1" t="s">
        <v>899</v>
      </c>
      <c r="C78" s="1" t="s">
        <v>74</v>
      </c>
      <c r="D78" s="1" t="s">
        <v>74</v>
      </c>
      <c r="E78" s="1" t="s">
        <v>74</v>
      </c>
      <c r="F78" s="1" t="s">
        <v>900</v>
      </c>
      <c r="G78" s="1" t="s">
        <v>74</v>
      </c>
      <c r="H78" s="1" t="s">
        <v>74</v>
      </c>
      <c r="I78" s="1" t="s">
        <v>901</v>
      </c>
      <c r="J78" s="1" t="s">
        <v>902</v>
      </c>
      <c r="K78" s="1" t="s">
        <v>74</v>
      </c>
      <c r="L78" s="1" t="s">
        <v>74</v>
      </c>
      <c r="M78" s="1" t="s">
        <v>74</v>
      </c>
      <c r="N78" s="1" t="s">
        <v>74</v>
      </c>
      <c r="O78" s="1" t="s">
        <v>74</v>
      </c>
      <c r="P78" s="1" t="s">
        <v>74</v>
      </c>
      <c r="Q78" s="1" t="s">
        <v>74</v>
      </c>
      <c r="R78" s="1" t="s">
        <v>74</v>
      </c>
      <c r="S78" s="1" t="s">
        <v>74</v>
      </c>
      <c r="T78" s="1" t="s">
        <v>74</v>
      </c>
      <c r="U78" s="1" t="s">
        <v>74</v>
      </c>
      <c r="V78" s="1" t="s">
        <v>903</v>
      </c>
      <c r="W78" s="1" t="s">
        <v>74</v>
      </c>
      <c r="X78" s="1" t="s">
        <v>74</v>
      </c>
      <c r="Y78" s="1" t="s">
        <v>74</v>
      </c>
      <c r="Z78" s="1" t="s">
        <v>74</v>
      </c>
      <c r="AA78" s="1" t="s">
        <v>904</v>
      </c>
      <c r="AB78" s="1" t="s">
        <v>74</v>
      </c>
      <c r="AC78" s="1" t="s">
        <v>74</v>
      </c>
      <c r="AD78" s="1" t="s">
        <v>74</v>
      </c>
      <c r="AE78" s="1" t="s">
        <v>74</v>
      </c>
      <c r="AF78" s="1" t="s">
        <v>74</v>
      </c>
      <c r="AG78" s="1" t="s">
        <v>74</v>
      </c>
      <c r="AH78" s="1" t="s">
        <v>74</v>
      </c>
      <c r="AI78" s="1" t="s">
        <v>74</v>
      </c>
      <c r="AJ78" s="1" t="s">
        <v>74</v>
      </c>
      <c r="AK78" s="1" t="s">
        <v>74</v>
      </c>
      <c r="AL78" s="1" t="s">
        <v>74</v>
      </c>
      <c r="AM78" s="1" t="s">
        <v>74</v>
      </c>
      <c r="AN78" s="1" t="s">
        <v>74</v>
      </c>
      <c r="AO78" s="1" t="s">
        <v>74</v>
      </c>
      <c r="AP78" s="1" t="s">
        <v>905</v>
      </c>
      <c r="AQ78" s="1" t="s">
        <v>74</v>
      </c>
      <c r="AR78" s="1" t="s">
        <v>74</v>
      </c>
      <c r="AS78" s="1" t="s">
        <v>74</v>
      </c>
      <c r="AT78" s="1" t="s">
        <v>906</v>
      </c>
      <c r="AU78" s="1">
        <v>2024.0</v>
      </c>
      <c r="AV78" s="1">
        <v>15.0</v>
      </c>
      <c r="AW78" s="1" t="s">
        <v>74</v>
      </c>
      <c r="AX78" s="1" t="s">
        <v>74</v>
      </c>
      <c r="AY78" s="1" t="s">
        <v>74</v>
      </c>
      <c r="AZ78" s="1" t="s">
        <v>74</v>
      </c>
      <c r="BA78" s="1" t="s">
        <v>74</v>
      </c>
      <c r="BB78" s="1" t="s">
        <v>74</v>
      </c>
      <c r="BC78" s="1" t="s">
        <v>74</v>
      </c>
      <c r="BD78" s="1">
        <v>1474981.0</v>
      </c>
      <c r="BE78" s="1" t="s">
        <v>907</v>
      </c>
      <c r="BF78" s="2" t="str">
        <f>HYPERLINK("http://dx.doi.org/10.3389/fphar.2024.1474981","http://dx.doi.org/10.3389/fphar.2024.1474981")</f>
        <v>http://dx.doi.org/10.3389/fphar.2024.1474981</v>
      </c>
      <c r="BG78" s="1" t="s">
        <v>74</v>
      </c>
      <c r="BH78" s="1" t="s">
        <v>74</v>
      </c>
      <c r="BI78" s="1" t="s">
        <v>74</v>
      </c>
      <c r="BJ78" s="1" t="s">
        <v>74</v>
      </c>
      <c r="BK78" s="1" t="s">
        <v>74</v>
      </c>
      <c r="BL78" s="1" t="s">
        <v>74</v>
      </c>
      <c r="BM78" s="1" t="s">
        <v>74</v>
      </c>
      <c r="BN78" s="1">
        <v>3.9654617E7</v>
      </c>
      <c r="BO78" s="1" t="s">
        <v>74</v>
      </c>
      <c r="BP78" s="1" t="s">
        <v>74</v>
      </c>
      <c r="BQ78" s="1" t="s">
        <v>74</v>
      </c>
      <c r="BR78" s="1" t="s">
        <v>74</v>
      </c>
      <c r="BS78" s="1" t="s">
        <v>908</v>
      </c>
      <c r="BT78" s="1" t="str">
        <f>HYPERLINK("https%3A%2F%2Fwww.webofscience.com%2Fwos%2Fwoscc%2Ffull-record%2FWOS:001372187800001","View Full Record in Web of Science")</f>
        <v>View Full Record in Web of Science</v>
      </c>
    </row>
    <row r="79" ht="12.75" customHeight="1">
      <c r="A79" s="1" t="s">
        <v>72</v>
      </c>
      <c r="B79" s="1" t="s">
        <v>909</v>
      </c>
      <c r="C79" s="1" t="s">
        <v>74</v>
      </c>
      <c r="D79" s="1" t="s">
        <v>74</v>
      </c>
      <c r="E79" s="1" t="s">
        <v>74</v>
      </c>
      <c r="F79" s="1" t="s">
        <v>910</v>
      </c>
      <c r="G79" s="1" t="s">
        <v>74</v>
      </c>
      <c r="H79" s="1" t="s">
        <v>74</v>
      </c>
      <c r="I79" s="1" t="s">
        <v>911</v>
      </c>
      <c r="J79" s="1" t="s">
        <v>612</v>
      </c>
      <c r="K79" s="1" t="s">
        <v>74</v>
      </c>
      <c r="L79" s="1" t="s">
        <v>74</v>
      </c>
      <c r="M79" s="1" t="s">
        <v>74</v>
      </c>
      <c r="N79" s="1" t="s">
        <v>74</v>
      </c>
      <c r="O79" s="1" t="s">
        <v>74</v>
      </c>
      <c r="P79" s="1" t="s">
        <v>74</v>
      </c>
      <c r="Q79" s="1" t="s">
        <v>74</v>
      </c>
      <c r="R79" s="1" t="s">
        <v>74</v>
      </c>
      <c r="S79" s="1" t="s">
        <v>74</v>
      </c>
      <c r="T79" s="1" t="s">
        <v>74</v>
      </c>
      <c r="U79" s="1" t="s">
        <v>74</v>
      </c>
      <c r="V79" s="1" t="s">
        <v>912</v>
      </c>
      <c r="W79" s="1" t="s">
        <v>74</v>
      </c>
      <c r="X79" s="1" t="s">
        <v>74</v>
      </c>
      <c r="Y79" s="1" t="s">
        <v>74</v>
      </c>
      <c r="Z79" s="1" t="s">
        <v>74</v>
      </c>
      <c r="AA79" s="1" t="s">
        <v>913</v>
      </c>
      <c r="AB79" s="1" t="s">
        <v>914</v>
      </c>
      <c r="AC79" s="1" t="s">
        <v>74</v>
      </c>
      <c r="AD79" s="1" t="s">
        <v>74</v>
      </c>
      <c r="AE79" s="1" t="s">
        <v>74</v>
      </c>
      <c r="AF79" s="1" t="s">
        <v>74</v>
      </c>
      <c r="AG79" s="1" t="s">
        <v>74</v>
      </c>
      <c r="AH79" s="1" t="s">
        <v>74</v>
      </c>
      <c r="AI79" s="1" t="s">
        <v>74</v>
      </c>
      <c r="AJ79" s="1" t="s">
        <v>74</v>
      </c>
      <c r="AK79" s="1" t="s">
        <v>74</v>
      </c>
      <c r="AL79" s="1" t="s">
        <v>74</v>
      </c>
      <c r="AM79" s="1" t="s">
        <v>74</v>
      </c>
      <c r="AN79" s="1" t="s">
        <v>74</v>
      </c>
      <c r="AO79" s="1" t="s">
        <v>615</v>
      </c>
      <c r="AP79" s="1" t="s">
        <v>616</v>
      </c>
      <c r="AQ79" s="1" t="s">
        <v>74</v>
      </c>
      <c r="AR79" s="1" t="s">
        <v>74</v>
      </c>
      <c r="AS79" s="1" t="s">
        <v>74</v>
      </c>
      <c r="AT79" s="1" t="s">
        <v>180</v>
      </c>
      <c r="AU79" s="1">
        <v>2025.0</v>
      </c>
      <c r="AV79" s="1">
        <v>45.0</v>
      </c>
      <c r="AW79" s="1">
        <v>5.0</v>
      </c>
      <c r="AX79" s="1" t="s">
        <v>74</v>
      </c>
      <c r="AY79" s="1" t="s">
        <v>74</v>
      </c>
      <c r="AZ79" s="1" t="s">
        <v>74</v>
      </c>
      <c r="BA79" s="1" t="s">
        <v>74</v>
      </c>
      <c r="BB79" s="1">
        <v>1329.0</v>
      </c>
      <c r="BC79" s="1">
        <v>1369.0</v>
      </c>
      <c r="BD79" s="1" t="s">
        <v>74</v>
      </c>
      <c r="BE79" s="1" t="s">
        <v>915</v>
      </c>
      <c r="BF79" s="2" t="str">
        <f>HYPERLINK("http://dx.doi.org/10.1017/etds.2024.79","http://dx.doi.org/10.1017/etds.2024.79")</f>
        <v>http://dx.doi.org/10.1017/etds.2024.79</v>
      </c>
      <c r="BG79" s="1" t="s">
        <v>74</v>
      </c>
      <c r="BH79" s="1" t="s">
        <v>916</v>
      </c>
      <c r="BI79" s="1" t="s">
        <v>74</v>
      </c>
      <c r="BJ79" s="1" t="s">
        <v>74</v>
      </c>
      <c r="BK79" s="1" t="s">
        <v>74</v>
      </c>
      <c r="BL79" s="1" t="s">
        <v>74</v>
      </c>
      <c r="BM79" s="1" t="s">
        <v>74</v>
      </c>
      <c r="BN79" s="1" t="s">
        <v>74</v>
      </c>
      <c r="BO79" s="1" t="s">
        <v>74</v>
      </c>
      <c r="BP79" s="1" t="s">
        <v>74</v>
      </c>
      <c r="BQ79" s="1" t="s">
        <v>74</v>
      </c>
      <c r="BR79" s="1" t="s">
        <v>74</v>
      </c>
      <c r="BS79" s="1" t="s">
        <v>917</v>
      </c>
      <c r="BT79" s="1" t="str">
        <f>HYPERLINK("https%3A%2F%2Fwww.webofscience.com%2Fwos%2Fwoscc%2Ffull-record%2FWOS:001330024600001","View Full Record in Web of Science")</f>
        <v>View Full Record in Web of Science</v>
      </c>
    </row>
    <row r="80" ht="12.75" customHeight="1">
      <c r="A80" s="1" t="s">
        <v>72</v>
      </c>
      <c r="B80" s="1" t="s">
        <v>918</v>
      </c>
      <c r="C80" s="1" t="s">
        <v>74</v>
      </c>
      <c r="D80" s="1" t="s">
        <v>74</v>
      </c>
      <c r="E80" s="1" t="s">
        <v>74</v>
      </c>
      <c r="F80" s="1" t="s">
        <v>919</v>
      </c>
      <c r="G80" s="1" t="s">
        <v>74</v>
      </c>
      <c r="H80" s="1" t="s">
        <v>74</v>
      </c>
      <c r="I80" s="1" t="s">
        <v>920</v>
      </c>
      <c r="J80" s="1" t="s">
        <v>921</v>
      </c>
      <c r="K80" s="1" t="s">
        <v>74</v>
      </c>
      <c r="L80" s="1" t="s">
        <v>74</v>
      </c>
      <c r="M80" s="1" t="s">
        <v>74</v>
      </c>
      <c r="N80" s="1" t="s">
        <v>74</v>
      </c>
      <c r="O80" s="1" t="s">
        <v>74</v>
      </c>
      <c r="P80" s="1" t="s">
        <v>74</v>
      </c>
      <c r="Q80" s="1" t="s">
        <v>74</v>
      </c>
      <c r="R80" s="1" t="s">
        <v>74</v>
      </c>
      <c r="S80" s="1" t="s">
        <v>74</v>
      </c>
      <c r="T80" s="1" t="s">
        <v>74</v>
      </c>
      <c r="U80" s="1" t="s">
        <v>74</v>
      </c>
      <c r="V80" s="1" t="s">
        <v>922</v>
      </c>
      <c r="W80" s="1" t="s">
        <v>74</v>
      </c>
      <c r="X80" s="1" t="s">
        <v>74</v>
      </c>
      <c r="Y80" s="1" t="s">
        <v>74</v>
      </c>
      <c r="Z80" s="1" t="s">
        <v>74</v>
      </c>
      <c r="AA80" s="1" t="s">
        <v>923</v>
      </c>
      <c r="AB80" s="1" t="s">
        <v>924</v>
      </c>
      <c r="AC80" s="1" t="s">
        <v>74</v>
      </c>
      <c r="AD80" s="1" t="s">
        <v>74</v>
      </c>
      <c r="AE80" s="1" t="s">
        <v>74</v>
      </c>
      <c r="AF80" s="1" t="s">
        <v>74</v>
      </c>
      <c r="AG80" s="1" t="s">
        <v>74</v>
      </c>
      <c r="AH80" s="1" t="s">
        <v>74</v>
      </c>
      <c r="AI80" s="1" t="s">
        <v>74</v>
      </c>
      <c r="AJ80" s="1" t="s">
        <v>74</v>
      </c>
      <c r="AK80" s="1" t="s">
        <v>74</v>
      </c>
      <c r="AL80" s="1" t="s">
        <v>74</v>
      </c>
      <c r="AM80" s="1" t="s">
        <v>74</v>
      </c>
      <c r="AN80" s="1" t="s">
        <v>74</v>
      </c>
      <c r="AO80" s="1" t="s">
        <v>74</v>
      </c>
      <c r="AP80" s="1" t="s">
        <v>925</v>
      </c>
      <c r="AQ80" s="1" t="s">
        <v>74</v>
      </c>
      <c r="AR80" s="1" t="s">
        <v>74</v>
      </c>
      <c r="AS80" s="1" t="s">
        <v>74</v>
      </c>
      <c r="AT80" s="1" t="s">
        <v>459</v>
      </c>
      <c r="AU80" s="1">
        <v>2024.0</v>
      </c>
      <c r="AV80" s="1">
        <v>17.0</v>
      </c>
      <c r="AW80" s="1">
        <v>9.0</v>
      </c>
      <c r="AX80" s="1" t="s">
        <v>74</v>
      </c>
      <c r="AY80" s="1" t="s">
        <v>74</v>
      </c>
      <c r="AZ80" s="1" t="s">
        <v>74</v>
      </c>
      <c r="BA80" s="1" t="s">
        <v>74</v>
      </c>
      <c r="BB80" s="1" t="s">
        <v>74</v>
      </c>
      <c r="BC80" s="1" t="s">
        <v>74</v>
      </c>
      <c r="BD80" s="1">
        <v>393.0</v>
      </c>
      <c r="BE80" s="1" t="s">
        <v>926</v>
      </c>
      <c r="BF80" s="2" t="str">
        <f>HYPERLINK("http://dx.doi.org/10.3390/a17090393","http://dx.doi.org/10.3390/a17090393")</f>
        <v>http://dx.doi.org/10.3390/a17090393</v>
      </c>
      <c r="BG80" s="1" t="s">
        <v>74</v>
      </c>
      <c r="BH80" s="1" t="s">
        <v>74</v>
      </c>
      <c r="BI80" s="1" t="s">
        <v>74</v>
      </c>
      <c r="BJ80" s="1" t="s">
        <v>74</v>
      </c>
      <c r="BK80" s="1" t="s">
        <v>74</v>
      </c>
      <c r="BL80" s="1" t="s">
        <v>74</v>
      </c>
      <c r="BM80" s="1" t="s">
        <v>74</v>
      </c>
      <c r="BN80" s="1" t="s">
        <v>74</v>
      </c>
      <c r="BO80" s="1" t="s">
        <v>74</v>
      </c>
      <c r="BP80" s="1" t="s">
        <v>74</v>
      </c>
      <c r="BQ80" s="1" t="s">
        <v>74</v>
      </c>
      <c r="BR80" s="1" t="s">
        <v>74</v>
      </c>
      <c r="BS80" s="1" t="s">
        <v>927</v>
      </c>
      <c r="BT80" s="1" t="str">
        <f>HYPERLINK("https%3A%2F%2Fwww.webofscience.com%2Fwos%2Fwoscc%2Ffull-record%2FWOS:001322886200001","View Full Record in Web of Science")</f>
        <v>View Full Record in Web of Science</v>
      </c>
    </row>
    <row r="81" ht="12.75" customHeight="1">
      <c r="A81" s="1" t="s">
        <v>72</v>
      </c>
      <c r="B81" s="1" t="s">
        <v>928</v>
      </c>
      <c r="C81" s="1" t="s">
        <v>74</v>
      </c>
      <c r="D81" s="1" t="s">
        <v>74</v>
      </c>
      <c r="E81" s="1" t="s">
        <v>74</v>
      </c>
      <c r="F81" s="1" t="s">
        <v>929</v>
      </c>
      <c r="G81" s="1" t="s">
        <v>74</v>
      </c>
      <c r="H81" s="1" t="s">
        <v>74</v>
      </c>
      <c r="I81" s="1" t="s">
        <v>930</v>
      </c>
      <c r="J81" s="1" t="s">
        <v>931</v>
      </c>
      <c r="K81" s="1" t="s">
        <v>74</v>
      </c>
      <c r="L81" s="1" t="s">
        <v>74</v>
      </c>
      <c r="M81" s="1" t="s">
        <v>74</v>
      </c>
      <c r="N81" s="1" t="s">
        <v>74</v>
      </c>
      <c r="O81" s="1" t="s">
        <v>74</v>
      </c>
      <c r="P81" s="1" t="s">
        <v>74</v>
      </c>
      <c r="Q81" s="1" t="s">
        <v>74</v>
      </c>
      <c r="R81" s="1" t="s">
        <v>74</v>
      </c>
      <c r="S81" s="1" t="s">
        <v>74</v>
      </c>
      <c r="T81" s="1" t="s">
        <v>74</v>
      </c>
      <c r="U81" s="1" t="s">
        <v>74</v>
      </c>
      <c r="V81" s="1" t="s">
        <v>932</v>
      </c>
      <c r="W81" s="1" t="s">
        <v>74</v>
      </c>
      <c r="X81" s="1" t="s">
        <v>74</v>
      </c>
      <c r="Y81" s="1" t="s">
        <v>74</v>
      </c>
      <c r="Z81" s="1" t="s">
        <v>74</v>
      </c>
      <c r="AA81" s="1" t="s">
        <v>933</v>
      </c>
      <c r="AB81" s="1" t="s">
        <v>934</v>
      </c>
      <c r="AC81" s="1" t="s">
        <v>74</v>
      </c>
      <c r="AD81" s="1" t="s">
        <v>74</v>
      </c>
      <c r="AE81" s="1" t="s">
        <v>74</v>
      </c>
      <c r="AF81" s="1" t="s">
        <v>74</v>
      </c>
      <c r="AG81" s="1" t="s">
        <v>74</v>
      </c>
      <c r="AH81" s="1" t="s">
        <v>74</v>
      </c>
      <c r="AI81" s="1" t="s">
        <v>74</v>
      </c>
      <c r="AJ81" s="1" t="s">
        <v>74</v>
      </c>
      <c r="AK81" s="1" t="s">
        <v>74</v>
      </c>
      <c r="AL81" s="1" t="s">
        <v>74</v>
      </c>
      <c r="AM81" s="1" t="s">
        <v>74</v>
      </c>
      <c r="AN81" s="1" t="s">
        <v>74</v>
      </c>
      <c r="AO81" s="1" t="s">
        <v>74</v>
      </c>
      <c r="AP81" s="1" t="s">
        <v>935</v>
      </c>
      <c r="AQ81" s="1" t="s">
        <v>74</v>
      </c>
      <c r="AR81" s="1" t="s">
        <v>74</v>
      </c>
      <c r="AS81" s="1" t="s">
        <v>74</v>
      </c>
      <c r="AT81" s="1" t="s">
        <v>310</v>
      </c>
      <c r="AU81" s="1">
        <v>2024.0</v>
      </c>
      <c r="AV81" s="1">
        <v>13.0</v>
      </c>
      <c r="AW81" s="1">
        <v>13.0</v>
      </c>
      <c r="AX81" s="1" t="s">
        <v>74</v>
      </c>
      <c r="AY81" s="1" t="s">
        <v>74</v>
      </c>
      <c r="AZ81" s="1" t="s">
        <v>74</v>
      </c>
      <c r="BA81" s="1" t="s">
        <v>74</v>
      </c>
      <c r="BB81" s="1" t="s">
        <v>74</v>
      </c>
      <c r="BC81" s="1" t="s">
        <v>74</v>
      </c>
      <c r="BD81" s="1">
        <v>2073.0</v>
      </c>
      <c r="BE81" s="1" t="s">
        <v>936</v>
      </c>
      <c r="BF81" s="2" t="str">
        <f>HYPERLINK("http://dx.doi.org/10.3390/foods13132073","http://dx.doi.org/10.3390/foods13132073")</f>
        <v>http://dx.doi.org/10.3390/foods13132073</v>
      </c>
      <c r="BG81" s="1" t="s">
        <v>74</v>
      </c>
      <c r="BH81" s="1" t="s">
        <v>74</v>
      </c>
      <c r="BI81" s="1" t="s">
        <v>74</v>
      </c>
      <c r="BJ81" s="1" t="s">
        <v>74</v>
      </c>
      <c r="BK81" s="1" t="s">
        <v>74</v>
      </c>
      <c r="BL81" s="1" t="s">
        <v>74</v>
      </c>
      <c r="BM81" s="1" t="s">
        <v>74</v>
      </c>
      <c r="BN81" s="1">
        <v>3.8998579E7</v>
      </c>
      <c r="BO81" s="1" t="s">
        <v>74</v>
      </c>
      <c r="BP81" s="1" t="s">
        <v>74</v>
      </c>
      <c r="BQ81" s="1" t="s">
        <v>74</v>
      </c>
      <c r="BR81" s="1" t="s">
        <v>74</v>
      </c>
      <c r="BS81" s="1" t="s">
        <v>937</v>
      </c>
      <c r="BT81" s="1" t="str">
        <f>HYPERLINK("https%3A%2F%2Fwww.webofscience.com%2Fwos%2Fwoscc%2Ffull-record%2FWOS:001270162100001","View Full Record in Web of Science")</f>
        <v>View Full Record in Web of Science</v>
      </c>
    </row>
    <row r="82" ht="12.75" customHeight="1">
      <c r="A82" s="1" t="s">
        <v>72</v>
      </c>
      <c r="B82" s="1" t="s">
        <v>938</v>
      </c>
      <c r="C82" s="1" t="s">
        <v>74</v>
      </c>
      <c r="D82" s="1" t="s">
        <v>74</v>
      </c>
      <c r="E82" s="1" t="s">
        <v>74</v>
      </c>
      <c r="F82" s="1" t="s">
        <v>939</v>
      </c>
      <c r="G82" s="1" t="s">
        <v>74</v>
      </c>
      <c r="H82" s="1" t="s">
        <v>74</v>
      </c>
      <c r="I82" s="1" t="s">
        <v>940</v>
      </c>
      <c r="J82" s="1" t="s">
        <v>941</v>
      </c>
      <c r="K82" s="1" t="s">
        <v>74</v>
      </c>
      <c r="L82" s="1" t="s">
        <v>74</v>
      </c>
      <c r="M82" s="1" t="s">
        <v>74</v>
      </c>
      <c r="N82" s="1" t="s">
        <v>74</v>
      </c>
      <c r="O82" s="1" t="s">
        <v>74</v>
      </c>
      <c r="P82" s="1" t="s">
        <v>74</v>
      </c>
      <c r="Q82" s="1" t="s">
        <v>74</v>
      </c>
      <c r="R82" s="1" t="s">
        <v>74</v>
      </c>
      <c r="S82" s="1" t="s">
        <v>74</v>
      </c>
      <c r="T82" s="1" t="s">
        <v>74</v>
      </c>
      <c r="U82" s="1" t="s">
        <v>74</v>
      </c>
      <c r="V82" s="1" t="s">
        <v>942</v>
      </c>
      <c r="W82" s="1" t="s">
        <v>74</v>
      </c>
      <c r="X82" s="1" t="s">
        <v>74</v>
      </c>
      <c r="Y82" s="1" t="s">
        <v>74</v>
      </c>
      <c r="Z82" s="1" t="s">
        <v>74</v>
      </c>
      <c r="AA82" s="1" t="s">
        <v>943</v>
      </c>
      <c r="AB82" s="1" t="s">
        <v>944</v>
      </c>
      <c r="AC82" s="1" t="s">
        <v>74</v>
      </c>
      <c r="AD82" s="1" t="s">
        <v>74</v>
      </c>
      <c r="AE82" s="1" t="s">
        <v>74</v>
      </c>
      <c r="AF82" s="1" t="s">
        <v>74</v>
      </c>
      <c r="AG82" s="1" t="s">
        <v>74</v>
      </c>
      <c r="AH82" s="1" t="s">
        <v>74</v>
      </c>
      <c r="AI82" s="1" t="s">
        <v>74</v>
      </c>
      <c r="AJ82" s="1" t="s">
        <v>74</v>
      </c>
      <c r="AK82" s="1" t="s">
        <v>74</v>
      </c>
      <c r="AL82" s="1" t="s">
        <v>74</v>
      </c>
      <c r="AM82" s="1" t="s">
        <v>74</v>
      </c>
      <c r="AN82" s="1" t="s">
        <v>74</v>
      </c>
      <c r="AO82" s="1" t="s">
        <v>74</v>
      </c>
      <c r="AP82" s="1" t="s">
        <v>945</v>
      </c>
      <c r="AQ82" s="1" t="s">
        <v>74</v>
      </c>
      <c r="AR82" s="1" t="s">
        <v>74</v>
      </c>
      <c r="AS82" s="1" t="s">
        <v>74</v>
      </c>
      <c r="AT82" s="1" t="s">
        <v>650</v>
      </c>
      <c r="AU82" s="1">
        <v>2024.0</v>
      </c>
      <c r="AV82" s="1">
        <v>14.0</v>
      </c>
      <c r="AW82" s="1">
        <v>6.0</v>
      </c>
      <c r="AX82" s="1" t="s">
        <v>74</v>
      </c>
      <c r="AY82" s="1" t="s">
        <v>74</v>
      </c>
      <c r="AZ82" s="1" t="s">
        <v>74</v>
      </c>
      <c r="BA82" s="1" t="s">
        <v>74</v>
      </c>
      <c r="BB82" s="1" t="s">
        <v>74</v>
      </c>
      <c r="BC82" s="1" t="s">
        <v>74</v>
      </c>
      <c r="BD82" s="1">
        <v>2404.0</v>
      </c>
      <c r="BE82" s="1" t="s">
        <v>946</v>
      </c>
      <c r="BF82" s="2" t="str">
        <f>HYPERLINK("http://dx.doi.org/10.3390/app14062404","http://dx.doi.org/10.3390/app14062404")</f>
        <v>http://dx.doi.org/10.3390/app14062404</v>
      </c>
      <c r="BG82" s="1" t="s">
        <v>74</v>
      </c>
      <c r="BH82" s="1" t="s">
        <v>74</v>
      </c>
      <c r="BI82" s="1" t="s">
        <v>74</v>
      </c>
      <c r="BJ82" s="1" t="s">
        <v>74</v>
      </c>
      <c r="BK82" s="1" t="s">
        <v>74</v>
      </c>
      <c r="BL82" s="1" t="s">
        <v>74</v>
      </c>
      <c r="BM82" s="1" t="s">
        <v>74</v>
      </c>
      <c r="BN82" s="1" t="s">
        <v>74</v>
      </c>
      <c r="BO82" s="1" t="s">
        <v>74</v>
      </c>
      <c r="BP82" s="1" t="s">
        <v>74</v>
      </c>
      <c r="BQ82" s="1" t="s">
        <v>74</v>
      </c>
      <c r="BR82" s="1" t="s">
        <v>74</v>
      </c>
      <c r="BS82" s="1" t="s">
        <v>947</v>
      </c>
      <c r="BT82" s="1" t="str">
        <f>HYPERLINK("https%3A%2F%2Fwww.webofscience.com%2Fwos%2Fwoscc%2Ffull-record%2FWOS:001191501200001","View Full Record in Web of Science")</f>
        <v>View Full Record in Web of Science</v>
      </c>
    </row>
    <row r="83" ht="12.75" customHeight="1">
      <c r="A83" s="1" t="s">
        <v>72</v>
      </c>
      <c r="B83" s="1" t="s">
        <v>948</v>
      </c>
      <c r="C83" s="1" t="s">
        <v>74</v>
      </c>
      <c r="D83" s="1" t="s">
        <v>74</v>
      </c>
      <c r="E83" s="1" t="s">
        <v>74</v>
      </c>
      <c r="F83" s="1" t="s">
        <v>949</v>
      </c>
      <c r="G83" s="1" t="s">
        <v>74</v>
      </c>
      <c r="H83" s="1" t="s">
        <v>74</v>
      </c>
      <c r="I83" s="1" t="s">
        <v>950</v>
      </c>
      <c r="J83" s="1" t="s">
        <v>951</v>
      </c>
      <c r="K83" s="1" t="s">
        <v>74</v>
      </c>
      <c r="L83" s="1" t="s">
        <v>74</v>
      </c>
      <c r="M83" s="1" t="s">
        <v>74</v>
      </c>
      <c r="N83" s="1" t="s">
        <v>74</v>
      </c>
      <c r="O83" s="1" t="s">
        <v>74</v>
      </c>
      <c r="P83" s="1" t="s">
        <v>74</v>
      </c>
      <c r="Q83" s="1" t="s">
        <v>74</v>
      </c>
      <c r="R83" s="1" t="s">
        <v>74</v>
      </c>
      <c r="S83" s="1" t="s">
        <v>74</v>
      </c>
      <c r="T83" s="1" t="s">
        <v>74</v>
      </c>
      <c r="U83" s="1" t="s">
        <v>74</v>
      </c>
      <c r="V83" s="1" t="s">
        <v>952</v>
      </c>
      <c r="W83" s="1" t="s">
        <v>74</v>
      </c>
      <c r="X83" s="1" t="s">
        <v>74</v>
      </c>
      <c r="Y83" s="1" t="s">
        <v>74</v>
      </c>
      <c r="Z83" s="1" t="s">
        <v>74</v>
      </c>
      <c r="AA83" s="1" t="s">
        <v>953</v>
      </c>
      <c r="AB83" s="1" t="s">
        <v>74</v>
      </c>
      <c r="AC83" s="1" t="s">
        <v>74</v>
      </c>
      <c r="AD83" s="1" t="s">
        <v>74</v>
      </c>
      <c r="AE83" s="1" t="s">
        <v>74</v>
      </c>
      <c r="AF83" s="1" t="s">
        <v>74</v>
      </c>
      <c r="AG83" s="1" t="s">
        <v>74</v>
      </c>
      <c r="AH83" s="1" t="s">
        <v>74</v>
      </c>
      <c r="AI83" s="1" t="s">
        <v>74</v>
      </c>
      <c r="AJ83" s="1" t="s">
        <v>74</v>
      </c>
      <c r="AK83" s="1" t="s">
        <v>74</v>
      </c>
      <c r="AL83" s="1" t="s">
        <v>74</v>
      </c>
      <c r="AM83" s="1" t="s">
        <v>74</v>
      </c>
      <c r="AN83" s="1" t="s">
        <v>74</v>
      </c>
      <c r="AO83" s="1" t="s">
        <v>954</v>
      </c>
      <c r="AP83" s="1" t="s">
        <v>955</v>
      </c>
      <c r="AQ83" s="1" t="s">
        <v>74</v>
      </c>
      <c r="AR83" s="1" t="s">
        <v>74</v>
      </c>
      <c r="AS83" s="1" t="s">
        <v>74</v>
      </c>
      <c r="AT83" s="1" t="s">
        <v>74</v>
      </c>
      <c r="AU83" s="1">
        <v>2024.0</v>
      </c>
      <c r="AV83" s="1" t="s">
        <v>74</v>
      </c>
      <c r="AW83" s="1">
        <v>88.0</v>
      </c>
      <c r="AX83" s="1" t="s">
        <v>74</v>
      </c>
      <c r="AY83" s="1" t="s">
        <v>74</v>
      </c>
      <c r="AZ83" s="1" t="s">
        <v>74</v>
      </c>
      <c r="BA83" s="1" t="s">
        <v>74</v>
      </c>
      <c r="BB83" s="1" t="s">
        <v>74</v>
      </c>
      <c r="BC83" s="1" t="s">
        <v>74</v>
      </c>
      <c r="BD83" s="1">
        <v>59635.0</v>
      </c>
      <c r="BE83" s="1" t="s">
        <v>74</v>
      </c>
      <c r="BF83" s="1" t="s">
        <v>74</v>
      </c>
      <c r="BG83" s="1" t="s">
        <v>74</v>
      </c>
      <c r="BH83" s="1" t="s">
        <v>74</v>
      </c>
      <c r="BI83" s="1" t="s">
        <v>74</v>
      </c>
      <c r="BJ83" s="1" t="s">
        <v>74</v>
      </c>
      <c r="BK83" s="1" t="s">
        <v>74</v>
      </c>
      <c r="BL83" s="1" t="s">
        <v>74</v>
      </c>
      <c r="BM83" s="1" t="s">
        <v>74</v>
      </c>
      <c r="BN83" s="1" t="s">
        <v>74</v>
      </c>
      <c r="BO83" s="1" t="s">
        <v>74</v>
      </c>
      <c r="BP83" s="1" t="s">
        <v>74</v>
      </c>
      <c r="BQ83" s="1" t="s">
        <v>74</v>
      </c>
      <c r="BR83" s="1" t="s">
        <v>74</v>
      </c>
      <c r="BS83" s="1" t="s">
        <v>956</v>
      </c>
      <c r="BT83" s="1" t="str">
        <f>HYPERLINK("https%3A%2F%2Fwww.webofscience.com%2Fwos%2Fwoscc%2Ffull-record%2FWOS:001307386800010","View Full Record in Web of Science")</f>
        <v>View Full Record in Web of Science</v>
      </c>
    </row>
    <row r="84" ht="12.75" customHeight="1">
      <c r="A84" s="1" t="s">
        <v>251</v>
      </c>
      <c r="B84" s="1" t="s">
        <v>957</v>
      </c>
      <c r="C84" s="1" t="s">
        <v>74</v>
      </c>
      <c r="D84" s="1" t="s">
        <v>958</v>
      </c>
      <c r="E84" s="1" t="s">
        <v>74</v>
      </c>
      <c r="F84" s="1" t="s">
        <v>959</v>
      </c>
      <c r="G84" s="1" t="s">
        <v>74</v>
      </c>
      <c r="H84" s="1" t="s">
        <v>74</v>
      </c>
      <c r="I84" s="1" t="s">
        <v>960</v>
      </c>
      <c r="J84" s="1" t="s">
        <v>961</v>
      </c>
      <c r="K84" s="1" t="s">
        <v>669</v>
      </c>
      <c r="L84" s="1" t="s">
        <v>74</v>
      </c>
      <c r="M84" s="1" t="s">
        <v>74</v>
      </c>
      <c r="N84" s="1" t="s">
        <v>74</v>
      </c>
      <c r="O84" s="1" t="s">
        <v>962</v>
      </c>
      <c r="P84" s="1" t="s">
        <v>963</v>
      </c>
      <c r="Q84" s="1" t="s">
        <v>964</v>
      </c>
      <c r="R84" s="1" t="s">
        <v>74</v>
      </c>
      <c r="S84" s="1" t="s">
        <v>74</v>
      </c>
      <c r="T84" s="1" t="s">
        <v>74</v>
      </c>
      <c r="U84" s="1" t="s">
        <v>74</v>
      </c>
      <c r="V84" s="1" t="s">
        <v>965</v>
      </c>
      <c r="W84" s="1" t="s">
        <v>74</v>
      </c>
      <c r="X84" s="1" t="s">
        <v>74</v>
      </c>
      <c r="Y84" s="1" t="s">
        <v>74</v>
      </c>
      <c r="Z84" s="1" t="s">
        <v>74</v>
      </c>
      <c r="AA84" s="1" t="s">
        <v>966</v>
      </c>
      <c r="AB84" s="1" t="s">
        <v>967</v>
      </c>
      <c r="AC84" s="1" t="s">
        <v>74</v>
      </c>
      <c r="AD84" s="1" t="s">
        <v>74</v>
      </c>
      <c r="AE84" s="1" t="s">
        <v>74</v>
      </c>
      <c r="AF84" s="1" t="s">
        <v>74</v>
      </c>
      <c r="AG84" s="1" t="s">
        <v>74</v>
      </c>
      <c r="AH84" s="1" t="s">
        <v>74</v>
      </c>
      <c r="AI84" s="1" t="s">
        <v>74</v>
      </c>
      <c r="AJ84" s="1" t="s">
        <v>74</v>
      </c>
      <c r="AK84" s="1" t="s">
        <v>74</v>
      </c>
      <c r="AL84" s="1" t="s">
        <v>74</v>
      </c>
      <c r="AM84" s="1" t="s">
        <v>74</v>
      </c>
      <c r="AN84" s="1" t="s">
        <v>74</v>
      </c>
      <c r="AO84" s="1" t="s">
        <v>675</v>
      </c>
      <c r="AP84" s="1" t="s">
        <v>676</v>
      </c>
      <c r="AQ84" s="1" t="s">
        <v>968</v>
      </c>
      <c r="AR84" s="1" t="s">
        <v>74</v>
      </c>
      <c r="AS84" s="1" t="s">
        <v>74</v>
      </c>
      <c r="AT84" s="1" t="s">
        <v>74</v>
      </c>
      <c r="AU84" s="1">
        <v>2024.0</v>
      </c>
      <c r="AV84" s="1">
        <v>14737.0</v>
      </c>
      <c r="AW84" s="1" t="s">
        <v>74</v>
      </c>
      <c r="AX84" s="1" t="s">
        <v>74</v>
      </c>
      <c r="AY84" s="1" t="s">
        <v>74</v>
      </c>
      <c r="AZ84" s="1" t="s">
        <v>74</v>
      </c>
      <c r="BA84" s="1" t="s">
        <v>74</v>
      </c>
      <c r="BB84" s="1">
        <v>235.0</v>
      </c>
      <c r="BC84" s="1">
        <v>253.0</v>
      </c>
      <c r="BD84" s="1" t="s">
        <v>74</v>
      </c>
      <c r="BE84" s="1" t="s">
        <v>969</v>
      </c>
      <c r="BF84" s="2" t="str">
        <f>HYPERLINK("http://dx.doi.org/10.1007/978-3-031-60458-4_16","http://dx.doi.org/10.1007/978-3-031-60458-4_16")</f>
        <v>http://dx.doi.org/10.1007/978-3-031-60458-4_16</v>
      </c>
      <c r="BG84" s="1" t="s">
        <v>74</v>
      </c>
      <c r="BH84" s="1" t="s">
        <v>74</v>
      </c>
      <c r="BI84" s="1" t="s">
        <v>74</v>
      </c>
      <c r="BJ84" s="1" t="s">
        <v>74</v>
      </c>
      <c r="BK84" s="1" t="s">
        <v>74</v>
      </c>
      <c r="BL84" s="1" t="s">
        <v>74</v>
      </c>
      <c r="BM84" s="1" t="s">
        <v>74</v>
      </c>
      <c r="BN84" s="1" t="s">
        <v>74</v>
      </c>
      <c r="BO84" s="1" t="s">
        <v>74</v>
      </c>
      <c r="BP84" s="1" t="s">
        <v>74</v>
      </c>
      <c r="BQ84" s="1" t="s">
        <v>74</v>
      </c>
      <c r="BR84" s="1" t="s">
        <v>74</v>
      </c>
      <c r="BS84" s="1" t="s">
        <v>970</v>
      </c>
      <c r="BT84" s="1" t="str">
        <f>HYPERLINK("https%3A%2F%2Fwww.webofscience.com%2Fwos%2Fwoscc%2Ffull-record%2FWOS:001283831300016","View Full Record in Web of Science")</f>
        <v>View Full Record in Web of Science</v>
      </c>
    </row>
    <row r="85" ht="12.75" customHeight="1">
      <c r="A85" s="1" t="s">
        <v>72</v>
      </c>
      <c r="B85" s="1" t="s">
        <v>971</v>
      </c>
      <c r="C85" s="1" t="s">
        <v>74</v>
      </c>
      <c r="D85" s="1" t="s">
        <v>74</v>
      </c>
      <c r="E85" s="1" t="s">
        <v>74</v>
      </c>
      <c r="F85" s="1" t="s">
        <v>972</v>
      </c>
      <c r="G85" s="1" t="s">
        <v>74</v>
      </c>
      <c r="H85" s="1" t="s">
        <v>74</v>
      </c>
      <c r="I85" s="1" t="s">
        <v>973</v>
      </c>
      <c r="J85" s="1" t="s">
        <v>974</v>
      </c>
      <c r="K85" s="1" t="s">
        <v>74</v>
      </c>
      <c r="L85" s="1" t="s">
        <v>74</v>
      </c>
      <c r="M85" s="1" t="s">
        <v>74</v>
      </c>
      <c r="N85" s="1" t="s">
        <v>74</v>
      </c>
      <c r="O85" s="1" t="s">
        <v>74</v>
      </c>
      <c r="P85" s="1" t="s">
        <v>74</v>
      </c>
      <c r="Q85" s="1" t="s">
        <v>74</v>
      </c>
      <c r="R85" s="1" t="s">
        <v>74</v>
      </c>
      <c r="S85" s="1" t="s">
        <v>74</v>
      </c>
      <c r="T85" s="1" t="s">
        <v>74</v>
      </c>
      <c r="U85" s="1" t="s">
        <v>74</v>
      </c>
      <c r="V85" s="1" t="s">
        <v>975</v>
      </c>
      <c r="W85" s="1" t="s">
        <v>74</v>
      </c>
      <c r="X85" s="1" t="s">
        <v>74</v>
      </c>
      <c r="Y85" s="1" t="s">
        <v>74</v>
      </c>
      <c r="Z85" s="1" t="s">
        <v>74</v>
      </c>
      <c r="AA85" s="1" t="s">
        <v>976</v>
      </c>
      <c r="AB85" s="1" t="s">
        <v>74</v>
      </c>
      <c r="AC85" s="1" t="s">
        <v>74</v>
      </c>
      <c r="AD85" s="1" t="s">
        <v>74</v>
      </c>
      <c r="AE85" s="1" t="s">
        <v>74</v>
      </c>
      <c r="AF85" s="1" t="s">
        <v>74</v>
      </c>
      <c r="AG85" s="1" t="s">
        <v>74</v>
      </c>
      <c r="AH85" s="1" t="s">
        <v>74</v>
      </c>
      <c r="AI85" s="1" t="s">
        <v>74</v>
      </c>
      <c r="AJ85" s="1" t="s">
        <v>74</v>
      </c>
      <c r="AK85" s="1" t="s">
        <v>74</v>
      </c>
      <c r="AL85" s="1" t="s">
        <v>74</v>
      </c>
      <c r="AM85" s="1" t="s">
        <v>74</v>
      </c>
      <c r="AN85" s="1" t="s">
        <v>74</v>
      </c>
      <c r="AO85" s="1" t="s">
        <v>977</v>
      </c>
      <c r="AP85" s="1" t="s">
        <v>978</v>
      </c>
      <c r="AQ85" s="1" t="s">
        <v>74</v>
      </c>
      <c r="AR85" s="1" t="s">
        <v>74</v>
      </c>
      <c r="AS85" s="1" t="s">
        <v>74</v>
      </c>
      <c r="AT85" s="1" t="s">
        <v>447</v>
      </c>
      <c r="AU85" s="1">
        <v>2024.0</v>
      </c>
      <c r="AV85" s="1">
        <v>66.0</v>
      </c>
      <c r="AW85" s="1">
        <v>1.0</v>
      </c>
      <c r="AX85" s="1" t="s">
        <v>74</v>
      </c>
      <c r="AY85" s="1" t="s">
        <v>74</v>
      </c>
      <c r="AZ85" s="1" t="s">
        <v>74</v>
      </c>
      <c r="BA85" s="1" t="s">
        <v>74</v>
      </c>
      <c r="BB85" s="1">
        <v>17.0</v>
      </c>
      <c r="BC85" s="1">
        <v>24.0</v>
      </c>
      <c r="BD85" s="1" t="s">
        <v>74</v>
      </c>
      <c r="BE85" s="1" t="s">
        <v>979</v>
      </c>
      <c r="BF85" s="2" t="str">
        <f>HYPERLINK("http://dx.doi.org/10.21149/14670","http://dx.doi.org/10.21149/14670")</f>
        <v>http://dx.doi.org/10.21149/14670</v>
      </c>
      <c r="BG85" s="1" t="s">
        <v>74</v>
      </c>
      <c r="BH85" s="1" t="s">
        <v>74</v>
      </c>
      <c r="BI85" s="1" t="s">
        <v>74</v>
      </c>
      <c r="BJ85" s="1" t="s">
        <v>74</v>
      </c>
      <c r="BK85" s="1" t="s">
        <v>74</v>
      </c>
      <c r="BL85" s="1" t="s">
        <v>74</v>
      </c>
      <c r="BM85" s="1" t="s">
        <v>74</v>
      </c>
      <c r="BN85" s="1" t="s">
        <v>74</v>
      </c>
      <c r="BO85" s="1" t="s">
        <v>74</v>
      </c>
      <c r="BP85" s="1" t="s">
        <v>74</v>
      </c>
      <c r="BQ85" s="1" t="s">
        <v>74</v>
      </c>
      <c r="BR85" s="1" t="s">
        <v>74</v>
      </c>
      <c r="BS85" s="1" t="s">
        <v>980</v>
      </c>
      <c r="BT85" s="1" t="str">
        <f>HYPERLINK("https%3A%2F%2Fwww.webofscience.com%2Fwos%2Fwoscc%2Ffull-record%2FWOS:001152521100015","View Full Record in Web of Science")</f>
        <v>View Full Record in Web of Science</v>
      </c>
    </row>
    <row r="86" ht="12.75" customHeight="1">
      <c r="A86" s="1" t="s">
        <v>72</v>
      </c>
      <c r="B86" s="1" t="s">
        <v>981</v>
      </c>
      <c r="C86" s="1" t="s">
        <v>74</v>
      </c>
      <c r="D86" s="1" t="s">
        <v>74</v>
      </c>
      <c r="E86" s="1" t="s">
        <v>74</v>
      </c>
      <c r="F86" s="1" t="s">
        <v>982</v>
      </c>
      <c r="G86" s="1" t="s">
        <v>74</v>
      </c>
      <c r="H86" s="1" t="s">
        <v>74</v>
      </c>
      <c r="I86" s="1" t="s">
        <v>983</v>
      </c>
      <c r="J86" s="1" t="s">
        <v>984</v>
      </c>
      <c r="K86" s="1" t="s">
        <v>74</v>
      </c>
      <c r="L86" s="1" t="s">
        <v>74</v>
      </c>
      <c r="M86" s="1" t="s">
        <v>74</v>
      </c>
      <c r="N86" s="1" t="s">
        <v>74</v>
      </c>
      <c r="O86" s="1" t="s">
        <v>74</v>
      </c>
      <c r="P86" s="1" t="s">
        <v>74</v>
      </c>
      <c r="Q86" s="1" t="s">
        <v>74</v>
      </c>
      <c r="R86" s="1" t="s">
        <v>74</v>
      </c>
      <c r="S86" s="1" t="s">
        <v>74</v>
      </c>
      <c r="T86" s="1" t="s">
        <v>74</v>
      </c>
      <c r="U86" s="1" t="s">
        <v>74</v>
      </c>
      <c r="V86" s="1" t="s">
        <v>985</v>
      </c>
      <c r="W86" s="1" t="s">
        <v>74</v>
      </c>
      <c r="X86" s="1" t="s">
        <v>74</v>
      </c>
      <c r="Y86" s="1" t="s">
        <v>74</v>
      </c>
      <c r="Z86" s="1" t="s">
        <v>74</v>
      </c>
      <c r="AA86" s="1" t="s">
        <v>986</v>
      </c>
      <c r="AB86" s="1" t="s">
        <v>987</v>
      </c>
      <c r="AC86" s="1" t="s">
        <v>74</v>
      </c>
      <c r="AD86" s="1" t="s">
        <v>74</v>
      </c>
      <c r="AE86" s="1" t="s">
        <v>74</v>
      </c>
      <c r="AF86" s="1" t="s">
        <v>74</v>
      </c>
      <c r="AG86" s="1" t="s">
        <v>74</v>
      </c>
      <c r="AH86" s="1" t="s">
        <v>74</v>
      </c>
      <c r="AI86" s="1" t="s">
        <v>74</v>
      </c>
      <c r="AJ86" s="1" t="s">
        <v>74</v>
      </c>
      <c r="AK86" s="1" t="s">
        <v>74</v>
      </c>
      <c r="AL86" s="1" t="s">
        <v>74</v>
      </c>
      <c r="AM86" s="1" t="s">
        <v>74</v>
      </c>
      <c r="AN86" s="1" t="s">
        <v>74</v>
      </c>
      <c r="AO86" s="1" t="s">
        <v>74</v>
      </c>
      <c r="AP86" s="1" t="s">
        <v>988</v>
      </c>
      <c r="AQ86" s="1" t="s">
        <v>74</v>
      </c>
      <c r="AR86" s="1" t="s">
        <v>74</v>
      </c>
      <c r="AS86" s="1" t="s">
        <v>74</v>
      </c>
      <c r="AT86" s="1" t="s">
        <v>135</v>
      </c>
      <c r="AU86" s="1">
        <v>2023.0</v>
      </c>
      <c r="AV86" s="1">
        <v>15.0</v>
      </c>
      <c r="AW86" s="1">
        <v>8.0</v>
      </c>
      <c r="AX86" s="1" t="s">
        <v>74</v>
      </c>
      <c r="AY86" s="1" t="s">
        <v>74</v>
      </c>
      <c r="AZ86" s="1" t="s">
        <v>74</v>
      </c>
      <c r="BA86" s="1" t="s">
        <v>74</v>
      </c>
      <c r="BB86" s="1" t="s">
        <v>74</v>
      </c>
      <c r="BC86" s="1" t="s">
        <v>74</v>
      </c>
      <c r="BD86" s="1">
        <v>1485.0</v>
      </c>
      <c r="BE86" s="1" t="s">
        <v>989</v>
      </c>
      <c r="BF86" s="2" t="str">
        <f>HYPERLINK("http://dx.doi.org/10.3390/sym15081485","http://dx.doi.org/10.3390/sym15081485")</f>
        <v>http://dx.doi.org/10.3390/sym15081485</v>
      </c>
      <c r="BG86" s="1" t="s">
        <v>74</v>
      </c>
      <c r="BH86" s="1" t="s">
        <v>74</v>
      </c>
      <c r="BI86" s="1" t="s">
        <v>74</v>
      </c>
      <c r="BJ86" s="1" t="s">
        <v>74</v>
      </c>
      <c r="BK86" s="1" t="s">
        <v>74</v>
      </c>
      <c r="BL86" s="1" t="s">
        <v>74</v>
      </c>
      <c r="BM86" s="1" t="s">
        <v>74</v>
      </c>
      <c r="BN86" s="1" t="s">
        <v>74</v>
      </c>
      <c r="BO86" s="1" t="s">
        <v>74</v>
      </c>
      <c r="BP86" s="1" t="s">
        <v>74</v>
      </c>
      <c r="BQ86" s="1" t="s">
        <v>74</v>
      </c>
      <c r="BR86" s="1" t="s">
        <v>74</v>
      </c>
      <c r="BS86" s="1" t="s">
        <v>990</v>
      </c>
      <c r="BT86" s="1" t="str">
        <f>HYPERLINK("https%3A%2F%2Fwww.webofscience.com%2Fwos%2Fwoscc%2Ffull-record%2FWOS:001058765400001","View Full Record in Web of Science")</f>
        <v>View Full Record in Web of Science</v>
      </c>
    </row>
    <row r="87" ht="12.75" customHeight="1">
      <c r="A87" s="1" t="s">
        <v>72</v>
      </c>
      <c r="B87" s="1" t="s">
        <v>991</v>
      </c>
      <c r="C87" s="1" t="s">
        <v>74</v>
      </c>
      <c r="D87" s="1" t="s">
        <v>74</v>
      </c>
      <c r="E87" s="1" t="s">
        <v>74</v>
      </c>
      <c r="F87" s="1" t="s">
        <v>992</v>
      </c>
      <c r="G87" s="1" t="s">
        <v>74</v>
      </c>
      <c r="H87" s="1" t="s">
        <v>74</v>
      </c>
      <c r="I87" s="1" t="s">
        <v>993</v>
      </c>
      <c r="J87" s="1" t="s">
        <v>994</v>
      </c>
      <c r="K87" s="1" t="s">
        <v>74</v>
      </c>
      <c r="L87" s="1" t="s">
        <v>74</v>
      </c>
      <c r="M87" s="1" t="s">
        <v>74</v>
      </c>
      <c r="N87" s="1" t="s">
        <v>74</v>
      </c>
      <c r="O87" s="1" t="s">
        <v>74</v>
      </c>
      <c r="P87" s="1" t="s">
        <v>74</v>
      </c>
      <c r="Q87" s="1" t="s">
        <v>74</v>
      </c>
      <c r="R87" s="1" t="s">
        <v>74</v>
      </c>
      <c r="S87" s="1" t="s">
        <v>74</v>
      </c>
      <c r="T87" s="1" t="s">
        <v>74</v>
      </c>
      <c r="U87" s="1" t="s">
        <v>74</v>
      </c>
      <c r="V87" s="1" t="s">
        <v>995</v>
      </c>
      <c r="W87" s="1" t="s">
        <v>74</v>
      </c>
      <c r="X87" s="1" t="s">
        <v>74</v>
      </c>
      <c r="Y87" s="1" t="s">
        <v>74</v>
      </c>
      <c r="Z87" s="1" t="s">
        <v>74</v>
      </c>
      <c r="AA87" s="1" t="s">
        <v>74</v>
      </c>
      <c r="AB87" s="1" t="s">
        <v>74</v>
      </c>
      <c r="AC87" s="1" t="s">
        <v>74</v>
      </c>
      <c r="AD87" s="1" t="s">
        <v>74</v>
      </c>
      <c r="AE87" s="1" t="s">
        <v>74</v>
      </c>
      <c r="AF87" s="1" t="s">
        <v>74</v>
      </c>
      <c r="AG87" s="1" t="s">
        <v>74</v>
      </c>
      <c r="AH87" s="1" t="s">
        <v>74</v>
      </c>
      <c r="AI87" s="1" t="s">
        <v>74</v>
      </c>
      <c r="AJ87" s="1" t="s">
        <v>74</v>
      </c>
      <c r="AK87" s="1" t="s">
        <v>74</v>
      </c>
      <c r="AL87" s="1" t="s">
        <v>74</v>
      </c>
      <c r="AM87" s="1" t="s">
        <v>74</v>
      </c>
      <c r="AN87" s="1" t="s">
        <v>74</v>
      </c>
      <c r="AO87" s="1" t="s">
        <v>996</v>
      </c>
      <c r="AP87" s="1" t="s">
        <v>74</v>
      </c>
      <c r="AQ87" s="1" t="s">
        <v>74</v>
      </c>
      <c r="AR87" s="1" t="s">
        <v>74</v>
      </c>
      <c r="AS87" s="1" t="s">
        <v>74</v>
      </c>
      <c r="AT87" s="1" t="s">
        <v>215</v>
      </c>
      <c r="AU87" s="1">
        <v>2023.0</v>
      </c>
      <c r="AV87" s="1">
        <v>52.0</v>
      </c>
      <c r="AW87" s="1" t="s">
        <v>74</v>
      </c>
      <c r="AX87" s="1" t="s">
        <v>74</v>
      </c>
      <c r="AY87" s="1" t="s">
        <v>74</v>
      </c>
      <c r="AZ87" s="1" t="s">
        <v>74</v>
      </c>
      <c r="BA87" s="1" t="s">
        <v>74</v>
      </c>
      <c r="BB87" s="1">
        <v>1.0</v>
      </c>
      <c r="BC87" s="1">
        <v>17.0</v>
      </c>
      <c r="BD87" s="1" t="s">
        <v>74</v>
      </c>
      <c r="BE87" s="1" t="s">
        <v>74</v>
      </c>
      <c r="BF87" s="1" t="s">
        <v>74</v>
      </c>
      <c r="BG87" s="1" t="s">
        <v>74</v>
      </c>
      <c r="BH87" s="1" t="s">
        <v>74</v>
      </c>
      <c r="BI87" s="1" t="s">
        <v>74</v>
      </c>
      <c r="BJ87" s="1" t="s">
        <v>74</v>
      </c>
      <c r="BK87" s="1" t="s">
        <v>74</v>
      </c>
      <c r="BL87" s="1" t="s">
        <v>74</v>
      </c>
      <c r="BM87" s="1" t="s">
        <v>74</v>
      </c>
      <c r="BN87" s="1" t="s">
        <v>74</v>
      </c>
      <c r="BO87" s="1" t="s">
        <v>74</v>
      </c>
      <c r="BP87" s="1" t="s">
        <v>74</v>
      </c>
      <c r="BQ87" s="1" t="s">
        <v>74</v>
      </c>
      <c r="BR87" s="1" t="s">
        <v>74</v>
      </c>
      <c r="BS87" s="1" t="s">
        <v>997</v>
      </c>
      <c r="BT87" s="1" t="str">
        <f>HYPERLINK("https%3A%2F%2Fwww.webofscience.com%2Fwos%2Fwoscc%2Ffull-record%2FWOS:001034444000001","View Full Record in Web of Science")</f>
        <v>View Full Record in Web of Science</v>
      </c>
    </row>
    <row r="88" ht="12.75" customHeight="1">
      <c r="A88" s="1" t="s">
        <v>72</v>
      </c>
      <c r="B88" s="1" t="s">
        <v>998</v>
      </c>
      <c r="C88" s="1" t="s">
        <v>74</v>
      </c>
      <c r="D88" s="1" t="s">
        <v>74</v>
      </c>
      <c r="E88" s="1" t="s">
        <v>74</v>
      </c>
      <c r="F88" s="1" t="s">
        <v>999</v>
      </c>
      <c r="G88" s="1" t="s">
        <v>74</v>
      </c>
      <c r="H88" s="1" t="s">
        <v>74</v>
      </c>
      <c r="I88" s="1" t="s">
        <v>1000</v>
      </c>
      <c r="J88" s="1" t="s">
        <v>1001</v>
      </c>
      <c r="K88" s="1" t="s">
        <v>74</v>
      </c>
      <c r="L88" s="1" t="s">
        <v>74</v>
      </c>
      <c r="M88" s="1" t="s">
        <v>74</v>
      </c>
      <c r="N88" s="1" t="s">
        <v>74</v>
      </c>
      <c r="O88" s="1" t="s">
        <v>74</v>
      </c>
      <c r="P88" s="1" t="s">
        <v>74</v>
      </c>
      <c r="Q88" s="1" t="s">
        <v>74</v>
      </c>
      <c r="R88" s="1" t="s">
        <v>74</v>
      </c>
      <c r="S88" s="1" t="s">
        <v>74</v>
      </c>
      <c r="T88" s="1" t="s">
        <v>74</v>
      </c>
      <c r="U88" s="1" t="s">
        <v>74</v>
      </c>
      <c r="V88" s="1" t="s">
        <v>1002</v>
      </c>
      <c r="W88" s="1" t="s">
        <v>74</v>
      </c>
      <c r="X88" s="1" t="s">
        <v>74</v>
      </c>
      <c r="Y88" s="1" t="s">
        <v>74</v>
      </c>
      <c r="Z88" s="1" t="s">
        <v>74</v>
      </c>
      <c r="AA88" s="1" t="s">
        <v>74</v>
      </c>
      <c r="AB88" s="1" t="s">
        <v>1003</v>
      </c>
      <c r="AC88" s="1" t="s">
        <v>74</v>
      </c>
      <c r="AD88" s="1" t="s">
        <v>74</v>
      </c>
      <c r="AE88" s="1" t="s">
        <v>74</v>
      </c>
      <c r="AF88" s="1" t="s">
        <v>74</v>
      </c>
      <c r="AG88" s="1" t="s">
        <v>74</v>
      </c>
      <c r="AH88" s="1" t="s">
        <v>74</v>
      </c>
      <c r="AI88" s="1" t="s">
        <v>74</v>
      </c>
      <c r="AJ88" s="1" t="s">
        <v>74</v>
      </c>
      <c r="AK88" s="1" t="s">
        <v>74</v>
      </c>
      <c r="AL88" s="1" t="s">
        <v>74</v>
      </c>
      <c r="AM88" s="1" t="s">
        <v>74</v>
      </c>
      <c r="AN88" s="1" t="s">
        <v>74</v>
      </c>
      <c r="AO88" s="1" t="s">
        <v>1004</v>
      </c>
      <c r="AP88" s="1" t="s">
        <v>1005</v>
      </c>
      <c r="AQ88" s="1" t="s">
        <v>74</v>
      </c>
      <c r="AR88" s="1" t="s">
        <v>74</v>
      </c>
      <c r="AS88" s="1" t="s">
        <v>74</v>
      </c>
      <c r="AT88" s="1" t="s">
        <v>459</v>
      </c>
      <c r="AU88" s="1">
        <v>2024.0</v>
      </c>
      <c r="AV88" s="1">
        <v>16.0</v>
      </c>
      <c r="AW88" s="1">
        <v>5.0</v>
      </c>
      <c r="AX88" s="1" t="s">
        <v>74</v>
      </c>
      <c r="AY88" s="1" t="s">
        <v>74</v>
      </c>
      <c r="AZ88" s="1" t="s">
        <v>74</v>
      </c>
      <c r="BA88" s="1" t="s">
        <v>74</v>
      </c>
      <c r="BB88" s="1">
        <v>2405.0</v>
      </c>
      <c r="BC88" s="1">
        <v>2410.0</v>
      </c>
      <c r="BD88" s="1" t="s">
        <v>74</v>
      </c>
      <c r="BE88" s="1" t="s">
        <v>1006</v>
      </c>
      <c r="BF88" s="2" t="str">
        <f>HYPERLINK("http://dx.doi.org/10.1007/s12559-023-10140-9","http://dx.doi.org/10.1007/s12559-023-10140-9")</f>
        <v>http://dx.doi.org/10.1007/s12559-023-10140-9</v>
      </c>
      <c r="BG88" s="1" t="s">
        <v>74</v>
      </c>
      <c r="BH88" s="1" t="s">
        <v>1007</v>
      </c>
      <c r="BI88" s="1" t="s">
        <v>74</v>
      </c>
      <c r="BJ88" s="1" t="s">
        <v>74</v>
      </c>
      <c r="BK88" s="1" t="s">
        <v>74</v>
      </c>
      <c r="BL88" s="1" t="s">
        <v>74</v>
      </c>
      <c r="BM88" s="1" t="s">
        <v>74</v>
      </c>
      <c r="BN88" s="1" t="s">
        <v>74</v>
      </c>
      <c r="BO88" s="1" t="s">
        <v>74</v>
      </c>
      <c r="BP88" s="1" t="s">
        <v>74</v>
      </c>
      <c r="BQ88" s="1" t="s">
        <v>74</v>
      </c>
      <c r="BR88" s="1" t="s">
        <v>74</v>
      </c>
      <c r="BS88" s="1" t="s">
        <v>1008</v>
      </c>
      <c r="BT88" s="1" t="str">
        <f>HYPERLINK("https%3A%2F%2Fwww.webofscience.com%2Fwos%2Fwoscc%2Ffull-record%2FWOS:000974757300001","View Full Record in Web of Science")</f>
        <v>View Full Record in Web of Science</v>
      </c>
    </row>
    <row r="89" ht="12.75" customHeight="1">
      <c r="A89" s="1" t="s">
        <v>72</v>
      </c>
      <c r="B89" s="1" t="s">
        <v>1009</v>
      </c>
      <c r="C89" s="1" t="s">
        <v>74</v>
      </c>
      <c r="D89" s="1" t="s">
        <v>74</v>
      </c>
      <c r="E89" s="1" t="s">
        <v>74</v>
      </c>
      <c r="F89" s="1" t="s">
        <v>1010</v>
      </c>
      <c r="G89" s="1" t="s">
        <v>74</v>
      </c>
      <c r="H89" s="1" t="s">
        <v>74</v>
      </c>
      <c r="I89" s="1" t="s">
        <v>1011</v>
      </c>
      <c r="J89" s="1" t="s">
        <v>1012</v>
      </c>
      <c r="K89" s="1" t="s">
        <v>74</v>
      </c>
      <c r="L89" s="1" t="s">
        <v>74</v>
      </c>
      <c r="M89" s="1" t="s">
        <v>74</v>
      </c>
      <c r="N89" s="1" t="s">
        <v>74</v>
      </c>
      <c r="O89" s="1" t="s">
        <v>74</v>
      </c>
      <c r="P89" s="1" t="s">
        <v>74</v>
      </c>
      <c r="Q89" s="1" t="s">
        <v>74</v>
      </c>
      <c r="R89" s="1" t="s">
        <v>74</v>
      </c>
      <c r="S89" s="1" t="s">
        <v>74</v>
      </c>
      <c r="T89" s="1" t="s">
        <v>74</v>
      </c>
      <c r="U89" s="1" t="s">
        <v>74</v>
      </c>
      <c r="V89" s="1" t="s">
        <v>1013</v>
      </c>
      <c r="W89" s="1" t="s">
        <v>74</v>
      </c>
      <c r="X89" s="1" t="s">
        <v>74</v>
      </c>
      <c r="Y89" s="1" t="s">
        <v>74</v>
      </c>
      <c r="Z89" s="1" t="s">
        <v>74</v>
      </c>
      <c r="AA89" s="1" t="s">
        <v>1014</v>
      </c>
      <c r="AB89" s="1" t="s">
        <v>74</v>
      </c>
      <c r="AC89" s="1" t="s">
        <v>74</v>
      </c>
      <c r="AD89" s="1" t="s">
        <v>74</v>
      </c>
      <c r="AE89" s="1" t="s">
        <v>74</v>
      </c>
      <c r="AF89" s="1" t="s">
        <v>74</v>
      </c>
      <c r="AG89" s="1" t="s">
        <v>74</v>
      </c>
      <c r="AH89" s="1" t="s">
        <v>74</v>
      </c>
      <c r="AI89" s="1" t="s">
        <v>74</v>
      </c>
      <c r="AJ89" s="1" t="s">
        <v>74</v>
      </c>
      <c r="AK89" s="1" t="s">
        <v>74</v>
      </c>
      <c r="AL89" s="1" t="s">
        <v>74</v>
      </c>
      <c r="AM89" s="1" t="s">
        <v>74</v>
      </c>
      <c r="AN89" s="1" t="s">
        <v>74</v>
      </c>
      <c r="AO89" s="1" t="s">
        <v>1015</v>
      </c>
      <c r="AP89" s="1" t="s">
        <v>1016</v>
      </c>
      <c r="AQ89" s="1" t="s">
        <v>74</v>
      </c>
      <c r="AR89" s="1" t="s">
        <v>74</v>
      </c>
      <c r="AS89" s="1" t="s">
        <v>74</v>
      </c>
      <c r="AT89" s="1" t="s">
        <v>74</v>
      </c>
      <c r="AU89" s="1">
        <v>2023.0</v>
      </c>
      <c r="AV89" s="1" t="s">
        <v>74</v>
      </c>
      <c r="AW89" s="1">
        <v>38.0</v>
      </c>
      <c r="AX89" s="1" t="s">
        <v>74</v>
      </c>
      <c r="AY89" s="1" t="s">
        <v>74</v>
      </c>
      <c r="AZ89" s="1" t="s">
        <v>74</v>
      </c>
      <c r="BA89" s="1" t="s">
        <v>74</v>
      </c>
      <c r="BB89" s="1">
        <v>111.0</v>
      </c>
      <c r="BC89" s="1">
        <v>128.0</v>
      </c>
      <c r="BD89" s="1" t="s">
        <v>74</v>
      </c>
      <c r="BE89" s="1" t="s">
        <v>1017</v>
      </c>
      <c r="BF89" s="2" t="str">
        <f>HYPERLINK("http://dx.doi.org/10.35588/estudav.v0i38.5627","http://dx.doi.org/10.35588/estudav.v0i38.5627")</f>
        <v>http://dx.doi.org/10.35588/estudav.v0i38.5627</v>
      </c>
      <c r="BG89" s="1" t="s">
        <v>74</v>
      </c>
      <c r="BH89" s="1" t="s">
        <v>74</v>
      </c>
      <c r="BI89" s="1" t="s">
        <v>74</v>
      </c>
      <c r="BJ89" s="1" t="s">
        <v>74</v>
      </c>
      <c r="BK89" s="1" t="s">
        <v>74</v>
      </c>
      <c r="BL89" s="1" t="s">
        <v>74</v>
      </c>
      <c r="BM89" s="1" t="s">
        <v>74</v>
      </c>
      <c r="BN89" s="1" t="s">
        <v>74</v>
      </c>
      <c r="BO89" s="1" t="s">
        <v>74</v>
      </c>
      <c r="BP89" s="1" t="s">
        <v>74</v>
      </c>
      <c r="BQ89" s="1" t="s">
        <v>74</v>
      </c>
      <c r="BR89" s="1" t="s">
        <v>74</v>
      </c>
      <c r="BS89" s="1" t="s">
        <v>1018</v>
      </c>
      <c r="BT89" s="1" t="str">
        <f>HYPERLINK("https%3A%2F%2Fwww.webofscience.com%2Fwos%2Fwoscc%2Ffull-record%2FWOS:001026183000008","View Full Record in Web of Science")</f>
        <v>View Full Record in Web of Science</v>
      </c>
    </row>
    <row r="90" ht="12.75" customHeight="1">
      <c r="A90" s="1" t="s">
        <v>72</v>
      </c>
      <c r="B90" s="1" t="s">
        <v>1019</v>
      </c>
      <c r="C90" s="1" t="s">
        <v>74</v>
      </c>
      <c r="D90" s="1" t="s">
        <v>74</v>
      </c>
      <c r="E90" s="1" t="s">
        <v>74</v>
      </c>
      <c r="F90" s="1" t="s">
        <v>1020</v>
      </c>
      <c r="G90" s="1" t="s">
        <v>74</v>
      </c>
      <c r="H90" s="1" t="s">
        <v>74</v>
      </c>
      <c r="I90" s="1" t="s">
        <v>1021</v>
      </c>
      <c r="J90" s="1" t="s">
        <v>1022</v>
      </c>
      <c r="K90" s="1" t="s">
        <v>74</v>
      </c>
      <c r="L90" s="1" t="s">
        <v>74</v>
      </c>
      <c r="M90" s="1" t="s">
        <v>74</v>
      </c>
      <c r="N90" s="1" t="s">
        <v>74</v>
      </c>
      <c r="O90" s="1" t="s">
        <v>74</v>
      </c>
      <c r="P90" s="1" t="s">
        <v>74</v>
      </c>
      <c r="Q90" s="1" t="s">
        <v>74</v>
      </c>
      <c r="R90" s="1" t="s">
        <v>74</v>
      </c>
      <c r="S90" s="1" t="s">
        <v>74</v>
      </c>
      <c r="T90" s="1" t="s">
        <v>74</v>
      </c>
      <c r="U90" s="1" t="s">
        <v>74</v>
      </c>
      <c r="V90" s="1" t="s">
        <v>1023</v>
      </c>
      <c r="W90" s="1" t="s">
        <v>74</v>
      </c>
      <c r="X90" s="1" t="s">
        <v>74</v>
      </c>
      <c r="Y90" s="1" t="s">
        <v>74</v>
      </c>
      <c r="Z90" s="1" t="s">
        <v>74</v>
      </c>
      <c r="AA90" s="1" t="s">
        <v>1024</v>
      </c>
      <c r="AB90" s="1" t="s">
        <v>1025</v>
      </c>
      <c r="AC90" s="1" t="s">
        <v>74</v>
      </c>
      <c r="AD90" s="1" t="s">
        <v>74</v>
      </c>
      <c r="AE90" s="1" t="s">
        <v>74</v>
      </c>
      <c r="AF90" s="1" t="s">
        <v>74</v>
      </c>
      <c r="AG90" s="1" t="s">
        <v>74</v>
      </c>
      <c r="AH90" s="1" t="s">
        <v>74</v>
      </c>
      <c r="AI90" s="1" t="s">
        <v>74</v>
      </c>
      <c r="AJ90" s="1" t="s">
        <v>74</v>
      </c>
      <c r="AK90" s="1" t="s">
        <v>74</v>
      </c>
      <c r="AL90" s="1" t="s">
        <v>74</v>
      </c>
      <c r="AM90" s="1" t="s">
        <v>74</v>
      </c>
      <c r="AN90" s="1" t="s">
        <v>74</v>
      </c>
      <c r="AO90" s="1" t="s">
        <v>1026</v>
      </c>
      <c r="AP90" s="1" t="s">
        <v>1027</v>
      </c>
      <c r="AQ90" s="1" t="s">
        <v>74</v>
      </c>
      <c r="AR90" s="1" t="s">
        <v>74</v>
      </c>
      <c r="AS90" s="1" t="s">
        <v>74</v>
      </c>
      <c r="AT90" s="1" t="s">
        <v>360</v>
      </c>
      <c r="AU90" s="1">
        <v>2022.0</v>
      </c>
      <c r="AV90" s="1">
        <v>24.0</v>
      </c>
      <c r="AW90" s="1">
        <v>1.0</v>
      </c>
      <c r="AX90" s="1" t="s">
        <v>74</v>
      </c>
      <c r="AY90" s="1" t="s">
        <v>74</v>
      </c>
      <c r="AZ90" s="1" t="s">
        <v>74</v>
      </c>
      <c r="BA90" s="1" t="s">
        <v>74</v>
      </c>
      <c r="BB90" s="1" t="s">
        <v>74</v>
      </c>
      <c r="BC90" s="1" t="s">
        <v>74</v>
      </c>
      <c r="BD90" s="1">
        <v>2050063.0</v>
      </c>
      <c r="BE90" s="1" t="s">
        <v>1028</v>
      </c>
      <c r="BF90" s="2" t="str">
        <f>HYPERLINK("http://dx.doi.org/10.1142/S0219199720500637","http://dx.doi.org/10.1142/S0219199720500637")</f>
        <v>http://dx.doi.org/10.1142/S0219199720500637</v>
      </c>
      <c r="BG90" s="1" t="s">
        <v>74</v>
      </c>
      <c r="BH90" s="1" t="s">
        <v>74</v>
      </c>
      <c r="BI90" s="1" t="s">
        <v>74</v>
      </c>
      <c r="BJ90" s="1" t="s">
        <v>74</v>
      </c>
      <c r="BK90" s="1" t="s">
        <v>74</v>
      </c>
      <c r="BL90" s="1" t="s">
        <v>74</v>
      </c>
      <c r="BM90" s="1" t="s">
        <v>74</v>
      </c>
      <c r="BN90" s="1" t="s">
        <v>74</v>
      </c>
      <c r="BO90" s="1" t="s">
        <v>74</v>
      </c>
      <c r="BP90" s="1" t="s">
        <v>74</v>
      </c>
      <c r="BQ90" s="1" t="s">
        <v>74</v>
      </c>
      <c r="BR90" s="1" t="s">
        <v>74</v>
      </c>
      <c r="BS90" s="1" t="s">
        <v>1029</v>
      </c>
      <c r="BT90" s="1" t="str">
        <f>HYPERLINK("https%3A%2F%2Fwww.webofscience.com%2Fwos%2Fwoscc%2Ffull-record%2FWOS:000752945700007","View Full Record in Web of Science")</f>
        <v>View Full Record in Web of Science</v>
      </c>
    </row>
    <row r="91" ht="12.75" customHeight="1">
      <c r="A91" s="1" t="s">
        <v>72</v>
      </c>
      <c r="B91" s="1" t="s">
        <v>1030</v>
      </c>
      <c r="C91" s="1" t="s">
        <v>74</v>
      </c>
      <c r="D91" s="1" t="s">
        <v>74</v>
      </c>
      <c r="E91" s="1" t="s">
        <v>74</v>
      </c>
      <c r="F91" s="1" t="s">
        <v>1031</v>
      </c>
      <c r="G91" s="1" t="s">
        <v>74</v>
      </c>
      <c r="H91" s="1" t="s">
        <v>74</v>
      </c>
      <c r="I91" s="1" t="s">
        <v>1032</v>
      </c>
      <c r="J91" s="1" t="s">
        <v>1033</v>
      </c>
      <c r="K91" s="1" t="s">
        <v>74</v>
      </c>
      <c r="L91" s="1" t="s">
        <v>74</v>
      </c>
      <c r="M91" s="1" t="s">
        <v>74</v>
      </c>
      <c r="N91" s="1" t="s">
        <v>74</v>
      </c>
      <c r="O91" s="1" t="s">
        <v>74</v>
      </c>
      <c r="P91" s="1" t="s">
        <v>74</v>
      </c>
      <c r="Q91" s="1" t="s">
        <v>74</v>
      </c>
      <c r="R91" s="1" t="s">
        <v>74</v>
      </c>
      <c r="S91" s="1" t="s">
        <v>74</v>
      </c>
      <c r="T91" s="1" t="s">
        <v>74</v>
      </c>
      <c r="U91" s="1" t="s">
        <v>74</v>
      </c>
      <c r="V91" s="1" t="s">
        <v>1034</v>
      </c>
      <c r="W91" s="1" t="s">
        <v>74</v>
      </c>
      <c r="X91" s="1" t="s">
        <v>74</v>
      </c>
      <c r="Y91" s="1" t="s">
        <v>74</v>
      </c>
      <c r="Z91" s="1" t="s">
        <v>74</v>
      </c>
      <c r="AA91" s="1" t="s">
        <v>74</v>
      </c>
      <c r="AB91" s="1" t="s">
        <v>74</v>
      </c>
      <c r="AC91" s="1" t="s">
        <v>74</v>
      </c>
      <c r="AD91" s="1" t="s">
        <v>74</v>
      </c>
      <c r="AE91" s="1" t="s">
        <v>74</v>
      </c>
      <c r="AF91" s="1" t="s">
        <v>74</v>
      </c>
      <c r="AG91" s="1" t="s">
        <v>74</v>
      </c>
      <c r="AH91" s="1" t="s">
        <v>74</v>
      </c>
      <c r="AI91" s="1" t="s">
        <v>74</v>
      </c>
      <c r="AJ91" s="1" t="s">
        <v>74</v>
      </c>
      <c r="AK91" s="1" t="s">
        <v>74</v>
      </c>
      <c r="AL91" s="1" t="s">
        <v>74</v>
      </c>
      <c r="AM91" s="1" t="s">
        <v>74</v>
      </c>
      <c r="AN91" s="1" t="s">
        <v>74</v>
      </c>
      <c r="AO91" s="1" t="s">
        <v>1035</v>
      </c>
      <c r="AP91" s="1" t="s">
        <v>1036</v>
      </c>
      <c r="AQ91" s="1" t="s">
        <v>74</v>
      </c>
      <c r="AR91" s="1" t="s">
        <v>74</v>
      </c>
      <c r="AS91" s="1" t="s">
        <v>74</v>
      </c>
      <c r="AT91" s="1" t="s">
        <v>650</v>
      </c>
      <c r="AU91" s="1">
        <v>2022.0</v>
      </c>
      <c r="AV91" s="1">
        <v>42.0</v>
      </c>
      <c r="AW91" s="1">
        <v>3.0</v>
      </c>
      <c r="AX91" s="1" t="s">
        <v>74</v>
      </c>
      <c r="AY91" s="1" t="s">
        <v>74</v>
      </c>
      <c r="AZ91" s="1" t="s">
        <v>74</v>
      </c>
      <c r="BA91" s="1" t="s">
        <v>74</v>
      </c>
      <c r="BB91" s="1">
        <v>1369.0</v>
      </c>
      <c r="BC91" s="1">
        <v>1401.0</v>
      </c>
      <c r="BD91" s="1" t="s">
        <v>74</v>
      </c>
      <c r="BE91" s="1" t="s">
        <v>1037</v>
      </c>
      <c r="BF91" s="2" t="str">
        <f>HYPERLINK("http://dx.doi.org/10.3934/dcds.2021156","http://dx.doi.org/10.3934/dcds.2021156")</f>
        <v>http://dx.doi.org/10.3934/dcds.2021156</v>
      </c>
      <c r="BG91" s="1" t="s">
        <v>74</v>
      </c>
      <c r="BH91" s="1" t="s">
        <v>1038</v>
      </c>
      <c r="BI91" s="1" t="s">
        <v>74</v>
      </c>
      <c r="BJ91" s="1" t="s">
        <v>74</v>
      </c>
      <c r="BK91" s="1" t="s">
        <v>74</v>
      </c>
      <c r="BL91" s="1" t="s">
        <v>74</v>
      </c>
      <c r="BM91" s="1" t="s">
        <v>74</v>
      </c>
      <c r="BN91" s="1" t="s">
        <v>74</v>
      </c>
      <c r="BO91" s="1" t="s">
        <v>74</v>
      </c>
      <c r="BP91" s="1" t="s">
        <v>74</v>
      </c>
      <c r="BQ91" s="1" t="s">
        <v>74</v>
      </c>
      <c r="BR91" s="1" t="s">
        <v>74</v>
      </c>
      <c r="BS91" s="1" t="s">
        <v>1039</v>
      </c>
      <c r="BT91" s="1" t="str">
        <f>HYPERLINK("https%3A%2F%2Fwww.webofscience.com%2Fwos%2Fwoscc%2Ffull-record%2FWOS:000717218400001","View Full Record in Web of Science")</f>
        <v>View Full Record in Web of Science</v>
      </c>
    </row>
    <row r="92" ht="12.75" customHeight="1">
      <c r="A92" s="1" t="s">
        <v>72</v>
      </c>
      <c r="B92" s="1" t="s">
        <v>1040</v>
      </c>
      <c r="C92" s="1" t="s">
        <v>74</v>
      </c>
      <c r="D92" s="1" t="s">
        <v>74</v>
      </c>
      <c r="E92" s="1" t="s">
        <v>74</v>
      </c>
      <c r="F92" s="1" t="s">
        <v>1041</v>
      </c>
      <c r="G92" s="1" t="s">
        <v>74</v>
      </c>
      <c r="H92" s="1" t="s">
        <v>74</v>
      </c>
      <c r="I92" s="1" t="s">
        <v>1042</v>
      </c>
      <c r="J92" s="1" t="s">
        <v>1043</v>
      </c>
      <c r="K92" s="1" t="s">
        <v>74</v>
      </c>
      <c r="L92" s="1" t="s">
        <v>74</v>
      </c>
      <c r="M92" s="1" t="s">
        <v>74</v>
      </c>
      <c r="N92" s="1" t="s">
        <v>74</v>
      </c>
      <c r="O92" s="1" t="s">
        <v>74</v>
      </c>
      <c r="P92" s="1" t="s">
        <v>74</v>
      </c>
      <c r="Q92" s="1" t="s">
        <v>74</v>
      </c>
      <c r="R92" s="1" t="s">
        <v>74</v>
      </c>
      <c r="S92" s="1" t="s">
        <v>74</v>
      </c>
      <c r="T92" s="1" t="s">
        <v>74</v>
      </c>
      <c r="U92" s="1" t="s">
        <v>74</v>
      </c>
      <c r="V92" s="1" t="s">
        <v>1044</v>
      </c>
      <c r="W92" s="1" t="s">
        <v>74</v>
      </c>
      <c r="X92" s="1" t="s">
        <v>74</v>
      </c>
      <c r="Y92" s="1" t="s">
        <v>74</v>
      </c>
      <c r="Z92" s="1" t="s">
        <v>74</v>
      </c>
      <c r="AA92" s="1" t="s">
        <v>1045</v>
      </c>
      <c r="AB92" s="1" t="s">
        <v>1046</v>
      </c>
      <c r="AC92" s="1" t="s">
        <v>74</v>
      </c>
      <c r="AD92" s="1" t="s">
        <v>74</v>
      </c>
      <c r="AE92" s="1" t="s">
        <v>74</v>
      </c>
      <c r="AF92" s="1" t="s">
        <v>74</v>
      </c>
      <c r="AG92" s="1" t="s">
        <v>74</v>
      </c>
      <c r="AH92" s="1" t="s">
        <v>74</v>
      </c>
      <c r="AI92" s="1" t="s">
        <v>74</v>
      </c>
      <c r="AJ92" s="1" t="s">
        <v>74</v>
      </c>
      <c r="AK92" s="1" t="s">
        <v>74</v>
      </c>
      <c r="AL92" s="1" t="s">
        <v>74</v>
      </c>
      <c r="AM92" s="1" t="s">
        <v>74</v>
      </c>
      <c r="AN92" s="1" t="s">
        <v>74</v>
      </c>
      <c r="AO92" s="1" t="s">
        <v>1047</v>
      </c>
      <c r="AP92" s="1" t="s">
        <v>1048</v>
      </c>
      <c r="AQ92" s="1" t="s">
        <v>74</v>
      </c>
      <c r="AR92" s="1" t="s">
        <v>74</v>
      </c>
      <c r="AS92" s="1" t="s">
        <v>74</v>
      </c>
      <c r="AT92" s="1" t="s">
        <v>1049</v>
      </c>
      <c r="AU92" s="1">
        <v>2021.0</v>
      </c>
      <c r="AV92" s="1">
        <v>63.0</v>
      </c>
      <c r="AW92" s="1">
        <v>4.0</v>
      </c>
      <c r="AX92" s="1" t="s">
        <v>74</v>
      </c>
      <c r="AY92" s="1" t="s">
        <v>74</v>
      </c>
      <c r="AZ92" s="1" t="s">
        <v>74</v>
      </c>
      <c r="BA92" s="1" t="s">
        <v>74</v>
      </c>
      <c r="BB92" s="1">
        <v>124.0</v>
      </c>
      <c r="BC92" s="1">
        <v>145.0</v>
      </c>
      <c r="BD92" s="1" t="s">
        <v>1050</v>
      </c>
      <c r="BE92" s="1" t="s">
        <v>1051</v>
      </c>
      <c r="BF92" s="2" t="str">
        <f>HYPERLINK("http://dx.doi.org/10.1017/lap.2021.40","http://dx.doi.org/10.1017/lap.2021.40")</f>
        <v>http://dx.doi.org/10.1017/lap.2021.40</v>
      </c>
      <c r="BG92" s="1" t="s">
        <v>74</v>
      </c>
      <c r="BH92" s="1" t="s">
        <v>74</v>
      </c>
      <c r="BI92" s="1" t="s">
        <v>74</v>
      </c>
      <c r="BJ92" s="1" t="s">
        <v>74</v>
      </c>
      <c r="BK92" s="1" t="s">
        <v>74</v>
      </c>
      <c r="BL92" s="1" t="s">
        <v>74</v>
      </c>
      <c r="BM92" s="1" t="s">
        <v>74</v>
      </c>
      <c r="BN92" s="1" t="s">
        <v>74</v>
      </c>
      <c r="BO92" s="1" t="s">
        <v>74</v>
      </c>
      <c r="BP92" s="1" t="s">
        <v>74</v>
      </c>
      <c r="BQ92" s="1" t="s">
        <v>74</v>
      </c>
      <c r="BR92" s="1" t="s">
        <v>74</v>
      </c>
      <c r="BS92" s="1" t="s">
        <v>1052</v>
      </c>
      <c r="BT92" s="1" t="str">
        <f>HYPERLINK("https%3A%2F%2Fwww.webofscience.com%2Fwos%2Fwoscc%2Ffull-record%2FWOS:000731935300008","View Full Record in Web of Science")</f>
        <v>View Full Record in Web of Science</v>
      </c>
    </row>
    <row r="93" ht="12.75" customHeight="1">
      <c r="A93" s="1" t="s">
        <v>72</v>
      </c>
      <c r="B93" s="1" t="s">
        <v>1053</v>
      </c>
      <c r="C93" s="1" t="s">
        <v>74</v>
      </c>
      <c r="D93" s="1" t="s">
        <v>74</v>
      </c>
      <c r="E93" s="1" t="s">
        <v>74</v>
      </c>
      <c r="F93" s="1" t="s">
        <v>1054</v>
      </c>
      <c r="G93" s="1" t="s">
        <v>74</v>
      </c>
      <c r="H93" s="1" t="s">
        <v>74</v>
      </c>
      <c r="I93" s="1" t="s">
        <v>1055</v>
      </c>
      <c r="J93" s="1" t="s">
        <v>1056</v>
      </c>
      <c r="K93" s="1" t="s">
        <v>74</v>
      </c>
      <c r="L93" s="1" t="s">
        <v>74</v>
      </c>
      <c r="M93" s="1" t="s">
        <v>74</v>
      </c>
      <c r="N93" s="1" t="s">
        <v>74</v>
      </c>
      <c r="O93" s="1" t="s">
        <v>74</v>
      </c>
      <c r="P93" s="1" t="s">
        <v>74</v>
      </c>
      <c r="Q93" s="1" t="s">
        <v>74</v>
      </c>
      <c r="R93" s="1" t="s">
        <v>74</v>
      </c>
      <c r="S93" s="1" t="s">
        <v>74</v>
      </c>
      <c r="T93" s="1" t="s">
        <v>74</v>
      </c>
      <c r="U93" s="1" t="s">
        <v>74</v>
      </c>
      <c r="V93" s="1" t="s">
        <v>1057</v>
      </c>
      <c r="W93" s="1" t="s">
        <v>74</v>
      </c>
      <c r="X93" s="1" t="s">
        <v>74</v>
      </c>
      <c r="Y93" s="1" t="s">
        <v>74</v>
      </c>
      <c r="Z93" s="1" t="s">
        <v>74</v>
      </c>
      <c r="AA93" s="1" t="s">
        <v>1058</v>
      </c>
      <c r="AB93" s="1" t="s">
        <v>1059</v>
      </c>
      <c r="AC93" s="1" t="s">
        <v>74</v>
      </c>
      <c r="AD93" s="1" t="s">
        <v>74</v>
      </c>
      <c r="AE93" s="1" t="s">
        <v>74</v>
      </c>
      <c r="AF93" s="1" t="s">
        <v>74</v>
      </c>
      <c r="AG93" s="1" t="s">
        <v>74</v>
      </c>
      <c r="AH93" s="1" t="s">
        <v>74</v>
      </c>
      <c r="AI93" s="1" t="s">
        <v>74</v>
      </c>
      <c r="AJ93" s="1" t="s">
        <v>74</v>
      </c>
      <c r="AK93" s="1" t="s">
        <v>74</v>
      </c>
      <c r="AL93" s="1" t="s">
        <v>74</v>
      </c>
      <c r="AM93" s="1" t="s">
        <v>74</v>
      </c>
      <c r="AN93" s="1" t="s">
        <v>74</v>
      </c>
      <c r="AO93" s="1" t="s">
        <v>1060</v>
      </c>
      <c r="AP93" s="1" t="s">
        <v>74</v>
      </c>
      <c r="AQ93" s="1" t="s">
        <v>74</v>
      </c>
      <c r="AR93" s="1" t="s">
        <v>74</v>
      </c>
      <c r="AS93" s="1" t="s">
        <v>74</v>
      </c>
      <c r="AT93" s="1" t="s">
        <v>88</v>
      </c>
      <c r="AU93" s="1">
        <v>2021.0</v>
      </c>
      <c r="AV93" s="1">
        <v>26.0</v>
      </c>
      <c r="AW93" s="1" t="s">
        <v>74</v>
      </c>
      <c r="AX93" s="1" t="s">
        <v>74</v>
      </c>
      <c r="AY93" s="1" t="s">
        <v>74</v>
      </c>
      <c r="AZ93" s="1" t="s">
        <v>74</v>
      </c>
      <c r="BA93" s="1" t="s">
        <v>74</v>
      </c>
      <c r="BB93" s="1" t="s">
        <v>74</v>
      </c>
      <c r="BC93" s="1" t="s">
        <v>74</v>
      </c>
      <c r="BD93" s="1">
        <v>100662.0</v>
      </c>
      <c r="BE93" s="1" t="s">
        <v>1061</v>
      </c>
      <c r="BF93" s="2" t="str">
        <f>HYPERLINK("http://dx.doi.org/10.1016/j.coelec.2020.100662","http://dx.doi.org/10.1016/j.coelec.2020.100662")</f>
        <v>http://dx.doi.org/10.1016/j.coelec.2020.100662</v>
      </c>
      <c r="BG93" s="1" t="s">
        <v>74</v>
      </c>
      <c r="BH93" s="1" t="s">
        <v>74</v>
      </c>
      <c r="BI93" s="1" t="s">
        <v>74</v>
      </c>
      <c r="BJ93" s="1" t="s">
        <v>74</v>
      </c>
      <c r="BK93" s="1" t="s">
        <v>74</v>
      </c>
      <c r="BL93" s="1" t="s">
        <v>74</v>
      </c>
      <c r="BM93" s="1" t="s">
        <v>74</v>
      </c>
      <c r="BN93" s="1" t="s">
        <v>74</v>
      </c>
      <c r="BO93" s="1" t="s">
        <v>74</v>
      </c>
      <c r="BP93" s="1" t="s">
        <v>74</v>
      </c>
      <c r="BQ93" s="1" t="s">
        <v>74</v>
      </c>
      <c r="BR93" s="1" t="s">
        <v>74</v>
      </c>
      <c r="BS93" s="1" t="s">
        <v>1062</v>
      </c>
      <c r="BT93" s="1" t="str">
        <f>HYPERLINK("https%3A%2F%2Fwww.webofscience.com%2Fwos%2Fwoscc%2Ffull-record%2FWOS:000632822300005","View Full Record in Web of Science")</f>
        <v>View Full Record in Web of Science</v>
      </c>
    </row>
    <row r="94" ht="12.75" customHeight="1">
      <c r="A94" s="1" t="s">
        <v>72</v>
      </c>
      <c r="B94" s="1" t="s">
        <v>1063</v>
      </c>
      <c r="C94" s="1" t="s">
        <v>74</v>
      </c>
      <c r="D94" s="1" t="s">
        <v>74</v>
      </c>
      <c r="E94" s="1" t="s">
        <v>74</v>
      </c>
      <c r="F94" s="1" t="s">
        <v>1064</v>
      </c>
      <c r="G94" s="1" t="s">
        <v>74</v>
      </c>
      <c r="H94" s="1" t="s">
        <v>74</v>
      </c>
      <c r="I94" s="1" t="s">
        <v>1065</v>
      </c>
      <c r="J94" s="1" t="s">
        <v>1066</v>
      </c>
      <c r="K94" s="1" t="s">
        <v>74</v>
      </c>
      <c r="L94" s="1" t="s">
        <v>74</v>
      </c>
      <c r="M94" s="1" t="s">
        <v>74</v>
      </c>
      <c r="N94" s="1" t="s">
        <v>74</v>
      </c>
      <c r="O94" s="1" t="s">
        <v>74</v>
      </c>
      <c r="P94" s="1" t="s">
        <v>74</v>
      </c>
      <c r="Q94" s="1" t="s">
        <v>74</v>
      </c>
      <c r="R94" s="1" t="s">
        <v>74</v>
      </c>
      <c r="S94" s="1" t="s">
        <v>74</v>
      </c>
      <c r="T94" s="1" t="s">
        <v>74</v>
      </c>
      <c r="U94" s="1" t="s">
        <v>74</v>
      </c>
      <c r="V94" s="1" t="s">
        <v>1067</v>
      </c>
      <c r="W94" s="1" t="s">
        <v>74</v>
      </c>
      <c r="X94" s="1" t="s">
        <v>74</v>
      </c>
      <c r="Y94" s="1" t="s">
        <v>74</v>
      </c>
      <c r="Z94" s="1" t="s">
        <v>74</v>
      </c>
      <c r="AA94" s="1" t="s">
        <v>1068</v>
      </c>
      <c r="AB94" s="1" t="s">
        <v>1069</v>
      </c>
      <c r="AC94" s="1" t="s">
        <v>74</v>
      </c>
      <c r="AD94" s="1" t="s">
        <v>74</v>
      </c>
      <c r="AE94" s="1" t="s">
        <v>74</v>
      </c>
      <c r="AF94" s="1" t="s">
        <v>74</v>
      </c>
      <c r="AG94" s="1" t="s">
        <v>74</v>
      </c>
      <c r="AH94" s="1" t="s">
        <v>74</v>
      </c>
      <c r="AI94" s="1" t="s">
        <v>74</v>
      </c>
      <c r="AJ94" s="1" t="s">
        <v>74</v>
      </c>
      <c r="AK94" s="1" t="s">
        <v>74</v>
      </c>
      <c r="AL94" s="1" t="s">
        <v>74</v>
      </c>
      <c r="AM94" s="1" t="s">
        <v>74</v>
      </c>
      <c r="AN94" s="1" t="s">
        <v>74</v>
      </c>
      <c r="AO94" s="1" t="s">
        <v>1070</v>
      </c>
      <c r="AP94" s="1" t="s">
        <v>74</v>
      </c>
      <c r="AQ94" s="1" t="s">
        <v>74</v>
      </c>
      <c r="AR94" s="1" t="s">
        <v>74</v>
      </c>
      <c r="AS94" s="1" t="s">
        <v>74</v>
      </c>
      <c r="AT94" s="1" t="s">
        <v>74</v>
      </c>
      <c r="AU94" s="1">
        <v>2021.0</v>
      </c>
      <c r="AV94" s="1">
        <v>37.0</v>
      </c>
      <c r="AW94" s="1">
        <v>2.0</v>
      </c>
      <c r="AX94" s="1" t="s">
        <v>74</v>
      </c>
      <c r="AY94" s="1" t="s">
        <v>74</v>
      </c>
      <c r="AZ94" s="1" t="s">
        <v>74</v>
      </c>
      <c r="BA94" s="1" t="s">
        <v>74</v>
      </c>
      <c r="BB94" s="1">
        <v>749.0</v>
      </c>
      <c r="BC94" s="1">
        <v>773.0</v>
      </c>
      <c r="BD94" s="1" t="s">
        <v>74</v>
      </c>
      <c r="BE94" s="1" t="s">
        <v>1071</v>
      </c>
      <c r="BF94" s="2" t="str">
        <f>HYPERLINK("http://dx.doi.org/10.4171/RMI/1215","http://dx.doi.org/10.4171/RMI/1215")</f>
        <v>http://dx.doi.org/10.4171/RMI/1215</v>
      </c>
      <c r="BG94" s="1" t="s">
        <v>74</v>
      </c>
      <c r="BH94" s="1" t="s">
        <v>74</v>
      </c>
      <c r="BI94" s="1" t="s">
        <v>74</v>
      </c>
      <c r="BJ94" s="1" t="s">
        <v>74</v>
      </c>
      <c r="BK94" s="1" t="s">
        <v>74</v>
      </c>
      <c r="BL94" s="1" t="s">
        <v>74</v>
      </c>
      <c r="BM94" s="1" t="s">
        <v>74</v>
      </c>
      <c r="BN94" s="1" t="s">
        <v>74</v>
      </c>
      <c r="BO94" s="1" t="s">
        <v>74</v>
      </c>
      <c r="BP94" s="1" t="s">
        <v>74</v>
      </c>
      <c r="BQ94" s="1" t="s">
        <v>74</v>
      </c>
      <c r="BR94" s="1" t="s">
        <v>74</v>
      </c>
      <c r="BS94" s="1" t="s">
        <v>1072</v>
      </c>
      <c r="BT94" s="1" t="str">
        <f>HYPERLINK("https%3A%2F%2Fwww.webofscience.com%2Fwos%2Fwoscc%2Ffull-record%2FWOS:000623861300005","View Full Record in Web of Science")</f>
        <v>View Full Record in Web of Science</v>
      </c>
    </row>
    <row r="95" ht="12.75" customHeight="1">
      <c r="A95" s="1" t="s">
        <v>72</v>
      </c>
      <c r="B95" s="1" t="s">
        <v>1073</v>
      </c>
      <c r="C95" s="1" t="s">
        <v>74</v>
      </c>
      <c r="D95" s="1" t="s">
        <v>74</v>
      </c>
      <c r="E95" s="1" t="s">
        <v>74</v>
      </c>
      <c r="F95" s="1" t="s">
        <v>1074</v>
      </c>
      <c r="G95" s="1" t="s">
        <v>74</v>
      </c>
      <c r="H95" s="1" t="s">
        <v>74</v>
      </c>
      <c r="I95" s="1" t="s">
        <v>1075</v>
      </c>
      <c r="J95" s="1" t="s">
        <v>1076</v>
      </c>
      <c r="K95" s="1" t="s">
        <v>74</v>
      </c>
      <c r="L95" s="1" t="s">
        <v>74</v>
      </c>
      <c r="M95" s="1" t="s">
        <v>74</v>
      </c>
      <c r="N95" s="1" t="s">
        <v>74</v>
      </c>
      <c r="O95" s="1" t="s">
        <v>74</v>
      </c>
      <c r="P95" s="1" t="s">
        <v>74</v>
      </c>
      <c r="Q95" s="1" t="s">
        <v>74</v>
      </c>
      <c r="R95" s="1" t="s">
        <v>74</v>
      </c>
      <c r="S95" s="1" t="s">
        <v>74</v>
      </c>
      <c r="T95" s="1" t="s">
        <v>74</v>
      </c>
      <c r="U95" s="1" t="s">
        <v>74</v>
      </c>
      <c r="V95" s="1" t="s">
        <v>1077</v>
      </c>
      <c r="W95" s="1" t="s">
        <v>74</v>
      </c>
      <c r="X95" s="1" t="s">
        <v>74</v>
      </c>
      <c r="Y95" s="1" t="s">
        <v>74</v>
      </c>
      <c r="Z95" s="1" t="s">
        <v>74</v>
      </c>
      <c r="AA95" s="1" t="s">
        <v>74</v>
      </c>
      <c r="AB95" s="1" t="s">
        <v>1078</v>
      </c>
      <c r="AC95" s="1" t="s">
        <v>74</v>
      </c>
      <c r="AD95" s="1" t="s">
        <v>74</v>
      </c>
      <c r="AE95" s="1" t="s">
        <v>74</v>
      </c>
      <c r="AF95" s="1" t="s">
        <v>74</v>
      </c>
      <c r="AG95" s="1" t="s">
        <v>74</v>
      </c>
      <c r="AH95" s="1" t="s">
        <v>74</v>
      </c>
      <c r="AI95" s="1" t="s">
        <v>74</v>
      </c>
      <c r="AJ95" s="1" t="s">
        <v>74</v>
      </c>
      <c r="AK95" s="1" t="s">
        <v>74</v>
      </c>
      <c r="AL95" s="1" t="s">
        <v>74</v>
      </c>
      <c r="AM95" s="1" t="s">
        <v>74</v>
      </c>
      <c r="AN95" s="1" t="s">
        <v>74</v>
      </c>
      <c r="AO95" s="1" t="s">
        <v>1079</v>
      </c>
      <c r="AP95" s="1" t="s">
        <v>74</v>
      </c>
      <c r="AQ95" s="1" t="s">
        <v>74</v>
      </c>
      <c r="AR95" s="1" t="s">
        <v>74</v>
      </c>
      <c r="AS95" s="1" t="s">
        <v>74</v>
      </c>
      <c r="AT95" s="1" t="s">
        <v>74</v>
      </c>
      <c r="AU95" s="1">
        <v>2021.0</v>
      </c>
      <c r="AV95" s="1">
        <v>29.0</v>
      </c>
      <c r="AW95" s="1" t="s">
        <v>74</v>
      </c>
      <c r="AX95" s="1" t="s">
        <v>74</v>
      </c>
      <c r="AY95" s="1" t="s">
        <v>74</v>
      </c>
      <c r="AZ95" s="1" t="s">
        <v>74</v>
      </c>
      <c r="BA95" s="1" t="s">
        <v>74</v>
      </c>
      <c r="BB95" s="1" t="s">
        <v>74</v>
      </c>
      <c r="BC95" s="1" t="s">
        <v>74</v>
      </c>
      <c r="BD95" s="1" t="s">
        <v>1080</v>
      </c>
      <c r="BE95" s="1" t="s">
        <v>1081</v>
      </c>
      <c r="BF95" s="2" t="str">
        <f>HYPERLINK("http://dx.doi.org/10.1590/2526-8910.ctoRE2270","http://dx.doi.org/10.1590/2526-8910.ctoRE2270")</f>
        <v>http://dx.doi.org/10.1590/2526-8910.ctoRE2270</v>
      </c>
      <c r="BG95" s="1" t="s">
        <v>74</v>
      </c>
      <c r="BH95" s="1" t="s">
        <v>74</v>
      </c>
      <c r="BI95" s="1" t="s">
        <v>74</v>
      </c>
      <c r="BJ95" s="1" t="s">
        <v>74</v>
      </c>
      <c r="BK95" s="1" t="s">
        <v>74</v>
      </c>
      <c r="BL95" s="1" t="s">
        <v>74</v>
      </c>
      <c r="BM95" s="1" t="s">
        <v>74</v>
      </c>
      <c r="BN95" s="1" t="s">
        <v>74</v>
      </c>
      <c r="BO95" s="1" t="s">
        <v>74</v>
      </c>
      <c r="BP95" s="1" t="s">
        <v>74</v>
      </c>
      <c r="BQ95" s="1" t="s">
        <v>74</v>
      </c>
      <c r="BR95" s="1" t="s">
        <v>74</v>
      </c>
      <c r="BS95" s="1" t="s">
        <v>1082</v>
      </c>
      <c r="BT95" s="1" t="str">
        <f>HYPERLINK("https%3A%2F%2Fwww.webofscience.com%2Fwos%2Fwoscc%2Ffull-record%2FWOS:000744200500070","View Full Record in Web of Science")</f>
        <v>View Full Record in Web of Science</v>
      </c>
    </row>
    <row r="96" ht="12.75" customHeight="1">
      <c r="A96" s="1" t="s">
        <v>242</v>
      </c>
      <c r="B96" s="1" t="s">
        <v>1083</v>
      </c>
      <c r="C96" s="1" t="s">
        <v>74</v>
      </c>
      <c r="D96" s="1" t="s">
        <v>1084</v>
      </c>
      <c r="E96" s="1" t="s">
        <v>74</v>
      </c>
      <c r="F96" s="1" t="s">
        <v>1085</v>
      </c>
      <c r="G96" s="1" t="s">
        <v>74</v>
      </c>
      <c r="H96" s="1" t="s">
        <v>74</v>
      </c>
      <c r="I96" s="1" t="s">
        <v>1086</v>
      </c>
      <c r="J96" s="1" t="s">
        <v>1087</v>
      </c>
      <c r="K96" s="1" t="s">
        <v>1088</v>
      </c>
      <c r="L96" s="1" t="s">
        <v>74</v>
      </c>
      <c r="M96" s="1" t="s">
        <v>74</v>
      </c>
      <c r="N96" s="1" t="s">
        <v>74</v>
      </c>
      <c r="O96" s="1" t="s">
        <v>74</v>
      </c>
      <c r="P96" s="1" t="s">
        <v>74</v>
      </c>
      <c r="Q96" s="1" t="s">
        <v>74</v>
      </c>
      <c r="R96" s="1" t="s">
        <v>74</v>
      </c>
      <c r="S96" s="1" t="s">
        <v>74</v>
      </c>
      <c r="T96" s="1" t="s">
        <v>74</v>
      </c>
      <c r="U96" s="1" t="s">
        <v>74</v>
      </c>
      <c r="V96" s="1" t="s">
        <v>74</v>
      </c>
      <c r="W96" s="1" t="s">
        <v>74</v>
      </c>
      <c r="X96" s="1" t="s">
        <v>74</v>
      </c>
      <c r="Y96" s="1" t="s">
        <v>74</v>
      </c>
      <c r="Z96" s="1" t="s">
        <v>74</v>
      </c>
      <c r="AA96" s="1" t="s">
        <v>1089</v>
      </c>
      <c r="AB96" s="1" t="s">
        <v>74</v>
      </c>
      <c r="AC96" s="1" t="s">
        <v>74</v>
      </c>
      <c r="AD96" s="1" t="s">
        <v>74</v>
      </c>
      <c r="AE96" s="1" t="s">
        <v>74</v>
      </c>
      <c r="AF96" s="1" t="s">
        <v>74</v>
      </c>
      <c r="AG96" s="1" t="s">
        <v>74</v>
      </c>
      <c r="AH96" s="1" t="s">
        <v>74</v>
      </c>
      <c r="AI96" s="1" t="s">
        <v>74</v>
      </c>
      <c r="AJ96" s="1" t="s">
        <v>74</v>
      </c>
      <c r="AK96" s="1" t="s">
        <v>74</v>
      </c>
      <c r="AL96" s="1" t="s">
        <v>74</v>
      </c>
      <c r="AM96" s="1" t="s">
        <v>74</v>
      </c>
      <c r="AN96" s="1" t="s">
        <v>74</v>
      </c>
      <c r="AO96" s="1" t="s">
        <v>74</v>
      </c>
      <c r="AP96" s="1" t="s">
        <v>74</v>
      </c>
      <c r="AQ96" s="1" t="s">
        <v>1090</v>
      </c>
      <c r="AR96" s="1" t="s">
        <v>74</v>
      </c>
      <c r="AS96" s="1" t="s">
        <v>74</v>
      </c>
      <c r="AT96" s="1" t="s">
        <v>74</v>
      </c>
      <c r="AU96" s="1">
        <v>2021.0</v>
      </c>
      <c r="AV96" s="1" t="s">
        <v>74</v>
      </c>
      <c r="AW96" s="1" t="s">
        <v>74</v>
      </c>
      <c r="AX96" s="1" t="s">
        <v>74</v>
      </c>
      <c r="AY96" s="1" t="s">
        <v>74</v>
      </c>
      <c r="AZ96" s="1" t="s">
        <v>74</v>
      </c>
      <c r="BA96" s="1" t="s">
        <v>74</v>
      </c>
      <c r="BB96" s="1">
        <v>81.0</v>
      </c>
      <c r="BC96" s="1">
        <v>95.0</v>
      </c>
      <c r="BD96" s="1" t="s">
        <v>74</v>
      </c>
      <c r="BE96" s="1" t="s">
        <v>74</v>
      </c>
      <c r="BF96" s="1" t="s">
        <v>74</v>
      </c>
      <c r="BG96" s="1" t="s">
        <v>74</v>
      </c>
      <c r="BH96" s="1" t="s">
        <v>74</v>
      </c>
      <c r="BI96" s="1" t="s">
        <v>74</v>
      </c>
      <c r="BJ96" s="1" t="s">
        <v>74</v>
      </c>
      <c r="BK96" s="1" t="s">
        <v>74</v>
      </c>
      <c r="BL96" s="1" t="s">
        <v>74</v>
      </c>
      <c r="BM96" s="1" t="s">
        <v>74</v>
      </c>
      <c r="BN96" s="1" t="s">
        <v>74</v>
      </c>
      <c r="BO96" s="1" t="s">
        <v>74</v>
      </c>
      <c r="BP96" s="1" t="s">
        <v>74</v>
      </c>
      <c r="BQ96" s="1" t="s">
        <v>74</v>
      </c>
      <c r="BR96" s="1" t="s">
        <v>74</v>
      </c>
      <c r="BS96" s="1" t="s">
        <v>1091</v>
      </c>
      <c r="BT96" s="1" t="str">
        <f>HYPERLINK("https%3A%2F%2Fwww.webofscience.com%2Fwos%2Fwoscc%2Ffull-record%2FWOS:000828220500008","View Full Record in Web of Science")</f>
        <v>View Full Record in Web of Science</v>
      </c>
    </row>
    <row r="97" ht="12.75" customHeight="1">
      <c r="A97" s="1" t="s">
        <v>72</v>
      </c>
      <c r="B97" s="1" t="s">
        <v>1092</v>
      </c>
      <c r="C97" s="1" t="s">
        <v>74</v>
      </c>
      <c r="D97" s="1" t="s">
        <v>74</v>
      </c>
      <c r="E97" s="1" t="s">
        <v>74</v>
      </c>
      <c r="F97" s="1" t="s">
        <v>1093</v>
      </c>
      <c r="G97" s="1" t="s">
        <v>74</v>
      </c>
      <c r="H97" s="1" t="s">
        <v>74</v>
      </c>
      <c r="I97" s="1" t="s">
        <v>1094</v>
      </c>
      <c r="J97" s="1" t="s">
        <v>1095</v>
      </c>
      <c r="K97" s="1" t="s">
        <v>74</v>
      </c>
      <c r="L97" s="1" t="s">
        <v>74</v>
      </c>
      <c r="M97" s="1" t="s">
        <v>74</v>
      </c>
      <c r="N97" s="1" t="s">
        <v>74</v>
      </c>
      <c r="O97" s="1" t="s">
        <v>74</v>
      </c>
      <c r="P97" s="1" t="s">
        <v>74</v>
      </c>
      <c r="Q97" s="1" t="s">
        <v>74</v>
      </c>
      <c r="R97" s="1" t="s">
        <v>74</v>
      </c>
      <c r="S97" s="1" t="s">
        <v>74</v>
      </c>
      <c r="T97" s="1" t="s">
        <v>74</v>
      </c>
      <c r="U97" s="1" t="s">
        <v>74</v>
      </c>
      <c r="V97" s="1" t="s">
        <v>1096</v>
      </c>
      <c r="W97" s="1" t="s">
        <v>74</v>
      </c>
      <c r="X97" s="1" t="s">
        <v>74</v>
      </c>
      <c r="Y97" s="1" t="s">
        <v>74</v>
      </c>
      <c r="Z97" s="1" t="s">
        <v>74</v>
      </c>
      <c r="AA97" s="1" t="s">
        <v>1097</v>
      </c>
      <c r="AB97" s="1" t="s">
        <v>1098</v>
      </c>
      <c r="AC97" s="1" t="s">
        <v>74</v>
      </c>
      <c r="AD97" s="1" t="s">
        <v>74</v>
      </c>
      <c r="AE97" s="1" t="s">
        <v>74</v>
      </c>
      <c r="AF97" s="1" t="s">
        <v>74</v>
      </c>
      <c r="AG97" s="1" t="s">
        <v>74</v>
      </c>
      <c r="AH97" s="1" t="s">
        <v>74</v>
      </c>
      <c r="AI97" s="1" t="s">
        <v>74</v>
      </c>
      <c r="AJ97" s="1" t="s">
        <v>74</v>
      </c>
      <c r="AK97" s="1" t="s">
        <v>74</v>
      </c>
      <c r="AL97" s="1" t="s">
        <v>74</v>
      </c>
      <c r="AM97" s="1" t="s">
        <v>74</v>
      </c>
      <c r="AN97" s="1" t="s">
        <v>74</v>
      </c>
      <c r="AO97" s="1" t="s">
        <v>74</v>
      </c>
      <c r="AP97" s="1" t="s">
        <v>1099</v>
      </c>
      <c r="AQ97" s="1" t="s">
        <v>74</v>
      </c>
      <c r="AR97" s="1" t="s">
        <v>74</v>
      </c>
      <c r="AS97" s="1" t="s">
        <v>74</v>
      </c>
      <c r="AT97" s="1" t="s">
        <v>110</v>
      </c>
      <c r="AU97" s="1">
        <v>2020.0</v>
      </c>
      <c r="AV97" s="1">
        <v>25.0</v>
      </c>
      <c r="AW97" s="1" t="s">
        <v>74</v>
      </c>
      <c r="AX97" s="1" t="s">
        <v>74</v>
      </c>
      <c r="AY97" s="1" t="s">
        <v>74</v>
      </c>
      <c r="AZ97" s="1" t="s">
        <v>74</v>
      </c>
      <c r="BA97" s="1" t="s">
        <v>74</v>
      </c>
      <c r="BB97" s="1" t="s">
        <v>74</v>
      </c>
      <c r="BC97" s="1" t="s">
        <v>74</v>
      </c>
      <c r="BD97" s="1">
        <v>101324.0</v>
      </c>
      <c r="BE97" s="1" t="s">
        <v>1100</v>
      </c>
      <c r="BF97" s="2" t="str">
        <f>HYPERLINK("http://dx.doi.org/10.1016/j.mtcomm.2020.101324","http://dx.doi.org/10.1016/j.mtcomm.2020.101324")</f>
        <v>http://dx.doi.org/10.1016/j.mtcomm.2020.101324</v>
      </c>
      <c r="BG97" s="1" t="s">
        <v>74</v>
      </c>
      <c r="BH97" s="1" t="s">
        <v>74</v>
      </c>
      <c r="BI97" s="1" t="s">
        <v>74</v>
      </c>
      <c r="BJ97" s="1" t="s">
        <v>74</v>
      </c>
      <c r="BK97" s="1" t="s">
        <v>74</v>
      </c>
      <c r="BL97" s="1" t="s">
        <v>74</v>
      </c>
      <c r="BM97" s="1" t="s">
        <v>74</v>
      </c>
      <c r="BN97" s="1" t="s">
        <v>74</v>
      </c>
      <c r="BO97" s="1" t="s">
        <v>74</v>
      </c>
      <c r="BP97" s="1" t="s">
        <v>74</v>
      </c>
      <c r="BQ97" s="1" t="s">
        <v>74</v>
      </c>
      <c r="BR97" s="1" t="s">
        <v>74</v>
      </c>
      <c r="BS97" s="1" t="s">
        <v>1101</v>
      </c>
      <c r="BT97" s="1" t="str">
        <f>HYPERLINK("https%3A%2F%2Fwww.webofscience.com%2Fwos%2Fwoscc%2Ffull-record%2FWOS:000600975700008","View Full Record in Web of Science")</f>
        <v>View Full Record in Web of Science</v>
      </c>
    </row>
    <row r="98" ht="12.75" customHeight="1">
      <c r="A98" s="1" t="s">
        <v>72</v>
      </c>
      <c r="B98" s="1" t="s">
        <v>1102</v>
      </c>
      <c r="C98" s="1" t="s">
        <v>74</v>
      </c>
      <c r="D98" s="1" t="s">
        <v>74</v>
      </c>
      <c r="E98" s="1" t="s">
        <v>74</v>
      </c>
      <c r="F98" s="1" t="s">
        <v>1103</v>
      </c>
      <c r="G98" s="1" t="s">
        <v>74</v>
      </c>
      <c r="H98" s="1" t="s">
        <v>74</v>
      </c>
      <c r="I98" s="1" t="s">
        <v>1104</v>
      </c>
      <c r="J98" s="1" t="s">
        <v>1105</v>
      </c>
      <c r="K98" s="1" t="s">
        <v>74</v>
      </c>
      <c r="L98" s="1" t="s">
        <v>74</v>
      </c>
      <c r="M98" s="1" t="s">
        <v>74</v>
      </c>
      <c r="N98" s="1" t="s">
        <v>74</v>
      </c>
      <c r="O98" s="1" t="s">
        <v>74</v>
      </c>
      <c r="P98" s="1" t="s">
        <v>74</v>
      </c>
      <c r="Q98" s="1" t="s">
        <v>74</v>
      </c>
      <c r="R98" s="1" t="s">
        <v>74</v>
      </c>
      <c r="S98" s="1" t="s">
        <v>74</v>
      </c>
      <c r="T98" s="1" t="s">
        <v>74</v>
      </c>
      <c r="U98" s="1" t="s">
        <v>74</v>
      </c>
      <c r="V98" s="1" t="s">
        <v>1106</v>
      </c>
      <c r="W98" s="1" t="s">
        <v>74</v>
      </c>
      <c r="X98" s="1" t="s">
        <v>74</v>
      </c>
      <c r="Y98" s="1" t="s">
        <v>74</v>
      </c>
      <c r="Z98" s="1" t="s">
        <v>74</v>
      </c>
      <c r="AA98" s="1" t="s">
        <v>1107</v>
      </c>
      <c r="AB98" s="1" t="s">
        <v>1108</v>
      </c>
      <c r="AC98" s="1" t="s">
        <v>74</v>
      </c>
      <c r="AD98" s="1" t="s">
        <v>74</v>
      </c>
      <c r="AE98" s="1" t="s">
        <v>74</v>
      </c>
      <c r="AF98" s="1" t="s">
        <v>74</v>
      </c>
      <c r="AG98" s="1" t="s">
        <v>74</v>
      </c>
      <c r="AH98" s="1" t="s">
        <v>74</v>
      </c>
      <c r="AI98" s="1" t="s">
        <v>74</v>
      </c>
      <c r="AJ98" s="1" t="s">
        <v>74</v>
      </c>
      <c r="AK98" s="1" t="s">
        <v>74</v>
      </c>
      <c r="AL98" s="1" t="s">
        <v>74</v>
      </c>
      <c r="AM98" s="1" t="s">
        <v>74</v>
      </c>
      <c r="AN98" s="1" t="s">
        <v>74</v>
      </c>
      <c r="AO98" s="1" t="s">
        <v>1109</v>
      </c>
      <c r="AP98" s="1" t="s">
        <v>1110</v>
      </c>
      <c r="AQ98" s="1" t="s">
        <v>74</v>
      </c>
      <c r="AR98" s="1" t="s">
        <v>74</v>
      </c>
      <c r="AS98" s="1" t="s">
        <v>74</v>
      </c>
      <c r="AT98" s="1" t="s">
        <v>459</v>
      </c>
      <c r="AU98" s="1">
        <v>2020.0</v>
      </c>
      <c r="AV98" s="1" t="s">
        <v>74</v>
      </c>
      <c r="AW98" s="1">
        <v>59.0</v>
      </c>
      <c r="AX98" s="1" t="s">
        <v>74</v>
      </c>
      <c r="AY98" s="1" t="s">
        <v>74</v>
      </c>
      <c r="AZ98" s="1" t="s">
        <v>74</v>
      </c>
      <c r="BA98" s="1" t="s">
        <v>74</v>
      </c>
      <c r="BB98" s="1">
        <v>125.0</v>
      </c>
      <c r="BC98" s="1">
        <v>146.0</v>
      </c>
      <c r="BD98" s="1" t="s">
        <v>74</v>
      </c>
      <c r="BE98" s="1" t="s">
        <v>1111</v>
      </c>
      <c r="BF98" s="2" t="str">
        <f>HYPERLINK("http://dx.doi.org/10.12795/pixelbit.77759","http://dx.doi.org/10.12795/pixelbit.77759")</f>
        <v>http://dx.doi.org/10.12795/pixelbit.77759</v>
      </c>
      <c r="BG98" s="1" t="s">
        <v>74</v>
      </c>
      <c r="BH98" s="1" t="s">
        <v>74</v>
      </c>
      <c r="BI98" s="1" t="s">
        <v>74</v>
      </c>
      <c r="BJ98" s="1" t="s">
        <v>74</v>
      </c>
      <c r="BK98" s="1" t="s">
        <v>74</v>
      </c>
      <c r="BL98" s="1" t="s">
        <v>74</v>
      </c>
      <c r="BM98" s="1" t="s">
        <v>74</v>
      </c>
      <c r="BN98" s="1" t="s">
        <v>74</v>
      </c>
      <c r="BO98" s="1" t="s">
        <v>74</v>
      </c>
      <c r="BP98" s="1" t="s">
        <v>74</v>
      </c>
      <c r="BQ98" s="1" t="s">
        <v>74</v>
      </c>
      <c r="BR98" s="1" t="s">
        <v>74</v>
      </c>
      <c r="BS98" s="1" t="s">
        <v>1112</v>
      </c>
      <c r="BT98" s="1" t="str">
        <f>HYPERLINK("https%3A%2F%2Fwww.webofscience.com%2Fwos%2Fwoscc%2Ffull-record%2FWOS:000644471300005","View Full Record in Web of Science")</f>
        <v>View Full Record in Web of Science</v>
      </c>
    </row>
    <row r="99" ht="12.75" customHeight="1">
      <c r="A99" s="1" t="s">
        <v>72</v>
      </c>
      <c r="B99" s="1" t="s">
        <v>1113</v>
      </c>
      <c r="C99" s="1" t="s">
        <v>74</v>
      </c>
      <c r="D99" s="1" t="s">
        <v>74</v>
      </c>
      <c r="E99" s="1" t="s">
        <v>74</v>
      </c>
      <c r="F99" s="1" t="s">
        <v>1114</v>
      </c>
      <c r="G99" s="1" t="s">
        <v>74</v>
      </c>
      <c r="H99" s="1" t="s">
        <v>74</v>
      </c>
      <c r="I99" s="1" t="s">
        <v>1115</v>
      </c>
      <c r="J99" s="1" t="s">
        <v>1116</v>
      </c>
      <c r="K99" s="1" t="s">
        <v>74</v>
      </c>
      <c r="L99" s="1" t="s">
        <v>74</v>
      </c>
      <c r="M99" s="1" t="s">
        <v>74</v>
      </c>
      <c r="N99" s="1" t="s">
        <v>74</v>
      </c>
      <c r="O99" s="1" t="s">
        <v>74</v>
      </c>
      <c r="P99" s="1" t="s">
        <v>74</v>
      </c>
      <c r="Q99" s="1" t="s">
        <v>74</v>
      </c>
      <c r="R99" s="1" t="s">
        <v>74</v>
      </c>
      <c r="S99" s="1" t="s">
        <v>74</v>
      </c>
      <c r="T99" s="1" t="s">
        <v>74</v>
      </c>
      <c r="U99" s="1" t="s">
        <v>74</v>
      </c>
      <c r="V99" s="1" t="s">
        <v>1117</v>
      </c>
      <c r="W99" s="1" t="s">
        <v>74</v>
      </c>
      <c r="X99" s="1" t="s">
        <v>74</v>
      </c>
      <c r="Y99" s="1" t="s">
        <v>74</v>
      </c>
      <c r="Z99" s="1" t="s">
        <v>74</v>
      </c>
      <c r="AA99" s="1" t="s">
        <v>1118</v>
      </c>
      <c r="AB99" s="1" t="s">
        <v>1119</v>
      </c>
      <c r="AC99" s="1" t="s">
        <v>74</v>
      </c>
      <c r="AD99" s="1" t="s">
        <v>74</v>
      </c>
      <c r="AE99" s="1" t="s">
        <v>74</v>
      </c>
      <c r="AF99" s="1" t="s">
        <v>74</v>
      </c>
      <c r="AG99" s="1" t="s">
        <v>74</v>
      </c>
      <c r="AH99" s="1" t="s">
        <v>74</v>
      </c>
      <c r="AI99" s="1" t="s">
        <v>74</v>
      </c>
      <c r="AJ99" s="1" t="s">
        <v>74</v>
      </c>
      <c r="AK99" s="1" t="s">
        <v>74</v>
      </c>
      <c r="AL99" s="1" t="s">
        <v>74</v>
      </c>
      <c r="AM99" s="1" t="s">
        <v>74</v>
      </c>
      <c r="AN99" s="1" t="s">
        <v>74</v>
      </c>
      <c r="AO99" s="1" t="s">
        <v>1120</v>
      </c>
      <c r="AP99" s="1" t="s">
        <v>1121</v>
      </c>
      <c r="AQ99" s="1" t="s">
        <v>74</v>
      </c>
      <c r="AR99" s="1" t="s">
        <v>74</v>
      </c>
      <c r="AS99" s="1" t="s">
        <v>74</v>
      </c>
      <c r="AT99" s="1" t="s">
        <v>1122</v>
      </c>
      <c r="AU99" s="1">
        <v>2020.0</v>
      </c>
      <c r="AV99" s="1">
        <v>32.0</v>
      </c>
      <c r="AW99" s="1">
        <v>3.0</v>
      </c>
      <c r="AX99" s="1" t="s">
        <v>74</v>
      </c>
      <c r="AY99" s="1" t="s">
        <v>74</v>
      </c>
      <c r="AZ99" s="1" t="s">
        <v>74</v>
      </c>
      <c r="BA99" s="1" t="s">
        <v>74</v>
      </c>
      <c r="BB99" s="1">
        <v>441.0</v>
      </c>
      <c r="BC99" s="1">
        <v>469.0</v>
      </c>
      <c r="BD99" s="1" t="s">
        <v>74</v>
      </c>
      <c r="BE99" s="1" t="s">
        <v>1123</v>
      </c>
      <c r="BF99" s="2" t="str">
        <f>HYPERLINK("http://dx.doi.org/10.1080/11356405.2020.1785139","http://dx.doi.org/10.1080/11356405.2020.1785139")</f>
        <v>http://dx.doi.org/10.1080/11356405.2020.1785139</v>
      </c>
      <c r="BG99" s="1" t="s">
        <v>74</v>
      </c>
      <c r="BH99" s="1" t="s">
        <v>1124</v>
      </c>
      <c r="BI99" s="1" t="s">
        <v>74</v>
      </c>
      <c r="BJ99" s="1" t="s">
        <v>74</v>
      </c>
      <c r="BK99" s="1" t="s">
        <v>74</v>
      </c>
      <c r="BL99" s="1" t="s">
        <v>74</v>
      </c>
      <c r="BM99" s="1" t="s">
        <v>74</v>
      </c>
      <c r="BN99" s="1" t="s">
        <v>74</v>
      </c>
      <c r="BO99" s="1" t="s">
        <v>74</v>
      </c>
      <c r="BP99" s="1" t="s">
        <v>74</v>
      </c>
      <c r="BQ99" s="1" t="s">
        <v>74</v>
      </c>
      <c r="BR99" s="1" t="s">
        <v>74</v>
      </c>
      <c r="BS99" s="1" t="s">
        <v>1125</v>
      </c>
      <c r="BT99" s="1" t="str">
        <f>HYPERLINK("https%3A%2F%2Fwww.webofscience.com%2Fwos%2Fwoscc%2Ffull-record%2FWOS:000566108600001","View Full Record in Web of Science")</f>
        <v>View Full Record in Web of Science</v>
      </c>
    </row>
    <row r="100" ht="12.75" customHeight="1">
      <c r="A100" s="1" t="s">
        <v>72</v>
      </c>
      <c r="B100" s="1" t="s">
        <v>1126</v>
      </c>
      <c r="C100" s="1" t="s">
        <v>74</v>
      </c>
      <c r="D100" s="1" t="s">
        <v>74</v>
      </c>
      <c r="E100" s="1" t="s">
        <v>74</v>
      </c>
      <c r="F100" s="1" t="s">
        <v>1127</v>
      </c>
      <c r="G100" s="1" t="s">
        <v>74</v>
      </c>
      <c r="H100" s="1" t="s">
        <v>74</v>
      </c>
      <c r="I100" s="1" t="s">
        <v>1128</v>
      </c>
      <c r="J100" s="1" t="s">
        <v>1129</v>
      </c>
      <c r="K100" s="1" t="s">
        <v>74</v>
      </c>
      <c r="L100" s="1" t="s">
        <v>74</v>
      </c>
      <c r="M100" s="1" t="s">
        <v>74</v>
      </c>
      <c r="N100" s="1" t="s">
        <v>74</v>
      </c>
      <c r="O100" s="1" t="s">
        <v>74</v>
      </c>
      <c r="P100" s="1" t="s">
        <v>74</v>
      </c>
      <c r="Q100" s="1" t="s">
        <v>74</v>
      </c>
      <c r="R100" s="1" t="s">
        <v>74</v>
      </c>
      <c r="S100" s="1" t="s">
        <v>74</v>
      </c>
      <c r="T100" s="1" t="s">
        <v>74</v>
      </c>
      <c r="U100" s="1" t="s">
        <v>74</v>
      </c>
      <c r="V100" s="1" t="s">
        <v>1130</v>
      </c>
      <c r="W100" s="1" t="s">
        <v>74</v>
      </c>
      <c r="X100" s="1" t="s">
        <v>74</v>
      </c>
      <c r="Y100" s="1" t="s">
        <v>74</v>
      </c>
      <c r="Z100" s="1" t="s">
        <v>74</v>
      </c>
      <c r="AA100" s="1" t="s">
        <v>1131</v>
      </c>
      <c r="AB100" s="1" t="s">
        <v>1132</v>
      </c>
      <c r="AC100" s="1" t="s">
        <v>74</v>
      </c>
      <c r="AD100" s="1" t="s">
        <v>74</v>
      </c>
      <c r="AE100" s="1" t="s">
        <v>74</v>
      </c>
      <c r="AF100" s="1" t="s">
        <v>74</v>
      </c>
      <c r="AG100" s="1" t="s">
        <v>74</v>
      </c>
      <c r="AH100" s="1" t="s">
        <v>74</v>
      </c>
      <c r="AI100" s="1" t="s">
        <v>74</v>
      </c>
      <c r="AJ100" s="1" t="s">
        <v>74</v>
      </c>
      <c r="AK100" s="1" t="s">
        <v>74</v>
      </c>
      <c r="AL100" s="1" t="s">
        <v>74</v>
      </c>
      <c r="AM100" s="1" t="s">
        <v>74</v>
      </c>
      <c r="AN100" s="1" t="s">
        <v>74</v>
      </c>
      <c r="AO100" s="1" t="s">
        <v>1133</v>
      </c>
      <c r="AP100" s="1" t="s">
        <v>1134</v>
      </c>
      <c r="AQ100" s="1" t="s">
        <v>74</v>
      </c>
      <c r="AR100" s="1" t="s">
        <v>74</v>
      </c>
      <c r="AS100" s="1" t="s">
        <v>74</v>
      </c>
      <c r="AT100" s="1" t="s">
        <v>169</v>
      </c>
      <c r="AU100" s="1">
        <v>2021.0</v>
      </c>
      <c r="AV100" s="1">
        <v>30.0</v>
      </c>
      <c r="AW100" s="1">
        <v>1.0</v>
      </c>
      <c r="AX100" s="1" t="s">
        <v>74</v>
      </c>
      <c r="AY100" s="1" t="s">
        <v>74</v>
      </c>
      <c r="AZ100" s="1" t="s">
        <v>74</v>
      </c>
      <c r="BA100" s="1" t="s">
        <v>74</v>
      </c>
      <c r="BB100" s="1">
        <v>41.0</v>
      </c>
      <c r="BC100" s="1">
        <v>54.0</v>
      </c>
      <c r="BD100" s="1" t="s">
        <v>74</v>
      </c>
      <c r="BE100" s="1" t="s">
        <v>1135</v>
      </c>
      <c r="BF100" s="2" t="str">
        <f>HYPERLINK("http://dx.doi.org/10.1007/s11136-020-02612-4","http://dx.doi.org/10.1007/s11136-020-02612-4")</f>
        <v>http://dx.doi.org/10.1007/s11136-020-02612-4</v>
      </c>
      <c r="BG100" s="1" t="s">
        <v>74</v>
      </c>
      <c r="BH100" s="1" t="s">
        <v>1124</v>
      </c>
      <c r="BI100" s="1" t="s">
        <v>74</v>
      </c>
      <c r="BJ100" s="1" t="s">
        <v>74</v>
      </c>
      <c r="BK100" s="1" t="s">
        <v>74</v>
      </c>
      <c r="BL100" s="1" t="s">
        <v>74</v>
      </c>
      <c r="BM100" s="1" t="s">
        <v>74</v>
      </c>
      <c r="BN100" s="1">
        <v>3.284436E7</v>
      </c>
      <c r="BO100" s="1" t="s">
        <v>74</v>
      </c>
      <c r="BP100" s="1" t="s">
        <v>74</v>
      </c>
      <c r="BQ100" s="1" t="s">
        <v>74</v>
      </c>
      <c r="BR100" s="1" t="s">
        <v>74</v>
      </c>
      <c r="BS100" s="1" t="s">
        <v>1136</v>
      </c>
      <c r="BT100" s="1" t="str">
        <f>HYPERLINK("https%3A%2F%2Fwww.webofscience.com%2Fwos%2Fwoscc%2Ffull-record%2FWOS:000562653300001","View Full Record in Web of Science")</f>
        <v>View Full Record in Web of Science</v>
      </c>
    </row>
    <row r="101" ht="12.75" customHeight="1">
      <c r="A101" s="1" t="s">
        <v>72</v>
      </c>
      <c r="B101" s="1" t="s">
        <v>1137</v>
      </c>
      <c r="C101" s="1" t="s">
        <v>74</v>
      </c>
      <c r="D101" s="1" t="s">
        <v>74</v>
      </c>
      <c r="E101" s="1" t="s">
        <v>74</v>
      </c>
      <c r="F101" s="1" t="s">
        <v>1138</v>
      </c>
      <c r="G101" s="1" t="s">
        <v>74</v>
      </c>
      <c r="H101" s="1" t="s">
        <v>74</v>
      </c>
      <c r="I101" s="1" t="s">
        <v>1139</v>
      </c>
      <c r="J101" s="1" t="s">
        <v>1140</v>
      </c>
      <c r="K101" s="1" t="s">
        <v>74</v>
      </c>
      <c r="L101" s="1" t="s">
        <v>74</v>
      </c>
      <c r="M101" s="1" t="s">
        <v>74</v>
      </c>
      <c r="N101" s="1" t="s">
        <v>74</v>
      </c>
      <c r="O101" s="1" t="s">
        <v>74</v>
      </c>
      <c r="P101" s="1" t="s">
        <v>74</v>
      </c>
      <c r="Q101" s="1" t="s">
        <v>74</v>
      </c>
      <c r="R101" s="1" t="s">
        <v>74</v>
      </c>
      <c r="S101" s="1" t="s">
        <v>74</v>
      </c>
      <c r="T101" s="1" t="s">
        <v>74</v>
      </c>
      <c r="U101" s="1" t="s">
        <v>74</v>
      </c>
      <c r="V101" s="1" t="s">
        <v>1141</v>
      </c>
      <c r="W101" s="1" t="s">
        <v>74</v>
      </c>
      <c r="X101" s="1" t="s">
        <v>74</v>
      </c>
      <c r="Y101" s="1" t="s">
        <v>74</v>
      </c>
      <c r="Z101" s="1" t="s">
        <v>74</v>
      </c>
      <c r="AA101" s="1" t="s">
        <v>1142</v>
      </c>
      <c r="AB101" s="1" t="s">
        <v>1143</v>
      </c>
      <c r="AC101" s="1" t="s">
        <v>74</v>
      </c>
      <c r="AD101" s="1" t="s">
        <v>74</v>
      </c>
      <c r="AE101" s="1" t="s">
        <v>74</v>
      </c>
      <c r="AF101" s="1" t="s">
        <v>74</v>
      </c>
      <c r="AG101" s="1" t="s">
        <v>74</v>
      </c>
      <c r="AH101" s="1" t="s">
        <v>74</v>
      </c>
      <c r="AI101" s="1" t="s">
        <v>74</v>
      </c>
      <c r="AJ101" s="1" t="s">
        <v>74</v>
      </c>
      <c r="AK101" s="1" t="s">
        <v>74</v>
      </c>
      <c r="AL101" s="1" t="s">
        <v>74</v>
      </c>
      <c r="AM101" s="1" t="s">
        <v>74</v>
      </c>
      <c r="AN101" s="1" t="s">
        <v>74</v>
      </c>
      <c r="AO101" s="1" t="s">
        <v>1144</v>
      </c>
      <c r="AP101" s="1" t="s">
        <v>1145</v>
      </c>
      <c r="AQ101" s="1" t="s">
        <v>74</v>
      </c>
      <c r="AR101" s="1" t="s">
        <v>74</v>
      </c>
      <c r="AS101" s="1" t="s">
        <v>74</v>
      </c>
      <c r="AT101" s="1" t="s">
        <v>135</v>
      </c>
      <c r="AU101" s="1">
        <v>2020.0</v>
      </c>
      <c r="AV101" s="1">
        <v>160.0</v>
      </c>
      <c r="AW101" s="1" t="s">
        <v>74</v>
      </c>
      <c r="AX101" s="1" t="s">
        <v>74</v>
      </c>
      <c r="AY101" s="1" t="s">
        <v>74</v>
      </c>
      <c r="AZ101" s="1" t="s">
        <v>74</v>
      </c>
      <c r="BA101" s="1" t="s">
        <v>74</v>
      </c>
      <c r="BB101" s="1">
        <v>233.0</v>
      </c>
      <c r="BC101" s="1">
        <v>239.0</v>
      </c>
      <c r="BD101" s="1" t="s">
        <v>74</v>
      </c>
      <c r="BE101" s="1" t="s">
        <v>1146</v>
      </c>
      <c r="BF101" s="2" t="str">
        <f>HYPERLINK("http://dx.doi.org/10.1016/j.cherd.2020.05.003","http://dx.doi.org/10.1016/j.cherd.2020.05.003")</f>
        <v>http://dx.doi.org/10.1016/j.cherd.2020.05.003</v>
      </c>
      <c r="BG101" s="1" t="s">
        <v>74</v>
      </c>
      <c r="BH101" s="1" t="s">
        <v>74</v>
      </c>
      <c r="BI101" s="1" t="s">
        <v>74</v>
      </c>
      <c r="BJ101" s="1" t="s">
        <v>74</v>
      </c>
      <c r="BK101" s="1" t="s">
        <v>74</v>
      </c>
      <c r="BL101" s="1" t="s">
        <v>74</v>
      </c>
      <c r="BM101" s="1" t="s">
        <v>74</v>
      </c>
      <c r="BN101" s="1" t="s">
        <v>74</v>
      </c>
      <c r="BO101" s="1" t="s">
        <v>74</v>
      </c>
      <c r="BP101" s="1" t="s">
        <v>74</v>
      </c>
      <c r="BQ101" s="1" t="s">
        <v>74</v>
      </c>
      <c r="BR101" s="1" t="s">
        <v>74</v>
      </c>
      <c r="BS101" s="1" t="s">
        <v>1147</v>
      </c>
      <c r="BT101" s="1" t="str">
        <f>HYPERLINK("https%3A%2F%2Fwww.webofscience.com%2Fwos%2Fwoscc%2Ffull-record%2FWOS:000551631000021","View Full Record in Web of Science")</f>
        <v>View Full Record in Web of Science</v>
      </c>
    </row>
    <row r="102" ht="12.75" customHeight="1">
      <c r="A102" s="1" t="s">
        <v>72</v>
      </c>
      <c r="B102" s="1" t="s">
        <v>1148</v>
      </c>
      <c r="C102" s="1" t="s">
        <v>74</v>
      </c>
      <c r="D102" s="1" t="s">
        <v>74</v>
      </c>
      <c r="E102" s="1" t="s">
        <v>74</v>
      </c>
      <c r="F102" s="1" t="s">
        <v>1149</v>
      </c>
      <c r="G102" s="1" t="s">
        <v>74</v>
      </c>
      <c r="H102" s="1" t="s">
        <v>74</v>
      </c>
      <c r="I102" s="1" t="s">
        <v>1150</v>
      </c>
      <c r="J102" s="1" t="s">
        <v>1151</v>
      </c>
      <c r="K102" s="1" t="s">
        <v>74</v>
      </c>
      <c r="L102" s="1" t="s">
        <v>74</v>
      </c>
      <c r="M102" s="1" t="s">
        <v>74</v>
      </c>
      <c r="N102" s="1" t="s">
        <v>74</v>
      </c>
      <c r="O102" s="1" t="s">
        <v>74</v>
      </c>
      <c r="P102" s="1" t="s">
        <v>74</v>
      </c>
      <c r="Q102" s="1" t="s">
        <v>74</v>
      </c>
      <c r="R102" s="1" t="s">
        <v>74</v>
      </c>
      <c r="S102" s="1" t="s">
        <v>74</v>
      </c>
      <c r="T102" s="1" t="s">
        <v>74</v>
      </c>
      <c r="U102" s="1" t="s">
        <v>74</v>
      </c>
      <c r="V102" s="1" t="s">
        <v>1152</v>
      </c>
      <c r="W102" s="1" t="s">
        <v>74</v>
      </c>
      <c r="X102" s="1" t="s">
        <v>74</v>
      </c>
      <c r="Y102" s="1" t="s">
        <v>74</v>
      </c>
      <c r="Z102" s="1" t="s">
        <v>74</v>
      </c>
      <c r="AA102" s="1" t="s">
        <v>1153</v>
      </c>
      <c r="AB102" s="1" t="s">
        <v>1154</v>
      </c>
      <c r="AC102" s="1" t="s">
        <v>74</v>
      </c>
      <c r="AD102" s="1" t="s">
        <v>74</v>
      </c>
      <c r="AE102" s="1" t="s">
        <v>74</v>
      </c>
      <c r="AF102" s="1" t="s">
        <v>74</v>
      </c>
      <c r="AG102" s="1" t="s">
        <v>74</v>
      </c>
      <c r="AH102" s="1" t="s">
        <v>74</v>
      </c>
      <c r="AI102" s="1" t="s">
        <v>74</v>
      </c>
      <c r="AJ102" s="1" t="s">
        <v>74</v>
      </c>
      <c r="AK102" s="1" t="s">
        <v>74</v>
      </c>
      <c r="AL102" s="1" t="s">
        <v>74</v>
      </c>
      <c r="AM102" s="1" t="s">
        <v>74</v>
      </c>
      <c r="AN102" s="1" t="s">
        <v>74</v>
      </c>
      <c r="AO102" s="1" t="s">
        <v>1155</v>
      </c>
      <c r="AP102" s="1" t="s">
        <v>1156</v>
      </c>
      <c r="AQ102" s="1" t="s">
        <v>74</v>
      </c>
      <c r="AR102" s="1" t="s">
        <v>74</v>
      </c>
      <c r="AS102" s="1" t="s">
        <v>74</v>
      </c>
      <c r="AT102" s="1" t="s">
        <v>694</v>
      </c>
      <c r="AU102" s="1">
        <v>2020.0</v>
      </c>
      <c r="AV102" s="1">
        <v>439.0</v>
      </c>
      <c r="AW102" s="1" t="s">
        <v>74</v>
      </c>
      <c r="AX102" s="1" t="s">
        <v>74</v>
      </c>
      <c r="AY102" s="1" t="s">
        <v>74</v>
      </c>
      <c r="AZ102" s="1" t="s">
        <v>74</v>
      </c>
      <c r="BA102" s="1" t="s">
        <v>74</v>
      </c>
      <c r="BB102" s="1">
        <v>268.0</v>
      </c>
      <c r="BC102" s="1">
        <v>274.0</v>
      </c>
      <c r="BD102" s="1" t="s">
        <v>74</v>
      </c>
      <c r="BE102" s="1" t="s">
        <v>1157</v>
      </c>
      <c r="BF102" s="2" t="str">
        <f>HYPERLINK("http://dx.doi.org/10.1016/j.neuroscience.2019.10.040","http://dx.doi.org/10.1016/j.neuroscience.2019.10.040")</f>
        <v>http://dx.doi.org/10.1016/j.neuroscience.2019.10.040</v>
      </c>
      <c r="BG102" s="1" t="s">
        <v>74</v>
      </c>
      <c r="BH102" s="1" t="s">
        <v>74</v>
      </c>
      <c r="BI102" s="1" t="s">
        <v>74</v>
      </c>
      <c r="BJ102" s="1" t="s">
        <v>74</v>
      </c>
      <c r="BK102" s="1" t="s">
        <v>74</v>
      </c>
      <c r="BL102" s="1" t="s">
        <v>74</v>
      </c>
      <c r="BM102" s="1" t="s">
        <v>74</v>
      </c>
      <c r="BN102" s="1">
        <v>3.1809728E7</v>
      </c>
      <c r="BO102" s="1" t="s">
        <v>74</v>
      </c>
      <c r="BP102" s="1" t="s">
        <v>74</v>
      </c>
      <c r="BQ102" s="1" t="s">
        <v>74</v>
      </c>
      <c r="BR102" s="1" t="s">
        <v>74</v>
      </c>
      <c r="BS102" s="1" t="s">
        <v>1158</v>
      </c>
      <c r="BT102" s="1" t="str">
        <f>HYPERLINK("https%3A%2F%2Fwww.webofscience.com%2Fwos%2Fwoscc%2Ffull-record%2FWOS:000545298200004","View Full Record in Web of Science")</f>
        <v>View Full Record in Web of Science</v>
      </c>
    </row>
    <row r="103" ht="12.75" customHeight="1">
      <c r="A103" s="1" t="s">
        <v>72</v>
      </c>
      <c r="B103" s="1" t="s">
        <v>1159</v>
      </c>
      <c r="C103" s="1" t="s">
        <v>74</v>
      </c>
      <c r="D103" s="1" t="s">
        <v>74</v>
      </c>
      <c r="E103" s="1" t="s">
        <v>74</v>
      </c>
      <c r="F103" s="1" t="s">
        <v>1160</v>
      </c>
      <c r="G103" s="1" t="s">
        <v>74</v>
      </c>
      <c r="H103" s="1" t="s">
        <v>74</v>
      </c>
      <c r="I103" s="1" t="s">
        <v>1161</v>
      </c>
      <c r="J103" s="1" t="s">
        <v>1162</v>
      </c>
      <c r="K103" s="1" t="s">
        <v>74</v>
      </c>
      <c r="L103" s="1" t="s">
        <v>74</v>
      </c>
      <c r="M103" s="1" t="s">
        <v>74</v>
      </c>
      <c r="N103" s="1" t="s">
        <v>74</v>
      </c>
      <c r="O103" s="1" t="s">
        <v>74</v>
      </c>
      <c r="P103" s="1" t="s">
        <v>74</v>
      </c>
      <c r="Q103" s="1" t="s">
        <v>74</v>
      </c>
      <c r="R103" s="1" t="s">
        <v>74</v>
      </c>
      <c r="S103" s="1" t="s">
        <v>74</v>
      </c>
      <c r="T103" s="1" t="s">
        <v>74</v>
      </c>
      <c r="U103" s="1" t="s">
        <v>74</v>
      </c>
      <c r="V103" s="1" t="s">
        <v>1163</v>
      </c>
      <c r="W103" s="1" t="s">
        <v>74</v>
      </c>
      <c r="X103" s="1" t="s">
        <v>74</v>
      </c>
      <c r="Y103" s="1" t="s">
        <v>74</v>
      </c>
      <c r="Z103" s="1" t="s">
        <v>74</v>
      </c>
      <c r="AA103" s="1" t="s">
        <v>1164</v>
      </c>
      <c r="AB103" s="1" t="s">
        <v>1165</v>
      </c>
      <c r="AC103" s="1" t="s">
        <v>74</v>
      </c>
      <c r="AD103" s="1" t="s">
        <v>74</v>
      </c>
      <c r="AE103" s="1" t="s">
        <v>74</v>
      </c>
      <c r="AF103" s="1" t="s">
        <v>74</v>
      </c>
      <c r="AG103" s="1" t="s">
        <v>74</v>
      </c>
      <c r="AH103" s="1" t="s">
        <v>74</v>
      </c>
      <c r="AI103" s="1" t="s">
        <v>74</v>
      </c>
      <c r="AJ103" s="1" t="s">
        <v>74</v>
      </c>
      <c r="AK103" s="1" t="s">
        <v>74</v>
      </c>
      <c r="AL103" s="1" t="s">
        <v>74</v>
      </c>
      <c r="AM103" s="1" t="s">
        <v>74</v>
      </c>
      <c r="AN103" s="1" t="s">
        <v>74</v>
      </c>
      <c r="AO103" s="1" t="s">
        <v>1166</v>
      </c>
      <c r="AP103" s="1" t="s">
        <v>1167</v>
      </c>
      <c r="AQ103" s="1" t="s">
        <v>74</v>
      </c>
      <c r="AR103" s="1" t="s">
        <v>74</v>
      </c>
      <c r="AS103" s="1" t="s">
        <v>74</v>
      </c>
      <c r="AT103" s="1" t="s">
        <v>650</v>
      </c>
      <c r="AU103" s="1">
        <v>2020.0</v>
      </c>
      <c r="AV103" s="1">
        <v>9.0</v>
      </c>
      <c r="AW103" s="1">
        <v>1.0</v>
      </c>
      <c r="AX103" s="1" t="s">
        <v>74</v>
      </c>
      <c r="AY103" s="1" t="s">
        <v>74</v>
      </c>
      <c r="AZ103" s="1" t="s">
        <v>411</v>
      </c>
      <c r="BA103" s="1" t="s">
        <v>74</v>
      </c>
      <c r="BB103" s="1">
        <v>59.0</v>
      </c>
      <c r="BC103" s="1">
        <v>74.0</v>
      </c>
      <c r="BD103" s="1" t="s">
        <v>74</v>
      </c>
      <c r="BE103" s="1" t="s">
        <v>1168</v>
      </c>
      <c r="BF103" s="2" t="str">
        <f>HYPERLINK("http://dx.doi.org/10.1332/204674319X15645389004469","http://dx.doi.org/10.1332/204674319X15645389004469")</f>
        <v>http://dx.doi.org/10.1332/204674319X15645389004469</v>
      </c>
      <c r="BG103" s="1" t="s">
        <v>74</v>
      </c>
      <c r="BH103" s="1" t="s">
        <v>74</v>
      </c>
      <c r="BI103" s="1" t="s">
        <v>74</v>
      </c>
      <c r="BJ103" s="1" t="s">
        <v>74</v>
      </c>
      <c r="BK103" s="1" t="s">
        <v>74</v>
      </c>
      <c r="BL103" s="1" t="s">
        <v>74</v>
      </c>
      <c r="BM103" s="1" t="s">
        <v>74</v>
      </c>
      <c r="BN103" s="1" t="s">
        <v>74</v>
      </c>
      <c r="BO103" s="1" t="s">
        <v>74</v>
      </c>
      <c r="BP103" s="1" t="s">
        <v>74</v>
      </c>
      <c r="BQ103" s="1" t="s">
        <v>74</v>
      </c>
      <c r="BR103" s="1" t="s">
        <v>74</v>
      </c>
      <c r="BS103" s="1" t="s">
        <v>1169</v>
      </c>
      <c r="BT103" s="1" t="str">
        <f>HYPERLINK("https%3A%2F%2Fwww.webofscience.com%2Fwos%2Fwoscc%2Ffull-record%2FWOS:000522508900005","View Full Record in Web of Science")</f>
        <v>View Full Record in Web of Science</v>
      </c>
    </row>
    <row r="104" ht="12.75" customHeight="1">
      <c r="A104" s="1" t="s">
        <v>72</v>
      </c>
      <c r="B104" s="1" t="s">
        <v>1170</v>
      </c>
      <c r="C104" s="1" t="s">
        <v>74</v>
      </c>
      <c r="D104" s="1" t="s">
        <v>74</v>
      </c>
      <c r="E104" s="1" t="s">
        <v>74</v>
      </c>
      <c r="F104" s="1" t="s">
        <v>1171</v>
      </c>
      <c r="G104" s="1" t="s">
        <v>74</v>
      </c>
      <c r="H104" s="1" t="s">
        <v>74</v>
      </c>
      <c r="I104" s="1" t="s">
        <v>1172</v>
      </c>
      <c r="J104" s="1" t="s">
        <v>1173</v>
      </c>
      <c r="K104" s="1" t="s">
        <v>74</v>
      </c>
      <c r="L104" s="1" t="s">
        <v>74</v>
      </c>
      <c r="M104" s="1" t="s">
        <v>74</v>
      </c>
      <c r="N104" s="1" t="s">
        <v>74</v>
      </c>
      <c r="O104" s="1" t="s">
        <v>74</v>
      </c>
      <c r="P104" s="1" t="s">
        <v>74</v>
      </c>
      <c r="Q104" s="1" t="s">
        <v>74</v>
      </c>
      <c r="R104" s="1" t="s">
        <v>74</v>
      </c>
      <c r="S104" s="1" t="s">
        <v>74</v>
      </c>
      <c r="T104" s="1" t="s">
        <v>74</v>
      </c>
      <c r="U104" s="1" t="s">
        <v>74</v>
      </c>
      <c r="V104" s="1" t="s">
        <v>1174</v>
      </c>
      <c r="W104" s="1" t="s">
        <v>74</v>
      </c>
      <c r="X104" s="1" t="s">
        <v>74</v>
      </c>
      <c r="Y104" s="1" t="s">
        <v>74</v>
      </c>
      <c r="Z104" s="1" t="s">
        <v>74</v>
      </c>
      <c r="AA104" s="1" t="s">
        <v>1175</v>
      </c>
      <c r="AB104" s="1" t="s">
        <v>1176</v>
      </c>
      <c r="AC104" s="1" t="s">
        <v>74</v>
      </c>
      <c r="AD104" s="1" t="s">
        <v>74</v>
      </c>
      <c r="AE104" s="1" t="s">
        <v>74</v>
      </c>
      <c r="AF104" s="1" t="s">
        <v>74</v>
      </c>
      <c r="AG104" s="1" t="s">
        <v>74</v>
      </c>
      <c r="AH104" s="1" t="s">
        <v>74</v>
      </c>
      <c r="AI104" s="1" t="s">
        <v>74</v>
      </c>
      <c r="AJ104" s="1" t="s">
        <v>74</v>
      </c>
      <c r="AK104" s="1" t="s">
        <v>74</v>
      </c>
      <c r="AL104" s="1" t="s">
        <v>74</v>
      </c>
      <c r="AM104" s="1" t="s">
        <v>74</v>
      </c>
      <c r="AN104" s="1" t="s">
        <v>74</v>
      </c>
      <c r="AO104" s="1" t="s">
        <v>1177</v>
      </c>
      <c r="AP104" s="1" t="s">
        <v>1178</v>
      </c>
      <c r="AQ104" s="1" t="s">
        <v>74</v>
      </c>
      <c r="AR104" s="1" t="s">
        <v>74</v>
      </c>
      <c r="AS104" s="1" t="s">
        <v>74</v>
      </c>
      <c r="AT104" s="1" t="s">
        <v>1179</v>
      </c>
      <c r="AU104" s="1">
        <v>2020.0</v>
      </c>
      <c r="AV104" s="1">
        <v>59.0</v>
      </c>
      <c r="AW104" s="1">
        <v>3.0</v>
      </c>
      <c r="AX104" s="1" t="s">
        <v>74</v>
      </c>
      <c r="AY104" s="1" t="s">
        <v>74</v>
      </c>
      <c r="AZ104" s="1" t="s">
        <v>74</v>
      </c>
      <c r="BA104" s="1" t="s">
        <v>74</v>
      </c>
      <c r="BB104" s="1">
        <v>1660.0</v>
      </c>
      <c r="BC104" s="1">
        <v>1674.0</v>
      </c>
      <c r="BD104" s="1" t="s">
        <v>74</v>
      </c>
      <c r="BE104" s="1" t="s">
        <v>1180</v>
      </c>
      <c r="BF104" s="2" t="str">
        <f>HYPERLINK("http://dx.doi.org/10.1021/acs.inorgchem.9b02773","http://dx.doi.org/10.1021/acs.inorgchem.9b02773")</f>
        <v>http://dx.doi.org/10.1021/acs.inorgchem.9b02773</v>
      </c>
      <c r="BG104" s="1" t="s">
        <v>74</v>
      </c>
      <c r="BH104" s="1" t="s">
        <v>74</v>
      </c>
      <c r="BI104" s="1" t="s">
        <v>74</v>
      </c>
      <c r="BJ104" s="1" t="s">
        <v>74</v>
      </c>
      <c r="BK104" s="1" t="s">
        <v>74</v>
      </c>
      <c r="BL104" s="1" t="s">
        <v>74</v>
      </c>
      <c r="BM104" s="1" t="s">
        <v>74</v>
      </c>
      <c r="BN104" s="1">
        <v>3.1927914E7</v>
      </c>
      <c r="BO104" s="1" t="s">
        <v>74</v>
      </c>
      <c r="BP104" s="1" t="s">
        <v>74</v>
      </c>
      <c r="BQ104" s="1" t="s">
        <v>74</v>
      </c>
      <c r="BR104" s="1" t="s">
        <v>74</v>
      </c>
      <c r="BS104" s="1" t="s">
        <v>1181</v>
      </c>
      <c r="BT104" s="1" t="str">
        <f>HYPERLINK("https%3A%2F%2Fwww.webofscience.com%2Fwos%2Fwoscc%2Ffull-record%2FWOS:000511246600011","View Full Record in Web of Science")</f>
        <v>View Full Record in Web of Science</v>
      </c>
    </row>
    <row r="105" ht="12.75" customHeight="1">
      <c r="A105" s="1" t="s">
        <v>72</v>
      </c>
      <c r="B105" s="1" t="s">
        <v>1182</v>
      </c>
      <c r="C105" s="1" t="s">
        <v>74</v>
      </c>
      <c r="D105" s="1" t="s">
        <v>74</v>
      </c>
      <c r="E105" s="1" t="s">
        <v>74</v>
      </c>
      <c r="F105" s="1" t="s">
        <v>1183</v>
      </c>
      <c r="G105" s="1" t="s">
        <v>74</v>
      </c>
      <c r="H105" s="1" t="s">
        <v>74</v>
      </c>
      <c r="I105" s="1" t="s">
        <v>1184</v>
      </c>
      <c r="J105" s="1" t="s">
        <v>1185</v>
      </c>
      <c r="K105" s="1" t="s">
        <v>74</v>
      </c>
      <c r="L105" s="1" t="s">
        <v>74</v>
      </c>
      <c r="M105" s="1" t="s">
        <v>74</v>
      </c>
      <c r="N105" s="1" t="s">
        <v>74</v>
      </c>
      <c r="O105" s="1" t="s">
        <v>74</v>
      </c>
      <c r="P105" s="1" t="s">
        <v>74</v>
      </c>
      <c r="Q105" s="1" t="s">
        <v>74</v>
      </c>
      <c r="R105" s="1" t="s">
        <v>74</v>
      </c>
      <c r="S105" s="1" t="s">
        <v>74</v>
      </c>
      <c r="T105" s="1" t="s">
        <v>74</v>
      </c>
      <c r="U105" s="1" t="s">
        <v>74</v>
      </c>
      <c r="V105" s="1" t="s">
        <v>1186</v>
      </c>
      <c r="W105" s="1" t="s">
        <v>74</v>
      </c>
      <c r="X105" s="1" t="s">
        <v>74</v>
      </c>
      <c r="Y105" s="1" t="s">
        <v>74</v>
      </c>
      <c r="Z105" s="1" t="s">
        <v>74</v>
      </c>
      <c r="AA105" s="1" t="s">
        <v>1187</v>
      </c>
      <c r="AB105" s="1" t="s">
        <v>1188</v>
      </c>
      <c r="AC105" s="1" t="s">
        <v>74</v>
      </c>
      <c r="AD105" s="1" t="s">
        <v>74</v>
      </c>
      <c r="AE105" s="1" t="s">
        <v>74</v>
      </c>
      <c r="AF105" s="1" t="s">
        <v>74</v>
      </c>
      <c r="AG105" s="1" t="s">
        <v>74</v>
      </c>
      <c r="AH105" s="1" t="s">
        <v>74</v>
      </c>
      <c r="AI105" s="1" t="s">
        <v>74</v>
      </c>
      <c r="AJ105" s="1" t="s">
        <v>74</v>
      </c>
      <c r="AK105" s="1" t="s">
        <v>74</v>
      </c>
      <c r="AL105" s="1" t="s">
        <v>74</v>
      </c>
      <c r="AM105" s="1" t="s">
        <v>74</v>
      </c>
      <c r="AN105" s="1" t="s">
        <v>74</v>
      </c>
      <c r="AO105" s="1" t="s">
        <v>1189</v>
      </c>
      <c r="AP105" s="1" t="s">
        <v>1190</v>
      </c>
      <c r="AQ105" s="1" t="s">
        <v>74</v>
      </c>
      <c r="AR105" s="1" t="s">
        <v>74</v>
      </c>
      <c r="AS105" s="1" t="s">
        <v>74</v>
      </c>
      <c r="AT105" s="1" t="s">
        <v>110</v>
      </c>
      <c r="AU105" s="1">
        <v>2019.0</v>
      </c>
      <c r="AV105" s="1">
        <v>23.0</v>
      </c>
      <c r="AW105" s="1">
        <v>12.0</v>
      </c>
      <c r="AX105" s="1" t="s">
        <v>74</v>
      </c>
      <c r="AY105" s="1" t="s">
        <v>74</v>
      </c>
      <c r="AZ105" s="1" t="s">
        <v>74</v>
      </c>
      <c r="BA105" s="1" t="s">
        <v>74</v>
      </c>
      <c r="BB105" s="1">
        <v>3309.0</v>
      </c>
      <c r="BC105" s="1">
        <v>3317.0</v>
      </c>
      <c r="BD105" s="1" t="s">
        <v>74</v>
      </c>
      <c r="BE105" s="1" t="s">
        <v>1191</v>
      </c>
      <c r="BF105" s="2" t="str">
        <f>HYPERLINK("http://dx.doi.org/10.1007/s10008-019-04417-z","http://dx.doi.org/10.1007/s10008-019-04417-z")</f>
        <v>http://dx.doi.org/10.1007/s10008-019-04417-z</v>
      </c>
      <c r="BG105" s="1" t="s">
        <v>74</v>
      </c>
      <c r="BH105" s="1" t="s">
        <v>1192</v>
      </c>
      <c r="BI105" s="1" t="s">
        <v>74</v>
      </c>
      <c r="BJ105" s="1" t="s">
        <v>74</v>
      </c>
      <c r="BK105" s="1" t="s">
        <v>74</v>
      </c>
      <c r="BL105" s="1" t="s">
        <v>74</v>
      </c>
      <c r="BM105" s="1" t="s">
        <v>74</v>
      </c>
      <c r="BN105" s="1" t="s">
        <v>74</v>
      </c>
      <c r="BO105" s="1" t="s">
        <v>74</v>
      </c>
      <c r="BP105" s="1" t="s">
        <v>74</v>
      </c>
      <c r="BQ105" s="1" t="s">
        <v>74</v>
      </c>
      <c r="BR105" s="1" t="s">
        <v>74</v>
      </c>
      <c r="BS105" s="1" t="s">
        <v>1193</v>
      </c>
      <c r="BT105" s="1" t="str">
        <f>HYPERLINK("https%3A%2F%2Fwww.webofscience.com%2Fwos%2Fwoscc%2Ffull-record%2FWOS:000495983900002","View Full Record in Web of Science")</f>
        <v>View Full Record in Web of Science</v>
      </c>
    </row>
    <row r="106" ht="12.75" customHeight="1">
      <c r="A106" s="1" t="s">
        <v>72</v>
      </c>
      <c r="B106" s="1" t="s">
        <v>1194</v>
      </c>
      <c r="C106" s="1" t="s">
        <v>74</v>
      </c>
      <c r="D106" s="1" t="s">
        <v>74</v>
      </c>
      <c r="E106" s="1" t="s">
        <v>74</v>
      </c>
      <c r="F106" s="1" t="s">
        <v>1195</v>
      </c>
      <c r="G106" s="1" t="s">
        <v>74</v>
      </c>
      <c r="H106" s="1" t="s">
        <v>74</v>
      </c>
      <c r="I106" s="1" t="s">
        <v>1196</v>
      </c>
      <c r="J106" s="1" t="s">
        <v>1197</v>
      </c>
      <c r="K106" s="1" t="s">
        <v>74</v>
      </c>
      <c r="L106" s="1" t="s">
        <v>74</v>
      </c>
      <c r="M106" s="1" t="s">
        <v>74</v>
      </c>
      <c r="N106" s="1" t="s">
        <v>74</v>
      </c>
      <c r="O106" s="1" t="s">
        <v>74</v>
      </c>
      <c r="P106" s="1" t="s">
        <v>74</v>
      </c>
      <c r="Q106" s="1" t="s">
        <v>74</v>
      </c>
      <c r="R106" s="1" t="s">
        <v>74</v>
      </c>
      <c r="S106" s="1" t="s">
        <v>74</v>
      </c>
      <c r="T106" s="1" t="s">
        <v>74</v>
      </c>
      <c r="U106" s="1" t="s">
        <v>74</v>
      </c>
      <c r="V106" s="1" t="s">
        <v>1198</v>
      </c>
      <c r="W106" s="1" t="s">
        <v>74</v>
      </c>
      <c r="X106" s="1" t="s">
        <v>74</v>
      </c>
      <c r="Y106" s="1" t="s">
        <v>74</v>
      </c>
      <c r="Z106" s="1" t="s">
        <v>74</v>
      </c>
      <c r="AA106" s="1" t="s">
        <v>74</v>
      </c>
      <c r="AB106" s="1" t="s">
        <v>74</v>
      </c>
      <c r="AC106" s="1" t="s">
        <v>74</v>
      </c>
      <c r="AD106" s="1" t="s">
        <v>74</v>
      </c>
      <c r="AE106" s="1" t="s">
        <v>74</v>
      </c>
      <c r="AF106" s="1" t="s">
        <v>74</v>
      </c>
      <c r="AG106" s="1" t="s">
        <v>74</v>
      </c>
      <c r="AH106" s="1" t="s">
        <v>74</v>
      </c>
      <c r="AI106" s="1" t="s">
        <v>74</v>
      </c>
      <c r="AJ106" s="1" t="s">
        <v>74</v>
      </c>
      <c r="AK106" s="1" t="s">
        <v>74</v>
      </c>
      <c r="AL106" s="1" t="s">
        <v>74</v>
      </c>
      <c r="AM106" s="1" t="s">
        <v>74</v>
      </c>
      <c r="AN106" s="1" t="s">
        <v>74</v>
      </c>
      <c r="AO106" s="1" t="s">
        <v>74</v>
      </c>
      <c r="AP106" s="1" t="s">
        <v>1199</v>
      </c>
      <c r="AQ106" s="1" t="s">
        <v>74</v>
      </c>
      <c r="AR106" s="1" t="s">
        <v>74</v>
      </c>
      <c r="AS106" s="1" t="s">
        <v>74</v>
      </c>
      <c r="AT106" s="1" t="s">
        <v>215</v>
      </c>
      <c r="AU106" s="1">
        <v>2019.0</v>
      </c>
      <c r="AV106" s="1">
        <v>51.0</v>
      </c>
      <c r="AW106" s="1">
        <v>1.0</v>
      </c>
      <c r="AX106" s="1" t="s">
        <v>74</v>
      </c>
      <c r="AY106" s="1" t="s">
        <v>74</v>
      </c>
      <c r="AZ106" s="1" t="s">
        <v>74</v>
      </c>
      <c r="BA106" s="1" t="s">
        <v>74</v>
      </c>
      <c r="BB106" s="1">
        <v>323.0</v>
      </c>
      <c r="BC106" s="1">
        <v>336.0</v>
      </c>
      <c r="BD106" s="1" t="s">
        <v>74</v>
      </c>
      <c r="BE106" s="1" t="s">
        <v>74</v>
      </c>
      <c r="BF106" s="1" t="s">
        <v>74</v>
      </c>
      <c r="BG106" s="1" t="s">
        <v>74</v>
      </c>
      <c r="BH106" s="1" t="s">
        <v>74</v>
      </c>
      <c r="BI106" s="1" t="s">
        <v>74</v>
      </c>
      <c r="BJ106" s="1" t="s">
        <v>74</v>
      </c>
      <c r="BK106" s="1" t="s">
        <v>74</v>
      </c>
      <c r="BL106" s="1" t="s">
        <v>74</v>
      </c>
      <c r="BM106" s="1" t="s">
        <v>74</v>
      </c>
      <c r="BN106" s="1" t="s">
        <v>74</v>
      </c>
      <c r="BO106" s="1" t="s">
        <v>74</v>
      </c>
      <c r="BP106" s="1" t="s">
        <v>74</v>
      </c>
      <c r="BQ106" s="1" t="s">
        <v>74</v>
      </c>
      <c r="BR106" s="1" t="s">
        <v>74</v>
      </c>
      <c r="BS106" s="1" t="s">
        <v>1200</v>
      </c>
      <c r="BT106" s="1" t="str">
        <f>HYPERLINK("https%3A%2F%2Fwww.webofscience.com%2Fwos%2Fwoscc%2Ffull-record%2FWOS:000471913900023","View Full Record in Web of Science")</f>
        <v>View Full Record in Web of Science</v>
      </c>
    </row>
    <row r="107" ht="12.75" customHeight="1">
      <c r="A107" s="1" t="s">
        <v>72</v>
      </c>
      <c r="B107" s="1" t="s">
        <v>1201</v>
      </c>
      <c r="C107" s="1" t="s">
        <v>74</v>
      </c>
      <c r="D107" s="1" t="s">
        <v>74</v>
      </c>
      <c r="E107" s="1" t="s">
        <v>74</v>
      </c>
      <c r="F107" s="1" t="s">
        <v>1202</v>
      </c>
      <c r="G107" s="1" t="s">
        <v>74</v>
      </c>
      <c r="H107" s="1" t="s">
        <v>74</v>
      </c>
      <c r="I107" s="1" t="s">
        <v>1203</v>
      </c>
      <c r="J107" s="1" t="s">
        <v>1204</v>
      </c>
      <c r="K107" s="1" t="s">
        <v>74</v>
      </c>
      <c r="L107" s="1" t="s">
        <v>74</v>
      </c>
      <c r="M107" s="1" t="s">
        <v>74</v>
      </c>
      <c r="N107" s="1" t="s">
        <v>74</v>
      </c>
      <c r="O107" s="1" t="s">
        <v>74</v>
      </c>
      <c r="P107" s="1" t="s">
        <v>74</v>
      </c>
      <c r="Q107" s="1" t="s">
        <v>74</v>
      </c>
      <c r="R107" s="1" t="s">
        <v>74</v>
      </c>
      <c r="S107" s="1" t="s">
        <v>74</v>
      </c>
      <c r="T107" s="1" t="s">
        <v>74</v>
      </c>
      <c r="U107" s="1" t="s">
        <v>74</v>
      </c>
      <c r="V107" s="1" t="s">
        <v>1205</v>
      </c>
      <c r="W107" s="1" t="s">
        <v>74</v>
      </c>
      <c r="X107" s="1" t="s">
        <v>74</v>
      </c>
      <c r="Y107" s="1" t="s">
        <v>74</v>
      </c>
      <c r="Z107" s="1" t="s">
        <v>74</v>
      </c>
      <c r="AA107" s="1" t="s">
        <v>1206</v>
      </c>
      <c r="AB107" s="1" t="s">
        <v>1207</v>
      </c>
      <c r="AC107" s="1" t="s">
        <v>74</v>
      </c>
      <c r="AD107" s="1" t="s">
        <v>74</v>
      </c>
      <c r="AE107" s="1" t="s">
        <v>74</v>
      </c>
      <c r="AF107" s="1" t="s">
        <v>74</v>
      </c>
      <c r="AG107" s="1" t="s">
        <v>74</v>
      </c>
      <c r="AH107" s="1" t="s">
        <v>74</v>
      </c>
      <c r="AI107" s="1" t="s">
        <v>74</v>
      </c>
      <c r="AJ107" s="1" t="s">
        <v>74</v>
      </c>
      <c r="AK107" s="1" t="s">
        <v>74</v>
      </c>
      <c r="AL107" s="1" t="s">
        <v>74</v>
      </c>
      <c r="AM107" s="1" t="s">
        <v>74</v>
      </c>
      <c r="AN107" s="1" t="s">
        <v>74</v>
      </c>
      <c r="AO107" s="1" t="s">
        <v>1208</v>
      </c>
      <c r="AP107" s="1" t="s">
        <v>1209</v>
      </c>
      <c r="AQ107" s="1" t="s">
        <v>74</v>
      </c>
      <c r="AR107" s="1" t="s">
        <v>74</v>
      </c>
      <c r="AS107" s="1" t="s">
        <v>74</v>
      </c>
      <c r="AT107" s="1" t="s">
        <v>459</v>
      </c>
      <c r="AU107" s="1">
        <v>2018.0</v>
      </c>
      <c r="AV107" s="1">
        <v>27.0</v>
      </c>
      <c r="AW107" s="1">
        <v>9.0</v>
      </c>
      <c r="AX107" s="1" t="s">
        <v>74</v>
      </c>
      <c r="AY107" s="1" t="s">
        <v>74</v>
      </c>
      <c r="AZ107" s="1" t="s">
        <v>74</v>
      </c>
      <c r="BA107" s="1" t="s">
        <v>74</v>
      </c>
      <c r="BB107" s="1">
        <v>1291.0</v>
      </c>
      <c r="BC107" s="1">
        <v>1306.0</v>
      </c>
      <c r="BD107" s="1" t="s">
        <v>74</v>
      </c>
      <c r="BE107" s="1" t="s">
        <v>1210</v>
      </c>
      <c r="BF107" s="2" t="str">
        <f>HYPERLINK("http://dx.doi.org/10.1177/1056789517704029","http://dx.doi.org/10.1177/1056789517704029")</f>
        <v>http://dx.doi.org/10.1177/1056789517704029</v>
      </c>
      <c r="BG107" s="1" t="s">
        <v>74</v>
      </c>
      <c r="BH107" s="1" t="s">
        <v>74</v>
      </c>
      <c r="BI107" s="1" t="s">
        <v>74</v>
      </c>
      <c r="BJ107" s="1" t="s">
        <v>74</v>
      </c>
      <c r="BK107" s="1" t="s">
        <v>74</v>
      </c>
      <c r="BL107" s="1" t="s">
        <v>74</v>
      </c>
      <c r="BM107" s="1" t="s">
        <v>74</v>
      </c>
      <c r="BN107" s="1" t="s">
        <v>74</v>
      </c>
      <c r="BO107" s="1" t="s">
        <v>74</v>
      </c>
      <c r="BP107" s="1" t="s">
        <v>74</v>
      </c>
      <c r="BQ107" s="1" t="s">
        <v>74</v>
      </c>
      <c r="BR107" s="1" t="s">
        <v>74</v>
      </c>
      <c r="BS107" s="1" t="s">
        <v>1211</v>
      </c>
      <c r="BT107" s="1" t="str">
        <f>HYPERLINK("https%3A%2F%2Fwww.webofscience.com%2Fwos%2Fwoscc%2Ffull-record%2FWOS:000441978100001","View Full Record in Web of Science")</f>
        <v>View Full Record in Web of Science</v>
      </c>
    </row>
    <row r="108" ht="12.75" customHeight="1">
      <c r="A108" s="1" t="s">
        <v>72</v>
      </c>
      <c r="B108" s="1" t="s">
        <v>1212</v>
      </c>
      <c r="C108" s="1" t="s">
        <v>74</v>
      </c>
      <c r="D108" s="1" t="s">
        <v>74</v>
      </c>
      <c r="E108" s="1" t="s">
        <v>74</v>
      </c>
      <c r="F108" s="1" t="s">
        <v>1213</v>
      </c>
      <c r="G108" s="1" t="s">
        <v>74</v>
      </c>
      <c r="H108" s="1" t="s">
        <v>74</v>
      </c>
      <c r="I108" s="1" t="s">
        <v>1214</v>
      </c>
      <c r="J108" s="1" t="s">
        <v>1215</v>
      </c>
      <c r="K108" s="1" t="s">
        <v>74</v>
      </c>
      <c r="L108" s="1" t="s">
        <v>74</v>
      </c>
      <c r="M108" s="1" t="s">
        <v>74</v>
      </c>
      <c r="N108" s="1" t="s">
        <v>74</v>
      </c>
      <c r="O108" s="1" t="s">
        <v>74</v>
      </c>
      <c r="P108" s="1" t="s">
        <v>74</v>
      </c>
      <c r="Q108" s="1" t="s">
        <v>74</v>
      </c>
      <c r="R108" s="1" t="s">
        <v>74</v>
      </c>
      <c r="S108" s="1" t="s">
        <v>74</v>
      </c>
      <c r="T108" s="1" t="s">
        <v>74</v>
      </c>
      <c r="U108" s="1" t="s">
        <v>74</v>
      </c>
      <c r="V108" s="1" t="s">
        <v>1216</v>
      </c>
      <c r="W108" s="1" t="s">
        <v>74</v>
      </c>
      <c r="X108" s="1" t="s">
        <v>74</v>
      </c>
      <c r="Y108" s="1" t="s">
        <v>74</v>
      </c>
      <c r="Z108" s="1" t="s">
        <v>74</v>
      </c>
      <c r="AA108" s="1" t="s">
        <v>1217</v>
      </c>
      <c r="AB108" s="1" t="s">
        <v>1218</v>
      </c>
      <c r="AC108" s="1" t="s">
        <v>74</v>
      </c>
      <c r="AD108" s="1" t="s">
        <v>74</v>
      </c>
      <c r="AE108" s="1" t="s">
        <v>74</v>
      </c>
      <c r="AF108" s="1" t="s">
        <v>74</v>
      </c>
      <c r="AG108" s="1" t="s">
        <v>74</v>
      </c>
      <c r="AH108" s="1" t="s">
        <v>74</v>
      </c>
      <c r="AI108" s="1" t="s">
        <v>74</v>
      </c>
      <c r="AJ108" s="1" t="s">
        <v>74</v>
      </c>
      <c r="AK108" s="1" t="s">
        <v>74</v>
      </c>
      <c r="AL108" s="1" t="s">
        <v>74</v>
      </c>
      <c r="AM108" s="1" t="s">
        <v>74</v>
      </c>
      <c r="AN108" s="1" t="s">
        <v>74</v>
      </c>
      <c r="AO108" s="1" t="s">
        <v>1219</v>
      </c>
      <c r="AP108" s="1" t="s">
        <v>1220</v>
      </c>
      <c r="AQ108" s="1" t="s">
        <v>74</v>
      </c>
      <c r="AR108" s="1" t="s">
        <v>74</v>
      </c>
      <c r="AS108" s="1" t="s">
        <v>74</v>
      </c>
      <c r="AT108" s="1" t="s">
        <v>74</v>
      </c>
      <c r="AU108" s="1">
        <v>2018.0</v>
      </c>
      <c r="AV108" s="1">
        <v>2018.0</v>
      </c>
      <c r="AW108" s="1" t="s">
        <v>74</v>
      </c>
      <c r="AX108" s="1" t="s">
        <v>74</v>
      </c>
      <c r="AY108" s="1" t="s">
        <v>74</v>
      </c>
      <c r="AZ108" s="1" t="s">
        <v>74</v>
      </c>
      <c r="BA108" s="1" t="s">
        <v>74</v>
      </c>
      <c r="BB108" s="1" t="s">
        <v>74</v>
      </c>
      <c r="BC108" s="1" t="s">
        <v>74</v>
      </c>
      <c r="BD108" s="1">
        <v>6971827.0</v>
      </c>
      <c r="BE108" s="1" t="s">
        <v>1221</v>
      </c>
      <c r="BF108" s="2" t="str">
        <f>HYPERLINK("http://dx.doi.org/10.1155/2018/6971827","http://dx.doi.org/10.1155/2018/6971827")</f>
        <v>http://dx.doi.org/10.1155/2018/6971827</v>
      </c>
      <c r="BG108" s="1" t="s">
        <v>74</v>
      </c>
      <c r="BH108" s="1" t="s">
        <v>74</v>
      </c>
      <c r="BI108" s="1" t="s">
        <v>74</v>
      </c>
      <c r="BJ108" s="1" t="s">
        <v>74</v>
      </c>
      <c r="BK108" s="1" t="s">
        <v>74</v>
      </c>
      <c r="BL108" s="1" t="s">
        <v>74</v>
      </c>
      <c r="BM108" s="1" t="s">
        <v>74</v>
      </c>
      <c r="BN108" s="1" t="s">
        <v>74</v>
      </c>
      <c r="BO108" s="1" t="s">
        <v>74</v>
      </c>
      <c r="BP108" s="1" t="s">
        <v>74</v>
      </c>
      <c r="BQ108" s="1" t="s">
        <v>74</v>
      </c>
      <c r="BR108" s="1" t="s">
        <v>74</v>
      </c>
      <c r="BS108" s="1" t="s">
        <v>1222</v>
      </c>
      <c r="BT108" s="1" t="str">
        <f>HYPERLINK("https%3A%2F%2Fwww.webofscience.com%2Fwos%2Fwoscc%2Ffull-record%2FWOS:000444938000001","View Full Record in Web of Science")</f>
        <v>View Full Record in Web of Science</v>
      </c>
    </row>
    <row r="109" ht="12.75" customHeight="1">
      <c r="A109" s="1" t="s">
        <v>72</v>
      </c>
      <c r="B109" s="1" t="s">
        <v>1223</v>
      </c>
      <c r="C109" s="1" t="s">
        <v>74</v>
      </c>
      <c r="D109" s="1" t="s">
        <v>74</v>
      </c>
      <c r="E109" s="1" t="s">
        <v>74</v>
      </c>
      <c r="F109" s="1" t="s">
        <v>1224</v>
      </c>
      <c r="G109" s="1" t="s">
        <v>74</v>
      </c>
      <c r="H109" s="1" t="s">
        <v>74</v>
      </c>
      <c r="I109" s="1" t="s">
        <v>1225</v>
      </c>
      <c r="J109" s="1" t="s">
        <v>481</v>
      </c>
      <c r="K109" s="1" t="s">
        <v>74</v>
      </c>
      <c r="L109" s="1" t="s">
        <v>74</v>
      </c>
      <c r="M109" s="1" t="s">
        <v>74</v>
      </c>
      <c r="N109" s="1" t="s">
        <v>74</v>
      </c>
      <c r="O109" s="1" t="s">
        <v>74</v>
      </c>
      <c r="P109" s="1" t="s">
        <v>74</v>
      </c>
      <c r="Q109" s="1" t="s">
        <v>74</v>
      </c>
      <c r="R109" s="1" t="s">
        <v>74</v>
      </c>
      <c r="S109" s="1" t="s">
        <v>74</v>
      </c>
      <c r="T109" s="1" t="s">
        <v>74</v>
      </c>
      <c r="U109" s="1" t="s">
        <v>74</v>
      </c>
      <c r="V109" s="1" t="s">
        <v>1226</v>
      </c>
      <c r="W109" s="1" t="s">
        <v>74</v>
      </c>
      <c r="X109" s="1" t="s">
        <v>74</v>
      </c>
      <c r="Y109" s="1" t="s">
        <v>74</v>
      </c>
      <c r="Z109" s="1" t="s">
        <v>74</v>
      </c>
      <c r="AA109" s="1" t="s">
        <v>74</v>
      </c>
      <c r="AB109" s="1" t="s">
        <v>74</v>
      </c>
      <c r="AC109" s="1" t="s">
        <v>74</v>
      </c>
      <c r="AD109" s="1" t="s">
        <v>74</v>
      </c>
      <c r="AE109" s="1" t="s">
        <v>74</v>
      </c>
      <c r="AF109" s="1" t="s">
        <v>74</v>
      </c>
      <c r="AG109" s="1" t="s">
        <v>74</v>
      </c>
      <c r="AH109" s="1" t="s">
        <v>74</v>
      </c>
      <c r="AI109" s="1" t="s">
        <v>74</v>
      </c>
      <c r="AJ109" s="1" t="s">
        <v>74</v>
      </c>
      <c r="AK109" s="1" t="s">
        <v>74</v>
      </c>
      <c r="AL109" s="1" t="s">
        <v>74</v>
      </c>
      <c r="AM109" s="1" t="s">
        <v>74</v>
      </c>
      <c r="AN109" s="1" t="s">
        <v>74</v>
      </c>
      <c r="AO109" s="1" t="s">
        <v>483</v>
      </c>
      <c r="AP109" s="1" t="s">
        <v>74</v>
      </c>
      <c r="AQ109" s="1" t="s">
        <v>74</v>
      </c>
      <c r="AR109" s="1" t="s">
        <v>74</v>
      </c>
      <c r="AS109" s="1" t="s">
        <v>74</v>
      </c>
      <c r="AT109" s="1" t="s">
        <v>74</v>
      </c>
      <c r="AU109" s="1">
        <v>2018.0</v>
      </c>
      <c r="AV109" s="1" t="s">
        <v>74</v>
      </c>
      <c r="AW109" s="1">
        <v>57.0</v>
      </c>
      <c r="AX109" s="1" t="s">
        <v>74</v>
      </c>
      <c r="AY109" s="1" t="s">
        <v>74</v>
      </c>
      <c r="AZ109" s="1" t="s">
        <v>74</v>
      </c>
      <c r="BA109" s="1" t="s">
        <v>74</v>
      </c>
      <c r="BB109" s="1">
        <v>97.0</v>
      </c>
      <c r="BC109" s="1">
        <v>118.0</v>
      </c>
      <c r="BD109" s="1" t="s">
        <v>74</v>
      </c>
      <c r="BE109" s="1" t="s">
        <v>1227</v>
      </c>
      <c r="BF109" s="2" t="str">
        <f>HYPERLINK("http://dx.doi.org/10.4067/S0718-10432018005000701","http://dx.doi.org/10.4067/S0718-10432018005000701")</f>
        <v>http://dx.doi.org/10.4067/S0718-10432018005000701</v>
      </c>
      <c r="BG109" s="1" t="s">
        <v>74</v>
      </c>
      <c r="BH109" s="1" t="s">
        <v>74</v>
      </c>
      <c r="BI109" s="1" t="s">
        <v>74</v>
      </c>
      <c r="BJ109" s="1" t="s">
        <v>74</v>
      </c>
      <c r="BK109" s="1" t="s">
        <v>74</v>
      </c>
      <c r="BL109" s="1" t="s">
        <v>74</v>
      </c>
      <c r="BM109" s="1" t="s">
        <v>74</v>
      </c>
      <c r="BN109" s="1" t="s">
        <v>74</v>
      </c>
      <c r="BO109" s="1" t="s">
        <v>74</v>
      </c>
      <c r="BP109" s="1" t="s">
        <v>74</v>
      </c>
      <c r="BQ109" s="1" t="s">
        <v>74</v>
      </c>
      <c r="BR109" s="1" t="s">
        <v>74</v>
      </c>
      <c r="BS109" s="1" t="s">
        <v>1228</v>
      </c>
      <c r="BT109" s="1" t="str">
        <f>HYPERLINK("https%3A%2F%2Fwww.webofscience.com%2Fwos%2Fwoscc%2Ffull-record%2FWOS:000445406400006","View Full Record in Web of Science")</f>
        <v>View Full Record in Web of Science</v>
      </c>
    </row>
    <row r="110" ht="12.75" customHeight="1">
      <c r="A110" s="1" t="s">
        <v>72</v>
      </c>
      <c r="B110" s="1" t="s">
        <v>1229</v>
      </c>
      <c r="C110" s="1" t="s">
        <v>74</v>
      </c>
      <c r="D110" s="1" t="s">
        <v>74</v>
      </c>
      <c r="E110" s="1" t="s">
        <v>74</v>
      </c>
      <c r="F110" s="1" t="s">
        <v>1230</v>
      </c>
      <c r="G110" s="1" t="s">
        <v>74</v>
      </c>
      <c r="H110" s="1" t="s">
        <v>74</v>
      </c>
      <c r="I110" s="1" t="s">
        <v>1231</v>
      </c>
      <c r="J110" s="1" t="s">
        <v>417</v>
      </c>
      <c r="K110" s="1" t="s">
        <v>74</v>
      </c>
      <c r="L110" s="1" t="s">
        <v>74</v>
      </c>
      <c r="M110" s="1" t="s">
        <v>74</v>
      </c>
      <c r="N110" s="1" t="s">
        <v>74</v>
      </c>
      <c r="O110" s="1" t="s">
        <v>418</v>
      </c>
      <c r="P110" s="1" t="s">
        <v>419</v>
      </c>
      <c r="Q110" s="1" t="s">
        <v>420</v>
      </c>
      <c r="R110" s="1" t="s">
        <v>421</v>
      </c>
      <c r="S110" s="1" t="s">
        <v>74</v>
      </c>
      <c r="T110" s="1" t="s">
        <v>74</v>
      </c>
      <c r="U110" s="1" t="s">
        <v>74</v>
      </c>
      <c r="V110" s="1" t="s">
        <v>74</v>
      </c>
      <c r="W110" s="1" t="s">
        <v>74</v>
      </c>
      <c r="X110" s="1" t="s">
        <v>74</v>
      </c>
      <c r="Y110" s="1" t="s">
        <v>74</v>
      </c>
      <c r="Z110" s="1" t="s">
        <v>74</v>
      </c>
      <c r="AA110" s="1" t="s">
        <v>1232</v>
      </c>
      <c r="AB110" s="1" t="s">
        <v>1233</v>
      </c>
      <c r="AC110" s="1" t="s">
        <v>74</v>
      </c>
      <c r="AD110" s="1" t="s">
        <v>74</v>
      </c>
      <c r="AE110" s="1" t="s">
        <v>74</v>
      </c>
      <c r="AF110" s="1" t="s">
        <v>74</v>
      </c>
      <c r="AG110" s="1" t="s">
        <v>74</v>
      </c>
      <c r="AH110" s="1" t="s">
        <v>74</v>
      </c>
      <c r="AI110" s="1" t="s">
        <v>74</v>
      </c>
      <c r="AJ110" s="1" t="s">
        <v>74</v>
      </c>
      <c r="AK110" s="1" t="s">
        <v>74</v>
      </c>
      <c r="AL110" s="1" t="s">
        <v>74</v>
      </c>
      <c r="AM110" s="1" t="s">
        <v>74</v>
      </c>
      <c r="AN110" s="1" t="s">
        <v>74</v>
      </c>
      <c r="AO110" s="1" t="s">
        <v>424</v>
      </c>
      <c r="AP110" s="1" t="s">
        <v>425</v>
      </c>
      <c r="AQ110" s="1" t="s">
        <v>74</v>
      </c>
      <c r="AR110" s="1" t="s">
        <v>74</v>
      </c>
      <c r="AS110" s="1" t="s">
        <v>74</v>
      </c>
      <c r="AT110" s="1" t="s">
        <v>180</v>
      </c>
      <c r="AU110" s="1">
        <v>2017.0</v>
      </c>
      <c r="AV110" s="1">
        <v>49.0</v>
      </c>
      <c r="AW110" s="1">
        <v>5.0</v>
      </c>
      <c r="AX110" s="1" t="s">
        <v>74</v>
      </c>
      <c r="AY110" s="1">
        <v>1.0</v>
      </c>
      <c r="AZ110" s="1" t="s">
        <v>74</v>
      </c>
      <c r="BA110" s="1">
        <v>213.0</v>
      </c>
      <c r="BB110" s="1">
        <v>38.0</v>
      </c>
      <c r="BC110" s="1">
        <v>38.0</v>
      </c>
      <c r="BD110" s="1" t="s">
        <v>74</v>
      </c>
      <c r="BE110" s="1" t="s">
        <v>1234</v>
      </c>
      <c r="BF110" s="2" t="str">
        <f>HYPERLINK("http://dx.doi.org/10.1249/01.mss.0000516923.77893.b3","http://dx.doi.org/10.1249/01.mss.0000516923.77893.b3")</f>
        <v>http://dx.doi.org/10.1249/01.mss.0000516923.77893.b3</v>
      </c>
      <c r="BG110" s="1" t="s">
        <v>74</v>
      </c>
      <c r="BH110" s="1" t="s">
        <v>74</v>
      </c>
      <c r="BI110" s="1" t="s">
        <v>74</v>
      </c>
      <c r="BJ110" s="1" t="s">
        <v>74</v>
      </c>
      <c r="BK110" s="1" t="s">
        <v>74</v>
      </c>
      <c r="BL110" s="1" t="s">
        <v>74</v>
      </c>
      <c r="BM110" s="1" t="s">
        <v>74</v>
      </c>
      <c r="BN110" s="1" t="s">
        <v>74</v>
      </c>
      <c r="BO110" s="1" t="s">
        <v>74</v>
      </c>
      <c r="BP110" s="1" t="s">
        <v>74</v>
      </c>
      <c r="BQ110" s="1" t="s">
        <v>74</v>
      </c>
      <c r="BR110" s="1" t="s">
        <v>74</v>
      </c>
      <c r="BS110" s="1" t="s">
        <v>1235</v>
      </c>
      <c r="BT110" s="1" t="str">
        <f>HYPERLINK("https%3A%2F%2Fwww.webofscience.com%2Fwos%2Fwoscc%2Ffull-record%2FWOS:000413842900102","View Full Record in Web of Science")</f>
        <v>View Full Record in Web of Science</v>
      </c>
    </row>
    <row r="111" ht="12.75" customHeight="1">
      <c r="A111" s="1" t="s">
        <v>72</v>
      </c>
      <c r="B111" s="1" t="s">
        <v>1236</v>
      </c>
      <c r="C111" s="1" t="s">
        <v>74</v>
      </c>
      <c r="D111" s="1" t="s">
        <v>74</v>
      </c>
      <c r="E111" s="1" t="s">
        <v>74</v>
      </c>
      <c r="F111" s="1" t="s">
        <v>1237</v>
      </c>
      <c r="G111" s="1" t="s">
        <v>74</v>
      </c>
      <c r="H111" s="1" t="s">
        <v>74</v>
      </c>
      <c r="I111" s="1" t="s">
        <v>1238</v>
      </c>
      <c r="J111" s="1" t="s">
        <v>1239</v>
      </c>
      <c r="K111" s="1" t="s">
        <v>74</v>
      </c>
      <c r="L111" s="1" t="s">
        <v>74</v>
      </c>
      <c r="M111" s="1" t="s">
        <v>74</v>
      </c>
      <c r="N111" s="1" t="s">
        <v>74</v>
      </c>
      <c r="O111" s="1" t="s">
        <v>74</v>
      </c>
      <c r="P111" s="1" t="s">
        <v>74</v>
      </c>
      <c r="Q111" s="1" t="s">
        <v>74</v>
      </c>
      <c r="R111" s="1" t="s">
        <v>74</v>
      </c>
      <c r="S111" s="1" t="s">
        <v>74</v>
      </c>
      <c r="T111" s="1" t="s">
        <v>74</v>
      </c>
      <c r="U111" s="1" t="s">
        <v>74</v>
      </c>
      <c r="V111" s="1" t="s">
        <v>1240</v>
      </c>
      <c r="W111" s="1" t="s">
        <v>74</v>
      </c>
      <c r="X111" s="1" t="s">
        <v>74</v>
      </c>
      <c r="Y111" s="1" t="s">
        <v>74</v>
      </c>
      <c r="Z111" s="1" t="s">
        <v>74</v>
      </c>
      <c r="AA111" s="1" t="s">
        <v>1241</v>
      </c>
      <c r="AB111" s="1" t="s">
        <v>1242</v>
      </c>
      <c r="AC111" s="1" t="s">
        <v>74</v>
      </c>
      <c r="AD111" s="1" t="s">
        <v>74</v>
      </c>
      <c r="AE111" s="1" t="s">
        <v>74</v>
      </c>
      <c r="AF111" s="1" t="s">
        <v>74</v>
      </c>
      <c r="AG111" s="1" t="s">
        <v>74</v>
      </c>
      <c r="AH111" s="1" t="s">
        <v>74</v>
      </c>
      <c r="AI111" s="1" t="s">
        <v>74</v>
      </c>
      <c r="AJ111" s="1" t="s">
        <v>74</v>
      </c>
      <c r="AK111" s="1" t="s">
        <v>74</v>
      </c>
      <c r="AL111" s="1" t="s">
        <v>74</v>
      </c>
      <c r="AM111" s="1" t="s">
        <v>74</v>
      </c>
      <c r="AN111" s="1" t="s">
        <v>74</v>
      </c>
      <c r="AO111" s="1" t="s">
        <v>74</v>
      </c>
      <c r="AP111" s="1" t="s">
        <v>1243</v>
      </c>
      <c r="AQ111" s="1" t="s">
        <v>74</v>
      </c>
      <c r="AR111" s="1" t="s">
        <v>74</v>
      </c>
      <c r="AS111" s="1" t="s">
        <v>74</v>
      </c>
      <c r="AT111" s="1" t="s">
        <v>180</v>
      </c>
      <c r="AU111" s="1">
        <v>2016.0</v>
      </c>
      <c r="AV111" s="1">
        <v>8.0</v>
      </c>
      <c r="AW111" s="1">
        <v>5.0</v>
      </c>
      <c r="AX111" s="1" t="s">
        <v>74</v>
      </c>
      <c r="AY111" s="1" t="s">
        <v>74</v>
      </c>
      <c r="AZ111" s="1" t="s">
        <v>74</v>
      </c>
      <c r="BA111" s="1" t="s">
        <v>74</v>
      </c>
      <c r="BB111" s="1" t="s">
        <v>74</v>
      </c>
      <c r="BC111" s="1" t="s">
        <v>74</v>
      </c>
      <c r="BD111" s="1">
        <v>443.0</v>
      </c>
      <c r="BE111" s="1" t="s">
        <v>1244</v>
      </c>
      <c r="BF111" s="2" t="str">
        <f>HYPERLINK("http://dx.doi.org/10.3390/su8050443","http://dx.doi.org/10.3390/su8050443")</f>
        <v>http://dx.doi.org/10.3390/su8050443</v>
      </c>
      <c r="BG111" s="1" t="s">
        <v>74</v>
      </c>
      <c r="BH111" s="1" t="s">
        <v>74</v>
      </c>
      <c r="BI111" s="1" t="s">
        <v>74</v>
      </c>
      <c r="BJ111" s="1" t="s">
        <v>74</v>
      </c>
      <c r="BK111" s="1" t="s">
        <v>74</v>
      </c>
      <c r="BL111" s="1" t="s">
        <v>74</v>
      </c>
      <c r="BM111" s="1" t="s">
        <v>74</v>
      </c>
      <c r="BN111" s="1" t="s">
        <v>74</v>
      </c>
      <c r="BO111" s="1" t="s">
        <v>74</v>
      </c>
      <c r="BP111" s="1" t="s">
        <v>74</v>
      </c>
      <c r="BQ111" s="1" t="s">
        <v>74</v>
      </c>
      <c r="BR111" s="1" t="s">
        <v>74</v>
      </c>
      <c r="BS111" s="1" t="s">
        <v>1245</v>
      </c>
      <c r="BT111" s="1" t="str">
        <f>HYPERLINK("https%3A%2F%2Fwww.webofscience.com%2Fwos%2Fwoscc%2Ffull-record%2FWOS:000377983800037","View Full Record in Web of Science")</f>
        <v>View Full Record in Web of Science</v>
      </c>
    </row>
    <row r="112" ht="12.75" customHeight="1">
      <c r="A112" s="1" t="s">
        <v>72</v>
      </c>
      <c r="B112" s="1" t="s">
        <v>1246</v>
      </c>
      <c r="C112" s="1" t="s">
        <v>74</v>
      </c>
      <c r="D112" s="1" t="s">
        <v>74</v>
      </c>
      <c r="E112" s="1" t="s">
        <v>74</v>
      </c>
      <c r="F112" s="1" t="s">
        <v>1247</v>
      </c>
      <c r="G112" s="1" t="s">
        <v>74</v>
      </c>
      <c r="H112" s="1" t="s">
        <v>74</v>
      </c>
      <c r="I112" s="1" t="s">
        <v>1248</v>
      </c>
      <c r="J112" s="1" t="s">
        <v>1249</v>
      </c>
      <c r="K112" s="1" t="s">
        <v>74</v>
      </c>
      <c r="L112" s="1" t="s">
        <v>74</v>
      </c>
      <c r="M112" s="1" t="s">
        <v>74</v>
      </c>
      <c r="N112" s="1" t="s">
        <v>74</v>
      </c>
      <c r="O112" s="1" t="s">
        <v>74</v>
      </c>
      <c r="P112" s="1" t="s">
        <v>74</v>
      </c>
      <c r="Q112" s="1" t="s">
        <v>74</v>
      </c>
      <c r="R112" s="1" t="s">
        <v>74</v>
      </c>
      <c r="S112" s="1" t="s">
        <v>74</v>
      </c>
      <c r="T112" s="1" t="s">
        <v>74</v>
      </c>
      <c r="U112" s="1" t="s">
        <v>74</v>
      </c>
      <c r="V112" s="1" t="s">
        <v>1250</v>
      </c>
      <c r="W112" s="1" t="s">
        <v>74</v>
      </c>
      <c r="X112" s="1" t="s">
        <v>74</v>
      </c>
      <c r="Y112" s="1" t="s">
        <v>74</v>
      </c>
      <c r="Z112" s="1" t="s">
        <v>74</v>
      </c>
      <c r="AA112" s="1" t="s">
        <v>1251</v>
      </c>
      <c r="AB112" s="1" t="s">
        <v>1252</v>
      </c>
      <c r="AC112" s="1" t="s">
        <v>74</v>
      </c>
      <c r="AD112" s="1" t="s">
        <v>74</v>
      </c>
      <c r="AE112" s="1" t="s">
        <v>74</v>
      </c>
      <c r="AF112" s="1" t="s">
        <v>74</v>
      </c>
      <c r="AG112" s="1" t="s">
        <v>74</v>
      </c>
      <c r="AH112" s="1" t="s">
        <v>74</v>
      </c>
      <c r="AI112" s="1" t="s">
        <v>74</v>
      </c>
      <c r="AJ112" s="1" t="s">
        <v>74</v>
      </c>
      <c r="AK112" s="1" t="s">
        <v>74</v>
      </c>
      <c r="AL112" s="1" t="s">
        <v>74</v>
      </c>
      <c r="AM112" s="1" t="s">
        <v>74</v>
      </c>
      <c r="AN112" s="1" t="s">
        <v>74</v>
      </c>
      <c r="AO112" s="1" t="s">
        <v>1253</v>
      </c>
      <c r="AP112" s="1" t="s">
        <v>1254</v>
      </c>
      <c r="AQ112" s="1" t="s">
        <v>74</v>
      </c>
      <c r="AR112" s="1" t="s">
        <v>74</v>
      </c>
      <c r="AS112" s="1" t="s">
        <v>74</v>
      </c>
      <c r="AT112" s="1" t="s">
        <v>650</v>
      </c>
      <c r="AU112" s="1">
        <v>2016.0</v>
      </c>
      <c r="AV112" s="1">
        <v>15.0</v>
      </c>
      <c r="AW112" s="1">
        <v>1.0</v>
      </c>
      <c r="AX112" s="1" t="s">
        <v>74</v>
      </c>
      <c r="AY112" s="1" t="s">
        <v>74</v>
      </c>
      <c r="AZ112" s="1" t="s">
        <v>411</v>
      </c>
      <c r="BA112" s="1" t="s">
        <v>74</v>
      </c>
      <c r="BB112" s="1">
        <v>181.0</v>
      </c>
      <c r="BC112" s="1">
        <v>193.0</v>
      </c>
      <c r="BD112" s="1" t="s">
        <v>74</v>
      </c>
      <c r="BE112" s="1" t="s">
        <v>1255</v>
      </c>
      <c r="BF112" s="2" t="str">
        <f>HYPERLINK("http://dx.doi.org/10.1007/s11047-015-9483-8","http://dx.doi.org/10.1007/s11047-015-9483-8")</f>
        <v>http://dx.doi.org/10.1007/s11047-015-9483-8</v>
      </c>
      <c r="BG112" s="1" t="s">
        <v>74</v>
      </c>
      <c r="BH112" s="1" t="s">
        <v>74</v>
      </c>
      <c r="BI112" s="1" t="s">
        <v>74</v>
      </c>
      <c r="BJ112" s="1" t="s">
        <v>74</v>
      </c>
      <c r="BK112" s="1" t="s">
        <v>74</v>
      </c>
      <c r="BL112" s="1" t="s">
        <v>74</v>
      </c>
      <c r="BM112" s="1" t="s">
        <v>74</v>
      </c>
      <c r="BN112" s="1" t="s">
        <v>74</v>
      </c>
      <c r="BO112" s="1" t="s">
        <v>74</v>
      </c>
      <c r="BP112" s="1" t="s">
        <v>74</v>
      </c>
      <c r="BQ112" s="1" t="s">
        <v>74</v>
      </c>
      <c r="BR112" s="1" t="s">
        <v>74</v>
      </c>
      <c r="BS112" s="1" t="s">
        <v>1256</v>
      </c>
      <c r="BT112" s="1" t="str">
        <f>HYPERLINK("https%3A%2F%2Fwww.webofscience.com%2Fwos%2Fwoscc%2Ffull-record%2FWOS:000371310400015","View Full Record in Web of Science")</f>
        <v>View Full Record in Web of Science</v>
      </c>
    </row>
    <row r="113" ht="12.75" customHeight="1">
      <c r="A113" s="1" t="s">
        <v>72</v>
      </c>
      <c r="B113" s="1" t="s">
        <v>1257</v>
      </c>
      <c r="C113" s="1" t="s">
        <v>74</v>
      </c>
      <c r="D113" s="1" t="s">
        <v>74</v>
      </c>
      <c r="E113" s="1" t="s">
        <v>74</v>
      </c>
      <c r="F113" s="1" t="s">
        <v>1258</v>
      </c>
      <c r="G113" s="1" t="s">
        <v>74</v>
      </c>
      <c r="H113" s="1" t="s">
        <v>74</v>
      </c>
      <c r="I113" s="1" t="s">
        <v>1259</v>
      </c>
      <c r="J113" s="1" t="s">
        <v>1260</v>
      </c>
      <c r="K113" s="1" t="s">
        <v>74</v>
      </c>
      <c r="L113" s="1" t="s">
        <v>74</v>
      </c>
      <c r="M113" s="1" t="s">
        <v>74</v>
      </c>
      <c r="N113" s="1" t="s">
        <v>74</v>
      </c>
      <c r="O113" s="1" t="s">
        <v>74</v>
      </c>
      <c r="P113" s="1" t="s">
        <v>74</v>
      </c>
      <c r="Q113" s="1" t="s">
        <v>74</v>
      </c>
      <c r="R113" s="1" t="s">
        <v>74</v>
      </c>
      <c r="S113" s="1" t="s">
        <v>74</v>
      </c>
      <c r="T113" s="1" t="s">
        <v>74</v>
      </c>
      <c r="U113" s="1" t="s">
        <v>74</v>
      </c>
      <c r="V113" s="1" t="s">
        <v>1261</v>
      </c>
      <c r="W113" s="1" t="s">
        <v>74</v>
      </c>
      <c r="X113" s="1" t="s">
        <v>74</v>
      </c>
      <c r="Y113" s="1" t="s">
        <v>74</v>
      </c>
      <c r="Z113" s="1" t="s">
        <v>74</v>
      </c>
      <c r="AA113" s="1" t="s">
        <v>1262</v>
      </c>
      <c r="AB113" s="1" t="s">
        <v>1263</v>
      </c>
      <c r="AC113" s="1" t="s">
        <v>74</v>
      </c>
      <c r="AD113" s="1" t="s">
        <v>74</v>
      </c>
      <c r="AE113" s="1" t="s">
        <v>74</v>
      </c>
      <c r="AF113" s="1" t="s">
        <v>74</v>
      </c>
      <c r="AG113" s="1" t="s">
        <v>74</v>
      </c>
      <c r="AH113" s="1" t="s">
        <v>74</v>
      </c>
      <c r="AI113" s="1" t="s">
        <v>74</v>
      </c>
      <c r="AJ113" s="1" t="s">
        <v>74</v>
      </c>
      <c r="AK113" s="1" t="s">
        <v>74</v>
      </c>
      <c r="AL113" s="1" t="s">
        <v>74</v>
      </c>
      <c r="AM113" s="1" t="s">
        <v>74</v>
      </c>
      <c r="AN113" s="1" t="s">
        <v>74</v>
      </c>
      <c r="AO113" s="1" t="s">
        <v>1264</v>
      </c>
      <c r="AP113" s="1" t="s">
        <v>1265</v>
      </c>
      <c r="AQ113" s="1" t="s">
        <v>74</v>
      </c>
      <c r="AR113" s="1" t="s">
        <v>74</v>
      </c>
      <c r="AS113" s="1" t="s">
        <v>74</v>
      </c>
      <c r="AT113" s="1" t="s">
        <v>1266</v>
      </c>
      <c r="AU113" s="1">
        <v>2016.0</v>
      </c>
      <c r="AV113" s="1">
        <v>49.0</v>
      </c>
      <c r="AW113" s="1">
        <v>1.0</v>
      </c>
      <c r="AX113" s="1" t="s">
        <v>74</v>
      </c>
      <c r="AY113" s="1" t="s">
        <v>74</v>
      </c>
      <c r="AZ113" s="1" t="s">
        <v>74</v>
      </c>
      <c r="BA113" s="1" t="s">
        <v>74</v>
      </c>
      <c r="BB113" s="1">
        <v>13.0</v>
      </c>
      <c r="BC113" s="1">
        <v>18.0</v>
      </c>
      <c r="BD113" s="1" t="s">
        <v>74</v>
      </c>
      <c r="BE113" s="1" t="s">
        <v>1267</v>
      </c>
      <c r="BF113" s="2" t="str">
        <f>HYPERLINK("http://dx.doi.org/10.1016/j.jbiomech.2015.11.014","http://dx.doi.org/10.1016/j.jbiomech.2015.11.014")</f>
        <v>http://dx.doi.org/10.1016/j.jbiomech.2015.11.014</v>
      </c>
      <c r="BG113" s="1" t="s">
        <v>74</v>
      </c>
      <c r="BH113" s="1" t="s">
        <v>74</v>
      </c>
      <c r="BI113" s="1" t="s">
        <v>74</v>
      </c>
      <c r="BJ113" s="1" t="s">
        <v>74</v>
      </c>
      <c r="BK113" s="1" t="s">
        <v>74</v>
      </c>
      <c r="BL113" s="1" t="s">
        <v>74</v>
      </c>
      <c r="BM113" s="1" t="s">
        <v>74</v>
      </c>
      <c r="BN113" s="1">
        <v>2.6627367E7</v>
      </c>
      <c r="BO113" s="1" t="s">
        <v>74</v>
      </c>
      <c r="BP113" s="1" t="s">
        <v>74</v>
      </c>
      <c r="BQ113" s="1" t="s">
        <v>74</v>
      </c>
      <c r="BR113" s="1" t="s">
        <v>74</v>
      </c>
      <c r="BS113" s="1" t="s">
        <v>1268</v>
      </c>
      <c r="BT113" s="1" t="str">
        <f>HYPERLINK("https%3A%2F%2Fwww.webofscience.com%2Fwos%2Fwoscc%2Ffull-record%2FWOS:000371560400004","View Full Record in Web of Science")</f>
        <v>View Full Record in Web of Science</v>
      </c>
    </row>
    <row r="114" ht="12.75" customHeight="1">
      <c r="A114" s="1" t="s">
        <v>251</v>
      </c>
      <c r="B114" s="1" t="s">
        <v>1269</v>
      </c>
      <c r="C114" s="1" t="s">
        <v>74</v>
      </c>
      <c r="D114" s="1" t="s">
        <v>74</v>
      </c>
      <c r="E114" s="1" t="s">
        <v>253</v>
      </c>
      <c r="F114" s="1" t="s">
        <v>1270</v>
      </c>
      <c r="G114" s="1" t="s">
        <v>74</v>
      </c>
      <c r="H114" s="1" t="s">
        <v>74</v>
      </c>
      <c r="I114" s="1" t="s">
        <v>1271</v>
      </c>
      <c r="J114" s="1" t="s">
        <v>1272</v>
      </c>
      <c r="K114" s="1" t="s">
        <v>74</v>
      </c>
      <c r="L114" s="1" t="s">
        <v>74</v>
      </c>
      <c r="M114" s="1" t="s">
        <v>74</v>
      </c>
      <c r="N114" s="1" t="s">
        <v>74</v>
      </c>
      <c r="O114" s="1" t="s">
        <v>1273</v>
      </c>
      <c r="P114" s="1" t="s">
        <v>1274</v>
      </c>
      <c r="Q114" s="1" t="s">
        <v>1275</v>
      </c>
      <c r="R114" s="1" t="s">
        <v>74</v>
      </c>
      <c r="S114" s="1" t="s">
        <v>74</v>
      </c>
      <c r="T114" s="1" t="s">
        <v>74</v>
      </c>
      <c r="U114" s="1" t="s">
        <v>74</v>
      </c>
      <c r="V114" s="1" t="s">
        <v>1276</v>
      </c>
      <c r="W114" s="1" t="s">
        <v>74</v>
      </c>
      <c r="X114" s="1" t="s">
        <v>74</v>
      </c>
      <c r="Y114" s="1" t="s">
        <v>74</v>
      </c>
      <c r="Z114" s="1" t="s">
        <v>74</v>
      </c>
      <c r="AA114" s="1" t="s">
        <v>1277</v>
      </c>
      <c r="AB114" s="1" t="s">
        <v>1278</v>
      </c>
      <c r="AC114" s="1" t="s">
        <v>74</v>
      </c>
      <c r="AD114" s="1" t="s">
        <v>74</v>
      </c>
      <c r="AE114" s="1" t="s">
        <v>74</v>
      </c>
      <c r="AF114" s="1" t="s">
        <v>74</v>
      </c>
      <c r="AG114" s="1" t="s">
        <v>74</v>
      </c>
      <c r="AH114" s="1" t="s">
        <v>74</v>
      </c>
      <c r="AI114" s="1" t="s">
        <v>74</v>
      </c>
      <c r="AJ114" s="1" t="s">
        <v>74</v>
      </c>
      <c r="AK114" s="1" t="s">
        <v>74</v>
      </c>
      <c r="AL114" s="1" t="s">
        <v>74</v>
      </c>
      <c r="AM114" s="1" t="s">
        <v>74</v>
      </c>
      <c r="AN114" s="1" t="s">
        <v>74</v>
      </c>
      <c r="AO114" s="1" t="s">
        <v>74</v>
      </c>
      <c r="AP114" s="1" t="s">
        <v>74</v>
      </c>
      <c r="AQ114" s="1" t="s">
        <v>1279</v>
      </c>
      <c r="AR114" s="1" t="s">
        <v>74</v>
      </c>
      <c r="AS114" s="1" t="s">
        <v>74</v>
      </c>
      <c r="AT114" s="1" t="s">
        <v>74</v>
      </c>
      <c r="AU114" s="1">
        <v>2016.0</v>
      </c>
      <c r="AV114" s="1" t="s">
        <v>74</v>
      </c>
      <c r="AW114" s="1" t="s">
        <v>74</v>
      </c>
      <c r="AX114" s="1" t="s">
        <v>74</v>
      </c>
      <c r="AY114" s="1" t="s">
        <v>74</v>
      </c>
      <c r="AZ114" s="1" t="s">
        <v>74</v>
      </c>
      <c r="BA114" s="1" t="s">
        <v>74</v>
      </c>
      <c r="BB114" s="1" t="s">
        <v>74</v>
      </c>
      <c r="BC114" s="1" t="s">
        <v>74</v>
      </c>
      <c r="BD114" s="1" t="s">
        <v>74</v>
      </c>
      <c r="BE114" s="1" t="s">
        <v>74</v>
      </c>
      <c r="BF114" s="1" t="s">
        <v>74</v>
      </c>
      <c r="BG114" s="1" t="s">
        <v>74</v>
      </c>
      <c r="BH114" s="1" t="s">
        <v>74</v>
      </c>
      <c r="BI114" s="1" t="s">
        <v>74</v>
      </c>
      <c r="BJ114" s="1" t="s">
        <v>74</v>
      </c>
      <c r="BK114" s="1" t="s">
        <v>74</v>
      </c>
      <c r="BL114" s="1" t="s">
        <v>74</v>
      </c>
      <c r="BM114" s="1" t="s">
        <v>74</v>
      </c>
      <c r="BN114" s="1" t="s">
        <v>74</v>
      </c>
      <c r="BO114" s="1" t="s">
        <v>74</v>
      </c>
      <c r="BP114" s="1" t="s">
        <v>74</v>
      </c>
      <c r="BQ114" s="1" t="s">
        <v>74</v>
      </c>
      <c r="BR114" s="1" t="s">
        <v>74</v>
      </c>
      <c r="BS114" s="1" t="s">
        <v>1280</v>
      </c>
      <c r="BT114" s="1" t="str">
        <f>HYPERLINK("https%3A%2F%2Fwww.webofscience.com%2Fwos%2Fwoscc%2Ffull-record%2FWOS:000386781300010","View Full Record in Web of Science")</f>
        <v>View Full Record in Web of Science</v>
      </c>
    </row>
    <row r="115" ht="12.75" customHeight="1">
      <c r="A115" s="1" t="s">
        <v>72</v>
      </c>
      <c r="B115" s="1" t="s">
        <v>1281</v>
      </c>
      <c r="C115" s="1" t="s">
        <v>74</v>
      </c>
      <c r="D115" s="1" t="s">
        <v>74</v>
      </c>
      <c r="E115" s="1" t="s">
        <v>74</v>
      </c>
      <c r="F115" s="1" t="s">
        <v>1282</v>
      </c>
      <c r="G115" s="1" t="s">
        <v>74</v>
      </c>
      <c r="H115" s="1" t="s">
        <v>74</v>
      </c>
      <c r="I115" s="1" t="s">
        <v>1283</v>
      </c>
      <c r="J115" s="1" t="s">
        <v>1284</v>
      </c>
      <c r="K115" s="1" t="s">
        <v>74</v>
      </c>
      <c r="L115" s="1" t="s">
        <v>74</v>
      </c>
      <c r="M115" s="1" t="s">
        <v>74</v>
      </c>
      <c r="N115" s="1" t="s">
        <v>74</v>
      </c>
      <c r="O115" s="1" t="s">
        <v>74</v>
      </c>
      <c r="P115" s="1" t="s">
        <v>74</v>
      </c>
      <c r="Q115" s="1" t="s">
        <v>74</v>
      </c>
      <c r="R115" s="1" t="s">
        <v>74</v>
      </c>
      <c r="S115" s="1" t="s">
        <v>74</v>
      </c>
      <c r="T115" s="1" t="s">
        <v>74</v>
      </c>
      <c r="U115" s="1" t="s">
        <v>74</v>
      </c>
      <c r="V115" s="1" t="s">
        <v>74</v>
      </c>
      <c r="W115" s="1" t="s">
        <v>74</v>
      </c>
      <c r="X115" s="1" t="s">
        <v>74</v>
      </c>
      <c r="Y115" s="1" t="s">
        <v>74</v>
      </c>
      <c r="Z115" s="1" t="s">
        <v>74</v>
      </c>
      <c r="AA115" s="1" t="s">
        <v>1285</v>
      </c>
      <c r="AB115" s="1" t="s">
        <v>74</v>
      </c>
      <c r="AC115" s="1" t="s">
        <v>74</v>
      </c>
      <c r="AD115" s="1" t="s">
        <v>74</v>
      </c>
      <c r="AE115" s="1" t="s">
        <v>74</v>
      </c>
      <c r="AF115" s="1" t="s">
        <v>74</v>
      </c>
      <c r="AG115" s="1" t="s">
        <v>74</v>
      </c>
      <c r="AH115" s="1" t="s">
        <v>74</v>
      </c>
      <c r="AI115" s="1" t="s">
        <v>74</v>
      </c>
      <c r="AJ115" s="1" t="s">
        <v>74</v>
      </c>
      <c r="AK115" s="1" t="s">
        <v>74</v>
      </c>
      <c r="AL115" s="1" t="s">
        <v>74</v>
      </c>
      <c r="AM115" s="1" t="s">
        <v>74</v>
      </c>
      <c r="AN115" s="1" t="s">
        <v>74</v>
      </c>
      <c r="AO115" s="1" t="s">
        <v>1286</v>
      </c>
      <c r="AP115" s="1" t="s">
        <v>74</v>
      </c>
      <c r="AQ115" s="1" t="s">
        <v>74</v>
      </c>
      <c r="AR115" s="1" t="s">
        <v>74</v>
      </c>
      <c r="AS115" s="1" t="s">
        <v>74</v>
      </c>
      <c r="AT115" s="1" t="s">
        <v>1287</v>
      </c>
      <c r="AU115" s="1">
        <v>2015.0</v>
      </c>
      <c r="AV115" s="1">
        <v>250.0</v>
      </c>
      <c r="AW115" s="1" t="s">
        <v>74</v>
      </c>
      <c r="AX115" s="1" t="s">
        <v>74</v>
      </c>
      <c r="AY115" s="1" t="s">
        <v>74</v>
      </c>
      <c r="AZ115" s="1" t="s">
        <v>74</v>
      </c>
      <c r="BA115" s="1">
        <v>446.0</v>
      </c>
      <c r="BB115" s="1" t="s">
        <v>74</v>
      </c>
      <c r="BC115" s="1" t="s">
        <v>74</v>
      </c>
      <c r="BD115" s="1" t="s">
        <v>74</v>
      </c>
      <c r="BE115" s="1" t="s">
        <v>74</v>
      </c>
      <c r="BF115" s="1" t="s">
        <v>74</v>
      </c>
      <c r="BG115" s="1" t="s">
        <v>74</v>
      </c>
      <c r="BH115" s="1" t="s">
        <v>74</v>
      </c>
      <c r="BI115" s="1" t="s">
        <v>74</v>
      </c>
      <c r="BJ115" s="1" t="s">
        <v>74</v>
      </c>
      <c r="BK115" s="1" t="s">
        <v>74</v>
      </c>
      <c r="BL115" s="1" t="s">
        <v>74</v>
      </c>
      <c r="BM115" s="1" t="s">
        <v>74</v>
      </c>
      <c r="BN115" s="1" t="s">
        <v>74</v>
      </c>
      <c r="BO115" s="1" t="s">
        <v>74</v>
      </c>
      <c r="BP115" s="1" t="s">
        <v>74</v>
      </c>
      <c r="BQ115" s="1" t="s">
        <v>74</v>
      </c>
      <c r="BR115" s="1" t="s">
        <v>74</v>
      </c>
      <c r="BS115" s="1" t="s">
        <v>1288</v>
      </c>
      <c r="BT115" s="1" t="str">
        <f>HYPERLINK("https%3A%2F%2Fwww.webofscience.com%2Fwos%2Fwoscc%2Ffull-record%2FWOS:000432475505073","View Full Record in Web of Science")</f>
        <v>View Full Record in Web of Science</v>
      </c>
    </row>
    <row r="116" ht="12.75" customHeight="1">
      <c r="A116" s="1" t="s">
        <v>242</v>
      </c>
      <c r="B116" s="1" t="s">
        <v>1289</v>
      </c>
      <c r="C116" s="1" t="s">
        <v>1290</v>
      </c>
      <c r="D116" s="1" t="s">
        <v>74</v>
      </c>
      <c r="E116" s="1" t="s">
        <v>74</v>
      </c>
      <c r="F116" s="1" t="s">
        <v>1291</v>
      </c>
      <c r="G116" s="1" t="s">
        <v>1290</v>
      </c>
      <c r="H116" s="1" t="s">
        <v>74</v>
      </c>
      <c r="I116" s="1" t="s">
        <v>1292</v>
      </c>
      <c r="J116" s="1" t="s">
        <v>1293</v>
      </c>
      <c r="K116" s="1" t="s">
        <v>74</v>
      </c>
      <c r="L116" s="1" t="s">
        <v>74</v>
      </c>
      <c r="M116" s="1" t="s">
        <v>74</v>
      </c>
      <c r="N116" s="1" t="s">
        <v>74</v>
      </c>
      <c r="O116" s="1" t="s">
        <v>74</v>
      </c>
      <c r="P116" s="1" t="s">
        <v>74</v>
      </c>
      <c r="Q116" s="1" t="s">
        <v>74</v>
      </c>
      <c r="R116" s="1" t="s">
        <v>74</v>
      </c>
      <c r="S116" s="1" t="s">
        <v>74</v>
      </c>
      <c r="T116" s="1" t="s">
        <v>74</v>
      </c>
      <c r="U116" s="1" t="s">
        <v>74</v>
      </c>
      <c r="V116" s="1" t="s">
        <v>74</v>
      </c>
      <c r="W116" s="1" t="s">
        <v>74</v>
      </c>
      <c r="X116" s="1" t="s">
        <v>74</v>
      </c>
      <c r="Y116" s="1" t="s">
        <v>74</v>
      </c>
      <c r="Z116" s="1" t="s">
        <v>74</v>
      </c>
      <c r="AA116" s="1" t="s">
        <v>74</v>
      </c>
      <c r="AB116" s="1" t="s">
        <v>74</v>
      </c>
      <c r="AC116" s="1" t="s">
        <v>74</v>
      </c>
      <c r="AD116" s="1" t="s">
        <v>74</v>
      </c>
      <c r="AE116" s="1" t="s">
        <v>74</v>
      </c>
      <c r="AF116" s="1" t="s">
        <v>74</v>
      </c>
      <c r="AG116" s="1" t="s">
        <v>74</v>
      </c>
      <c r="AH116" s="1" t="s">
        <v>74</v>
      </c>
      <c r="AI116" s="1" t="s">
        <v>74</v>
      </c>
      <c r="AJ116" s="1" t="s">
        <v>74</v>
      </c>
      <c r="AK116" s="1" t="s">
        <v>74</v>
      </c>
      <c r="AL116" s="1" t="s">
        <v>74</v>
      </c>
      <c r="AM116" s="1" t="s">
        <v>74</v>
      </c>
      <c r="AN116" s="1" t="s">
        <v>74</v>
      </c>
      <c r="AO116" s="1" t="s">
        <v>74</v>
      </c>
      <c r="AP116" s="1" t="s">
        <v>74</v>
      </c>
      <c r="AQ116" s="1" t="s">
        <v>1294</v>
      </c>
      <c r="AR116" s="1" t="s">
        <v>74</v>
      </c>
      <c r="AS116" s="1" t="s">
        <v>74</v>
      </c>
      <c r="AT116" s="1" t="s">
        <v>74</v>
      </c>
      <c r="AU116" s="1">
        <v>2015.0</v>
      </c>
      <c r="AV116" s="1" t="s">
        <v>74</v>
      </c>
      <c r="AW116" s="1" t="s">
        <v>74</v>
      </c>
      <c r="AX116" s="1" t="s">
        <v>74</v>
      </c>
      <c r="AY116" s="1" t="s">
        <v>74</v>
      </c>
      <c r="AZ116" s="1" t="s">
        <v>74</v>
      </c>
      <c r="BA116" s="1" t="s">
        <v>74</v>
      </c>
      <c r="BB116" s="1">
        <v>8.0</v>
      </c>
      <c r="BC116" s="1">
        <v>13.0</v>
      </c>
      <c r="BD116" s="1" t="s">
        <v>74</v>
      </c>
      <c r="BE116" s="1" t="s">
        <v>74</v>
      </c>
      <c r="BF116" s="1" t="s">
        <v>74</v>
      </c>
      <c r="BG116" s="1" t="s">
        <v>74</v>
      </c>
      <c r="BH116" s="1" t="s">
        <v>74</v>
      </c>
      <c r="BI116" s="1" t="s">
        <v>74</v>
      </c>
      <c r="BJ116" s="1" t="s">
        <v>74</v>
      </c>
      <c r="BK116" s="1" t="s">
        <v>74</v>
      </c>
      <c r="BL116" s="1" t="s">
        <v>74</v>
      </c>
      <c r="BM116" s="1" t="s">
        <v>74</v>
      </c>
      <c r="BN116" s="1" t="s">
        <v>74</v>
      </c>
      <c r="BO116" s="1" t="s">
        <v>74</v>
      </c>
      <c r="BP116" s="1" t="s">
        <v>74</v>
      </c>
      <c r="BQ116" s="1" t="s">
        <v>74</v>
      </c>
      <c r="BR116" s="1" t="s">
        <v>74</v>
      </c>
      <c r="BS116" s="1" t="s">
        <v>1295</v>
      </c>
      <c r="BT116" s="1" t="str">
        <f>HYPERLINK("https%3A%2F%2Fwww.webofscience.com%2Fwos%2Fwoscc%2Ffull-record%2FWOS:000541676300002","View Full Record in Web of Science")</f>
        <v>View Full Record in Web of Science</v>
      </c>
    </row>
    <row r="117" ht="12.75" customHeight="1">
      <c r="A117" s="1" t="s">
        <v>72</v>
      </c>
      <c r="B117" s="1" t="s">
        <v>1296</v>
      </c>
      <c r="C117" s="1" t="s">
        <v>74</v>
      </c>
      <c r="D117" s="1" t="s">
        <v>74</v>
      </c>
      <c r="E117" s="1" t="s">
        <v>74</v>
      </c>
      <c r="F117" s="1" t="s">
        <v>1297</v>
      </c>
      <c r="G117" s="1" t="s">
        <v>74</v>
      </c>
      <c r="H117" s="1" t="s">
        <v>74</v>
      </c>
      <c r="I117" s="1" t="s">
        <v>1298</v>
      </c>
      <c r="J117" s="1" t="s">
        <v>1299</v>
      </c>
      <c r="K117" s="1" t="s">
        <v>74</v>
      </c>
      <c r="L117" s="1" t="s">
        <v>74</v>
      </c>
      <c r="M117" s="1" t="s">
        <v>74</v>
      </c>
      <c r="N117" s="1" t="s">
        <v>74</v>
      </c>
      <c r="O117" s="1" t="s">
        <v>74</v>
      </c>
      <c r="P117" s="1" t="s">
        <v>74</v>
      </c>
      <c r="Q117" s="1" t="s">
        <v>74</v>
      </c>
      <c r="R117" s="1" t="s">
        <v>74</v>
      </c>
      <c r="S117" s="1" t="s">
        <v>74</v>
      </c>
      <c r="T117" s="1" t="s">
        <v>74</v>
      </c>
      <c r="U117" s="1" t="s">
        <v>74</v>
      </c>
      <c r="V117" s="1" t="s">
        <v>1300</v>
      </c>
      <c r="W117" s="1" t="s">
        <v>74</v>
      </c>
      <c r="X117" s="1" t="s">
        <v>74</v>
      </c>
      <c r="Y117" s="1" t="s">
        <v>74</v>
      </c>
      <c r="Z117" s="1" t="s">
        <v>74</v>
      </c>
      <c r="AA117" s="1" t="s">
        <v>74</v>
      </c>
      <c r="AB117" s="1" t="s">
        <v>1301</v>
      </c>
      <c r="AC117" s="1" t="s">
        <v>74</v>
      </c>
      <c r="AD117" s="1" t="s">
        <v>74</v>
      </c>
      <c r="AE117" s="1" t="s">
        <v>74</v>
      </c>
      <c r="AF117" s="1" t="s">
        <v>74</v>
      </c>
      <c r="AG117" s="1" t="s">
        <v>74</v>
      </c>
      <c r="AH117" s="1" t="s">
        <v>74</v>
      </c>
      <c r="AI117" s="1" t="s">
        <v>74</v>
      </c>
      <c r="AJ117" s="1" t="s">
        <v>74</v>
      </c>
      <c r="AK117" s="1" t="s">
        <v>74</v>
      </c>
      <c r="AL117" s="1" t="s">
        <v>74</v>
      </c>
      <c r="AM117" s="1" t="s">
        <v>74</v>
      </c>
      <c r="AN117" s="1" t="s">
        <v>74</v>
      </c>
      <c r="AO117" s="1" t="s">
        <v>1302</v>
      </c>
      <c r="AP117" s="1" t="s">
        <v>1303</v>
      </c>
      <c r="AQ117" s="1" t="s">
        <v>74</v>
      </c>
      <c r="AR117" s="1" t="s">
        <v>74</v>
      </c>
      <c r="AS117" s="1" t="s">
        <v>74</v>
      </c>
      <c r="AT117" s="1" t="s">
        <v>310</v>
      </c>
      <c r="AU117" s="1">
        <v>2014.0</v>
      </c>
      <c r="AV117" s="1">
        <v>53.0</v>
      </c>
      <c r="AW117" s="1" t="s">
        <v>74</v>
      </c>
      <c r="AX117" s="1" t="s">
        <v>74</v>
      </c>
      <c r="AY117" s="1" t="s">
        <v>74</v>
      </c>
      <c r="AZ117" s="1" t="s">
        <v>74</v>
      </c>
      <c r="BA117" s="1" t="s">
        <v>74</v>
      </c>
      <c r="BB117" s="1">
        <v>49.0</v>
      </c>
      <c r="BC117" s="1">
        <v>55.0</v>
      </c>
      <c r="BD117" s="1" t="s">
        <v>74</v>
      </c>
      <c r="BE117" s="1" t="s">
        <v>1304</v>
      </c>
      <c r="BF117" s="2" t="str">
        <f>HYPERLINK("http://dx.doi.org/10.1016/j.measurement.2014.03.022","http://dx.doi.org/10.1016/j.measurement.2014.03.022")</f>
        <v>http://dx.doi.org/10.1016/j.measurement.2014.03.022</v>
      </c>
      <c r="BG117" s="1" t="s">
        <v>74</v>
      </c>
      <c r="BH117" s="1" t="s">
        <v>74</v>
      </c>
      <c r="BI117" s="1" t="s">
        <v>74</v>
      </c>
      <c r="BJ117" s="1" t="s">
        <v>74</v>
      </c>
      <c r="BK117" s="1" t="s">
        <v>74</v>
      </c>
      <c r="BL117" s="1" t="s">
        <v>74</v>
      </c>
      <c r="BM117" s="1" t="s">
        <v>74</v>
      </c>
      <c r="BN117" s="1" t="s">
        <v>74</v>
      </c>
      <c r="BO117" s="1" t="s">
        <v>74</v>
      </c>
      <c r="BP117" s="1" t="s">
        <v>74</v>
      </c>
      <c r="BQ117" s="1" t="s">
        <v>74</v>
      </c>
      <c r="BR117" s="1" t="s">
        <v>74</v>
      </c>
      <c r="BS117" s="1" t="s">
        <v>1305</v>
      </c>
      <c r="BT117" s="1" t="str">
        <f>HYPERLINK("https%3A%2F%2Fwww.webofscience.com%2Fwos%2Fwoscc%2Ffull-record%2FWOS:000336522200006","View Full Record in Web of Science")</f>
        <v>View Full Record in Web of Science</v>
      </c>
    </row>
    <row r="118" ht="12.75" customHeight="1">
      <c r="A118" s="1" t="s">
        <v>72</v>
      </c>
      <c r="B118" s="1" t="s">
        <v>1306</v>
      </c>
      <c r="C118" s="1" t="s">
        <v>74</v>
      </c>
      <c r="D118" s="1" t="s">
        <v>74</v>
      </c>
      <c r="E118" s="1" t="s">
        <v>74</v>
      </c>
      <c r="F118" s="1" t="s">
        <v>1307</v>
      </c>
      <c r="G118" s="1" t="s">
        <v>74</v>
      </c>
      <c r="H118" s="1" t="s">
        <v>74</v>
      </c>
      <c r="I118" s="1" t="s">
        <v>1308</v>
      </c>
      <c r="J118" s="1" t="s">
        <v>1309</v>
      </c>
      <c r="K118" s="1" t="s">
        <v>74</v>
      </c>
      <c r="L118" s="1" t="s">
        <v>74</v>
      </c>
      <c r="M118" s="1" t="s">
        <v>74</v>
      </c>
      <c r="N118" s="1" t="s">
        <v>74</v>
      </c>
      <c r="O118" s="1" t="s">
        <v>74</v>
      </c>
      <c r="P118" s="1" t="s">
        <v>74</v>
      </c>
      <c r="Q118" s="1" t="s">
        <v>74</v>
      </c>
      <c r="R118" s="1" t="s">
        <v>74</v>
      </c>
      <c r="S118" s="1" t="s">
        <v>74</v>
      </c>
      <c r="T118" s="1" t="s">
        <v>74</v>
      </c>
      <c r="U118" s="1" t="s">
        <v>74</v>
      </c>
      <c r="V118" s="1" t="s">
        <v>1310</v>
      </c>
      <c r="W118" s="1" t="s">
        <v>74</v>
      </c>
      <c r="X118" s="1" t="s">
        <v>74</v>
      </c>
      <c r="Y118" s="1" t="s">
        <v>74</v>
      </c>
      <c r="Z118" s="1" t="s">
        <v>74</v>
      </c>
      <c r="AA118" s="1" t="s">
        <v>1311</v>
      </c>
      <c r="AB118" s="1" t="s">
        <v>74</v>
      </c>
      <c r="AC118" s="1" t="s">
        <v>74</v>
      </c>
      <c r="AD118" s="1" t="s">
        <v>74</v>
      </c>
      <c r="AE118" s="1" t="s">
        <v>74</v>
      </c>
      <c r="AF118" s="1" t="s">
        <v>74</v>
      </c>
      <c r="AG118" s="1" t="s">
        <v>74</v>
      </c>
      <c r="AH118" s="1" t="s">
        <v>74</v>
      </c>
      <c r="AI118" s="1" t="s">
        <v>74</v>
      </c>
      <c r="AJ118" s="1" t="s">
        <v>74</v>
      </c>
      <c r="AK118" s="1" t="s">
        <v>74</v>
      </c>
      <c r="AL118" s="1" t="s">
        <v>74</v>
      </c>
      <c r="AM118" s="1" t="s">
        <v>74</v>
      </c>
      <c r="AN118" s="1" t="s">
        <v>74</v>
      </c>
      <c r="AO118" s="1" t="s">
        <v>1312</v>
      </c>
      <c r="AP118" s="1" t="s">
        <v>74</v>
      </c>
      <c r="AQ118" s="1" t="s">
        <v>74</v>
      </c>
      <c r="AR118" s="1" t="s">
        <v>74</v>
      </c>
      <c r="AS118" s="1" t="s">
        <v>74</v>
      </c>
      <c r="AT118" s="1" t="s">
        <v>110</v>
      </c>
      <c r="AU118" s="1">
        <v>2012.0</v>
      </c>
      <c r="AV118" s="1">
        <v>25.0</v>
      </c>
      <c r="AW118" s="1">
        <v>12.0</v>
      </c>
      <c r="AX118" s="1" t="s">
        <v>74</v>
      </c>
      <c r="AY118" s="1" t="s">
        <v>74</v>
      </c>
      <c r="AZ118" s="1" t="s">
        <v>74</v>
      </c>
      <c r="BA118" s="1" t="s">
        <v>74</v>
      </c>
      <c r="BB118" s="1">
        <v>2209.0</v>
      </c>
      <c r="BC118" s="1">
        <v>2217.0</v>
      </c>
      <c r="BD118" s="1" t="s">
        <v>74</v>
      </c>
      <c r="BE118" s="1" t="s">
        <v>1313</v>
      </c>
      <c r="BF118" s="2" t="str">
        <f>HYPERLINK("http://dx.doi.org/10.1016/j.aml.2012.06.004","http://dx.doi.org/10.1016/j.aml.2012.06.004")</f>
        <v>http://dx.doi.org/10.1016/j.aml.2012.06.004</v>
      </c>
      <c r="BG118" s="1" t="s">
        <v>74</v>
      </c>
      <c r="BH118" s="1" t="s">
        <v>74</v>
      </c>
      <c r="BI118" s="1" t="s">
        <v>74</v>
      </c>
      <c r="BJ118" s="1" t="s">
        <v>74</v>
      </c>
      <c r="BK118" s="1" t="s">
        <v>74</v>
      </c>
      <c r="BL118" s="1" t="s">
        <v>74</v>
      </c>
      <c r="BM118" s="1" t="s">
        <v>74</v>
      </c>
      <c r="BN118" s="1" t="s">
        <v>74</v>
      </c>
      <c r="BO118" s="1" t="s">
        <v>74</v>
      </c>
      <c r="BP118" s="1" t="s">
        <v>74</v>
      </c>
      <c r="BQ118" s="1" t="s">
        <v>74</v>
      </c>
      <c r="BR118" s="1" t="s">
        <v>74</v>
      </c>
      <c r="BS118" s="1" t="s">
        <v>1314</v>
      </c>
      <c r="BT118" s="1" t="str">
        <f>HYPERLINK("https%3A%2F%2Fwww.webofscience.com%2Fwos%2Fwoscc%2Ffull-record%2FWOS:000309033200039","View Full Record in Web of Science")</f>
        <v>View Full Record in Web of Science</v>
      </c>
    </row>
    <row r="119" ht="12.75" customHeight="1">
      <c r="A119" s="1" t="s">
        <v>72</v>
      </c>
      <c r="B119" s="1" t="s">
        <v>1315</v>
      </c>
      <c r="C119" s="1" t="s">
        <v>74</v>
      </c>
      <c r="D119" s="1" t="s">
        <v>74</v>
      </c>
      <c r="E119" s="1" t="s">
        <v>74</v>
      </c>
      <c r="F119" s="1" t="s">
        <v>1316</v>
      </c>
      <c r="G119" s="1" t="s">
        <v>74</v>
      </c>
      <c r="H119" s="1" t="s">
        <v>74</v>
      </c>
      <c r="I119" s="1" t="s">
        <v>1317</v>
      </c>
      <c r="J119" s="1" t="s">
        <v>1318</v>
      </c>
      <c r="K119" s="1" t="s">
        <v>74</v>
      </c>
      <c r="L119" s="1" t="s">
        <v>74</v>
      </c>
      <c r="M119" s="1" t="s">
        <v>74</v>
      </c>
      <c r="N119" s="1" t="s">
        <v>74</v>
      </c>
      <c r="O119" s="1" t="s">
        <v>74</v>
      </c>
      <c r="P119" s="1" t="s">
        <v>74</v>
      </c>
      <c r="Q119" s="1" t="s">
        <v>74</v>
      </c>
      <c r="R119" s="1" t="s">
        <v>74</v>
      </c>
      <c r="S119" s="1" t="s">
        <v>74</v>
      </c>
      <c r="T119" s="1" t="s">
        <v>74</v>
      </c>
      <c r="U119" s="1" t="s">
        <v>74</v>
      </c>
      <c r="V119" s="1" t="s">
        <v>1319</v>
      </c>
      <c r="W119" s="1" t="s">
        <v>74</v>
      </c>
      <c r="X119" s="1" t="s">
        <v>74</v>
      </c>
      <c r="Y119" s="1" t="s">
        <v>74</v>
      </c>
      <c r="Z119" s="1" t="s">
        <v>74</v>
      </c>
      <c r="AA119" s="1" t="s">
        <v>1320</v>
      </c>
      <c r="AB119" s="1" t="s">
        <v>1321</v>
      </c>
      <c r="AC119" s="1" t="s">
        <v>74</v>
      </c>
      <c r="AD119" s="1" t="s">
        <v>74</v>
      </c>
      <c r="AE119" s="1" t="s">
        <v>74</v>
      </c>
      <c r="AF119" s="1" t="s">
        <v>74</v>
      </c>
      <c r="AG119" s="1" t="s">
        <v>74</v>
      </c>
      <c r="AH119" s="1" t="s">
        <v>74</v>
      </c>
      <c r="AI119" s="1" t="s">
        <v>74</v>
      </c>
      <c r="AJ119" s="1" t="s">
        <v>74</v>
      </c>
      <c r="AK119" s="1" t="s">
        <v>74</v>
      </c>
      <c r="AL119" s="1" t="s">
        <v>74</v>
      </c>
      <c r="AM119" s="1" t="s">
        <v>74</v>
      </c>
      <c r="AN119" s="1" t="s">
        <v>74</v>
      </c>
      <c r="AO119" s="1" t="s">
        <v>1322</v>
      </c>
      <c r="AP119" s="1" t="s">
        <v>1323</v>
      </c>
      <c r="AQ119" s="1" t="s">
        <v>74</v>
      </c>
      <c r="AR119" s="1" t="s">
        <v>74</v>
      </c>
      <c r="AS119" s="1" t="s">
        <v>74</v>
      </c>
      <c r="AT119" s="1" t="s">
        <v>135</v>
      </c>
      <c r="AU119" s="1">
        <v>2012.0</v>
      </c>
      <c r="AV119" s="1">
        <v>48.0</v>
      </c>
      <c r="AW119" s="1">
        <v>8.0</v>
      </c>
      <c r="AX119" s="1" t="s">
        <v>74</v>
      </c>
      <c r="AY119" s="1" t="s">
        <v>74</v>
      </c>
      <c r="AZ119" s="1" t="s">
        <v>74</v>
      </c>
      <c r="BA119" s="1" t="s">
        <v>74</v>
      </c>
      <c r="BB119" s="1">
        <v>1415.0</v>
      </c>
      <c r="BC119" s="1">
        <v>1424.0</v>
      </c>
      <c r="BD119" s="1" t="s">
        <v>74</v>
      </c>
      <c r="BE119" s="1" t="s">
        <v>1324</v>
      </c>
      <c r="BF119" s="2" t="str">
        <f>HYPERLINK("http://dx.doi.org/10.1007/s00231-012-0983-0","http://dx.doi.org/10.1007/s00231-012-0983-0")</f>
        <v>http://dx.doi.org/10.1007/s00231-012-0983-0</v>
      </c>
      <c r="BG119" s="1" t="s">
        <v>74</v>
      </c>
      <c r="BH119" s="1" t="s">
        <v>74</v>
      </c>
      <c r="BI119" s="1" t="s">
        <v>74</v>
      </c>
      <c r="BJ119" s="1" t="s">
        <v>74</v>
      </c>
      <c r="BK119" s="1" t="s">
        <v>74</v>
      </c>
      <c r="BL119" s="1" t="s">
        <v>74</v>
      </c>
      <c r="BM119" s="1" t="s">
        <v>74</v>
      </c>
      <c r="BN119" s="1" t="s">
        <v>74</v>
      </c>
      <c r="BO119" s="1" t="s">
        <v>74</v>
      </c>
      <c r="BP119" s="1" t="s">
        <v>74</v>
      </c>
      <c r="BQ119" s="1" t="s">
        <v>74</v>
      </c>
      <c r="BR119" s="1" t="s">
        <v>74</v>
      </c>
      <c r="BS119" s="1" t="s">
        <v>1325</v>
      </c>
      <c r="BT119" s="1" t="str">
        <f>HYPERLINK("https%3A%2F%2Fwww.webofscience.com%2Fwos%2Fwoscc%2Ffull-record%2FWOS:000306065200013","View Full Record in Web of Science")</f>
        <v>View Full Record in Web of Science</v>
      </c>
    </row>
    <row r="120" ht="12.75" customHeight="1">
      <c r="A120" s="1" t="s">
        <v>72</v>
      </c>
      <c r="B120" s="1" t="s">
        <v>1326</v>
      </c>
      <c r="C120" s="1" t="s">
        <v>74</v>
      </c>
      <c r="D120" s="1" t="s">
        <v>74</v>
      </c>
      <c r="E120" s="1" t="s">
        <v>74</v>
      </c>
      <c r="F120" s="1" t="s">
        <v>1327</v>
      </c>
      <c r="G120" s="1" t="s">
        <v>74</v>
      </c>
      <c r="H120" s="1" t="s">
        <v>74</v>
      </c>
      <c r="I120" s="1" t="s">
        <v>1328</v>
      </c>
      <c r="J120" s="1" t="s">
        <v>1329</v>
      </c>
      <c r="K120" s="1" t="s">
        <v>74</v>
      </c>
      <c r="L120" s="1" t="s">
        <v>74</v>
      </c>
      <c r="M120" s="1" t="s">
        <v>74</v>
      </c>
      <c r="N120" s="1" t="s">
        <v>74</v>
      </c>
      <c r="O120" s="1" t="s">
        <v>74</v>
      </c>
      <c r="P120" s="1" t="s">
        <v>74</v>
      </c>
      <c r="Q120" s="1" t="s">
        <v>74</v>
      </c>
      <c r="R120" s="1" t="s">
        <v>74</v>
      </c>
      <c r="S120" s="1" t="s">
        <v>74</v>
      </c>
      <c r="T120" s="1" t="s">
        <v>74</v>
      </c>
      <c r="U120" s="1" t="s">
        <v>74</v>
      </c>
      <c r="V120" s="1" t="s">
        <v>1330</v>
      </c>
      <c r="W120" s="1" t="s">
        <v>74</v>
      </c>
      <c r="X120" s="1" t="s">
        <v>74</v>
      </c>
      <c r="Y120" s="1" t="s">
        <v>74</v>
      </c>
      <c r="Z120" s="1" t="s">
        <v>74</v>
      </c>
      <c r="AA120" s="1" t="s">
        <v>1331</v>
      </c>
      <c r="AB120" s="1" t="s">
        <v>1332</v>
      </c>
      <c r="AC120" s="1" t="s">
        <v>74</v>
      </c>
      <c r="AD120" s="1" t="s">
        <v>74</v>
      </c>
      <c r="AE120" s="1" t="s">
        <v>74</v>
      </c>
      <c r="AF120" s="1" t="s">
        <v>74</v>
      </c>
      <c r="AG120" s="1" t="s">
        <v>74</v>
      </c>
      <c r="AH120" s="1" t="s">
        <v>74</v>
      </c>
      <c r="AI120" s="1" t="s">
        <v>74</v>
      </c>
      <c r="AJ120" s="1" t="s">
        <v>74</v>
      </c>
      <c r="AK120" s="1" t="s">
        <v>74</v>
      </c>
      <c r="AL120" s="1" t="s">
        <v>74</v>
      </c>
      <c r="AM120" s="1" t="s">
        <v>74</v>
      </c>
      <c r="AN120" s="1" t="s">
        <v>74</v>
      </c>
      <c r="AO120" s="1" t="s">
        <v>1333</v>
      </c>
      <c r="AP120" s="1" t="s">
        <v>74</v>
      </c>
      <c r="AQ120" s="1" t="s">
        <v>74</v>
      </c>
      <c r="AR120" s="1" t="s">
        <v>74</v>
      </c>
      <c r="AS120" s="1" t="s">
        <v>74</v>
      </c>
      <c r="AT120" s="1" t="s">
        <v>1334</v>
      </c>
      <c r="AU120" s="1">
        <v>2011.0</v>
      </c>
      <c r="AV120" s="1">
        <v>18.0</v>
      </c>
      <c r="AW120" s="1">
        <v>57.0</v>
      </c>
      <c r="AX120" s="1" t="s">
        <v>74</v>
      </c>
      <c r="AY120" s="1" t="s">
        <v>74</v>
      </c>
      <c r="AZ120" s="1" t="s">
        <v>74</v>
      </c>
      <c r="BA120" s="1" t="s">
        <v>74</v>
      </c>
      <c r="BB120" s="1">
        <v>61.0</v>
      </c>
      <c r="BC120" s="1">
        <v>99.0</v>
      </c>
      <c r="BD120" s="1" t="s">
        <v>74</v>
      </c>
      <c r="BE120" s="1" t="s">
        <v>74</v>
      </c>
      <c r="BF120" s="1" t="s">
        <v>74</v>
      </c>
      <c r="BG120" s="1" t="s">
        <v>74</v>
      </c>
      <c r="BH120" s="1" t="s">
        <v>74</v>
      </c>
      <c r="BI120" s="1" t="s">
        <v>74</v>
      </c>
      <c r="BJ120" s="1" t="s">
        <v>74</v>
      </c>
      <c r="BK120" s="1" t="s">
        <v>74</v>
      </c>
      <c r="BL120" s="1" t="s">
        <v>74</v>
      </c>
      <c r="BM120" s="1" t="s">
        <v>74</v>
      </c>
      <c r="BN120" s="1" t="s">
        <v>74</v>
      </c>
      <c r="BO120" s="1" t="s">
        <v>74</v>
      </c>
      <c r="BP120" s="1" t="s">
        <v>74</v>
      </c>
      <c r="BQ120" s="1" t="s">
        <v>74</v>
      </c>
      <c r="BR120" s="1" t="s">
        <v>74</v>
      </c>
      <c r="BS120" s="1" t="s">
        <v>1335</v>
      </c>
      <c r="BT120" s="1" t="str">
        <f>HYPERLINK("https%3A%2F%2Fwww.webofscience.com%2Fwos%2Fwoscc%2Ffull-record%2FWOS:000295069900003","View Full Record in Web of Science")</f>
        <v>View Full Record in Web of Science</v>
      </c>
    </row>
    <row r="121" ht="12.75" customHeight="1">
      <c r="A121" s="1" t="s">
        <v>72</v>
      </c>
      <c r="B121" s="1" t="s">
        <v>1336</v>
      </c>
      <c r="C121" s="1" t="s">
        <v>74</v>
      </c>
      <c r="D121" s="1" t="s">
        <v>74</v>
      </c>
      <c r="E121" s="1" t="s">
        <v>74</v>
      </c>
      <c r="F121" s="1" t="s">
        <v>1337</v>
      </c>
      <c r="G121" s="1" t="s">
        <v>74</v>
      </c>
      <c r="H121" s="1" t="s">
        <v>74</v>
      </c>
      <c r="I121" s="1" t="s">
        <v>1338</v>
      </c>
      <c r="J121" s="1" t="s">
        <v>1339</v>
      </c>
      <c r="K121" s="1" t="s">
        <v>74</v>
      </c>
      <c r="L121" s="1" t="s">
        <v>74</v>
      </c>
      <c r="M121" s="1" t="s">
        <v>74</v>
      </c>
      <c r="N121" s="1" t="s">
        <v>74</v>
      </c>
      <c r="O121" s="1" t="s">
        <v>74</v>
      </c>
      <c r="P121" s="1" t="s">
        <v>74</v>
      </c>
      <c r="Q121" s="1" t="s">
        <v>74</v>
      </c>
      <c r="R121" s="1" t="s">
        <v>74</v>
      </c>
      <c r="S121" s="1" t="s">
        <v>74</v>
      </c>
      <c r="T121" s="1" t="s">
        <v>74</v>
      </c>
      <c r="U121" s="1" t="s">
        <v>74</v>
      </c>
      <c r="V121" s="1" t="s">
        <v>1340</v>
      </c>
      <c r="W121" s="1" t="s">
        <v>74</v>
      </c>
      <c r="X121" s="1" t="s">
        <v>74</v>
      </c>
      <c r="Y121" s="1" t="s">
        <v>74</v>
      </c>
      <c r="Z121" s="1" t="s">
        <v>74</v>
      </c>
      <c r="AA121" s="1" t="s">
        <v>1341</v>
      </c>
      <c r="AB121" s="1" t="s">
        <v>74</v>
      </c>
      <c r="AC121" s="1" t="s">
        <v>74</v>
      </c>
      <c r="AD121" s="1" t="s">
        <v>74</v>
      </c>
      <c r="AE121" s="1" t="s">
        <v>74</v>
      </c>
      <c r="AF121" s="1" t="s">
        <v>74</v>
      </c>
      <c r="AG121" s="1" t="s">
        <v>74</v>
      </c>
      <c r="AH121" s="1" t="s">
        <v>74</v>
      </c>
      <c r="AI121" s="1" t="s">
        <v>74</v>
      </c>
      <c r="AJ121" s="1" t="s">
        <v>74</v>
      </c>
      <c r="AK121" s="1" t="s">
        <v>74</v>
      </c>
      <c r="AL121" s="1" t="s">
        <v>74</v>
      </c>
      <c r="AM121" s="1" t="s">
        <v>74</v>
      </c>
      <c r="AN121" s="1" t="s">
        <v>74</v>
      </c>
      <c r="AO121" s="1" t="s">
        <v>1342</v>
      </c>
      <c r="AP121" s="1" t="s">
        <v>74</v>
      </c>
      <c r="AQ121" s="1" t="s">
        <v>74</v>
      </c>
      <c r="AR121" s="1" t="s">
        <v>74</v>
      </c>
      <c r="AS121" s="1" t="s">
        <v>74</v>
      </c>
      <c r="AT121" s="1" t="s">
        <v>732</v>
      </c>
      <c r="AU121" s="1">
        <v>2011.0</v>
      </c>
      <c r="AV121" s="1">
        <v>28.0</v>
      </c>
      <c r="AW121" s="1">
        <v>4.0</v>
      </c>
      <c r="AX121" s="1" t="s">
        <v>74</v>
      </c>
      <c r="AY121" s="1" t="s">
        <v>74</v>
      </c>
      <c r="AZ121" s="1" t="s">
        <v>74</v>
      </c>
      <c r="BA121" s="1" t="s">
        <v>74</v>
      </c>
      <c r="BB121" s="1">
        <v>599.0</v>
      </c>
      <c r="BC121" s="1">
        <v>621.0</v>
      </c>
      <c r="BD121" s="1" t="s">
        <v>74</v>
      </c>
      <c r="BE121" s="1" t="s">
        <v>1343</v>
      </c>
      <c r="BF121" s="2" t="str">
        <f>HYPERLINK("http://dx.doi.org/10.1016/j.anihpc.2011.04.002","http://dx.doi.org/10.1016/j.anihpc.2011.04.002")</f>
        <v>http://dx.doi.org/10.1016/j.anihpc.2011.04.002</v>
      </c>
      <c r="BG121" s="1" t="s">
        <v>74</v>
      </c>
      <c r="BH121" s="1" t="s">
        <v>74</v>
      </c>
      <c r="BI121" s="1" t="s">
        <v>74</v>
      </c>
      <c r="BJ121" s="1" t="s">
        <v>74</v>
      </c>
      <c r="BK121" s="1" t="s">
        <v>74</v>
      </c>
      <c r="BL121" s="1" t="s">
        <v>74</v>
      </c>
      <c r="BM121" s="1" t="s">
        <v>74</v>
      </c>
      <c r="BN121" s="1" t="s">
        <v>74</v>
      </c>
      <c r="BO121" s="1" t="s">
        <v>74</v>
      </c>
      <c r="BP121" s="1" t="s">
        <v>74</v>
      </c>
      <c r="BQ121" s="1" t="s">
        <v>74</v>
      </c>
      <c r="BR121" s="1" t="s">
        <v>74</v>
      </c>
      <c r="BS121" s="1" t="s">
        <v>1344</v>
      </c>
      <c r="BT121" s="1" t="str">
        <f>HYPERLINK("https%3A%2F%2Fwww.webofscience.com%2Fwos%2Fwoscc%2Ffull-record%2FWOS:000293995100008","View Full Record in Web of Science")</f>
        <v>View Full Record in Web of Science</v>
      </c>
    </row>
    <row r="122" ht="12.75" customHeight="1">
      <c r="A122" s="1" t="s">
        <v>72</v>
      </c>
      <c r="B122" s="1" t="s">
        <v>1345</v>
      </c>
      <c r="C122" s="1" t="s">
        <v>74</v>
      </c>
      <c r="D122" s="1" t="s">
        <v>74</v>
      </c>
      <c r="E122" s="1" t="s">
        <v>74</v>
      </c>
      <c r="F122" s="1" t="s">
        <v>1346</v>
      </c>
      <c r="G122" s="1" t="s">
        <v>74</v>
      </c>
      <c r="H122" s="1" t="s">
        <v>74</v>
      </c>
      <c r="I122" s="1" t="s">
        <v>1347</v>
      </c>
      <c r="J122" s="1" t="s">
        <v>582</v>
      </c>
      <c r="K122" s="1" t="s">
        <v>74</v>
      </c>
      <c r="L122" s="1" t="s">
        <v>74</v>
      </c>
      <c r="M122" s="1" t="s">
        <v>74</v>
      </c>
      <c r="N122" s="1" t="s">
        <v>74</v>
      </c>
      <c r="O122" s="1" t="s">
        <v>74</v>
      </c>
      <c r="P122" s="1" t="s">
        <v>74</v>
      </c>
      <c r="Q122" s="1" t="s">
        <v>74</v>
      </c>
      <c r="R122" s="1" t="s">
        <v>74</v>
      </c>
      <c r="S122" s="1" t="s">
        <v>74</v>
      </c>
      <c r="T122" s="1" t="s">
        <v>74</v>
      </c>
      <c r="U122" s="1" t="s">
        <v>74</v>
      </c>
      <c r="V122" s="1" t="s">
        <v>1348</v>
      </c>
      <c r="W122" s="1" t="s">
        <v>74</v>
      </c>
      <c r="X122" s="1" t="s">
        <v>74</v>
      </c>
      <c r="Y122" s="1" t="s">
        <v>74</v>
      </c>
      <c r="Z122" s="1" t="s">
        <v>74</v>
      </c>
      <c r="AA122" s="1" t="s">
        <v>1349</v>
      </c>
      <c r="AB122" s="1" t="s">
        <v>1350</v>
      </c>
      <c r="AC122" s="1" t="s">
        <v>74</v>
      </c>
      <c r="AD122" s="1" t="s">
        <v>74</v>
      </c>
      <c r="AE122" s="1" t="s">
        <v>74</v>
      </c>
      <c r="AF122" s="1" t="s">
        <v>74</v>
      </c>
      <c r="AG122" s="1" t="s">
        <v>74</v>
      </c>
      <c r="AH122" s="1" t="s">
        <v>74</v>
      </c>
      <c r="AI122" s="1" t="s">
        <v>74</v>
      </c>
      <c r="AJ122" s="1" t="s">
        <v>74</v>
      </c>
      <c r="AK122" s="1" t="s">
        <v>74</v>
      </c>
      <c r="AL122" s="1" t="s">
        <v>74</v>
      </c>
      <c r="AM122" s="1" t="s">
        <v>74</v>
      </c>
      <c r="AN122" s="1" t="s">
        <v>74</v>
      </c>
      <c r="AO122" s="1" t="s">
        <v>585</v>
      </c>
      <c r="AP122" s="1" t="s">
        <v>74</v>
      </c>
      <c r="AQ122" s="1" t="s">
        <v>74</v>
      </c>
      <c r="AR122" s="1" t="s">
        <v>74</v>
      </c>
      <c r="AS122" s="1" t="s">
        <v>74</v>
      </c>
      <c r="AT122" s="1" t="s">
        <v>215</v>
      </c>
      <c r="AU122" s="1">
        <v>2011.0</v>
      </c>
      <c r="AV122" s="1">
        <v>56.0</v>
      </c>
      <c r="AW122" s="1">
        <v>2.0</v>
      </c>
      <c r="AX122" s="1" t="s">
        <v>74</v>
      </c>
      <c r="AY122" s="1" t="s">
        <v>74</v>
      </c>
      <c r="AZ122" s="1" t="s">
        <v>74</v>
      </c>
      <c r="BA122" s="1" t="s">
        <v>74</v>
      </c>
      <c r="BB122" s="1">
        <v>688.0</v>
      </c>
      <c r="BC122" s="1">
        <v>691.0</v>
      </c>
      <c r="BD122" s="1" t="s">
        <v>74</v>
      </c>
      <c r="BE122" s="1" t="s">
        <v>74</v>
      </c>
      <c r="BF122" s="1" t="s">
        <v>74</v>
      </c>
      <c r="BG122" s="1" t="s">
        <v>74</v>
      </c>
      <c r="BH122" s="1" t="s">
        <v>74</v>
      </c>
      <c r="BI122" s="1" t="s">
        <v>74</v>
      </c>
      <c r="BJ122" s="1" t="s">
        <v>74</v>
      </c>
      <c r="BK122" s="1" t="s">
        <v>74</v>
      </c>
      <c r="BL122" s="1" t="s">
        <v>74</v>
      </c>
      <c r="BM122" s="1" t="s">
        <v>74</v>
      </c>
      <c r="BN122" s="1" t="s">
        <v>74</v>
      </c>
      <c r="BO122" s="1" t="s">
        <v>74</v>
      </c>
      <c r="BP122" s="1" t="s">
        <v>74</v>
      </c>
      <c r="BQ122" s="1" t="s">
        <v>74</v>
      </c>
      <c r="BR122" s="1" t="s">
        <v>74</v>
      </c>
      <c r="BS122" s="1" t="s">
        <v>1351</v>
      </c>
      <c r="BT122" s="1" t="str">
        <f>HYPERLINK("https%3A%2F%2Fwww.webofscience.com%2Fwos%2Fwoscc%2Ffull-record%2FWOS:000293676300014","View Full Record in Web of Science")</f>
        <v>View Full Record in Web of Science</v>
      </c>
    </row>
    <row r="123" ht="12.75" customHeight="1">
      <c r="A123" s="1" t="s">
        <v>72</v>
      </c>
      <c r="B123" s="1" t="s">
        <v>1352</v>
      </c>
      <c r="C123" s="1" t="s">
        <v>74</v>
      </c>
      <c r="D123" s="1" t="s">
        <v>74</v>
      </c>
      <c r="E123" s="1" t="s">
        <v>74</v>
      </c>
      <c r="F123" s="1" t="s">
        <v>1353</v>
      </c>
      <c r="G123" s="1" t="s">
        <v>74</v>
      </c>
      <c r="H123" s="1" t="s">
        <v>74</v>
      </c>
      <c r="I123" s="1" t="s">
        <v>1354</v>
      </c>
      <c r="J123" s="1" t="s">
        <v>1355</v>
      </c>
      <c r="K123" s="1" t="s">
        <v>74</v>
      </c>
      <c r="L123" s="1" t="s">
        <v>74</v>
      </c>
      <c r="M123" s="1" t="s">
        <v>74</v>
      </c>
      <c r="N123" s="1" t="s">
        <v>74</v>
      </c>
      <c r="O123" s="1" t="s">
        <v>74</v>
      </c>
      <c r="P123" s="1" t="s">
        <v>74</v>
      </c>
      <c r="Q123" s="1" t="s">
        <v>74</v>
      </c>
      <c r="R123" s="1" t="s">
        <v>74</v>
      </c>
      <c r="S123" s="1" t="s">
        <v>74</v>
      </c>
      <c r="T123" s="1" t="s">
        <v>74</v>
      </c>
      <c r="U123" s="1" t="s">
        <v>74</v>
      </c>
      <c r="V123" s="1" t="s">
        <v>1356</v>
      </c>
      <c r="W123" s="1" t="s">
        <v>74</v>
      </c>
      <c r="X123" s="1" t="s">
        <v>74</v>
      </c>
      <c r="Y123" s="1" t="s">
        <v>74</v>
      </c>
      <c r="Z123" s="1" t="s">
        <v>74</v>
      </c>
      <c r="AA123" s="1" t="s">
        <v>1206</v>
      </c>
      <c r="AB123" s="1" t="s">
        <v>1357</v>
      </c>
      <c r="AC123" s="1" t="s">
        <v>74</v>
      </c>
      <c r="AD123" s="1" t="s">
        <v>74</v>
      </c>
      <c r="AE123" s="1" t="s">
        <v>74</v>
      </c>
      <c r="AF123" s="1" t="s">
        <v>74</v>
      </c>
      <c r="AG123" s="1" t="s">
        <v>74</v>
      </c>
      <c r="AH123" s="1" t="s">
        <v>74</v>
      </c>
      <c r="AI123" s="1" t="s">
        <v>74</v>
      </c>
      <c r="AJ123" s="1" t="s">
        <v>74</v>
      </c>
      <c r="AK123" s="1" t="s">
        <v>74</v>
      </c>
      <c r="AL123" s="1" t="s">
        <v>74</v>
      </c>
      <c r="AM123" s="1" t="s">
        <v>74</v>
      </c>
      <c r="AN123" s="1" t="s">
        <v>74</v>
      </c>
      <c r="AO123" s="1" t="s">
        <v>1358</v>
      </c>
      <c r="AP123" s="1" t="s">
        <v>74</v>
      </c>
      <c r="AQ123" s="1" t="s">
        <v>74</v>
      </c>
      <c r="AR123" s="1" t="s">
        <v>74</v>
      </c>
      <c r="AS123" s="1" t="s">
        <v>74</v>
      </c>
      <c r="AT123" s="1" t="s">
        <v>215</v>
      </c>
      <c r="AU123" s="1">
        <v>2011.0</v>
      </c>
      <c r="AV123" s="1">
        <v>42.0</v>
      </c>
      <c r="AW123" s="1">
        <v>3.0</v>
      </c>
      <c r="AX123" s="1" t="s">
        <v>74</v>
      </c>
      <c r="AY123" s="1" t="s">
        <v>74</v>
      </c>
      <c r="AZ123" s="1" t="s">
        <v>74</v>
      </c>
      <c r="BA123" s="1" t="s">
        <v>74</v>
      </c>
      <c r="BB123" s="1">
        <v>612.0</v>
      </c>
      <c r="BC123" s="1">
        <v>631.0</v>
      </c>
      <c r="BD123" s="1" t="s">
        <v>74</v>
      </c>
      <c r="BE123" s="1" t="s">
        <v>1359</v>
      </c>
      <c r="BF123" s="2" t="str">
        <f>HYPERLINK("http://dx.doi.org/10.1007/s11663-011-9483-8","http://dx.doi.org/10.1007/s11663-011-9483-8")</f>
        <v>http://dx.doi.org/10.1007/s11663-011-9483-8</v>
      </c>
      <c r="BG123" s="1" t="s">
        <v>74</v>
      </c>
      <c r="BH123" s="1" t="s">
        <v>74</v>
      </c>
      <c r="BI123" s="1" t="s">
        <v>74</v>
      </c>
      <c r="BJ123" s="1" t="s">
        <v>74</v>
      </c>
      <c r="BK123" s="1" t="s">
        <v>74</v>
      </c>
      <c r="BL123" s="1" t="s">
        <v>74</v>
      </c>
      <c r="BM123" s="1" t="s">
        <v>74</v>
      </c>
      <c r="BN123" s="1" t="s">
        <v>74</v>
      </c>
      <c r="BO123" s="1" t="s">
        <v>74</v>
      </c>
      <c r="BP123" s="1" t="s">
        <v>74</v>
      </c>
      <c r="BQ123" s="1" t="s">
        <v>74</v>
      </c>
      <c r="BR123" s="1" t="s">
        <v>74</v>
      </c>
      <c r="BS123" s="1" t="s">
        <v>1360</v>
      </c>
      <c r="BT123" s="1" t="str">
        <f>HYPERLINK("https%3A%2F%2Fwww.webofscience.com%2Fwos%2Fwoscc%2Ffull-record%2FWOS:000290688300019","View Full Record in Web of Science")</f>
        <v>View Full Record in Web of Science</v>
      </c>
    </row>
    <row r="124" ht="12.75" customHeight="1">
      <c r="A124" s="1" t="s">
        <v>72</v>
      </c>
      <c r="B124" s="1" t="s">
        <v>1361</v>
      </c>
      <c r="C124" s="1" t="s">
        <v>74</v>
      </c>
      <c r="D124" s="1" t="s">
        <v>74</v>
      </c>
      <c r="E124" s="1" t="s">
        <v>74</v>
      </c>
      <c r="F124" s="1" t="s">
        <v>1362</v>
      </c>
      <c r="G124" s="1" t="s">
        <v>74</v>
      </c>
      <c r="H124" s="1" t="s">
        <v>74</v>
      </c>
      <c r="I124" s="1" t="s">
        <v>1363</v>
      </c>
      <c r="J124" s="1" t="s">
        <v>1364</v>
      </c>
      <c r="K124" s="1" t="s">
        <v>74</v>
      </c>
      <c r="L124" s="1" t="s">
        <v>74</v>
      </c>
      <c r="M124" s="1" t="s">
        <v>74</v>
      </c>
      <c r="N124" s="1" t="s">
        <v>74</v>
      </c>
      <c r="O124" s="1" t="s">
        <v>74</v>
      </c>
      <c r="P124" s="1" t="s">
        <v>74</v>
      </c>
      <c r="Q124" s="1" t="s">
        <v>74</v>
      </c>
      <c r="R124" s="1" t="s">
        <v>74</v>
      </c>
      <c r="S124" s="1" t="s">
        <v>74</v>
      </c>
      <c r="T124" s="1" t="s">
        <v>74</v>
      </c>
      <c r="U124" s="1" t="s">
        <v>74</v>
      </c>
      <c r="V124" s="1" t="s">
        <v>1365</v>
      </c>
      <c r="W124" s="1" t="s">
        <v>74</v>
      </c>
      <c r="X124" s="1" t="s">
        <v>74</v>
      </c>
      <c r="Y124" s="1" t="s">
        <v>74</v>
      </c>
      <c r="Z124" s="1" t="s">
        <v>74</v>
      </c>
      <c r="AA124" s="1" t="s">
        <v>1366</v>
      </c>
      <c r="AB124" s="1" t="s">
        <v>1367</v>
      </c>
      <c r="AC124" s="1" t="s">
        <v>74</v>
      </c>
      <c r="AD124" s="1" t="s">
        <v>74</v>
      </c>
      <c r="AE124" s="1" t="s">
        <v>74</v>
      </c>
      <c r="AF124" s="1" t="s">
        <v>74</v>
      </c>
      <c r="AG124" s="1" t="s">
        <v>74</v>
      </c>
      <c r="AH124" s="1" t="s">
        <v>74</v>
      </c>
      <c r="AI124" s="1" t="s">
        <v>74</v>
      </c>
      <c r="AJ124" s="1" t="s">
        <v>74</v>
      </c>
      <c r="AK124" s="1" t="s">
        <v>74</v>
      </c>
      <c r="AL124" s="1" t="s">
        <v>74</v>
      </c>
      <c r="AM124" s="1" t="s">
        <v>74</v>
      </c>
      <c r="AN124" s="1" t="s">
        <v>74</v>
      </c>
      <c r="AO124" s="1" t="s">
        <v>1368</v>
      </c>
      <c r="AP124" s="1" t="s">
        <v>1369</v>
      </c>
      <c r="AQ124" s="1" t="s">
        <v>74</v>
      </c>
      <c r="AR124" s="1" t="s">
        <v>74</v>
      </c>
      <c r="AS124" s="1" t="s">
        <v>74</v>
      </c>
      <c r="AT124" s="1" t="s">
        <v>360</v>
      </c>
      <c r="AU124" s="1">
        <v>2011.0</v>
      </c>
      <c r="AV124" s="1">
        <v>34.0</v>
      </c>
      <c r="AW124" s="1">
        <v>2.0</v>
      </c>
      <c r="AX124" s="1" t="s">
        <v>74</v>
      </c>
      <c r="AY124" s="1" t="s">
        <v>74</v>
      </c>
      <c r="AZ124" s="1" t="s">
        <v>74</v>
      </c>
      <c r="BA124" s="1" t="s">
        <v>74</v>
      </c>
      <c r="BB124" s="1" t="s">
        <v>74</v>
      </c>
      <c r="BC124" s="1" t="s">
        <v>74</v>
      </c>
      <c r="BD124" s="1">
        <v>13.0</v>
      </c>
      <c r="BE124" s="1" t="s">
        <v>1370</v>
      </c>
      <c r="BF124" s="2" t="str">
        <f>HYPERLINK("http://dx.doi.org/10.1140/epje/i2011-11013-0","http://dx.doi.org/10.1140/epje/i2011-11013-0")</f>
        <v>http://dx.doi.org/10.1140/epje/i2011-11013-0</v>
      </c>
      <c r="BG124" s="1" t="s">
        <v>74</v>
      </c>
      <c r="BH124" s="1" t="s">
        <v>74</v>
      </c>
      <c r="BI124" s="1" t="s">
        <v>74</v>
      </c>
      <c r="BJ124" s="1" t="s">
        <v>74</v>
      </c>
      <c r="BK124" s="1" t="s">
        <v>74</v>
      </c>
      <c r="BL124" s="1" t="s">
        <v>74</v>
      </c>
      <c r="BM124" s="1" t="s">
        <v>74</v>
      </c>
      <c r="BN124" s="1">
        <v>2.1337016E7</v>
      </c>
      <c r="BO124" s="1" t="s">
        <v>74</v>
      </c>
      <c r="BP124" s="1" t="s">
        <v>74</v>
      </c>
      <c r="BQ124" s="1" t="s">
        <v>74</v>
      </c>
      <c r="BR124" s="1" t="s">
        <v>74</v>
      </c>
      <c r="BS124" s="1" t="s">
        <v>1371</v>
      </c>
      <c r="BT124" s="1" t="str">
        <f>HYPERLINK("https%3A%2F%2Fwww.webofscience.com%2Fwos%2Fwoscc%2Ffull-record%2FWOS:000288549000011","View Full Record in Web of Science")</f>
        <v>View Full Record in Web of Science</v>
      </c>
    </row>
    <row r="125" ht="12.75" customHeight="1">
      <c r="A125" s="1" t="s">
        <v>72</v>
      </c>
      <c r="B125" s="1" t="s">
        <v>1372</v>
      </c>
      <c r="C125" s="1" t="s">
        <v>74</v>
      </c>
      <c r="D125" s="1" t="s">
        <v>74</v>
      </c>
      <c r="E125" s="1" t="s">
        <v>74</v>
      </c>
      <c r="F125" s="1" t="s">
        <v>1373</v>
      </c>
      <c r="G125" s="1" t="s">
        <v>74</v>
      </c>
      <c r="H125" s="1" t="s">
        <v>74</v>
      </c>
      <c r="I125" s="1" t="s">
        <v>1374</v>
      </c>
      <c r="J125" s="1" t="s">
        <v>1375</v>
      </c>
      <c r="K125" s="1" t="s">
        <v>74</v>
      </c>
      <c r="L125" s="1" t="s">
        <v>74</v>
      </c>
      <c r="M125" s="1" t="s">
        <v>74</v>
      </c>
      <c r="N125" s="1" t="s">
        <v>74</v>
      </c>
      <c r="O125" s="1" t="s">
        <v>74</v>
      </c>
      <c r="P125" s="1" t="s">
        <v>74</v>
      </c>
      <c r="Q125" s="1" t="s">
        <v>74</v>
      </c>
      <c r="R125" s="1" t="s">
        <v>74</v>
      </c>
      <c r="S125" s="1" t="s">
        <v>74</v>
      </c>
      <c r="T125" s="1" t="s">
        <v>74</v>
      </c>
      <c r="U125" s="1" t="s">
        <v>74</v>
      </c>
      <c r="V125" s="1" t="s">
        <v>1376</v>
      </c>
      <c r="W125" s="1" t="s">
        <v>74</v>
      </c>
      <c r="X125" s="1" t="s">
        <v>74</v>
      </c>
      <c r="Y125" s="1" t="s">
        <v>74</v>
      </c>
      <c r="Z125" s="1" t="s">
        <v>74</v>
      </c>
      <c r="AA125" s="1" t="s">
        <v>1377</v>
      </c>
      <c r="AB125" s="1" t="s">
        <v>1378</v>
      </c>
      <c r="AC125" s="1" t="s">
        <v>74</v>
      </c>
      <c r="AD125" s="1" t="s">
        <v>74</v>
      </c>
      <c r="AE125" s="1" t="s">
        <v>74</v>
      </c>
      <c r="AF125" s="1" t="s">
        <v>74</v>
      </c>
      <c r="AG125" s="1" t="s">
        <v>74</v>
      </c>
      <c r="AH125" s="1" t="s">
        <v>74</v>
      </c>
      <c r="AI125" s="1" t="s">
        <v>74</v>
      </c>
      <c r="AJ125" s="1" t="s">
        <v>74</v>
      </c>
      <c r="AK125" s="1" t="s">
        <v>74</v>
      </c>
      <c r="AL125" s="1" t="s">
        <v>74</v>
      </c>
      <c r="AM125" s="1" t="s">
        <v>74</v>
      </c>
      <c r="AN125" s="1" t="s">
        <v>74</v>
      </c>
      <c r="AO125" s="1" t="s">
        <v>1379</v>
      </c>
      <c r="AP125" s="1" t="s">
        <v>74</v>
      </c>
      <c r="AQ125" s="1" t="s">
        <v>74</v>
      </c>
      <c r="AR125" s="1" t="s">
        <v>74</v>
      </c>
      <c r="AS125" s="1" t="s">
        <v>74</v>
      </c>
      <c r="AT125" s="1" t="s">
        <v>74</v>
      </c>
      <c r="AU125" s="1">
        <v>2010.0</v>
      </c>
      <c r="AV125" s="1">
        <v>42.0</v>
      </c>
      <c r="AW125" s="1">
        <v>2.0</v>
      </c>
      <c r="AX125" s="1" t="s">
        <v>74</v>
      </c>
      <c r="AY125" s="1" t="s">
        <v>74</v>
      </c>
      <c r="AZ125" s="1" t="s">
        <v>74</v>
      </c>
      <c r="BA125" s="1" t="s">
        <v>74</v>
      </c>
      <c r="BB125" s="1">
        <v>289.0</v>
      </c>
      <c r="BC125" s="1">
        <v>309.0</v>
      </c>
      <c r="BD125" s="1" t="s">
        <v>74</v>
      </c>
      <c r="BE125" s="1" t="s">
        <v>74</v>
      </c>
      <c r="BF125" s="1" t="s">
        <v>74</v>
      </c>
      <c r="BG125" s="1" t="s">
        <v>74</v>
      </c>
      <c r="BH125" s="1" t="s">
        <v>74</v>
      </c>
      <c r="BI125" s="1" t="s">
        <v>74</v>
      </c>
      <c r="BJ125" s="1" t="s">
        <v>74</v>
      </c>
      <c r="BK125" s="1" t="s">
        <v>74</v>
      </c>
      <c r="BL125" s="1" t="s">
        <v>74</v>
      </c>
      <c r="BM125" s="1" t="s">
        <v>74</v>
      </c>
      <c r="BN125" s="1" t="s">
        <v>74</v>
      </c>
      <c r="BO125" s="1" t="s">
        <v>74</v>
      </c>
      <c r="BP125" s="1" t="s">
        <v>74</v>
      </c>
      <c r="BQ125" s="1" t="s">
        <v>74</v>
      </c>
      <c r="BR125" s="1" t="s">
        <v>74</v>
      </c>
      <c r="BS125" s="1" t="s">
        <v>1380</v>
      </c>
      <c r="BT125" s="1" t="str">
        <f>HYPERLINK("https%3A%2F%2Fwww.webofscience.com%2Fwos%2Fwoscc%2Ffull-record%2FWOS:000280631400011","View Full Record in Web of Science")</f>
        <v>View Full Record in Web of Science</v>
      </c>
    </row>
    <row r="126" ht="12.75" customHeight="1">
      <c r="A126" s="1" t="s">
        <v>72</v>
      </c>
      <c r="B126" s="1" t="s">
        <v>1381</v>
      </c>
      <c r="C126" s="1" t="s">
        <v>74</v>
      </c>
      <c r="D126" s="1" t="s">
        <v>74</v>
      </c>
      <c r="E126" s="1" t="s">
        <v>74</v>
      </c>
      <c r="F126" s="1" t="s">
        <v>1382</v>
      </c>
      <c r="G126" s="1" t="s">
        <v>74</v>
      </c>
      <c r="H126" s="1" t="s">
        <v>74</v>
      </c>
      <c r="I126" s="1" t="s">
        <v>1383</v>
      </c>
      <c r="J126" s="1" t="s">
        <v>1384</v>
      </c>
      <c r="K126" s="1" t="s">
        <v>74</v>
      </c>
      <c r="L126" s="1" t="s">
        <v>74</v>
      </c>
      <c r="M126" s="1" t="s">
        <v>74</v>
      </c>
      <c r="N126" s="1" t="s">
        <v>74</v>
      </c>
      <c r="O126" s="1" t="s">
        <v>74</v>
      </c>
      <c r="P126" s="1" t="s">
        <v>74</v>
      </c>
      <c r="Q126" s="1" t="s">
        <v>74</v>
      </c>
      <c r="R126" s="1" t="s">
        <v>74</v>
      </c>
      <c r="S126" s="1" t="s">
        <v>74</v>
      </c>
      <c r="T126" s="1" t="s">
        <v>74</v>
      </c>
      <c r="U126" s="1" t="s">
        <v>74</v>
      </c>
      <c r="V126" s="1" t="s">
        <v>1385</v>
      </c>
      <c r="W126" s="1" t="s">
        <v>74</v>
      </c>
      <c r="X126" s="1" t="s">
        <v>74</v>
      </c>
      <c r="Y126" s="1" t="s">
        <v>74</v>
      </c>
      <c r="Z126" s="1" t="s">
        <v>74</v>
      </c>
      <c r="AA126" s="1" t="s">
        <v>1386</v>
      </c>
      <c r="AB126" s="1" t="s">
        <v>1387</v>
      </c>
      <c r="AC126" s="1" t="s">
        <v>74</v>
      </c>
      <c r="AD126" s="1" t="s">
        <v>74</v>
      </c>
      <c r="AE126" s="1" t="s">
        <v>74</v>
      </c>
      <c r="AF126" s="1" t="s">
        <v>74</v>
      </c>
      <c r="AG126" s="1" t="s">
        <v>74</v>
      </c>
      <c r="AH126" s="1" t="s">
        <v>74</v>
      </c>
      <c r="AI126" s="1" t="s">
        <v>74</v>
      </c>
      <c r="AJ126" s="1" t="s">
        <v>74</v>
      </c>
      <c r="AK126" s="1" t="s">
        <v>74</v>
      </c>
      <c r="AL126" s="1" t="s">
        <v>74</v>
      </c>
      <c r="AM126" s="1" t="s">
        <v>74</v>
      </c>
      <c r="AN126" s="1" t="s">
        <v>74</v>
      </c>
      <c r="AO126" s="1" t="s">
        <v>1388</v>
      </c>
      <c r="AP126" s="1" t="s">
        <v>1389</v>
      </c>
      <c r="AQ126" s="1" t="s">
        <v>74</v>
      </c>
      <c r="AR126" s="1" t="s">
        <v>74</v>
      </c>
      <c r="AS126" s="1" t="s">
        <v>74</v>
      </c>
      <c r="AT126" s="1" t="s">
        <v>74</v>
      </c>
      <c r="AU126" s="1">
        <v>2010.0</v>
      </c>
      <c r="AV126" s="1">
        <v>10.0</v>
      </c>
      <c r="AW126" s="1">
        <v>4.0</v>
      </c>
      <c r="AX126" s="1" t="s">
        <v>74</v>
      </c>
      <c r="AY126" s="1" t="s">
        <v>74</v>
      </c>
      <c r="AZ126" s="1" t="s">
        <v>74</v>
      </c>
      <c r="BA126" s="1" t="s">
        <v>74</v>
      </c>
      <c r="BB126" s="1">
        <v>509.0</v>
      </c>
      <c r="BC126" s="1">
        <v>536.0</v>
      </c>
      <c r="BD126" s="1" t="s">
        <v>74</v>
      </c>
      <c r="BE126" s="1" t="s">
        <v>1390</v>
      </c>
      <c r="BF126" s="2" t="str">
        <f>HYPERLINK("http://dx.doi.org/10.4067/S0718-95162010000200010","http://dx.doi.org/10.4067/S0718-95162010000200010")</f>
        <v>http://dx.doi.org/10.4067/S0718-95162010000200010</v>
      </c>
      <c r="BG126" s="1" t="s">
        <v>74</v>
      </c>
      <c r="BH126" s="1" t="s">
        <v>74</v>
      </c>
      <c r="BI126" s="1" t="s">
        <v>74</v>
      </c>
      <c r="BJ126" s="1" t="s">
        <v>74</v>
      </c>
      <c r="BK126" s="1" t="s">
        <v>74</v>
      </c>
      <c r="BL126" s="1" t="s">
        <v>74</v>
      </c>
      <c r="BM126" s="1" t="s">
        <v>74</v>
      </c>
      <c r="BN126" s="1" t="s">
        <v>74</v>
      </c>
      <c r="BO126" s="1" t="s">
        <v>74</v>
      </c>
      <c r="BP126" s="1" t="s">
        <v>74</v>
      </c>
      <c r="BQ126" s="1" t="s">
        <v>74</v>
      </c>
      <c r="BR126" s="1" t="s">
        <v>74</v>
      </c>
      <c r="BS126" s="1" t="s">
        <v>1391</v>
      </c>
      <c r="BT126" s="1" t="str">
        <f>HYPERLINK("https%3A%2F%2Fwww.webofscience.com%2Fwos%2Fwoscc%2Ffull-record%2FWOS:000288349900010","View Full Record in Web of Science")</f>
        <v>View Full Record in Web of Science</v>
      </c>
    </row>
    <row r="127" ht="12.75" customHeight="1">
      <c r="A127" s="1" t="s">
        <v>72</v>
      </c>
      <c r="B127" s="1" t="s">
        <v>1392</v>
      </c>
      <c r="C127" s="1" t="s">
        <v>74</v>
      </c>
      <c r="D127" s="1" t="s">
        <v>74</v>
      </c>
      <c r="E127" s="1" t="s">
        <v>74</v>
      </c>
      <c r="F127" s="1" t="s">
        <v>1393</v>
      </c>
      <c r="G127" s="1" t="s">
        <v>74</v>
      </c>
      <c r="H127" s="1" t="s">
        <v>74</v>
      </c>
      <c r="I127" s="1" t="s">
        <v>1394</v>
      </c>
      <c r="J127" s="1" t="s">
        <v>1395</v>
      </c>
      <c r="K127" s="1" t="s">
        <v>74</v>
      </c>
      <c r="L127" s="1" t="s">
        <v>74</v>
      </c>
      <c r="M127" s="1" t="s">
        <v>74</v>
      </c>
      <c r="N127" s="1" t="s">
        <v>74</v>
      </c>
      <c r="O127" s="1" t="s">
        <v>74</v>
      </c>
      <c r="P127" s="1" t="s">
        <v>74</v>
      </c>
      <c r="Q127" s="1" t="s">
        <v>74</v>
      </c>
      <c r="R127" s="1" t="s">
        <v>74</v>
      </c>
      <c r="S127" s="1" t="s">
        <v>74</v>
      </c>
      <c r="T127" s="1" t="s">
        <v>74</v>
      </c>
      <c r="U127" s="1" t="s">
        <v>74</v>
      </c>
      <c r="V127" s="1" t="s">
        <v>1396</v>
      </c>
      <c r="W127" s="1" t="s">
        <v>74</v>
      </c>
      <c r="X127" s="1" t="s">
        <v>74</v>
      </c>
      <c r="Y127" s="1" t="s">
        <v>74</v>
      </c>
      <c r="Z127" s="1" t="s">
        <v>74</v>
      </c>
      <c r="AA127" s="1" t="s">
        <v>1397</v>
      </c>
      <c r="AB127" s="1" t="s">
        <v>1398</v>
      </c>
      <c r="AC127" s="1" t="s">
        <v>74</v>
      </c>
      <c r="AD127" s="1" t="s">
        <v>74</v>
      </c>
      <c r="AE127" s="1" t="s">
        <v>74</v>
      </c>
      <c r="AF127" s="1" t="s">
        <v>74</v>
      </c>
      <c r="AG127" s="1" t="s">
        <v>74</v>
      </c>
      <c r="AH127" s="1" t="s">
        <v>74</v>
      </c>
      <c r="AI127" s="1" t="s">
        <v>74</v>
      </c>
      <c r="AJ127" s="1" t="s">
        <v>74</v>
      </c>
      <c r="AK127" s="1" t="s">
        <v>74</v>
      </c>
      <c r="AL127" s="1" t="s">
        <v>74</v>
      </c>
      <c r="AM127" s="1" t="s">
        <v>74</v>
      </c>
      <c r="AN127" s="1" t="s">
        <v>74</v>
      </c>
      <c r="AO127" s="1" t="s">
        <v>1399</v>
      </c>
      <c r="AP127" s="1" t="s">
        <v>1400</v>
      </c>
      <c r="AQ127" s="1" t="s">
        <v>74</v>
      </c>
      <c r="AR127" s="1" t="s">
        <v>74</v>
      </c>
      <c r="AS127" s="1" t="s">
        <v>74</v>
      </c>
      <c r="AT127" s="1" t="s">
        <v>1401</v>
      </c>
      <c r="AU127" s="1">
        <v>2009.0</v>
      </c>
      <c r="AV127" s="1">
        <v>94.0</v>
      </c>
      <c r="AW127" s="1">
        <v>2.0</v>
      </c>
      <c r="AX127" s="1" t="s">
        <v>74</v>
      </c>
      <c r="AY127" s="1" t="s">
        <v>74</v>
      </c>
      <c r="AZ127" s="1" t="s">
        <v>74</v>
      </c>
      <c r="BA127" s="1" t="s">
        <v>74</v>
      </c>
      <c r="BB127" s="1">
        <v>94.0</v>
      </c>
      <c r="BC127" s="1">
        <v>102.0</v>
      </c>
      <c r="BD127" s="1" t="s">
        <v>74</v>
      </c>
      <c r="BE127" s="1" t="s">
        <v>1402</v>
      </c>
      <c r="BF127" s="2" t="str">
        <f>HYPERLINK("http://dx.doi.org/10.1016/j.aquatox.2009.06.004","http://dx.doi.org/10.1016/j.aquatox.2009.06.004")</f>
        <v>http://dx.doi.org/10.1016/j.aquatox.2009.06.004</v>
      </c>
      <c r="BG127" s="1" t="s">
        <v>74</v>
      </c>
      <c r="BH127" s="1" t="s">
        <v>74</v>
      </c>
      <c r="BI127" s="1" t="s">
        <v>74</v>
      </c>
      <c r="BJ127" s="1" t="s">
        <v>74</v>
      </c>
      <c r="BK127" s="1" t="s">
        <v>74</v>
      </c>
      <c r="BL127" s="1" t="s">
        <v>74</v>
      </c>
      <c r="BM127" s="1" t="s">
        <v>74</v>
      </c>
      <c r="BN127" s="1">
        <v>1.9581008E7</v>
      </c>
      <c r="BO127" s="1" t="s">
        <v>74</v>
      </c>
      <c r="BP127" s="1" t="s">
        <v>74</v>
      </c>
      <c r="BQ127" s="1" t="s">
        <v>74</v>
      </c>
      <c r="BR127" s="1" t="s">
        <v>74</v>
      </c>
      <c r="BS127" s="1" t="s">
        <v>1403</v>
      </c>
      <c r="BT127" s="1" t="str">
        <f>HYPERLINK("https%3A%2F%2Fwww.webofscience.com%2Fwos%2Fwoscc%2Ffull-record%2FWOS:000270291300003","View Full Record in Web of Science")</f>
        <v>View Full Record in Web of Science</v>
      </c>
    </row>
    <row r="128" ht="12.75" customHeight="1">
      <c r="A128" s="1" t="s">
        <v>72</v>
      </c>
      <c r="B128" s="1" t="s">
        <v>1404</v>
      </c>
      <c r="C128" s="1" t="s">
        <v>74</v>
      </c>
      <c r="D128" s="1" t="s">
        <v>74</v>
      </c>
      <c r="E128" s="1" t="s">
        <v>74</v>
      </c>
      <c r="F128" s="1" t="s">
        <v>1405</v>
      </c>
      <c r="G128" s="1" t="s">
        <v>74</v>
      </c>
      <c r="H128" s="1" t="s">
        <v>74</v>
      </c>
      <c r="I128" s="1" t="s">
        <v>1406</v>
      </c>
      <c r="J128" s="1" t="s">
        <v>1407</v>
      </c>
      <c r="K128" s="1" t="s">
        <v>74</v>
      </c>
      <c r="L128" s="1" t="s">
        <v>74</v>
      </c>
      <c r="M128" s="1" t="s">
        <v>74</v>
      </c>
      <c r="N128" s="1" t="s">
        <v>74</v>
      </c>
      <c r="O128" s="1" t="s">
        <v>74</v>
      </c>
      <c r="P128" s="1" t="s">
        <v>74</v>
      </c>
      <c r="Q128" s="1" t="s">
        <v>74</v>
      </c>
      <c r="R128" s="1" t="s">
        <v>74</v>
      </c>
      <c r="S128" s="1" t="s">
        <v>74</v>
      </c>
      <c r="T128" s="1" t="s">
        <v>74</v>
      </c>
      <c r="U128" s="1" t="s">
        <v>74</v>
      </c>
      <c r="V128" s="1" t="s">
        <v>1408</v>
      </c>
      <c r="W128" s="1" t="s">
        <v>74</v>
      </c>
      <c r="X128" s="1" t="s">
        <v>74</v>
      </c>
      <c r="Y128" s="1" t="s">
        <v>74</v>
      </c>
      <c r="Z128" s="1" t="s">
        <v>74</v>
      </c>
      <c r="AA128" s="1" t="s">
        <v>1409</v>
      </c>
      <c r="AB128" s="1" t="s">
        <v>1410</v>
      </c>
      <c r="AC128" s="1" t="s">
        <v>74</v>
      </c>
      <c r="AD128" s="1" t="s">
        <v>74</v>
      </c>
      <c r="AE128" s="1" t="s">
        <v>74</v>
      </c>
      <c r="AF128" s="1" t="s">
        <v>74</v>
      </c>
      <c r="AG128" s="1" t="s">
        <v>74</v>
      </c>
      <c r="AH128" s="1" t="s">
        <v>74</v>
      </c>
      <c r="AI128" s="1" t="s">
        <v>74</v>
      </c>
      <c r="AJ128" s="1" t="s">
        <v>74</v>
      </c>
      <c r="AK128" s="1" t="s">
        <v>74</v>
      </c>
      <c r="AL128" s="1" t="s">
        <v>74</v>
      </c>
      <c r="AM128" s="1" t="s">
        <v>74</v>
      </c>
      <c r="AN128" s="1" t="s">
        <v>74</v>
      </c>
      <c r="AO128" s="1" t="s">
        <v>1411</v>
      </c>
      <c r="AP128" s="1" t="s">
        <v>74</v>
      </c>
      <c r="AQ128" s="1" t="s">
        <v>74</v>
      </c>
      <c r="AR128" s="1" t="s">
        <v>74</v>
      </c>
      <c r="AS128" s="1" t="s">
        <v>74</v>
      </c>
      <c r="AT128" s="1" t="s">
        <v>1412</v>
      </c>
      <c r="AU128" s="1">
        <v>2008.0</v>
      </c>
      <c r="AV128" s="1">
        <v>47.0</v>
      </c>
      <c r="AW128" s="1">
        <v>3.0</v>
      </c>
      <c r="AX128" s="1" t="s">
        <v>74</v>
      </c>
      <c r="AY128" s="1" t="s">
        <v>74</v>
      </c>
      <c r="AZ128" s="1" t="s">
        <v>74</v>
      </c>
      <c r="BA128" s="1" t="s">
        <v>74</v>
      </c>
      <c r="BB128" s="1">
        <v>179.0</v>
      </c>
      <c r="BC128" s="1">
        <v>183.0</v>
      </c>
      <c r="BD128" s="1" t="s">
        <v>74</v>
      </c>
      <c r="BE128" s="1" t="s">
        <v>74</v>
      </c>
      <c r="BF128" s="1" t="s">
        <v>74</v>
      </c>
      <c r="BG128" s="1" t="s">
        <v>74</v>
      </c>
      <c r="BH128" s="1" t="s">
        <v>74</v>
      </c>
      <c r="BI128" s="1" t="s">
        <v>74</v>
      </c>
      <c r="BJ128" s="1" t="s">
        <v>74</v>
      </c>
      <c r="BK128" s="1" t="s">
        <v>74</v>
      </c>
      <c r="BL128" s="1" t="s">
        <v>74</v>
      </c>
      <c r="BM128" s="1" t="s">
        <v>74</v>
      </c>
      <c r="BN128" s="1" t="s">
        <v>74</v>
      </c>
      <c r="BO128" s="1" t="s">
        <v>74</v>
      </c>
      <c r="BP128" s="1" t="s">
        <v>74</v>
      </c>
      <c r="BQ128" s="1" t="s">
        <v>74</v>
      </c>
      <c r="BR128" s="1" t="s">
        <v>74</v>
      </c>
      <c r="BS128" s="1" t="s">
        <v>1413</v>
      </c>
      <c r="BT128" s="1" t="str">
        <f>HYPERLINK("https%3A%2F%2Fwww.webofscience.com%2Fwos%2Fwoscc%2Ffull-record%2FWOS:000257673200006","View Full Record in Web of Science")</f>
        <v>View Full Record in Web of Science</v>
      </c>
    </row>
    <row r="129" ht="12.75" customHeight="1">
      <c r="A129" s="1" t="s">
        <v>72</v>
      </c>
      <c r="B129" s="1" t="s">
        <v>1414</v>
      </c>
      <c r="C129" s="1" t="s">
        <v>74</v>
      </c>
      <c r="D129" s="1" t="s">
        <v>74</v>
      </c>
      <c r="E129" s="1" t="s">
        <v>74</v>
      </c>
      <c r="F129" s="1" t="s">
        <v>1415</v>
      </c>
      <c r="G129" s="1" t="s">
        <v>74</v>
      </c>
      <c r="H129" s="1" t="s">
        <v>74</v>
      </c>
      <c r="I129" s="1" t="s">
        <v>1416</v>
      </c>
      <c r="J129" s="1" t="s">
        <v>791</v>
      </c>
      <c r="K129" s="1" t="s">
        <v>74</v>
      </c>
      <c r="L129" s="1" t="s">
        <v>74</v>
      </c>
      <c r="M129" s="1" t="s">
        <v>74</v>
      </c>
      <c r="N129" s="1" t="s">
        <v>74</v>
      </c>
      <c r="O129" s="1" t="s">
        <v>74</v>
      </c>
      <c r="P129" s="1" t="s">
        <v>74</v>
      </c>
      <c r="Q129" s="1" t="s">
        <v>74</v>
      </c>
      <c r="R129" s="1" t="s">
        <v>74</v>
      </c>
      <c r="S129" s="1" t="s">
        <v>74</v>
      </c>
      <c r="T129" s="1" t="s">
        <v>74</v>
      </c>
      <c r="U129" s="1" t="s">
        <v>74</v>
      </c>
      <c r="V129" s="1" t="s">
        <v>1417</v>
      </c>
      <c r="W129" s="1" t="s">
        <v>74</v>
      </c>
      <c r="X129" s="1" t="s">
        <v>74</v>
      </c>
      <c r="Y129" s="1" t="s">
        <v>74</v>
      </c>
      <c r="Z129" s="1" t="s">
        <v>74</v>
      </c>
      <c r="AA129" s="1" t="s">
        <v>1418</v>
      </c>
      <c r="AB129" s="1" t="s">
        <v>1419</v>
      </c>
      <c r="AC129" s="1" t="s">
        <v>74</v>
      </c>
      <c r="AD129" s="1" t="s">
        <v>74</v>
      </c>
      <c r="AE129" s="1" t="s">
        <v>74</v>
      </c>
      <c r="AF129" s="1" t="s">
        <v>74</v>
      </c>
      <c r="AG129" s="1" t="s">
        <v>74</v>
      </c>
      <c r="AH129" s="1" t="s">
        <v>74</v>
      </c>
      <c r="AI129" s="1" t="s">
        <v>74</v>
      </c>
      <c r="AJ129" s="1" t="s">
        <v>74</v>
      </c>
      <c r="AK129" s="1" t="s">
        <v>74</v>
      </c>
      <c r="AL129" s="1" t="s">
        <v>74</v>
      </c>
      <c r="AM129" s="1" t="s">
        <v>74</v>
      </c>
      <c r="AN129" s="1" t="s">
        <v>74</v>
      </c>
      <c r="AO129" s="1" t="s">
        <v>1420</v>
      </c>
      <c r="AP129" s="1" t="s">
        <v>1421</v>
      </c>
      <c r="AQ129" s="1" t="s">
        <v>74</v>
      </c>
      <c r="AR129" s="1" t="s">
        <v>74</v>
      </c>
      <c r="AS129" s="1" t="s">
        <v>74</v>
      </c>
      <c r="AT129" s="1" t="s">
        <v>180</v>
      </c>
      <c r="AU129" s="1">
        <v>2008.0</v>
      </c>
      <c r="AV129" s="1">
        <v>77.0</v>
      </c>
      <c r="AW129" s="1">
        <v>5.0</v>
      </c>
      <c r="AX129" s="1">
        <v>2.0</v>
      </c>
      <c r="AY129" s="1" t="s">
        <v>74</v>
      </c>
      <c r="AZ129" s="1" t="s">
        <v>74</v>
      </c>
      <c r="BA129" s="1" t="s">
        <v>74</v>
      </c>
      <c r="BB129" s="1" t="s">
        <v>74</v>
      </c>
      <c r="BC129" s="1" t="s">
        <v>74</v>
      </c>
      <c r="BD129" s="1">
        <v>56310.0</v>
      </c>
      <c r="BE129" s="1" t="s">
        <v>1422</v>
      </c>
      <c r="BF129" s="2" t="str">
        <f>HYPERLINK("http://dx.doi.org/10.1103/PhysRevE.77.056310","http://dx.doi.org/10.1103/PhysRevE.77.056310")</f>
        <v>http://dx.doi.org/10.1103/PhysRevE.77.056310</v>
      </c>
      <c r="BG129" s="1" t="s">
        <v>74</v>
      </c>
      <c r="BH129" s="1" t="s">
        <v>74</v>
      </c>
      <c r="BI129" s="1" t="s">
        <v>74</v>
      </c>
      <c r="BJ129" s="1" t="s">
        <v>74</v>
      </c>
      <c r="BK129" s="1" t="s">
        <v>74</v>
      </c>
      <c r="BL129" s="1" t="s">
        <v>74</v>
      </c>
      <c r="BM129" s="1" t="s">
        <v>74</v>
      </c>
      <c r="BN129" s="1">
        <v>1.8643164E7</v>
      </c>
      <c r="BO129" s="1" t="s">
        <v>74</v>
      </c>
      <c r="BP129" s="1" t="s">
        <v>74</v>
      </c>
      <c r="BQ129" s="1" t="s">
        <v>74</v>
      </c>
      <c r="BR129" s="1" t="s">
        <v>74</v>
      </c>
      <c r="BS129" s="1" t="s">
        <v>1423</v>
      </c>
      <c r="BT129" s="1" t="str">
        <f>HYPERLINK("https%3A%2F%2Fwww.webofscience.com%2Fwos%2Fwoscc%2Ffull-record%2FWOS:000256885500047","View Full Record in Web of Science")</f>
        <v>View Full Record in Web of Science</v>
      </c>
    </row>
    <row r="130" ht="12.75" customHeight="1">
      <c r="A130" s="1" t="s">
        <v>72</v>
      </c>
      <c r="B130" s="1" t="s">
        <v>1424</v>
      </c>
      <c r="C130" s="1" t="s">
        <v>74</v>
      </c>
      <c r="D130" s="1" t="s">
        <v>74</v>
      </c>
      <c r="E130" s="1" t="s">
        <v>74</v>
      </c>
      <c r="F130" s="1" t="s">
        <v>1425</v>
      </c>
      <c r="G130" s="1" t="s">
        <v>74</v>
      </c>
      <c r="H130" s="1" t="s">
        <v>74</v>
      </c>
      <c r="I130" s="1" t="s">
        <v>1426</v>
      </c>
      <c r="J130" s="1" t="s">
        <v>1427</v>
      </c>
      <c r="K130" s="1" t="s">
        <v>74</v>
      </c>
      <c r="L130" s="1" t="s">
        <v>74</v>
      </c>
      <c r="M130" s="1" t="s">
        <v>74</v>
      </c>
      <c r="N130" s="1" t="s">
        <v>74</v>
      </c>
      <c r="O130" s="1" t="s">
        <v>74</v>
      </c>
      <c r="P130" s="1" t="s">
        <v>74</v>
      </c>
      <c r="Q130" s="1" t="s">
        <v>74</v>
      </c>
      <c r="R130" s="1" t="s">
        <v>74</v>
      </c>
      <c r="S130" s="1" t="s">
        <v>74</v>
      </c>
      <c r="T130" s="1" t="s">
        <v>74</v>
      </c>
      <c r="U130" s="1" t="s">
        <v>74</v>
      </c>
      <c r="V130" s="1" t="s">
        <v>1428</v>
      </c>
      <c r="W130" s="1" t="s">
        <v>74</v>
      </c>
      <c r="X130" s="1" t="s">
        <v>74</v>
      </c>
      <c r="Y130" s="1" t="s">
        <v>74</v>
      </c>
      <c r="Z130" s="1" t="s">
        <v>74</v>
      </c>
      <c r="AA130" s="1" t="s">
        <v>1429</v>
      </c>
      <c r="AB130" s="1" t="s">
        <v>1430</v>
      </c>
      <c r="AC130" s="1" t="s">
        <v>74</v>
      </c>
      <c r="AD130" s="1" t="s">
        <v>74</v>
      </c>
      <c r="AE130" s="1" t="s">
        <v>74</v>
      </c>
      <c r="AF130" s="1" t="s">
        <v>74</v>
      </c>
      <c r="AG130" s="1" t="s">
        <v>74</v>
      </c>
      <c r="AH130" s="1" t="s">
        <v>74</v>
      </c>
      <c r="AI130" s="1" t="s">
        <v>74</v>
      </c>
      <c r="AJ130" s="1" t="s">
        <v>74</v>
      </c>
      <c r="AK130" s="1" t="s">
        <v>74</v>
      </c>
      <c r="AL130" s="1" t="s">
        <v>74</v>
      </c>
      <c r="AM130" s="1" t="s">
        <v>74</v>
      </c>
      <c r="AN130" s="1" t="s">
        <v>74</v>
      </c>
      <c r="AO130" s="1" t="s">
        <v>1431</v>
      </c>
      <c r="AP130" s="1" t="s">
        <v>1432</v>
      </c>
      <c r="AQ130" s="1" t="s">
        <v>74</v>
      </c>
      <c r="AR130" s="1" t="s">
        <v>74</v>
      </c>
      <c r="AS130" s="1" t="s">
        <v>74</v>
      </c>
      <c r="AT130" s="1" t="s">
        <v>360</v>
      </c>
      <c r="AU130" s="1">
        <v>2008.0</v>
      </c>
      <c r="AV130" s="1">
        <v>88.0</v>
      </c>
      <c r="AW130" s="1">
        <v>3.0</v>
      </c>
      <c r="AX130" s="1" t="s">
        <v>74</v>
      </c>
      <c r="AY130" s="1" t="s">
        <v>74</v>
      </c>
      <c r="AZ130" s="1" t="s">
        <v>74</v>
      </c>
      <c r="BA130" s="1" t="s">
        <v>74</v>
      </c>
      <c r="BB130" s="1">
        <v>485.0</v>
      </c>
      <c r="BC130" s="1">
        <v>492.0</v>
      </c>
      <c r="BD130" s="1" t="s">
        <v>74</v>
      </c>
      <c r="BE130" s="1" t="s">
        <v>1433</v>
      </c>
      <c r="BF130" s="2" t="str">
        <f>HYPERLINK("http://dx.doi.org/10.1002/jsfa.3111","http://dx.doi.org/10.1002/jsfa.3111")</f>
        <v>http://dx.doi.org/10.1002/jsfa.3111</v>
      </c>
      <c r="BG130" s="1" t="s">
        <v>74</v>
      </c>
      <c r="BH130" s="1" t="s">
        <v>74</v>
      </c>
      <c r="BI130" s="1" t="s">
        <v>74</v>
      </c>
      <c r="BJ130" s="1" t="s">
        <v>74</v>
      </c>
      <c r="BK130" s="1" t="s">
        <v>74</v>
      </c>
      <c r="BL130" s="1" t="s">
        <v>74</v>
      </c>
      <c r="BM130" s="1" t="s">
        <v>74</v>
      </c>
      <c r="BN130" s="1" t="s">
        <v>74</v>
      </c>
      <c r="BO130" s="1" t="s">
        <v>74</v>
      </c>
      <c r="BP130" s="1" t="s">
        <v>74</v>
      </c>
      <c r="BQ130" s="1" t="s">
        <v>74</v>
      </c>
      <c r="BR130" s="1" t="s">
        <v>74</v>
      </c>
      <c r="BS130" s="1" t="s">
        <v>1434</v>
      </c>
      <c r="BT130" s="1" t="str">
        <f>HYPERLINK("https%3A%2F%2Fwww.webofscience.com%2Fwos%2Fwoscc%2Ffull-record%2FWOS:000253057600017","View Full Record in Web of Science")</f>
        <v>View Full Record in Web of Science</v>
      </c>
    </row>
    <row r="131" ht="12.75" customHeight="1">
      <c r="A131" s="1" t="s">
        <v>72</v>
      </c>
      <c r="B131" s="1" t="s">
        <v>1435</v>
      </c>
      <c r="C131" s="1" t="s">
        <v>74</v>
      </c>
      <c r="D131" s="1" t="s">
        <v>74</v>
      </c>
      <c r="E131" s="1" t="s">
        <v>74</v>
      </c>
      <c r="F131" s="1" t="s">
        <v>1436</v>
      </c>
      <c r="G131" s="1" t="s">
        <v>74</v>
      </c>
      <c r="H131" s="1" t="s">
        <v>74</v>
      </c>
      <c r="I131" s="1" t="s">
        <v>1437</v>
      </c>
      <c r="J131" s="1" t="s">
        <v>1438</v>
      </c>
      <c r="K131" s="1" t="s">
        <v>74</v>
      </c>
      <c r="L131" s="1" t="s">
        <v>74</v>
      </c>
      <c r="M131" s="1" t="s">
        <v>74</v>
      </c>
      <c r="N131" s="1" t="s">
        <v>74</v>
      </c>
      <c r="O131" s="1" t="s">
        <v>74</v>
      </c>
      <c r="P131" s="1" t="s">
        <v>74</v>
      </c>
      <c r="Q131" s="1" t="s">
        <v>74</v>
      </c>
      <c r="R131" s="1" t="s">
        <v>74</v>
      </c>
      <c r="S131" s="1" t="s">
        <v>74</v>
      </c>
      <c r="T131" s="1" t="s">
        <v>74</v>
      </c>
      <c r="U131" s="1" t="s">
        <v>74</v>
      </c>
      <c r="V131" s="1" t="s">
        <v>1439</v>
      </c>
      <c r="W131" s="1" t="s">
        <v>74</v>
      </c>
      <c r="X131" s="1" t="s">
        <v>74</v>
      </c>
      <c r="Y131" s="1" t="s">
        <v>74</v>
      </c>
      <c r="Z131" s="1" t="s">
        <v>74</v>
      </c>
      <c r="AA131" s="1" t="s">
        <v>1440</v>
      </c>
      <c r="AB131" s="1" t="s">
        <v>1441</v>
      </c>
      <c r="AC131" s="1" t="s">
        <v>74</v>
      </c>
      <c r="AD131" s="1" t="s">
        <v>74</v>
      </c>
      <c r="AE131" s="1" t="s">
        <v>74</v>
      </c>
      <c r="AF131" s="1" t="s">
        <v>74</v>
      </c>
      <c r="AG131" s="1" t="s">
        <v>74</v>
      </c>
      <c r="AH131" s="1" t="s">
        <v>74</v>
      </c>
      <c r="AI131" s="1" t="s">
        <v>74</v>
      </c>
      <c r="AJ131" s="1" t="s">
        <v>74</v>
      </c>
      <c r="AK131" s="1" t="s">
        <v>74</v>
      </c>
      <c r="AL131" s="1" t="s">
        <v>74</v>
      </c>
      <c r="AM131" s="1" t="s">
        <v>74</v>
      </c>
      <c r="AN131" s="1" t="s">
        <v>74</v>
      </c>
      <c r="AO131" s="1" t="s">
        <v>1442</v>
      </c>
      <c r="AP131" s="1" t="s">
        <v>74</v>
      </c>
      <c r="AQ131" s="1" t="s">
        <v>74</v>
      </c>
      <c r="AR131" s="1" t="s">
        <v>74</v>
      </c>
      <c r="AS131" s="1" t="s">
        <v>74</v>
      </c>
      <c r="AT131" s="1" t="s">
        <v>169</v>
      </c>
      <c r="AU131" s="1">
        <v>2008.0</v>
      </c>
      <c r="AV131" s="1">
        <v>36.0</v>
      </c>
      <c r="AW131" s="1" t="s">
        <v>74</v>
      </c>
      <c r="AX131" s="1" t="s">
        <v>74</v>
      </c>
      <c r="AY131" s="1" t="s">
        <v>74</v>
      </c>
      <c r="AZ131" s="1" t="s">
        <v>411</v>
      </c>
      <c r="BA131" s="1" t="s">
        <v>74</v>
      </c>
      <c r="BB131" s="1" t="s">
        <v>1443</v>
      </c>
      <c r="BC131" s="1" t="s">
        <v>1444</v>
      </c>
      <c r="BD131" s="1" t="s">
        <v>74</v>
      </c>
      <c r="BE131" s="1" t="s">
        <v>1445</v>
      </c>
      <c r="BF131" s="2" t="str">
        <f>HYPERLINK("http://dx.doi.org/10.1093/nar/gkm886","http://dx.doi.org/10.1093/nar/gkm886")</f>
        <v>http://dx.doi.org/10.1093/nar/gkm886</v>
      </c>
      <c r="BG131" s="1" t="s">
        <v>74</v>
      </c>
      <c r="BH131" s="1" t="s">
        <v>74</v>
      </c>
      <c r="BI131" s="1" t="s">
        <v>74</v>
      </c>
      <c r="BJ131" s="1" t="s">
        <v>74</v>
      </c>
      <c r="BK131" s="1" t="s">
        <v>74</v>
      </c>
      <c r="BL131" s="1" t="s">
        <v>74</v>
      </c>
      <c r="BM131" s="1" t="s">
        <v>74</v>
      </c>
      <c r="BN131" s="1">
        <v>1.8096612E7</v>
      </c>
      <c r="BO131" s="1" t="s">
        <v>74</v>
      </c>
      <c r="BP131" s="1" t="s">
        <v>74</v>
      </c>
      <c r="BQ131" s="1" t="s">
        <v>74</v>
      </c>
      <c r="BR131" s="1" t="s">
        <v>74</v>
      </c>
      <c r="BS131" s="1" t="s">
        <v>1446</v>
      </c>
      <c r="BT131" s="1" t="str">
        <f>HYPERLINK("https%3A%2F%2Fwww.webofscience.com%2Fwos%2Fwoscc%2Ffull-record%2FWOS:000252545400092","View Full Record in Web of Science")</f>
        <v>View Full Record in Web of Science</v>
      </c>
    </row>
    <row r="132" ht="12.75" customHeight="1">
      <c r="A132" s="1" t="s">
        <v>72</v>
      </c>
      <c r="B132" s="1" t="s">
        <v>1447</v>
      </c>
      <c r="C132" s="1" t="s">
        <v>74</v>
      </c>
      <c r="D132" s="1" t="s">
        <v>74</v>
      </c>
      <c r="E132" s="1" t="s">
        <v>74</v>
      </c>
      <c r="F132" s="1" t="s">
        <v>1448</v>
      </c>
      <c r="G132" s="1" t="s">
        <v>74</v>
      </c>
      <c r="H132" s="1" t="s">
        <v>74</v>
      </c>
      <c r="I132" s="1" t="s">
        <v>1449</v>
      </c>
      <c r="J132" s="1" t="s">
        <v>1450</v>
      </c>
      <c r="K132" s="1" t="s">
        <v>74</v>
      </c>
      <c r="L132" s="1" t="s">
        <v>74</v>
      </c>
      <c r="M132" s="1" t="s">
        <v>74</v>
      </c>
      <c r="N132" s="1" t="s">
        <v>74</v>
      </c>
      <c r="O132" s="1" t="s">
        <v>74</v>
      </c>
      <c r="P132" s="1" t="s">
        <v>74</v>
      </c>
      <c r="Q132" s="1" t="s">
        <v>74</v>
      </c>
      <c r="R132" s="1" t="s">
        <v>74</v>
      </c>
      <c r="S132" s="1" t="s">
        <v>74</v>
      </c>
      <c r="T132" s="1" t="s">
        <v>74</v>
      </c>
      <c r="U132" s="1" t="s">
        <v>74</v>
      </c>
      <c r="V132" s="1" t="s">
        <v>1451</v>
      </c>
      <c r="W132" s="1" t="s">
        <v>74</v>
      </c>
      <c r="X132" s="1" t="s">
        <v>74</v>
      </c>
      <c r="Y132" s="1" t="s">
        <v>74</v>
      </c>
      <c r="Z132" s="1" t="s">
        <v>74</v>
      </c>
      <c r="AA132" s="1" t="s">
        <v>1452</v>
      </c>
      <c r="AB132" s="1" t="s">
        <v>1453</v>
      </c>
      <c r="AC132" s="1" t="s">
        <v>74</v>
      </c>
      <c r="AD132" s="1" t="s">
        <v>74</v>
      </c>
      <c r="AE132" s="1" t="s">
        <v>74</v>
      </c>
      <c r="AF132" s="1" t="s">
        <v>74</v>
      </c>
      <c r="AG132" s="1" t="s">
        <v>74</v>
      </c>
      <c r="AH132" s="1" t="s">
        <v>74</v>
      </c>
      <c r="AI132" s="1" t="s">
        <v>74</v>
      </c>
      <c r="AJ132" s="1" t="s">
        <v>74</v>
      </c>
      <c r="AK132" s="1" t="s">
        <v>74</v>
      </c>
      <c r="AL132" s="1" t="s">
        <v>74</v>
      </c>
      <c r="AM132" s="1" t="s">
        <v>74</v>
      </c>
      <c r="AN132" s="1" t="s">
        <v>74</v>
      </c>
      <c r="AO132" s="1" t="s">
        <v>1454</v>
      </c>
      <c r="AP132" s="1" t="s">
        <v>1455</v>
      </c>
      <c r="AQ132" s="1" t="s">
        <v>74</v>
      </c>
      <c r="AR132" s="1" t="s">
        <v>74</v>
      </c>
      <c r="AS132" s="1" t="s">
        <v>74</v>
      </c>
      <c r="AT132" s="1" t="s">
        <v>310</v>
      </c>
      <c r="AU132" s="1">
        <v>2007.0</v>
      </c>
      <c r="AV132" s="1">
        <v>31.0</v>
      </c>
      <c r="AW132" s="1">
        <v>7.0</v>
      </c>
      <c r="AX132" s="1" t="s">
        <v>74</v>
      </c>
      <c r="AY132" s="1" t="s">
        <v>74</v>
      </c>
      <c r="AZ132" s="1" t="s">
        <v>74</v>
      </c>
      <c r="BA132" s="1" t="s">
        <v>74</v>
      </c>
      <c r="BB132" s="1">
        <v>1308.0</v>
      </c>
      <c r="BC132" s="1">
        <v>1320.0</v>
      </c>
      <c r="BD132" s="1" t="s">
        <v>74</v>
      </c>
      <c r="BE132" s="1" t="s">
        <v>1456</v>
      </c>
      <c r="BF132" s="2" t="str">
        <f>HYPERLINK("http://dx.doi.org/10.1016/j.apm.2006.02.016","http://dx.doi.org/10.1016/j.apm.2006.02.016")</f>
        <v>http://dx.doi.org/10.1016/j.apm.2006.02.016</v>
      </c>
      <c r="BG132" s="1" t="s">
        <v>74</v>
      </c>
      <c r="BH132" s="1" t="s">
        <v>74</v>
      </c>
      <c r="BI132" s="1" t="s">
        <v>74</v>
      </c>
      <c r="BJ132" s="1" t="s">
        <v>74</v>
      </c>
      <c r="BK132" s="1" t="s">
        <v>74</v>
      </c>
      <c r="BL132" s="1" t="s">
        <v>74</v>
      </c>
      <c r="BM132" s="1" t="s">
        <v>74</v>
      </c>
      <c r="BN132" s="1" t="s">
        <v>74</v>
      </c>
      <c r="BO132" s="1" t="s">
        <v>74</v>
      </c>
      <c r="BP132" s="1" t="s">
        <v>74</v>
      </c>
      <c r="BQ132" s="1" t="s">
        <v>74</v>
      </c>
      <c r="BR132" s="1" t="s">
        <v>74</v>
      </c>
      <c r="BS132" s="1" t="s">
        <v>1457</v>
      </c>
      <c r="BT132" s="1" t="str">
        <f>HYPERLINK("https%3A%2F%2Fwww.webofscience.com%2Fwos%2Fwoscc%2Ffull-record%2FWOS:000245762500007","View Full Record in Web of Science")</f>
        <v>View Full Record in Web of Science</v>
      </c>
    </row>
    <row r="133" ht="12.75" customHeight="1">
      <c r="A133" s="1" t="s">
        <v>72</v>
      </c>
      <c r="B133" s="1" t="s">
        <v>1458</v>
      </c>
      <c r="C133" s="1" t="s">
        <v>74</v>
      </c>
      <c r="D133" s="1" t="s">
        <v>74</v>
      </c>
      <c r="E133" s="1" t="s">
        <v>74</v>
      </c>
      <c r="F133" s="1" t="s">
        <v>1459</v>
      </c>
      <c r="G133" s="1" t="s">
        <v>74</v>
      </c>
      <c r="H133" s="1" t="s">
        <v>74</v>
      </c>
      <c r="I133" s="1" t="s">
        <v>1460</v>
      </c>
      <c r="J133" s="1" t="s">
        <v>1461</v>
      </c>
      <c r="K133" s="1" t="s">
        <v>74</v>
      </c>
      <c r="L133" s="1" t="s">
        <v>74</v>
      </c>
      <c r="M133" s="1" t="s">
        <v>74</v>
      </c>
      <c r="N133" s="1" t="s">
        <v>74</v>
      </c>
      <c r="O133" s="1" t="s">
        <v>74</v>
      </c>
      <c r="P133" s="1" t="s">
        <v>74</v>
      </c>
      <c r="Q133" s="1" t="s">
        <v>74</v>
      </c>
      <c r="R133" s="1" t="s">
        <v>74</v>
      </c>
      <c r="S133" s="1" t="s">
        <v>74</v>
      </c>
      <c r="T133" s="1" t="s">
        <v>74</v>
      </c>
      <c r="U133" s="1" t="s">
        <v>74</v>
      </c>
      <c r="V133" s="1" t="s">
        <v>1462</v>
      </c>
      <c r="W133" s="1" t="s">
        <v>74</v>
      </c>
      <c r="X133" s="1" t="s">
        <v>74</v>
      </c>
      <c r="Y133" s="1" t="s">
        <v>74</v>
      </c>
      <c r="Z133" s="1" t="s">
        <v>74</v>
      </c>
      <c r="AA133" s="1" t="s">
        <v>1463</v>
      </c>
      <c r="AB133" s="1" t="s">
        <v>1464</v>
      </c>
      <c r="AC133" s="1" t="s">
        <v>74</v>
      </c>
      <c r="AD133" s="1" t="s">
        <v>74</v>
      </c>
      <c r="AE133" s="1" t="s">
        <v>74</v>
      </c>
      <c r="AF133" s="1" t="s">
        <v>74</v>
      </c>
      <c r="AG133" s="1" t="s">
        <v>74</v>
      </c>
      <c r="AH133" s="1" t="s">
        <v>74</v>
      </c>
      <c r="AI133" s="1" t="s">
        <v>74</v>
      </c>
      <c r="AJ133" s="1" t="s">
        <v>74</v>
      </c>
      <c r="AK133" s="1" t="s">
        <v>74</v>
      </c>
      <c r="AL133" s="1" t="s">
        <v>74</v>
      </c>
      <c r="AM133" s="1" t="s">
        <v>74</v>
      </c>
      <c r="AN133" s="1" t="s">
        <v>74</v>
      </c>
      <c r="AO133" s="1" t="s">
        <v>1465</v>
      </c>
      <c r="AP133" s="1" t="s">
        <v>74</v>
      </c>
      <c r="AQ133" s="1" t="s">
        <v>74</v>
      </c>
      <c r="AR133" s="1" t="s">
        <v>74</v>
      </c>
      <c r="AS133" s="1" t="s">
        <v>74</v>
      </c>
      <c r="AT133" s="1" t="s">
        <v>852</v>
      </c>
      <c r="AU133" s="1">
        <v>2007.0</v>
      </c>
      <c r="AV133" s="1">
        <v>83.0</v>
      </c>
      <c r="AW133" s="1">
        <v>3.0</v>
      </c>
      <c r="AX133" s="1" t="s">
        <v>74</v>
      </c>
      <c r="AY133" s="1" t="s">
        <v>74</v>
      </c>
      <c r="AZ133" s="1" t="s">
        <v>74</v>
      </c>
      <c r="BA133" s="1" t="s">
        <v>74</v>
      </c>
      <c r="BB133" s="1">
        <v>511.0</v>
      </c>
      <c r="BC133" s="1">
        <v>519.0</v>
      </c>
      <c r="BD133" s="1" t="s">
        <v>74</v>
      </c>
      <c r="BE133" s="1" t="s">
        <v>1466</v>
      </c>
      <c r="BF133" s="2" t="str">
        <f>HYPERLINK("http://dx.doi.org/10.1562/2006-08-21-RA-1009","http://dx.doi.org/10.1562/2006-08-21-RA-1009")</f>
        <v>http://dx.doi.org/10.1562/2006-08-21-RA-1009</v>
      </c>
      <c r="BG133" s="1" t="s">
        <v>74</v>
      </c>
      <c r="BH133" s="1" t="s">
        <v>74</v>
      </c>
      <c r="BI133" s="1" t="s">
        <v>74</v>
      </c>
      <c r="BJ133" s="1" t="s">
        <v>74</v>
      </c>
      <c r="BK133" s="1" t="s">
        <v>74</v>
      </c>
      <c r="BL133" s="1" t="s">
        <v>74</v>
      </c>
      <c r="BM133" s="1" t="s">
        <v>74</v>
      </c>
      <c r="BN133" s="1">
        <v>1.7132068E7</v>
      </c>
      <c r="BO133" s="1" t="s">
        <v>74</v>
      </c>
      <c r="BP133" s="1" t="s">
        <v>74</v>
      </c>
      <c r="BQ133" s="1" t="s">
        <v>74</v>
      </c>
      <c r="BR133" s="1" t="s">
        <v>74</v>
      </c>
      <c r="BS133" s="1" t="s">
        <v>1467</v>
      </c>
      <c r="BT133" s="1" t="str">
        <f>HYPERLINK("https%3A%2F%2Fwww.webofscience.com%2Fwos%2Fwoscc%2Ffull-record%2FWOS:000247327400007","View Full Record in Web of Science")</f>
        <v>View Full Record in Web of Science</v>
      </c>
    </row>
    <row r="134" ht="12.75" customHeight="1">
      <c r="A134" s="1" t="s">
        <v>251</v>
      </c>
      <c r="B134" s="1" t="s">
        <v>1468</v>
      </c>
      <c r="C134" s="1" t="s">
        <v>74</v>
      </c>
      <c r="D134" s="1" t="s">
        <v>1469</v>
      </c>
      <c r="E134" s="1" t="s">
        <v>74</v>
      </c>
      <c r="F134" s="1" t="s">
        <v>1470</v>
      </c>
      <c r="G134" s="1" t="s">
        <v>74</v>
      </c>
      <c r="H134" s="1" t="s">
        <v>74</v>
      </c>
      <c r="I134" s="1" t="s">
        <v>1471</v>
      </c>
      <c r="J134" s="1" t="s">
        <v>1472</v>
      </c>
      <c r="K134" s="1" t="s">
        <v>1473</v>
      </c>
      <c r="L134" s="1" t="s">
        <v>74</v>
      </c>
      <c r="M134" s="1" t="s">
        <v>74</v>
      </c>
      <c r="N134" s="1" t="s">
        <v>74</v>
      </c>
      <c r="O134" s="1" t="s">
        <v>1474</v>
      </c>
      <c r="P134" s="1" t="s">
        <v>1475</v>
      </c>
      <c r="Q134" s="1" t="s">
        <v>1476</v>
      </c>
      <c r="R134" s="1" t="s">
        <v>1477</v>
      </c>
      <c r="S134" s="1" t="s">
        <v>74</v>
      </c>
      <c r="T134" s="1" t="s">
        <v>74</v>
      </c>
      <c r="U134" s="1" t="s">
        <v>74</v>
      </c>
      <c r="V134" s="1" t="s">
        <v>1478</v>
      </c>
      <c r="W134" s="1" t="s">
        <v>74</v>
      </c>
      <c r="X134" s="1" t="s">
        <v>74</v>
      </c>
      <c r="Y134" s="1" t="s">
        <v>74</v>
      </c>
      <c r="Z134" s="1" t="s">
        <v>74</v>
      </c>
      <c r="AA134" s="1" t="s">
        <v>1479</v>
      </c>
      <c r="AB134" s="1" t="s">
        <v>1480</v>
      </c>
      <c r="AC134" s="1" t="s">
        <v>74</v>
      </c>
      <c r="AD134" s="1" t="s">
        <v>74</v>
      </c>
      <c r="AE134" s="1" t="s">
        <v>74</v>
      </c>
      <c r="AF134" s="1" t="s">
        <v>74</v>
      </c>
      <c r="AG134" s="1" t="s">
        <v>74</v>
      </c>
      <c r="AH134" s="1" t="s">
        <v>74</v>
      </c>
      <c r="AI134" s="1" t="s">
        <v>74</v>
      </c>
      <c r="AJ134" s="1" t="s">
        <v>74</v>
      </c>
      <c r="AK134" s="1" t="s">
        <v>74</v>
      </c>
      <c r="AL134" s="1" t="s">
        <v>74</v>
      </c>
      <c r="AM134" s="1" t="s">
        <v>74</v>
      </c>
      <c r="AN134" s="1" t="s">
        <v>74</v>
      </c>
      <c r="AO134" s="1" t="s">
        <v>74</v>
      </c>
      <c r="AP134" s="1" t="s">
        <v>74</v>
      </c>
      <c r="AQ134" s="1" t="s">
        <v>1481</v>
      </c>
      <c r="AR134" s="1" t="s">
        <v>74</v>
      </c>
      <c r="AS134" s="1" t="s">
        <v>74</v>
      </c>
      <c r="AT134" s="1" t="s">
        <v>74</v>
      </c>
      <c r="AU134" s="1">
        <v>2007.0</v>
      </c>
      <c r="AV134" s="1" t="s">
        <v>74</v>
      </c>
      <c r="AW134" s="1" t="s">
        <v>74</v>
      </c>
      <c r="AX134" s="1" t="s">
        <v>74</v>
      </c>
      <c r="AY134" s="1" t="s">
        <v>74</v>
      </c>
      <c r="AZ134" s="1" t="s">
        <v>74</v>
      </c>
      <c r="BA134" s="1" t="s">
        <v>74</v>
      </c>
      <c r="BB134" s="1">
        <v>514.0</v>
      </c>
      <c r="BC134" s="1" t="s">
        <v>576</v>
      </c>
      <c r="BD134" s="1" t="s">
        <v>74</v>
      </c>
      <c r="BE134" s="1" t="s">
        <v>74</v>
      </c>
      <c r="BF134" s="1" t="s">
        <v>74</v>
      </c>
      <c r="BG134" s="1" t="s">
        <v>74</v>
      </c>
      <c r="BH134" s="1" t="s">
        <v>74</v>
      </c>
      <c r="BI134" s="1" t="s">
        <v>74</v>
      </c>
      <c r="BJ134" s="1" t="s">
        <v>74</v>
      </c>
      <c r="BK134" s="1" t="s">
        <v>74</v>
      </c>
      <c r="BL134" s="1" t="s">
        <v>74</v>
      </c>
      <c r="BM134" s="1" t="s">
        <v>74</v>
      </c>
      <c r="BN134" s="1" t="s">
        <v>74</v>
      </c>
      <c r="BO134" s="1" t="s">
        <v>74</v>
      </c>
      <c r="BP134" s="1" t="s">
        <v>74</v>
      </c>
      <c r="BQ134" s="1" t="s">
        <v>74</v>
      </c>
      <c r="BR134" s="1" t="s">
        <v>74</v>
      </c>
      <c r="BS134" s="1" t="s">
        <v>1482</v>
      </c>
      <c r="BT134" s="1" t="str">
        <f>HYPERLINK("https%3A%2F%2Fwww.webofscience.com%2Fwos%2Fwoscc%2Ffull-record%2FWOS:000249798700091","View Full Record in Web of Science")</f>
        <v>View Full Record in Web of Science</v>
      </c>
    </row>
    <row r="135" ht="12.75" customHeight="1">
      <c r="A135" s="1" t="s">
        <v>72</v>
      </c>
      <c r="B135" s="1" t="s">
        <v>1483</v>
      </c>
      <c r="C135" s="1" t="s">
        <v>74</v>
      </c>
      <c r="D135" s="1" t="s">
        <v>74</v>
      </c>
      <c r="E135" s="1" t="s">
        <v>74</v>
      </c>
      <c r="F135" s="1" t="s">
        <v>1484</v>
      </c>
      <c r="G135" s="1" t="s">
        <v>74</v>
      </c>
      <c r="H135" s="1" t="s">
        <v>74</v>
      </c>
      <c r="I135" s="1" t="s">
        <v>1485</v>
      </c>
      <c r="J135" s="1" t="s">
        <v>1486</v>
      </c>
      <c r="K135" s="1" t="s">
        <v>74</v>
      </c>
      <c r="L135" s="1" t="s">
        <v>74</v>
      </c>
      <c r="M135" s="1" t="s">
        <v>74</v>
      </c>
      <c r="N135" s="1" t="s">
        <v>74</v>
      </c>
      <c r="O135" s="1" t="s">
        <v>74</v>
      </c>
      <c r="P135" s="1" t="s">
        <v>74</v>
      </c>
      <c r="Q135" s="1" t="s">
        <v>74</v>
      </c>
      <c r="R135" s="1" t="s">
        <v>74</v>
      </c>
      <c r="S135" s="1" t="s">
        <v>74</v>
      </c>
      <c r="T135" s="1" t="s">
        <v>74</v>
      </c>
      <c r="U135" s="1" t="s">
        <v>74</v>
      </c>
      <c r="V135" s="1" t="s">
        <v>1487</v>
      </c>
      <c r="W135" s="1" t="s">
        <v>74</v>
      </c>
      <c r="X135" s="1" t="s">
        <v>74</v>
      </c>
      <c r="Y135" s="1" t="s">
        <v>74</v>
      </c>
      <c r="Z135" s="1" t="s">
        <v>74</v>
      </c>
      <c r="AA135" s="1" t="s">
        <v>842</v>
      </c>
      <c r="AB135" s="1" t="s">
        <v>1488</v>
      </c>
      <c r="AC135" s="1" t="s">
        <v>74</v>
      </c>
      <c r="AD135" s="1" t="s">
        <v>74</v>
      </c>
      <c r="AE135" s="1" t="s">
        <v>74</v>
      </c>
      <c r="AF135" s="1" t="s">
        <v>74</v>
      </c>
      <c r="AG135" s="1" t="s">
        <v>74</v>
      </c>
      <c r="AH135" s="1" t="s">
        <v>74</v>
      </c>
      <c r="AI135" s="1" t="s">
        <v>74</v>
      </c>
      <c r="AJ135" s="1" t="s">
        <v>74</v>
      </c>
      <c r="AK135" s="1" t="s">
        <v>74</v>
      </c>
      <c r="AL135" s="1" t="s">
        <v>74</v>
      </c>
      <c r="AM135" s="1" t="s">
        <v>74</v>
      </c>
      <c r="AN135" s="1" t="s">
        <v>74</v>
      </c>
      <c r="AO135" s="1" t="s">
        <v>1489</v>
      </c>
      <c r="AP135" s="1" t="s">
        <v>74</v>
      </c>
      <c r="AQ135" s="1" t="s">
        <v>74</v>
      </c>
      <c r="AR135" s="1" t="s">
        <v>74</v>
      </c>
      <c r="AS135" s="1" t="s">
        <v>74</v>
      </c>
      <c r="AT135" s="1" t="s">
        <v>74</v>
      </c>
      <c r="AU135" s="1">
        <v>2007.0</v>
      </c>
      <c r="AV135" s="1">
        <v>135.0</v>
      </c>
      <c r="AW135" s="1">
        <v>2.0</v>
      </c>
      <c r="AX135" s="1" t="s">
        <v>74</v>
      </c>
      <c r="AY135" s="1" t="s">
        <v>74</v>
      </c>
      <c r="AZ135" s="1" t="s">
        <v>74</v>
      </c>
      <c r="BA135" s="1" t="s">
        <v>74</v>
      </c>
      <c r="BB135" s="1">
        <v>531.0</v>
      </c>
      <c r="BC135" s="1">
        <v>540.0</v>
      </c>
      <c r="BD135" s="1" t="s">
        <v>74</v>
      </c>
      <c r="BE135" s="1" t="s">
        <v>1490</v>
      </c>
      <c r="BF135" s="2" t="str">
        <f>HYPERLINK("http://dx.doi.org/10.1090/S0002-9939-06-08487-5","http://dx.doi.org/10.1090/S0002-9939-06-08487-5")</f>
        <v>http://dx.doi.org/10.1090/S0002-9939-06-08487-5</v>
      </c>
      <c r="BG135" s="1" t="s">
        <v>74</v>
      </c>
      <c r="BH135" s="1" t="s">
        <v>74</v>
      </c>
      <c r="BI135" s="1" t="s">
        <v>74</v>
      </c>
      <c r="BJ135" s="1" t="s">
        <v>74</v>
      </c>
      <c r="BK135" s="1" t="s">
        <v>74</v>
      </c>
      <c r="BL135" s="1" t="s">
        <v>74</v>
      </c>
      <c r="BM135" s="1" t="s">
        <v>74</v>
      </c>
      <c r="BN135" s="1" t="s">
        <v>74</v>
      </c>
      <c r="BO135" s="1" t="s">
        <v>74</v>
      </c>
      <c r="BP135" s="1" t="s">
        <v>74</v>
      </c>
      <c r="BQ135" s="1" t="s">
        <v>74</v>
      </c>
      <c r="BR135" s="1" t="s">
        <v>74</v>
      </c>
      <c r="BS135" s="1" t="s">
        <v>1491</v>
      </c>
      <c r="BT135" s="1" t="str">
        <f>HYPERLINK("https%3A%2F%2Fwww.webofscience.com%2Fwos%2Fwoscc%2Ffull-record%2FWOS:000242238000024","View Full Record in Web of Science")</f>
        <v>View Full Record in Web of Science</v>
      </c>
    </row>
    <row r="136" ht="12.75" customHeight="1">
      <c r="A136" s="1" t="s">
        <v>251</v>
      </c>
      <c r="B136" s="1" t="s">
        <v>1492</v>
      </c>
      <c r="C136" s="1" t="s">
        <v>74</v>
      </c>
      <c r="D136" s="1" t="s">
        <v>1493</v>
      </c>
      <c r="E136" s="1" t="s">
        <v>74</v>
      </c>
      <c r="F136" s="1" t="s">
        <v>1492</v>
      </c>
      <c r="G136" s="1" t="s">
        <v>74</v>
      </c>
      <c r="H136" s="1" t="s">
        <v>74</v>
      </c>
      <c r="I136" s="1" t="s">
        <v>1494</v>
      </c>
      <c r="J136" s="1" t="s">
        <v>1495</v>
      </c>
      <c r="K136" s="1" t="s">
        <v>1496</v>
      </c>
      <c r="L136" s="1" t="s">
        <v>74</v>
      </c>
      <c r="M136" s="1" t="s">
        <v>74</v>
      </c>
      <c r="N136" s="1" t="s">
        <v>74</v>
      </c>
      <c r="O136" s="1" t="s">
        <v>1497</v>
      </c>
      <c r="P136" s="1" t="s">
        <v>1498</v>
      </c>
      <c r="Q136" s="1" t="s">
        <v>1499</v>
      </c>
      <c r="R136" s="1" t="s">
        <v>74</v>
      </c>
      <c r="S136" s="1" t="s">
        <v>74</v>
      </c>
      <c r="T136" s="1" t="s">
        <v>74</v>
      </c>
      <c r="U136" s="1" t="s">
        <v>74</v>
      </c>
      <c r="V136" s="1" t="s">
        <v>1500</v>
      </c>
      <c r="W136" s="1" t="s">
        <v>74</v>
      </c>
      <c r="X136" s="1" t="s">
        <v>74</v>
      </c>
      <c r="Y136" s="1" t="s">
        <v>74</v>
      </c>
      <c r="Z136" s="1" t="s">
        <v>74</v>
      </c>
      <c r="AA136" s="1" t="s">
        <v>74</v>
      </c>
      <c r="AB136" s="1" t="s">
        <v>74</v>
      </c>
      <c r="AC136" s="1" t="s">
        <v>74</v>
      </c>
      <c r="AD136" s="1" t="s">
        <v>74</v>
      </c>
      <c r="AE136" s="1" t="s">
        <v>74</v>
      </c>
      <c r="AF136" s="1" t="s">
        <v>74</v>
      </c>
      <c r="AG136" s="1" t="s">
        <v>74</v>
      </c>
      <c r="AH136" s="1" t="s">
        <v>74</v>
      </c>
      <c r="AI136" s="1" t="s">
        <v>74</v>
      </c>
      <c r="AJ136" s="1" t="s">
        <v>74</v>
      </c>
      <c r="AK136" s="1" t="s">
        <v>74</v>
      </c>
      <c r="AL136" s="1" t="s">
        <v>74</v>
      </c>
      <c r="AM136" s="1" t="s">
        <v>74</v>
      </c>
      <c r="AN136" s="1" t="s">
        <v>74</v>
      </c>
      <c r="AO136" s="1" t="s">
        <v>74</v>
      </c>
      <c r="AP136" s="1" t="s">
        <v>74</v>
      </c>
      <c r="AQ136" s="1" t="s">
        <v>1501</v>
      </c>
      <c r="AR136" s="1" t="s">
        <v>74</v>
      </c>
      <c r="AS136" s="1" t="s">
        <v>74</v>
      </c>
      <c r="AT136" s="1" t="s">
        <v>74</v>
      </c>
      <c r="AU136" s="1">
        <v>2006.0</v>
      </c>
      <c r="AV136" s="1">
        <v>66.0</v>
      </c>
      <c r="AW136" s="1" t="s">
        <v>74</v>
      </c>
      <c r="AX136" s="1" t="s">
        <v>74</v>
      </c>
      <c r="AY136" s="1" t="s">
        <v>74</v>
      </c>
      <c r="AZ136" s="1" t="s">
        <v>74</v>
      </c>
      <c r="BA136" s="1" t="s">
        <v>74</v>
      </c>
      <c r="BB136" s="1">
        <v>233.0</v>
      </c>
      <c r="BC136" s="1" t="s">
        <v>576</v>
      </c>
      <c r="BD136" s="1" t="s">
        <v>74</v>
      </c>
      <c r="BE136" s="1" t="s">
        <v>74</v>
      </c>
      <c r="BF136" s="1" t="s">
        <v>74</v>
      </c>
      <c r="BG136" s="1" t="s">
        <v>74</v>
      </c>
      <c r="BH136" s="1" t="s">
        <v>74</v>
      </c>
      <c r="BI136" s="1" t="s">
        <v>74</v>
      </c>
      <c r="BJ136" s="1" t="s">
        <v>74</v>
      </c>
      <c r="BK136" s="1" t="s">
        <v>74</v>
      </c>
      <c r="BL136" s="1" t="s">
        <v>74</v>
      </c>
      <c r="BM136" s="1" t="s">
        <v>74</v>
      </c>
      <c r="BN136" s="1" t="s">
        <v>74</v>
      </c>
      <c r="BO136" s="1" t="s">
        <v>74</v>
      </c>
      <c r="BP136" s="1" t="s">
        <v>74</v>
      </c>
      <c r="BQ136" s="1" t="s">
        <v>74</v>
      </c>
      <c r="BR136" s="1" t="s">
        <v>74</v>
      </c>
      <c r="BS136" s="1" t="s">
        <v>1502</v>
      </c>
      <c r="BT136" s="1" t="str">
        <f>HYPERLINK("https%3A%2F%2Fwww.webofscience.com%2Fwos%2Fwoscc%2Ffull-record%2FWOS:000235351500016","View Full Record in Web of Science")</f>
        <v>View Full Record in Web of Science</v>
      </c>
    </row>
    <row r="137" ht="12.75" customHeight="1">
      <c r="A137" s="1" t="s">
        <v>72</v>
      </c>
      <c r="B137" s="1" t="s">
        <v>1503</v>
      </c>
      <c r="C137" s="1" t="s">
        <v>74</v>
      </c>
      <c r="D137" s="1" t="s">
        <v>74</v>
      </c>
      <c r="E137" s="1" t="s">
        <v>74</v>
      </c>
      <c r="F137" s="1" t="s">
        <v>1503</v>
      </c>
      <c r="G137" s="1" t="s">
        <v>74</v>
      </c>
      <c r="H137" s="1" t="s">
        <v>74</v>
      </c>
      <c r="I137" s="1" t="s">
        <v>1504</v>
      </c>
      <c r="J137" s="1" t="s">
        <v>1505</v>
      </c>
      <c r="K137" s="1" t="s">
        <v>74</v>
      </c>
      <c r="L137" s="1" t="s">
        <v>74</v>
      </c>
      <c r="M137" s="1" t="s">
        <v>74</v>
      </c>
      <c r="N137" s="1" t="s">
        <v>74</v>
      </c>
      <c r="O137" s="1" t="s">
        <v>1506</v>
      </c>
      <c r="P137" s="1" t="s">
        <v>1507</v>
      </c>
      <c r="Q137" s="1" t="s">
        <v>964</v>
      </c>
      <c r="R137" s="1" t="s">
        <v>1508</v>
      </c>
      <c r="S137" s="1" t="s">
        <v>74</v>
      </c>
      <c r="T137" s="1" t="s">
        <v>74</v>
      </c>
      <c r="U137" s="1" t="s">
        <v>74</v>
      </c>
      <c r="V137" s="1" t="s">
        <v>74</v>
      </c>
      <c r="W137" s="1" t="s">
        <v>74</v>
      </c>
      <c r="X137" s="1" t="s">
        <v>74</v>
      </c>
      <c r="Y137" s="1" t="s">
        <v>74</v>
      </c>
      <c r="Z137" s="1" t="s">
        <v>74</v>
      </c>
      <c r="AA137" s="1" t="s">
        <v>1509</v>
      </c>
      <c r="AB137" s="1" t="s">
        <v>74</v>
      </c>
      <c r="AC137" s="1" t="s">
        <v>74</v>
      </c>
      <c r="AD137" s="1" t="s">
        <v>74</v>
      </c>
      <c r="AE137" s="1" t="s">
        <v>74</v>
      </c>
      <c r="AF137" s="1" t="s">
        <v>74</v>
      </c>
      <c r="AG137" s="1" t="s">
        <v>74</v>
      </c>
      <c r="AH137" s="1" t="s">
        <v>74</v>
      </c>
      <c r="AI137" s="1" t="s">
        <v>74</v>
      </c>
      <c r="AJ137" s="1" t="s">
        <v>74</v>
      </c>
      <c r="AK137" s="1" t="s">
        <v>74</v>
      </c>
      <c r="AL137" s="1" t="s">
        <v>74</v>
      </c>
      <c r="AM137" s="1" t="s">
        <v>74</v>
      </c>
      <c r="AN137" s="1" t="s">
        <v>74</v>
      </c>
      <c r="AO137" s="1" t="s">
        <v>1510</v>
      </c>
      <c r="AP137" s="1" t="s">
        <v>74</v>
      </c>
      <c r="AQ137" s="1" t="s">
        <v>74</v>
      </c>
      <c r="AR137" s="1" t="s">
        <v>74</v>
      </c>
      <c r="AS137" s="1" t="s">
        <v>74</v>
      </c>
      <c r="AT137" s="1" t="s">
        <v>1049</v>
      </c>
      <c r="AU137" s="1">
        <v>2004.0</v>
      </c>
      <c r="AV137" s="1">
        <v>15.0</v>
      </c>
      <c r="AW137" s="1" t="s">
        <v>74</v>
      </c>
      <c r="AX137" s="1" t="s">
        <v>74</v>
      </c>
      <c r="AY137" s="1" t="s">
        <v>1511</v>
      </c>
      <c r="AZ137" s="1" t="s">
        <v>74</v>
      </c>
      <c r="BA137" s="1">
        <v>708.0</v>
      </c>
      <c r="BB137" s="1" t="s">
        <v>1512</v>
      </c>
      <c r="BC137" s="1" t="s">
        <v>1512</v>
      </c>
      <c r="BD137" s="1" t="s">
        <v>74</v>
      </c>
      <c r="BE137" s="1" t="s">
        <v>74</v>
      </c>
      <c r="BF137" s="1" t="s">
        <v>74</v>
      </c>
      <c r="BG137" s="1" t="s">
        <v>74</v>
      </c>
      <c r="BH137" s="1" t="s">
        <v>74</v>
      </c>
      <c r="BI137" s="1" t="s">
        <v>74</v>
      </c>
      <c r="BJ137" s="1" t="s">
        <v>74</v>
      </c>
      <c r="BK137" s="1" t="s">
        <v>74</v>
      </c>
      <c r="BL137" s="1" t="s">
        <v>74</v>
      </c>
      <c r="BM137" s="1" t="s">
        <v>74</v>
      </c>
      <c r="BN137" s="1" t="s">
        <v>74</v>
      </c>
      <c r="BO137" s="1" t="s">
        <v>74</v>
      </c>
      <c r="BP137" s="1" t="s">
        <v>74</v>
      </c>
      <c r="BQ137" s="1" t="s">
        <v>74</v>
      </c>
      <c r="BR137" s="1" t="s">
        <v>74</v>
      </c>
      <c r="BS137" s="1" t="s">
        <v>1513</v>
      </c>
      <c r="BT137" s="1" t="str">
        <f>HYPERLINK("https%3A%2F%2Fwww.webofscience.com%2Fwos%2Fwoscc%2Ffull-record%2FWOS:000224648801053","View Full Record in Web of Science")</f>
        <v>View Full Record in Web of Science</v>
      </c>
    </row>
    <row r="138" ht="12.75" customHeight="1">
      <c r="A138" s="1" t="s">
        <v>72</v>
      </c>
      <c r="B138" s="1" t="s">
        <v>1514</v>
      </c>
      <c r="C138" s="1" t="s">
        <v>74</v>
      </c>
      <c r="D138" s="1" t="s">
        <v>74</v>
      </c>
      <c r="E138" s="1" t="s">
        <v>74</v>
      </c>
      <c r="F138" s="1" t="s">
        <v>1514</v>
      </c>
      <c r="G138" s="1" t="s">
        <v>74</v>
      </c>
      <c r="H138" s="1" t="s">
        <v>74</v>
      </c>
      <c r="I138" s="1" t="s">
        <v>1515</v>
      </c>
      <c r="J138" s="1" t="s">
        <v>1516</v>
      </c>
      <c r="K138" s="1" t="s">
        <v>74</v>
      </c>
      <c r="L138" s="1" t="s">
        <v>74</v>
      </c>
      <c r="M138" s="1" t="s">
        <v>74</v>
      </c>
      <c r="N138" s="1" t="s">
        <v>74</v>
      </c>
      <c r="O138" s="1" t="s">
        <v>74</v>
      </c>
      <c r="P138" s="1" t="s">
        <v>74</v>
      </c>
      <c r="Q138" s="1" t="s">
        <v>74</v>
      </c>
      <c r="R138" s="1" t="s">
        <v>74</v>
      </c>
      <c r="S138" s="1" t="s">
        <v>74</v>
      </c>
      <c r="T138" s="1" t="s">
        <v>74</v>
      </c>
      <c r="U138" s="1" t="s">
        <v>74</v>
      </c>
      <c r="V138" s="1" t="s">
        <v>1517</v>
      </c>
      <c r="W138" s="1" t="s">
        <v>74</v>
      </c>
      <c r="X138" s="1" t="s">
        <v>74</v>
      </c>
      <c r="Y138" s="1" t="s">
        <v>74</v>
      </c>
      <c r="Z138" s="1" t="s">
        <v>74</v>
      </c>
      <c r="AA138" s="1" t="s">
        <v>1518</v>
      </c>
      <c r="AB138" s="1" t="s">
        <v>1519</v>
      </c>
      <c r="AC138" s="1" t="s">
        <v>74</v>
      </c>
      <c r="AD138" s="1" t="s">
        <v>74</v>
      </c>
      <c r="AE138" s="1" t="s">
        <v>74</v>
      </c>
      <c r="AF138" s="1" t="s">
        <v>74</v>
      </c>
      <c r="AG138" s="1" t="s">
        <v>74</v>
      </c>
      <c r="AH138" s="1" t="s">
        <v>74</v>
      </c>
      <c r="AI138" s="1" t="s">
        <v>74</v>
      </c>
      <c r="AJ138" s="1" t="s">
        <v>74</v>
      </c>
      <c r="AK138" s="1" t="s">
        <v>74</v>
      </c>
      <c r="AL138" s="1" t="s">
        <v>74</v>
      </c>
      <c r="AM138" s="1" t="s">
        <v>74</v>
      </c>
      <c r="AN138" s="1" t="s">
        <v>74</v>
      </c>
      <c r="AO138" s="1" t="s">
        <v>1520</v>
      </c>
      <c r="AP138" s="1" t="s">
        <v>1521</v>
      </c>
      <c r="AQ138" s="1" t="s">
        <v>74</v>
      </c>
      <c r="AR138" s="1" t="s">
        <v>74</v>
      </c>
      <c r="AS138" s="1" t="s">
        <v>74</v>
      </c>
      <c r="AT138" s="1" t="s">
        <v>215</v>
      </c>
      <c r="AU138" s="1">
        <v>2004.0</v>
      </c>
      <c r="AV138" s="1">
        <v>10.0</v>
      </c>
      <c r="AW138" s="1">
        <v>3.0</v>
      </c>
      <c r="AX138" s="1" t="s">
        <v>74</v>
      </c>
      <c r="AY138" s="1" t="s">
        <v>74</v>
      </c>
      <c r="AZ138" s="1" t="s">
        <v>74</v>
      </c>
      <c r="BA138" s="1" t="s">
        <v>74</v>
      </c>
      <c r="BB138" s="1">
        <v>163.0</v>
      </c>
      <c r="BC138" s="1">
        <v>170.0</v>
      </c>
      <c r="BD138" s="1" t="s">
        <v>74</v>
      </c>
      <c r="BE138" s="1" t="s">
        <v>1522</v>
      </c>
      <c r="BF138" s="2" t="str">
        <f>HYPERLINK("http://dx.doi.org/10.1177/1082013204044828","http://dx.doi.org/10.1177/1082013204044828")</f>
        <v>http://dx.doi.org/10.1177/1082013204044828</v>
      </c>
      <c r="BG138" s="1" t="s">
        <v>74</v>
      </c>
      <c r="BH138" s="1" t="s">
        <v>74</v>
      </c>
      <c r="BI138" s="1" t="s">
        <v>74</v>
      </c>
      <c r="BJ138" s="1" t="s">
        <v>74</v>
      </c>
      <c r="BK138" s="1" t="s">
        <v>74</v>
      </c>
      <c r="BL138" s="1" t="s">
        <v>74</v>
      </c>
      <c r="BM138" s="1" t="s">
        <v>74</v>
      </c>
      <c r="BN138" s="1" t="s">
        <v>74</v>
      </c>
      <c r="BO138" s="1" t="s">
        <v>74</v>
      </c>
      <c r="BP138" s="1" t="s">
        <v>74</v>
      </c>
      <c r="BQ138" s="1" t="s">
        <v>74</v>
      </c>
      <c r="BR138" s="1" t="s">
        <v>74</v>
      </c>
      <c r="BS138" s="1" t="s">
        <v>1523</v>
      </c>
      <c r="BT138" s="1" t="str">
        <f>HYPERLINK("https%3A%2F%2Fwww.webofscience.com%2Fwos%2Fwoscc%2Ffull-record%2FWOS:000222108700004","View Full Record in Web of Science")</f>
        <v>View Full Record in Web of Science</v>
      </c>
    </row>
    <row r="139" ht="12.75" customHeight="1">
      <c r="A139" s="1" t="s">
        <v>72</v>
      </c>
      <c r="B139" s="1" t="s">
        <v>1524</v>
      </c>
      <c r="C139" s="1" t="s">
        <v>74</v>
      </c>
      <c r="D139" s="1" t="s">
        <v>74</v>
      </c>
      <c r="E139" s="1" t="s">
        <v>74</v>
      </c>
      <c r="F139" s="1" t="s">
        <v>1524</v>
      </c>
      <c r="G139" s="1" t="s">
        <v>74</v>
      </c>
      <c r="H139" s="1" t="s">
        <v>74</v>
      </c>
      <c r="I139" s="1" t="s">
        <v>1525</v>
      </c>
      <c r="J139" s="1" t="s">
        <v>1526</v>
      </c>
      <c r="K139" s="1" t="s">
        <v>74</v>
      </c>
      <c r="L139" s="1" t="s">
        <v>74</v>
      </c>
      <c r="M139" s="1" t="s">
        <v>74</v>
      </c>
      <c r="N139" s="1" t="s">
        <v>74</v>
      </c>
      <c r="O139" s="1" t="s">
        <v>74</v>
      </c>
      <c r="P139" s="1" t="s">
        <v>74</v>
      </c>
      <c r="Q139" s="1" t="s">
        <v>74</v>
      </c>
      <c r="R139" s="1" t="s">
        <v>74</v>
      </c>
      <c r="S139" s="1" t="s">
        <v>74</v>
      </c>
      <c r="T139" s="1" t="s">
        <v>74</v>
      </c>
      <c r="U139" s="1" t="s">
        <v>74</v>
      </c>
      <c r="V139" s="1" t="s">
        <v>1527</v>
      </c>
      <c r="W139" s="1" t="s">
        <v>74</v>
      </c>
      <c r="X139" s="1" t="s">
        <v>74</v>
      </c>
      <c r="Y139" s="1" t="s">
        <v>74</v>
      </c>
      <c r="Z139" s="1" t="s">
        <v>74</v>
      </c>
      <c r="AA139" s="1" t="s">
        <v>74</v>
      </c>
      <c r="AB139" s="1" t="s">
        <v>1528</v>
      </c>
      <c r="AC139" s="1" t="s">
        <v>74</v>
      </c>
      <c r="AD139" s="1" t="s">
        <v>74</v>
      </c>
      <c r="AE139" s="1" t="s">
        <v>74</v>
      </c>
      <c r="AF139" s="1" t="s">
        <v>74</v>
      </c>
      <c r="AG139" s="1" t="s">
        <v>74</v>
      </c>
      <c r="AH139" s="1" t="s">
        <v>74</v>
      </c>
      <c r="AI139" s="1" t="s">
        <v>74</v>
      </c>
      <c r="AJ139" s="1" t="s">
        <v>74</v>
      </c>
      <c r="AK139" s="1" t="s">
        <v>74</v>
      </c>
      <c r="AL139" s="1" t="s">
        <v>74</v>
      </c>
      <c r="AM139" s="1" t="s">
        <v>74</v>
      </c>
      <c r="AN139" s="1" t="s">
        <v>74</v>
      </c>
      <c r="AO139" s="1" t="s">
        <v>1529</v>
      </c>
      <c r="AP139" s="1" t="s">
        <v>74</v>
      </c>
      <c r="AQ139" s="1" t="s">
        <v>74</v>
      </c>
      <c r="AR139" s="1" t="s">
        <v>74</v>
      </c>
      <c r="AS139" s="1" t="s">
        <v>74</v>
      </c>
      <c r="AT139" s="1" t="s">
        <v>123</v>
      </c>
      <c r="AU139" s="1">
        <v>2003.0</v>
      </c>
      <c r="AV139" s="1">
        <v>35.0</v>
      </c>
      <c r="AW139" s="1">
        <v>10.0</v>
      </c>
      <c r="AX139" s="1" t="s">
        <v>74</v>
      </c>
      <c r="AY139" s="1" t="s">
        <v>74</v>
      </c>
      <c r="AZ139" s="1" t="s">
        <v>74</v>
      </c>
      <c r="BA139" s="1" t="s">
        <v>74</v>
      </c>
      <c r="BB139" s="1">
        <v>525.0</v>
      </c>
      <c r="BC139" s="1">
        <v>531.0</v>
      </c>
      <c r="BD139" s="1" t="s">
        <v>74</v>
      </c>
      <c r="BE139" s="1" t="s">
        <v>1530</v>
      </c>
      <c r="BF139" s="2" t="str">
        <f>HYPERLINK("http://dx.doi.org/10.1002/kin.10151","http://dx.doi.org/10.1002/kin.10151")</f>
        <v>http://dx.doi.org/10.1002/kin.10151</v>
      </c>
      <c r="BG139" s="1" t="s">
        <v>74</v>
      </c>
      <c r="BH139" s="1" t="s">
        <v>74</v>
      </c>
      <c r="BI139" s="1" t="s">
        <v>74</v>
      </c>
      <c r="BJ139" s="1" t="s">
        <v>74</v>
      </c>
      <c r="BK139" s="1" t="s">
        <v>74</v>
      </c>
      <c r="BL139" s="1" t="s">
        <v>74</v>
      </c>
      <c r="BM139" s="1" t="s">
        <v>74</v>
      </c>
      <c r="BN139" s="1" t="s">
        <v>74</v>
      </c>
      <c r="BO139" s="1" t="s">
        <v>74</v>
      </c>
      <c r="BP139" s="1" t="s">
        <v>74</v>
      </c>
      <c r="BQ139" s="1" t="s">
        <v>74</v>
      </c>
      <c r="BR139" s="1" t="s">
        <v>74</v>
      </c>
      <c r="BS139" s="1" t="s">
        <v>1531</v>
      </c>
      <c r="BT139" s="1" t="str">
        <f>HYPERLINK("https%3A%2F%2Fwww.webofscience.com%2Fwos%2Fwoscc%2Ffull-record%2FWOS:000185338700005","View Full Record in Web of Science")</f>
        <v>View Full Record in Web of Science</v>
      </c>
    </row>
    <row r="140" ht="12.75" customHeight="1">
      <c r="A140" s="1" t="s">
        <v>72</v>
      </c>
      <c r="B140" s="1" t="s">
        <v>1532</v>
      </c>
      <c r="C140" s="1" t="s">
        <v>74</v>
      </c>
      <c r="D140" s="1" t="s">
        <v>74</v>
      </c>
      <c r="E140" s="1" t="s">
        <v>74</v>
      </c>
      <c r="F140" s="1" t="s">
        <v>1532</v>
      </c>
      <c r="G140" s="1" t="s">
        <v>74</v>
      </c>
      <c r="H140" s="1" t="s">
        <v>74</v>
      </c>
      <c r="I140" s="1" t="s">
        <v>1533</v>
      </c>
      <c r="J140" s="1" t="s">
        <v>1534</v>
      </c>
      <c r="K140" s="1" t="s">
        <v>74</v>
      </c>
      <c r="L140" s="1" t="s">
        <v>74</v>
      </c>
      <c r="M140" s="1" t="s">
        <v>74</v>
      </c>
      <c r="N140" s="1" t="s">
        <v>74</v>
      </c>
      <c r="O140" s="1" t="s">
        <v>74</v>
      </c>
      <c r="P140" s="1" t="s">
        <v>74</v>
      </c>
      <c r="Q140" s="1" t="s">
        <v>74</v>
      </c>
      <c r="R140" s="1" t="s">
        <v>74</v>
      </c>
      <c r="S140" s="1" t="s">
        <v>74</v>
      </c>
      <c r="T140" s="1" t="s">
        <v>74</v>
      </c>
      <c r="U140" s="1" t="s">
        <v>74</v>
      </c>
      <c r="V140" s="1" t="s">
        <v>1535</v>
      </c>
      <c r="W140" s="1" t="s">
        <v>74</v>
      </c>
      <c r="X140" s="1" t="s">
        <v>74</v>
      </c>
      <c r="Y140" s="1" t="s">
        <v>74</v>
      </c>
      <c r="Z140" s="1" t="s">
        <v>74</v>
      </c>
      <c r="AA140" s="1" t="s">
        <v>1536</v>
      </c>
      <c r="AB140" s="1" t="s">
        <v>1537</v>
      </c>
      <c r="AC140" s="1" t="s">
        <v>74</v>
      </c>
      <c r="AD140" s="1" t="s">
        <v>74</v>
      </c>
      <c r="AE140" s="1" t="s">
        <v>74</v>
      </c>
      <c r="AF140" s="1" t="s">
        <v>74</v>
      </c>
      <c r="AG140" s="1" t="s">
        <v>74</v>
      </c>
      <c r="AH140" s="1" t="s">
        <v>74</v>
      </c>
      <c r="AI140" s="1" t="s">
        <v>74</v>
      </c>
      <c r="AJ140" s="1" t="s">
        <v>74</v>
      </c>
      <c r="AK140" s="1" t="s">
        <v>74</v>
      </c>
      <c r="AL140" s="1" t="s">
        <v>74</v>
      </c>
      <c r="AM140" s="1" t="s">
        <v>74</v>
      </c>
      <c r="AN140" s="1" t="s">
        <v>74</v>
      </c>
      <c r="AO140" s="1" t="s">
        <v>1538</v>
      </c>
      <c r="AP140" s="1" t="s">
        <v>74</v>
      </c>
      <c r="AQ140" s="1" t="s">
        <v>74</v>
      </c>
      <c r="AR140" s="1" t="s">
        <v>74</v>
      </c>
      <c r="AS140" s="1" t="s">
        <v>74</v>
      </c>
      <c r="AT140" s="1" t="s">
        <v>215</v>
      </c>
      <c r="AU140" s="1">
        <v>2003.0</v>
      </c>
      <c r="AV140" s="1">
        <v>22.0</v>
      </c>
      <c r="AW140" s="1">
        <v>4.0</v>
      </c>
      <c r="AX140" s="1" t="s">
        <v>74</v>
      </c>
      <c r="AY140" s="1" t="s">
        <v>74</v>
      </c>
      <c r="AZ140" s="1" t="s">
        <v>74</v>
      </c>
      <c r="BA140" s="1" t="s">
        <v>74</v>
      </c>
      <c r="BB140" s="1">
        <v>369.0</v>
      </c>
      <c r="BC140" s="1">
        <v>375.0</v>
      </c>
      <c r="BD140" s="1" t="s">
        <v>74</v>
      </c>
      <c r="BE140" s="1" t="s">
        <v>1539</v>
      </c>
      <c r="BF140" s="2" t="str">
        <f>HYPERLINK("http://dx.doi.org/10.1016/S0925-3467(02)00371-3","http://dx.doi.org/10.1016/S0925-3467(02)00371-3")</f>
        <v>http://dx.doi.org/10.1016/S0925-3467(02)00371-3</v>
      </c>
      <c r="BG140" s="1" t="s">
        <v>74</v>
      </c>
      <c r="BH140" s="1" t="s">
        <v>74</v>
      </c>
      <c r="BI140" s="1" t="s">
        <v>74</v>
      </c>
      <c r="BJ140" s="1" t="s">
        <v>74</v>
      </c>
      <c r="BK140" s="1" t="s">
        <v>74</v>
      </c>
      <c r="BL140" s="1" t="s">
        <v>74</v>
      </c>
      <c r="BM140" s="1" t="s">
        <v>74</v>
      </c>
      <c r="BN140" s="1" t="s">
        <v>74</v>
      </c>
      <c r="BO140" s="1" t="s">
        <v>74</v>
      </c>
      <c r="BP140" s="1" t="s">
        <v>74</v>
      </c>
      <c r="BQ140" s="1" t="s">
        <v>74</v>
      </c>
      <c r="BR140" s="1" t="s">
        <v>74</v>
      </c>
      <c r="BS140" s="1" t="s">
        <v>1540</v>
      </c>
      <c r="BT140" s="1" t="str">
        <f>HYPERLINK("https%3A%2F%2Fwww.webofscience.com%2Fwos%2Fwoscc%2Ffull-record%2FWOS:000183305900011","View Full Record in Web of Science")</f>
        <v>View Full Record in Web of Science</v>
      </c>
    </row>
    <row r="141" ht="12.75" customHeight="1">
      <c r="A141" s="1" t="s">
        <v>72</v>
      </c>
      <c r="B141" s="1" t="s">
        <v>1541</v>
      </c>
      <c r="C141" s="1" t="s">
        <v>74</v>
      </c>
      <c r="D141" s="1" t="s">
        <v>74</v>
      </c>
      <c r="E141" s="1" t="s">
        <v>74</v>
      </c>
      <c r="F141" s="1" t="s">
        <v>1541</v>
      </c>
      <c r="G141" s="1" t="s">
        <v>74</v>
      </c>
      <c r="H141" s="1" t="s">
        <v>74</v>
      </c>
      <c r="I141" s="1" t="s">
        <v>1542</v>
      </c>
      <c r="J141" s="1" t="s">
        <v>1543</v>
      </c>
      <c r="K141" s="1" t="s">
        <v>74</v>
      </c>
      <c r="L141" s="1" t="s">
        <v>74</v>
      </c>
      <c r="M141" s="1" t="s">
        <v>74</v>
      </c>
      <c r="N141" s="1" t="s">
        <v>74</v>
      </c>
      <c r="O141" s="1" t="s">
        <v>74</v>
      </c>
      <c r="P141" s="1" t="s">
        <v>74</v>
      </c>
      <c r="Q141" s="1" t="s">
        <v>74</v>
      </c>
      <c r="R141" s="1" t="s">
        <v>74</v>
      </c>
      <c r="S141" s="1" t="s">
        <v>74</v>
      </c>
      <c r="T141" s="1" t="s">
        <v>74</v>
      </c>
      <c r="U141" s="1" t="s">
        <v>74</v>
      </c>
      <c r="V141" s="1" t="s">
        <v>1544</v>
      </c>
      <c r="W141" s="1" t="s">
        <v>74</v>
      </c>
      <c r="X141" s="1" t="s">
        <v>74</v>
      </c>
      <c r="Y141" s="1" t="s">
        <v>74</v>
      </c>
      <c r="Z141" s="1" t="s">
        <v>74</v>
      </c>
      <c r="AA141" s="1" t="s">
        <v>1545</v>
      </c>
      <c r="AB141" s="1" t="s">
        <v>1546</v>
      </c>
      <c r="AC141" s="1" t="s">
        <v>74</v>
      </c>
      <c r="AD141" s="1" t="s">
        <v>74</v>
      </c>
      <c r="AE141" s="1" t="s">
        <v>74</v>
      </c>
      <c r="AF141" s="1" t="s">
        <v>74</v>
      </c>
      <c r="AG141" s="1" t="s">
        <v>74</v>
      </c>
      <c r="AH141" s="1" t="s">
        <v>74</v>
      </c>
      <c r="AI141" s="1" t="s">
        <v>74</v>
      </c>
      <c r="AJ141" s="1" t="s">
        <v>74</v>
      </c>
      <c r="AK141" s="1" t="s">
        <v>74</v>
      </c>
      <c r="AL141" s="1" t="s">
        <v>74</v>
      </c>
      <c r="AM141" s="1" t="s">
        <v>74</v>
      </c>
      <c r="AN141" s="1" t="s">
        <v>74</v>
      </c>
      <c r="AO141" s="1" t="s">
        <v>1547</v>
      </c>
      <c r="AP141" s="1" t="s">
        <v>1548</v>
      </c>
      <c r="AQ141" s="1" t="s">
        <v>74</v>
      </c>
      <c r="AR141" s="1" t="s">
        <v>74</v>
      </c>
      <c r="AS141" s="1" t="s">
        <v>74</v>
      </c>
      <c r="AT141" s="1" t="s">
        <v>180</v>
      </c>
      <c r="AU141" s="1">
        <v>2003.0</v>
      </c>
      <c r="AV141" s="1">
        <v>18.0</v>
      </c>
      <c r="AW141" s="1">
        <v>2.0</v>
      </c>
      <c r="AX141" s="1" t="s">
        <v>74</v>
      </c>
      <c r="AY141" s="1" t="s">
        <v>74</v>
      </c>
      <c r="AZ141" s="1" t="s">
        <v>74</v>
      </c>
      <c r="BA141" s="1" t="s">
        <v>74</v>
      </c>
      <c r="BB141" s="1">
        <v>625.0</v>
      </c>
      <c r="BC141" s="1">
        <v>632.0</v>
      </c>
      <c r="BD141" s="1" t="s">
        <v>74</v>
      </c>
      <c r="BE141" s="1" t="s">
        <v>1549</v>
      </c>
      <c r="BF141" s="2" t="str">
        <f>HYPERLINK("http://dx.doi.org/10.1109/TPWRS.2003.810903","http://dx.doi.org/10.1109/TPWRS.2003.810903")</f>
        <v>http://dx.doi.org/10.1109/TPWRS.2003.810903</v>
      </c>
      <c r="BG141" s="1" t="s">
        <v>74</v>
      </c>
      <c r="BH141" s="1" t="s">
        <v>74</v>
      </c>
      <c r="BI141" s="1" t="s">
        <v>74</v>
      </c>
      <c r="BJ141" s="1" t="s">
        <v>74</v>
      </c>
      <c r="BK141" s="1" t="s">
        <v>74</v>
      </c>
      <c r="BL141" s="1" t="s">
        <v>74</v>
      </c>
      <c r="BM141" s="1" t="s">
        <v>74</v>
      </c>
      <c r="BN141" s="1" t="s">
        <v>74</v>
      </c>
      <c r="BO141" s="1" t="s">
        <v>74</v>
      </c>
      <c r="BP141" s="1" t="s">
        <v>74</v>
      </c>
      <c r="BQ141" s="1" t="s">
        <v>74</v>
      </c>
      <c r="BR141" s="1" t="s">
        <v>74</v>
      </c>
      <c r="BS141" s="1" t="s">
        <v>1550</v>
      </c>
      <c r="BT141" s="1" t="str">
        <f>HYPERLINK("https%3A%2F%2Fwww.webofscience.com%2Fwos%2Fwoscc%2Ffull-record%2FWOS:000182870000029","View Full Record in Web of Science")</f>
        <v>View Full Record in Web of Science</v>
      </c>
    </row>
    <row r="142" ht="12.75" customHeight="1">
      <c r="A142" s="1" t="s">
        <v>72</v>
      </c>
      <c r="B142" s="1" t="s">
        <v>1551</v>
      </c>
      <c r="C142" s="1" t="s">
        <v>74</v>
      </c>
      <c r="D142" s="1" t="s">
        <v>74</v>
      </c>
      <c r="E142" s="1" t="s">
        <v>74</v>
      </c>
      <c r="F142" s="1" t="s">
        <v>1551</v>
      </c>
      <c r="G142" s="1" t="s">
        <v>74</v>
      </c>
      <c r="H142" s="1" t="s">
        <v>74</v>
      </c>
      <c r="I142" s="1" t="s">
        <v>1552</v>
      </c>
      <c r="J142" s="1" t="s">
        <v>1553</v>
      </c>
      <c r="K142" s="1" t="s">
        <v>74</v>
      </c>
      <c r="L142" s="1" t="s">
        <v>74</v>
      </c>
      <c r="M142" s="1" t="s">
        <v>74</v>
      </c>
      <c r="N142" s="1" t="s">
        <v>74</v>
      </c>
      <c r="O142" s="1" t="s">
        <v>1554</v>
      </c>
      <c r="P142" s="1" t="s">
        <v>1555</v>
      </c>
      <c r="Q142" s="1" t="s">
        <v>1556</v>
      </c>
      <c r="R142" s="1" t="s">
        <v>74</v>
      </c>
      <c r="S142" s="1" t="s">
        <v>74</v>
      </c>
      <c r="T142" s="1" t="s">
        <v>74</v>
      </c>
      <c r="U142" s="1" t="s">
        <v>74</v>
      </c>
      <c r="V142" s="1" t="s">
        <v>1557</v>
      </c>
      <c r="W142" s="1" t="s">
        <v>74</v>
      </c>
      <c r="X142" s="1" t="s">
        <v>74</v>
      </c>
      <c r="Y142" s="1" t="s">
        <v>74</v>
      </c>
      <c r="Z142" s="1" t="s">
        <v>74</v>
      </c>
      <c r="AA142" s="1" t="s">
        <v>1558</v>
      </c>
      <c r="AB142" s="1" t="s">
        <v>1559</v>
      </c>
      <c r="AC142" s="1" t="s">
        <v>74</v>
      </c>
      <c r="AD142" s="1" t="s">
        <v>74</v>
      </c>
      <c r="AE142" s="1" t="s">
        <v>74</v>
      </c>
      <c r="AF142" s="1" t="s">
        <v>74</v>
      </c>
      <c r="AG142" s="1" t="s">
        <v>74</v>
      </c>
      <c r="AH142" s="1" t="s">
        <v>74</v>
      </c>
      <c r="AI142" s="1" t="s">
        <v>74</v>
      </c>
      <c r="AJ142" s="1" t="s">
        <v>74</v>
      </c>
      <c r="AK142" s="1" t="s">
        <v>74</v>
      </c>
      <c r="AL142" s="1" t="s">
        <v>74</v>
      </c>
      <c r="AM142" s="1" t="s">
        <v>74</v>
      </c>
      <c r="AN142" s="1" t="s">
        <v>74</v>
      </c>
      <c r="AO142" s="1" t="s">
        <v>1560</v>
      </c>
      <c r="AP142" s="1" t="s">
        <v>74</v>
      </c>
      <c r="AQ142" s="1" t="s">
        <v>74</v>
      </c>
      <c r="AR142" s="1" t="s">
        <v>74</v>
      </c>
      <c r="AS142" s="1" t="s">
        <v>74</v>
      </c>
      <c r="AT142" s="1" t="s">
        <v>110</v>
      </c>
      <c r="AU142" s="1">
        <v>2002.0</v>
      </c>
      <c r="AV142" s="1">
        <v>48.0</v>
      </c>
      <c r="AW142" s="1" t="s">
        <v>74</v>
      </c>
      <c r="AX142" s="1" t="s">
        <v>74</v>
      </c>
      <c r="AY142" s="1">
        <v>3.0</v>
      </c>
      <c r="AZ142" s="1" t="s">
        <v>74</v>
      </c>
      <c r="BA142" s="1" t="s">
        <v>74</v>
      </c>
      <c r="BB142" s="1">
        <v>95.0</v>
      </c>
      <c r="BC142" s="1">
        <v>96.0</v>
      </c>
      <c r="BD142" s="1" t="s">
        <v>74</v>
      </c>
      <c r="BE142" s="1" t="s">
        <v>74</v>
      </c>
      <c r="BF142" s="1" t="s">
        <v>74</v>
      </c>
      <c r="BG142" s="1" t="s">
        <v>74</v>
      </c>
      <c r="BH142" s="1" t="s">
        <v>74</v>
      </c>
      <c r="BI142" s="1" t="s">
        <v>74</v>
      </c>
      <c r="BJ142" s="1" t="s">
        <v>74</v>
      </c>
      <c r="BK142" s="1" t="s">
        <v>74</v>
      </c>
      <c r="BL142" s="1" t="s">
        <v>74</v>
      </c>
      <c r="BM142" s="1" t="s">
        <v>74</v>
      </c>
      <c r="BN142" s="1" t="s">
        <v>74</v>
      </c>
      <c r="BO142" s="1" t="s">
        <v>74</v>
      </c>
      <c r="BP142" s="1" t="s">
        <v>74</v>
      </c>
      <c r="BQ142" s="1" t="s">
        <v>74</v>
      </c>
      <c r="BR142" s="1" t="s">
        <v>74</v>
      </c>
      <c r="BS142" s="1" t="s">
        <v>1561</v>
      </c>
      <c r="BT142" s="1" t="str">
        <f>HYPERLINK("https%3A%2F%2Fwww.webofscience.com%2Fwos%2Fwoscc%2Ffull-record%2FWOS:000180065500034","View Full Record in Web of Science")</f>
        <v>View Full Record in Web of Science</v>
      </c>
    </row>
    <row r="143" ht="12.75" customHeight="1">
      <c r="A143" s="1" t="s">
        <v>72</v>
      </c>
      <c r="B143" s="1" t="s">
        <v>1562</v>
      </c>
      <c r="C143" s="1" t="s">
        <v>74</v>
      </c>
      <c r="D143" s="1" t="s">
        <v>74</v>
      </c>
      <c r="E143" s="1" t="s">
        <v>74</v>
      </c>
      <c r="F143" s="1" t="s">
        <v>1562</v>
      </c>
      <c r="G143" s="1" t="s">
        <v>74</v>
      </c>
      <c r="H143" s="1" t="s">
        <v>74</v>
      </c>
      <c r="I143" s="1" t="s">
        <v>1563</v>
      </c>
      <c r="J143" s="1" t="s">
        <v>1564</v>
      </c>
      <c r="K143" s="1" t="s">
        <v>74</v>
      </c>
      <c r="L143" s="1" t="s">
        <v>74</v>
      </c>
      <c r="M143" s="1" t="s">
        <v>74</v>
      </c>
      <c r="N143" s="1" t="s">
        <v>74</v>
      </c>
      <c r="O143" s="1" t="s">
        <v>74</v>
      </c>
      <c r="P143" s="1" t="s">
        <v>74</v>
      </c>
      <c r="Q143" s="1" t="s">
        <v>74</v>
      </c>
      <c r="R143" s="1" t="s">
        <v>74</v>
      </c>
      <c r="S143" s="1" t="s">
        <v>74</v>
      </c>
      <c r="T143" s="1" t="s">
        <v>74</v>
      </c>
      <c r="U143" s="1" t="s">
        <v>74</v>
      </c>
      <c r="V143" s="1" t="s">
        <v>1565</v>
      </c>
      <c r="W143" s="1" t="s">
        <v>74</v>
      </c>
      <c r="X143" s="1" t="s">
        <v>74</v>
      </c>
      <c r="Y143" s="1" t="s">
        <v>74</v>
      </c>
      <c r="Z143" s="1" t="s">
        <v>74</v>
      </c>
      <c r="AA143" s="1" t="s">
        <v>1566</v>
      </c>
      <c r="AB143" s="1" t="s">
        <v>1567</v>
      </c>
      <c r="AC143" s="1" t="s">
        <v>74</v>
      </c>
      <c r="AD143" s="1" t="s">
        <v>74</v>
      </c>
      <c r="AE143" s="1" t="s">
        <v>74</v>
      </c>
      <c r="AF143" s="1" t="s">
        <v>74</v>
      </c>
      <c r="AG143" s="1" t="s">
        <v>74</v>
      </c>
      <c r="AH143" s="1" t="s">
        <v>74</v>
      </c>
      <c r="AI143" s="1" t="s">
        <v>74</v>
      </c>
      <c r="AJ143" s="1" t="s">
        <v>74</v>
      </c>
      <c r="AK143" s="1" t="s">
        <v>74</v>
      </c>
      <c r="AL143" s="1" t="s">
        <v>74</v>
      </c>
      <c r="AM143" s="1" t="s">
        <v>74</v>
      </c>
      <c r="AN143" s="1" t="s">
        <v>74</v>
      </c>
      <c r="AO143" s="1" t="s">
        <v>1568</v>
      </c>
      <c r="AP143" s="1" t="s">
        <v>74</v>
      </c>
      <c r="AQ143" s="1" t="s">
        <v>74</v>
      </c>
      <c r="AR143" s="1" t="s">
        <v>74</v>
      </c>
      <c r="AS143" s="1" t="s">
        <v>74</v>
      </c>
      <c r="AT143" s="1" t="s">
        <v>310</v>
      </c>
      <c r="AU143" s="1">
        <v>2002.0</v>
      </c>
      <c r="AV143" s="1">
        <v>44.0</v>
      </c>
      <c r="AW143" s="1">
        <v>7.0</v>
      </c>
      <c r="AX143" s="1" t="s">
        <v>74</v>
      </c>
      <c r="AY143" s="1" t="s">
        <v>74</v>
      </c>
      <c r="AZ143" s="1" t="s">
        <v>74</v>
      </c>
      <c r="BA143" s="1" t="s">
        <v>74</v>
      </c>
      <c r="BB143" s="1">
        <v>428.0</v>
      </c>
      <c r="BC143" s="1">
        <v>436.0</v>
      </c>
      <c r="BD143" s="1" t="s">
        <v>74</v>
      </c>
      <c r="BE143" s="1" t="s">
        <v>74</v>
      </c>
      <c r="BF143" s="1" t="s">
        <v>74</v>
      </c>
      <c r="BG143" s="1" t="s">
        <v>74</v>
      </c>
      <c r="BH143" s="1" t="s">
        <v>74</v>
      </c>
      <c r="BI143" s="1" t="s">
        <v>74</v>
      </c>
      <c r="BJ143" s="1" t="s">
        <v>74</v>
      </c>
      <c r="BK143" s="1" t="s">
        <v>74</v>
      </c>
      <c r="BL143" s="1" t="s">
        <v>74</v>
      </c>
      <c r="BM143" s="1" t="s">
        <v>74</v>
      </c>
      <c r="BN143" s="1" t="s">
        <v>74</v>
      </c>
      <c r="BO143" s="1" t="s">
        <v>74</v>
      </c>
      <c r="BP143" s="1" t="s">
        <v>74</v>
      </c>
      <c r="BQ143" s="1" t="s">
        <v>74</v>
      </c>
      <c r="BR143" s="1" t="s">
        <v>74</v>
      </c>
      <c r="BS143" s="1" t="s">
        <v>1569</v>
      </c>
      <c r="BT143" s="1" t="str">
        <f>HYPERLINK("https%3A%2F%2Fwww.webofscience.com%2Fwos%2Fwoscc%2Ffull-record%2FWOS:000176687200010","View Full Record in Web of Science")</f>
        <v>View Full Record in Web of Science</v>
      </c>
    </row>
    <row r="144" ht="12.75" customHeight="1">
      <c r="A144" s="1" t="s">
        <v>72</v>
      </c>
      <c r="B144" s="1" t="s">
        <v>1570</v>
      </c>
      <c r="C144" s="1" t="s">
        <v>74</v>
      </c>
      <c r="D144" s="1" t="s">
        <v>74</v>
      </c>
      <c r="E144" s="1" t="s">
        <v>74</v>
      </c>
      <c r="F144" s="1" t="s">
        <v>1570</v>
      </c>
      <c r="G144" s="1" t="s">
        <v>74</v>
      </c>
      <c r="H144" s="1" t="s">
        <v>74</v>
      </c>
      <c r="I144" s="1" t="s">
        <v>1571</v>
      </c>
      <c r="J144" s="1" t="s">
        <v>1572</v>
      </c>
      <c r="K144" s="1" t="s">
        <v>74</v>
      </c>
      <c r="L144" s="1" t="s">
        <v>74</v>
      </c>
      <c r="M144" s="1" t="s">
        <v>74</v>
      </c>
      <c r="N144" s="1" t="s">
        <v>74</v>
      </c>
      <c r="O144" s="1" t="s">
        <v>74</v>
      </c>
      <c r="P144" s="1" t="s">
        <v>74</v>
      </c>
      <c r="Q144" s="1" t="s">
        <v>74</v>
      </c>
      <c r="R144" s="1" t="s">
        <v>74</v>
      </c>
      <c r="S144" s="1" t="s">
        <v>74</v>
      </c>
      <c r="T144" s="1" t="s">
        <v>74</v>
      </c>
      <c r="U144" s="1" t="s">
        <v>74</v>
      </c>
      <c r="V144" s="1" t="s">
        <v>1573</v>
      </c>
      <c r="W144" s="1" t="s">
        <v>74</v>
      </c>
      <c r="X144" s="1" t="s">
        <v>74</v>
      </c>
      <c r="Y144" s="1" t="s">
        <v>74</v>
      </c>
      <c r="Z144" s="1" t="s">
        <v>74</v>
      </c>
      <c r="AA144" s="1" t="s">
        <v>74</v>
      </c>
      <c r="AB144" s="1" t="s">
        <v>74</v>
      </c>
      <c r="AC144" s="1" t="s">
        <v>74</v>
      </c>
      <c r="AD144" s="1" t="s">
        <v>74</v>
      </c>
      <c r="AE144" s="1" t="s">
        <v>74</v>
      </c>
      <c r="AF144" s="1" t="s">
        <v>74</v>
      </c>
      <c r="AG144" s="1" t="s">
        <v>74</v>
      </c>
      <c r="AH144" s="1" t="s">
        <v>74</v>
      </c>
      <c r="AI144" s="1" t="s">
        <v>74</v>
      </c>
      <c r="AJ144" s="1" t="s">
        <v>74</v>
      </c>
      <c r="AK144" s="1" t="s">
        <v>74</v>
      </c>
      <c r="AL144" s="1" t="s">
        <v>74</v>
      </c>
      <c r="AM144" s="1" t="s">
        <v>74</v>
      </c>
      <c r="AN144" s="1" t="s">
        <v>74</v>
      </c>
      <c r="AO144" s="1" t="s">
        <v>1574</v>
      </c>
      <c r="AP144" s="1" t="s">
        <v>1575</v>
      </c>
      <c r="AQ144" s="1" t="s">
        <v>74</v>
      </c>
      <c r="AR144" s="1" t="s">
        <v>74</v>
      </c>
      <c r="AS144" s="1" t="s">
        <v>74</v>
      </c>
      <c r="AT144" s="1" t="s">
        <v>1576</v>
      </c>
      <c r="AU144" s="1">
        <v>2002.0</v>
      </c>
      <c r="AV144" s="1">
        <v>522.0</v>
      </c>
      <c r="AW144" s="1">
        <v>2.0</v>
      </c>
      <c r="AX144" s="1" t="s">
        <v>74</v>
      </c>
      <c r="AY144" s="1" t="s">
        <v>74</v>
      </c>
      <c r="AZ144" s="1" t="s">
        <v>74</v>
      </c>
      <c r="BA144" s="1" t="s">
        <v>74</v>
      </c>
      <c r="BB144" s="1">
        <v>141.0</v>
      </c>
      <c r="BC144" s="1">
        <v>151.0</v>
      </c>
      <c r="BD144" s="1" t="s">
        <v>1577</v>
      </c>
      <c r="BE144" s="1" t="s">
        <v>1578</v>
      </c>
      <c r="BF144" s="2" t="str">
        <f>HYPERLINK("http://dx.doi.org/10.1016/S0022-0728(02)00639-3","http://dx.doi.org/10.1016/S0022-0728(02)00639-3")</f>
        <v>http://dx.doi.org/10.1016/S0022-0728(02)00639-3</v>
      </c>
      <c r="BG144" s="1" t="s">
        <v>74</v>
      </c>
      <c r="BH144" s="1" t="s">
        <v>74</v>
      </c>
      <c r="BI144" s="1" t="s">
        <v>74</v>
      </c>
      <c r="BJ144" s="1" t="s">
        <v>74</v>
      </c>
      <c r="BK144" s="1" t="s">
        <v>74</v>
      </c>
      <c r="BL144" s="1" t="s">
        <v>74</v>
      </c>
      <c r="BM144" s="1" t="s">
        <v>74</v>
      </c>
      <c r="BN144" s="1" t="s">
        <v>74</v>
      </c>
      <c r="BO144" s="1" t="s">
        <v>74</v>
      </c>
      <c r="BP144" s="1" t="s">
        <v>74</v>
      </c>
      <c r="BQ144" s="1" t="s">
        <v>74</v>
      </c>
      <c r="BR144" s="1" t="s">
        <v>74</v>
      </c>
      <c r="BS144" s="1" t="s">
        <v>1579</v>
      </c>
      <c r="BT144" s="1" t="str">
        <f>HYPERLINK("https%3A%2F%2Fwww.webofscience.com%2Fwos%2Fwoscc%2Ffull-record%2FWOS:000176266300003","View Full Record in Web of Science")</f>
        <v>View Full Record in Web of Science</v>
      </c>
    </row>
    <row r="145" ht="12.75" customHeight="1">
      <c r="A145" s="1" t="s">
        <v>72</v>
      </c>
      <c r="B145" s="1" t="s">
        <v>1580</v>
      </c>
      <c r="C145" s="1" t="s">
        <v>74</v>
      </c>
      <c r="D145" s="1" t="s">
        <v>74</v>
      </c>
      <c r="E145" s="1" t="s">
        <v>74</v>
      </c>
      <c r="F145" s="1" t="s">
        <v>1580</v>
      </c>
      <c r="G145" s="1" t="s">
        <v>74</v>
      </c>
      <c r="H145" s="1" t="s">
        <v>74</v>
      </c>
      <c r="I145" s="1" t="s">
        <v>1581</v>
      </c>
      <c r="J145" s="1" t="s">
        <v>1582</v>
      </c>
      <c r="K145" s="1" t="s">
        <v>74</v>
      </c>
      <c r="L145" s="1" t="s">
        <v>74</v>
      </c>
      <c r="M145" s="1" t="s">
        <v>74</v>
      </c>
      <c r="N145" s="1" t="s">
        <v>74</v>
      </c>
      <c r="O145" s="1" t="s">
        <v>74</v>
      </c>
      <c r="P145" s="1" t="s">
        <v>74</v>
      </c>
      <c r="Q145" s="1" t="s">
        <v>74</v>
      </c>
      <c r="R145" s="1" t="s">
        <v>74</v>
      </c>
      <c r="S145" s="1" t="s">
        <v>74</v>
      </c>
      <c r="T145" s="1" t="s">
        <v>74</v>
      </c>
      <c r="U145" s="1" t="s">
        <v>74</v>
      </c>
      <c r="V145" s="1" t="s">
        <v>74</v>
      </c>
      <c r="W145" s="1" t="s">
        <v>74</v>
      </c>
      <c r="X145" s="1" t="s">
        <v>74</v>
      </c>
      <c r="Y145" s="1" t="s">
        <v>74</v>
      </c>
      <c r="Z145" s="1" t="s">
        <v>74</v>
      </c>
      <c r="AA145" s="1" t="s">
        <v>74</v>
      </c>
      <c r="AB145" s="1" t="s">
        <v>74</v>
      </c>
      <c r="AC145" s="1" t="s">
        <v>74</v>
      </c>
      <c r="AD145" s="1" t="s">
        <v>74</v>
      </c>
      <c r="AE145" s="1" t="s">
        <v>74</v>
      </c>
      <c r="AF145" s="1" t="s">
        <v>74</v>
      </c>
      <c r="AG145" s="1" t="s">
        <v>74</v>
      </c>
      <c r="AH145" s="1" t="s">
        <v>74</v>
      </c>
      <c r="AI145" s="1" t="s">
        <v>74</v>
      </c>
      <c r="AJ145" s="1" t="s">
        <v>74</v>
      </c>
      <c r="AK145" s="1" t="s">
        <v>74</v>
      </c>
      <c r="AL145" s="1" t="s">
        <v>74</v>
      </c>
      <c r="AM145" s="1" t="s">
        <v>74</v>
      </c>
      <c r="AN145" s="1" t="s">
        <v>74</v>
      </c>
      <c r="AO145" s="1" t="s">
        <v>1583</v>
      </c>
      <c r="AP145" s="1" t="s">
        <v>74</v>
      </c>
      <c r="AQ145" s="1" t="s">
        <v>74</v>
      </c>
      <c r="AR145" s="1" t="s">
        <v>74</v>
      </c>
      <c r="AS145" s="1" t="s">
        <v>74</v>
      </c>
      <c r="AT145" s="1" t="s">
        <v>169</v>
      </c>
      <c r="AU145" s="1">
        <v>2002.0</v>
      </c>
      <c r="AV145" s="1">
        <v>82.0</v>
      </c>
      <c r="AW145" s="1">
        <v>1.0</v>
      </c>
      <c r="AX145" s="1">
        <v>2.0</v>
      </c>
      <c r="AY145" s="1" t="s">
        <v>74</v>
      </c>
      <c r="AZ145" s="1" t="s">
        <v>74</v>
      </c>
      <c r="BA145" s="1">
        <v>2359.0</v>
      </c>
      <c r="BB145" s="1" t="s">
        <v>1584</v>
      </c>
      <c r="BC145" s="1" t="s">
        <v>1584</v>
      </c>
      <c r="BD145" s="1" t="s">
        <v>74</v>
      </c>
      <c r="BE145" s="1" t="s">
        <v>74</v>
      </c>
      <c r="BF145" s="1" t="s">
        <v>74</v>
      </c>
      <c r="BG145" s="1" t="s">
        <v>74</v>
      </c>
      <c r="BH145" s="1" t="s">
        <v>74</v>
      </c>
      <c r="BI145" s="1" t="s">
        <v>74</v>
      </c>
      <c r="BJ145" s="1" t="s">
        <v>74</v>
      </c>
      <c r="BK145" s="1" t="s">
        <v>74</v>
      </c>
      <c r="BL145" s="1" t="s">
        <v>74</v>
      </c>
      <c r="BM145" s="1" t="s">
        <v>74</v>
      </c>
      <c r="BN145" s="1" t="s">
        <v>74</v>
      </c>
      <c r="BO145" s="1" t="s">
        <v>74</v>
      </c>
      <c r="BP145" s="1" t="s">
        <v>74</v>
      </c>
      <c r="BQ145" s="1" t="s">
        <v>74</v>
      </c>
      <c r="BR145" s="1" t="s">
        <v>74</v>
      </c>
      <c r="BS145" s="1" t="s">
        <v>1585</v>
      </c>
      <c r="BT145" s="1" t="str">
        <f>HYPERLINK("https%3A%2F%2Fwww.webofscience.com%2Fwos%2Fwoscc%2Ffull-record%2FWOS:000173252702376","View Full Record in Web of Science")</f>
        <v>View Full Record in Web of Science</v>
      </c>
    </row>
    <row r="146" ht="12.75" customHeight="1">
      <c r="A146" s="1" t="s">
        <v>72</v>
      </c>
      <c r="B146" s="1" t="s">
        <v>1586</v>
      </c>
      <c r="C146" s="1" t="s">
        <v>74</v>
      </c>
      <c r="D146" s="1" t="s">
        <v>74</v>
      </c>
      <c r="E146" s="1" t="s">
        <v>74</v>
      </c>
      <c r="F146" s="1" t="s">
        <v>1586</v>
      </c>
      <c r="G146" s="1" t="s">
        <v>74</v>
      </c>
      <c r="H146" s="1" t="s">
        <v>74</v>
      </c>
      <c r="I146" s="1" t="s">
        <v>1587</v>
      </c>
      <c r="J146" s="1" t="s">
        <v>1588</v>
      </c>
      <c r="K146" s="1" t="s">
        <v>74</v>
      </c>
      <c r="L146" s="1" t="s">
        <v>74</v>
      </c>
      <c r="M146" s="1" t="s">
        <v>74</v>
      </c>
      <c r="N146" s="1" t="s">
        <v>74</v>
      </c>
      <c r="O146" s="1" t="s">
        <v>74</v>
      </c>
      <c r="P146" s="1" t="s">
        <v>74</v>
      </c>
      <c r="Q146" s="1" t="s">
        <v>74</v>
      </c>
      <c r="R146" s="1" t="s">
        <v>74</v>
      </c>
      <c r="S146" s="1" t="s">
        <v>74</v>
      </c>
      <c r="T146" s="1" t="s">
        <v>74</v>
      </c>
      <c r="U146" s="1" t="s">
        <v>74</v>
      </c>
      <c r="V146" s="1" t="s">
        <v>1589</v>
      </c>
      <c r="W146" s="1" t="s">
        <v>74</v>
      </c>
      <c r="X146" s="1" t="s">
        <v>74</v>
      </c>
      <c r="Y146" s="1" t="s">
        <v>74</v>
      </c>
      <c r="Z146" s="1" t="s">
        <v>74</v>
      </c>
      <c r="AA146" s="1" t="s">
        <v>74</v>
      </c>
      <c r="AB146" s="1" t="s">
        <v>74</v>
      </c>
      <c r="AC146" s="1" t="s">
        <v>74</v>
      </c>
      <c r="AD146" s="1" t="s">
        <v>74</v>
      </c>
      <c r="AE146" s="1" t="s">
        <v>74</v>
      </c>
      <c r="AF146" s="1" t="s">
        <v>74</v>
      </c>
      <c r="AG146" s="1" t="s">
        <v>74</v>
      </c>
      <c r="AH146" s="1" t="s">
        <v>74</v>
      </c>
      <c r="AI146" s="1" t="s">
        <v>74</v>
      </c>
      <c r="AJ146" s="1" t="s">
        <v>74</v>
      </c>
      <c r="AK146" s="1" t="s">
        <v>74</v>
      </c>
      <c r="AL146" s="1" t="s">
        <v>74</v>
      </c>
      <c r="AM146" s="1" t="s">
        <v>74</v>
      </c>
      <c r="AN146" s="1" t="s">
        <v>74</v>
      </c>
      <c r="AO146" s="1" t="s">
        <v>1590</v>
      </c>
      <c r="AP146" s="1" t="s">
        <v>1591</v>
      </c>
      <c r="AQ146" s="1" t="s">
        <v>74</v>
      </c>
      <c r="AR146" s="1" t="s">
        <v>74</v>
      </c>
      <c r="AS146" s="1" t="s">
        <v>74</v>
      </c>
      <c r="AT146" s="1" t="s">
        <v>1592</v>
      </c>
      <c r="AU146" s="1">
        <v>2000.0</v>
      </c>
      <c r="AV146" s="1">
        <v>53.0</v>
      </c>
      <c r="AW146" s="1">
        <v>5.0</v>
      </c>
      <c r="AX146" s="1" t="s">
        <v>74</v>
      </c>
      <c r="AY146" s="1" t="s">
        <v>74</v>
      </c>
      <c r="AZ146" s="1" t="s">
        <v>74</v>
      </c>
      <c r="BA146" s="1" t="s">
        <v>74</v>
      </c>
      <c r="BB146" s="1">
        <v>605.0</v>
      </c>
      <c r="BC146" s="1">
        <v>613.0</v>
      </c>
      <c r="BD146" s="1" t="s">
        <v>74</v>
      </c>
      <c r="BE146" s="1" t="s">
        <v>1593</v>
      </c>
      <c r="BF146" s="2" t="str">
        <f>HYPERLINK("http://dx.doi.org/10.1016/S0361-9230(00)00394-4","http://dx.doi.org/10.1016/S0361-9230(00)00394-4")</f>
        <v>http://dx.doi.org/10.1016/S0361-9230(00)00394-4</v>
      </c>
      <c r="BG146" s="1" t="s">
        <v>74</v>
      </c>
      <c r="BH146" s="1" t="s">
        <v>74</v>
      </c>
      <c r="BI146" s="1" t="s">
        <v>74</v>
      </c>
      <c r="BJ146" s="1" t="s">
        <v>74</v>
      </c>
      <c r="BK146" s="1" t="s">
        <v>74</v>
      </c>
      <c r="BL146" s="1" t="s">
        <v>74</v>
      </c>
      <c r="BM146" s="1" t="s">
        <v>74</v>
      </c>
      <c r="BN146" s="1">
        <v>1.1165796E7</v>
      </c>
      <c r="BO146" s="1" t="s">
        <v>74</v>
      </c>
      <c r="BP146" s="1" t="s">
        <v>74</v>
      </c>
      <c r="BQ146" s="1" t="s">
        <v>74</v>
      </c>
      <c r="BR146" s="1" t="s">
        <v>74</v>
      </c>
      <c r="BS146" s="1" t="s">
        <v>1594</v>
      </c>
      <c r="BT146" s="1" t="str">
        <f>HYPERLINK("https%3A%2F%2Fwww.webofscience.com%2Fwos%2Fwoscc%2Ffull-record%2FWOS:000166766900016","View Full Record in Web of Science")</f>
        <v>View Full Record in Web of Science</v>
      </c>
    </row>
    <row r="147" ht="12.75" customHeight="1">
      <c r="A147" s="1" t="s">
        <v>72</v>
      </c>
      <c r="B147" s="1" t="s">
        <v>1595</v>
      </c>
      <c r="C147" s="1" t="s">
        <v>74</v>
      </c>
      <c r="D147" s="1" t="s">
        <v>74</v>
      </c>
      <c r="E147" s="1" t="s">
        <v>74</v>
      </c>
      <c r="F147" s="1" t="s">
        <v>1595</v>
      </c>
      <c r="G147" s="1" t="s">
        <v>74</v>
      </c>
      <c r="H147" s="1" t="s">
        <v>74</v>
      </c>
      <c r="I147" s="1" t="s">
        <v>1596</v>
      </c>
      <c r="J147" s="1" t="s">
        <v>1597</v>
      </c>
      <c r="K147" s="1" t="s">
        <v>74</v>
      </c>
      <c r="L147" s="1" t="s">
        <v>74</v>
      </c>
      <c r="M147" s="1" t="s">
        <v>74</v>
      </c>
      <c r="N147" s="1" t="s">
        <v>74</v>
      </c>
      <c r="O147" s="1" t="s">
        <v>74</v>
      </c>
      <c r="P147" s="1" t="s">
        <v>74</v>
      </c>
      <c r="Q147" s="1" t="s">
        <v>74</v>
      </c>
      <c r="R147" s="1" t="s">
        <v>74</v>
      </c>
      <c r="S147" s="1" t="s">
        <v>74</v>
      </c>
      <c r="T147" s="1" t="s">
        <v>74</v>
      </c>
      <c r="U147" s="1" t="s">
        <v>74</v>
      </c>
      <c r="V147" s="1" t="s">
        <v>1598</v>
      </c>
      <c r="W147" s="1" t="s">
        <v>74</v>
      </c>
      <c r="X147" s="1" t="s">
        <v>74</v>
      </c>
      <c r="Y147" s="1" t="s">
        <v>74</v>
      </c>
      <c r="Z147" s="1" t="s">
        <v>74</v>
      </c>
      <c r="AA147" s="1" t="s">
        <v>1599</v>
      </c>
      <c r="AB147" s="1" t="s">
        <v>1600</v>
      </c>
      <c r="AC147" s="1" t="s">
        <v>74</v>
      </c>
      <c r="AD147" s="1" t="s">
        <v>74</v>
      </c>
      <c r="AE147" s="1" t="s">
        <v>74</v>
      </c>
      <c r="AF147" s="1" t="s">
        <v>74</v>
      </c>
      <c r="AG147" s="1" t="s">
        <v>74</v>
      </c>
      <c r="AH147" s="1" t="s">
        <v>74</v>
      </c>
      <c r="AI147" s="1" t="s">
        <v>74</v>
      </c>
      <c r="AJ147" s="1" t="s">
        <v>74</v>
      </c>
      <c r="AK147" s="1" t="s">
        <v>74</v>
      </c>
      <c r="AL147" s="1" t="s">
        <v>74</v>
      </c>
      <c r="AM147" s="1" t="s">
        <v>74</v>
      </c>
      <c r="AN147" s="1" t="s">
        <v>74</v>
      </c>
      <c r="AO147" s="1" t="s">
        <v>1601</v>
      </c>
      <c r="AP147" s="1" t="s">
        <v>74</v>
      </c>
      <c r="AQ147" s="1" t="s">
        <v>74</v>
      </c>
      <c r="AR147" s="1" t="s">
        <v>74</v>
      </c>
      <c r="AS147" s="1" t="s">
        <v>74</v>
      </c>
      <c r="AT147" s="1" t="s">
        <v>110</v>
      </c>
      <c r="AU147" s="1">
        <v>1999.0</v>
      </c>
      <c r="AV147" s="1">
        <v>52.0</v>
      </c>
      <c r="AW147" s="1">
        <v>8.0</v>
      </c>
      <c r="AX147" s="1" t="s">
        <v>74</v>
      </c>
      <c r="AY147" s="1" t="s">
        <v>74</v>
      </c>
      <c r="AZ147" s="1" t="s">
        <v>74</v>
      </c>
      <c r="BA147" s="1" t="s">
        <v>74</v>
      </c>
      <c r="BB147" s="1">
        <v>1531.0</v>
      </c>
      <c r="BC147" s="1">
        <v>1533.0</v>
      </c>
      <c r="BD147" s="1" t="s">
        <v>74</v>
      </c>
      <c r="BE147" s="1" t="s">
        <v>1602</v>
      </c>
      <c r="BF147" s="2" t="str">
        <f>HYPERLINK("http://dx.doi.org/10.1016/S0031-9422(99)00193-4","http://dx.doi.org/10.1016/S0031-9422(99)00193-4")</f>
        <v>http://dx.doi.org/10.1016/S0031-9422(99)00193-4</v>
      </c>
      <c r="BG147" s="1" t="s">
        <v>74</v>
      </c>
      <c r="BH147" s="1" t="s">
        <v>74</v>
      </c>
      <c r="BI147" s="1" t="s">
        <v>74</v>
      </c>
      <c r="BJ147" s="1" t="s">
        <v>74</v>
      </c>
      <c r="BK147" s="1" t="s">
        <v>74</v>
      </c>
      <c r="BL147" s="1" t="s">
        <v>74</v>
      </c>
      <c r="BM147" s="1" t="s">
        <v>74</v>
      </c>
      <c r="BN147" s="1" t="s">
        <v>74</v>
      </c>
      <c r="BO147" s="1" t="s">
        <v>74</v>
      </c>
      <c r="BP147" s="1" t="s">
        <v>74</v>
      </c>
      <c r="BQ147" s="1" t="s">
        <v>74</v>
      </c>
      <c r="BR147" s="1" t="s">
        <v>74</v>
      </c>
      <c r="BS147" s="1" t="s">
        <v>1603</v>
      </c>
      <c r="BT147" s="1" t="str">
        <f>HYPERLINK("https%3A%2F%2Fwww.webofscience.com%2Fwos%2Fwoscc%2Ffull-record%2FWOS:000084694900026","View Full Record in Web of Science")</f>
        <v>View Full Record in Web of Science</v>
      </c>
    </row>
    <row r="148" ht="12.75" customHeight="1">
      <c r="A148" s="1" t="s">
        <v>72</v>
      </c>
      <c r="B148" s="1" t="s">
        <v>1604</v>
      </c>
      <c r="C148" s="1" t="s">
        <v>74</v>
      </c>
      <c r="D148" s="1" t="s">
        <v>74</v>
      </c>
      <c r="E148" s="1" t="s">
        <v>74</v>
      </c>
      <c r="F148" s="1" t="s">
        <v>1604</v>
      </c>
      <c r="G148" s="1" t="s">
        <v>74</v>
      </c>
      <c r="H148" s="1" t="s">
        <v>74</v>
      </c>
      <c r="I148" s="1" t="s">
        <v>1605</v>
      </c>
      <c r="J148" s="1" t="s">
        <v>1606</v>
      </c>
      <c r="K148" s="1" t="s">
        <v>74</v>
      </c>
      <c r="L148" s="1" t="s">
        <v>74</v>
      </c>
      <c r="M148" s="1" t="s">
        <v>74</v>
      </c>
      <c r="N148" s="1" t="s">
        <v>74</v>
      </c>
      <c r="O148" s="1" t="s">
        <v>1607</v>
      </c>
      <c r="P148" s="1" t="s">
        <v>1608</v>
      </c>
      <c r="Q148" s="1" t="s">
        <v>1609</v>
      </c>
      <c r="R148" s="1" t="s">
        <v>74</v>
      </c>
      <c r="S148" s="1" t="s">
        <v>74</v>
      </c>
      <c r="T148" s="1" t="s">
        <v>74</v>
      </c>
      <c r="U148" s="1" t="s">
        <v>74</v>
      </c>
      <c r="V148" s="1" t="s">
        <v>1610</v>
      </c>
      <c r="W148" s="1" t="s">
        <v>74</v>
      </c>
      <c r="X148" s="1" t="s">
        <v>74</v>
      </c>
      <c r="Y148" s="1" t="s">
        <v>74</v>
      </c>
      <c r="Z148" s="1" t="s">
        <v>74</v>
      </c>
      <c r="AA148" s="1" t="s">
        <v>1611</v>
      </c>
      <c r="AB148" s="1" t="s">
        <v>1612</v>
      </c>
      <c r="AC148" s="1" t="s">
        <v>74</v>
      </c>
      <c r="AD148" s="1" t="s">
        <v>74</v>
      </c>
      <c r="AE148" s="1" t="s">
        <v>74</v>
      </c>
      <c r="AF148" s="1" t="s">
        <v>74</v>
      </c>
      <c r="AG148" s="1" t="s">
        <v>74</v>
      </c>
      <c r="AH148" s="1" t="s">
        <v>74</v>
      </c>
      <c r="AI148" s="1" t="s">
        <v>74</v>
      </c>
      <c r="AJ148" s="1" t="s">
        <v>74</v>
      </c>
      <c r="AK148" s="1" t="s">
        <v>74</v>
      </c>
      <c r="AL148" s="1" t="s">
        <v>74</v>
      </c>
      <c r="AM148" s="1" t="s">
        <v>74</v>
      </c>
      <c r="AN148" s="1" t="s">
        <v>74</v>
      </c>
      <c r="AO148" s="1" t="s">
        <v>1613</v>
      </c>
      <c r="AP148" s="1" t="s">
        <v>74</v>
      </c>
      <c r="AQ148" s="1" t="s">
        <v>74</v>
      </c>
      <c r="AR148" s="1" t="s">
        <v>74</v>
      </c>
      <c r="AS148" s="1" t="s">
        <v>74</v>
      </c>
      <c r="AT148" s="1" t="s">
        <v>180</v>
      </c>
      <c r="AU148" s="1">
        <v>1999.0</v>
      </c>
      <c r="AV148" s="1">
        <v>101.0</v>
      </c>
      <c r="AW148" s="1" t="s">
        <v>1614</v>
      </c>
      <c r="AX148" s="1" t="s">
        <v>74</v>
      </c>
      <c r="AY148" s="1" t="s">
        <v>74</v>
      </c>
      <c r="AZ148" s="1" t="s">
        <v>74</v>
      </c>
      <c r="BA148" s="1" t="s">
        <v>74</v>
      </c>
      <c r="BB148" s="1">
        <v>587.0</v>
      </c>
      <c r="BC148" s="1">
        <v>587.0</v>
      </c>
      <c r="BD148" s="1" t="s">
        <v>74</v>
      </c>
      <c r="BE148" s="1" t="s">
        <v>1615</v>
      </c>
      <c r="BF148" s="2" t="str">
        <f>HYPERLINK("http://dx.doi.org/10.1016/S0379-6779(98)01142-4","http://dx.doi.org/10.1016/S0379-6779(98)01142-4")</f>
        <v>http://dx.doi.org/10.1016/S0379-6779(98)01142-4</v>
      </c>
      <c r="BG148" s="1" t="s">
        <v>74</v>
      </c>
      <c r="BH148" s="1" t="s">
        <v>74</v>
      </c>
      <c r="BI148" s="1" t="s">
        <v>74</v>
      </c>
      <c r="BJ148" s="1" t="s">
        <v>74</v>
      </c>
      <c r="BK148" s="1" t="s">
        <v>74</v>
      </c>
      <c r="BL148" s="1" t="s">
        <v>74</v>
      </c>
      <c r="BM148" s="1" t="s">
        <v>74</v>
      </c>
      <c r="BN148" s="1" t="s">
        <v>74</v>
      </c>
      <c r="BO148" s="1" t="s">
        <v>74</v>
      </c>
      <c r="BP148" s="1" t="s">
        <v>74</v>
      </c>
      <c r="BQ148" s="1" t="s">
        <v>74</v>
      </c>
      <c r="BR148" s="1" t="s">
        <v>74</v>
      </c>
      <c r="BS148" s="1" t="s">
        <v>1616</v>
      </c>
      <c r="BT148" s="1" t="str">
        <f>HYPERLINK("https%3A%2F%2Fwww.webofscience.com%2Fwos%2Fwoscc%2Ffull-record%2FWOS:000081101300281","View Full Record in Web of Science")</f>
        <v>View Full Record in Web of Science</v>
      </c>
    </row>
    <row r="149" ht="12.75" customHeight="1">
      <c r="A149" s="1" t="s">
        <v>72</v>
      </c>
      <c r="B149" s="1" t="s">
        <v>1617</v>
      </c>
      <c r="C149" s="1" t="s">
        <v>74</v>
      </c>
      <c r="D149" s="1" t="s">
        <v>74</v>
      </c>
      <c r="E149" s="1" t="s">
        <v>74</v>
      </c>
      <c r="F149" s="1" t="s">
        <v>1617</v>
      </c>
      <c r="G149" s="1" t="s">
        <v>74</v>
      </c>
      <c r="H149" s="1" t="s">
        <v>74</v>
      </c>
      <c r="I149" s="1" t="s">
        <v>1618</v>
      </c>
      <c r="J149" s="1" t="s">
        <v>1619</v>
      </c>
      <c r="K149" s="1" t="s">
        <v>74</v>
      </c>
      <c r="L149" s="1" t="s">
        <v>74</v>
      </c>
      <c r="M149" s="1" t="s">
        <v>74</v>
      </c>
      <c r="N149" s="1" t="s">
        <v>74</v>
      </c>
      <c r="O149" s="1" t="s">
        <v>74</v>
      </c>
      <c r="P149" s="1" t="s">
        <v>74</v>
      </c>
      <c r="Q149" s="1" t="s">
        <v>74</v>
      </c>
      <c r="R149" s="1" t="s">
        <v>74</v>
      </c>
      <c r="S149" s="1" t="s">
        <v>74</v>
      </c>
      <c r="T149" s="1" t="s">
        <v>74</v>
      </c>
      <c r="U149" s="1" t="s">
        <v>74</v>
      </c>
      <c r="V149" s="1" t="s">
        <v>1620</v>
      </c>
      <c r="W149" s="1" t="s">
        <v>74</v>
      </c>
      <c r="X149" s="1" t="s">
        <v>74</v>
      </c>
      <c r="Y149" s="1" t="s">
        <v>74</v>
      </c>
      <c r="Z149" s="1" t="s">
        <v>74</v>
      </c>
      <c r="AA149" s="1" t="s">
        <v>1621</v>
      </c>
      <c r="AB149" s="1" t="s">
        <v>1622</v>
      </c>
      <c r="AC149" s="1" t="s">
        <v>74</v>
      </c>
      <c r="AD149" s="1" t="s">
        <v>74</v>
      </c>
      <c r="AE149" s="1" t="s">
        <v>74</v>
      </c>
      <c r="AF149" s="1" t="s">
        <v>74</v>
      </c>
      <c r="AG149" s="1" t="s">
        <v>74</v>
      </c>
      <c r="AH149" s="1" t="s">
        <v>74</v>
      </c>
      <c r="AI149" s="1" t="s">
        <v>74</v>
      </c>
      <c r="AJ149" s="1" t="s">
        <v>74</v>
      </c>
      <c r="AK149" s="1" t="s">
        <v>74</v>
      </c>
      <c r="AL149" s="1" t="s">
        <v>74</v>
      </c>
      <c r="AM149" s="1" t="s">
        <v>74</v>
      </c>
      <c r="AN149" s="1" t="s">
        <v>74</v>
      </c>
      <c r="AO149" s="1" t="s">
        <v>1623</v>
      </c>
      <c r="AP149" s="1" t="s">
        <v>74</v>
      </c>
      <c r="AQ149" s="1" t="s">
        <v>74</v>
      </c>
      <c r="AR149" s="1" t="s">
        <v>74</v>
      </c>
      <c r="AS149" s="1" t="s">
        <v>74</v>
      </c>
      <c r="AT149" s="1" t="s">
        <v>1624</v>
      </c>
      <c r="AU149" s="1">
        <v>1998.0</v>
      </c>
      <c r="AV149" s="1">
        <v>34.0</v>
      </c>
      <c r="AW149" s="1">
        <v>12.0</v>
      </c>
      <c r="AX149" s="1" t="s">
        <v>74</v>
      </c>
      <c r="AY149" s="1" t="s">
        <v>74</v>
      </c>
      <c r="AZ149" s="1" t="s">
        <v>74</v>
      </c>
      <c r="BA149" s="1" t="s">
        <v>74</v>
      </c>
      <c r="BB149" s="1">
        <v>1182.0</v>
      </c>
      <c r="BC149" s="1">
        <v>1183.0</v>
      </c>
      <c r="BD149" s="1" t="s">
        <v>74</v>
      </c>
      <c r="BE149" s="1" t="s">
        <v>1625</v>
      </c>
      <c r="BF149" s="2" t="str">
        <f>HYPERLINK("http://dx.doi.org/10.1049/el:19980868","http://dx.doi.org/10.1049/el:19980868")</f>
        <v>http://dx.doi.org/10.1049/el:19980868</v>
      </c>
      <c r="BG149" s="1" t="s">
        <v>74</v>
      </c>
      <c r="BH149" s="1" t="s">
        <v>74</v>
      </c>
      <c r="BI149" s="1" t="s">
        <v>74</v>
      </c>
      <c r="BJ149" s="1" t="s">
        <v>74</v>
      </c>
      <c r="BK149" s="1" t="s">
        <v>74</v>
      </c>
      <c r="BL149" s="1" t="s">
        <v>74</v>
      </c>
      <c r="BM149" s="1" t="s">
        <v>74</v>
      </c>
      <c r="BN149" s="1" t="s">
        <v>74</v>
      </c>
      <c r="BO149" s="1" t="s">
        <v>74</v>
      </c>
      <c r="BP149" s="1" t="s">
        <v>74</v>
      </c>
      <c r="BQ149" s="1" t="s">
        <v>74</v>
      </c>
      <c r="BR149" s="1" t="s">
        <v>74</v>
      </c>
      <c r="BS149" s="1" t="s">
        <v>1626</v>
      </c>
      <c r="BT149" s="1" t="str">
        <f>HYPERLINK("https%3A%2F%2Fwww.webofscience.com%2Fwos%2Fwoscc%2Ffull-record%2FWOS:000074639100017","View Full Record in Web of Science")</f>
        <v>View Full Record in Web of Science</v>
      </c>
    </row>
    <row r="150" ht="12.75" customHeight="1">
      <c r="A150" s="1" t="s">
        <v>72</v>
      </c>
      <c r="B150" s="1" t="s">
        <v>1627</v>
      </c>
      <c r="C150" s="1" t="s">
        <v>74</v>
      </c>
      <c r="D150" s="1" t="s">
        <v>74</v>
      </c>
      <c r="E150" s="1" t="s">
        <v>74</v>
      </c>
      <c r="F150" s="1" t="s">
        <v>1627</v>
      </c>
      <c r="G150" s="1" t="s">
        <v>74</v>
      </c>
      <c r="H150" s="1" t="s">
        <v>74</v>
      </c>
      <c r="I150" s="1" t="s">
        <v>1628</v>
      </c>
      <c r="J150" s="1" t="s">
        <v>1629</v>
      </c>
      <c r="K150" s="1" t="s">
        <v>74</v>
      </c>
      <c r="L150" s="1" t="s">
        <v>74</v>
      </c>
      <c r="M150" s="1" t="s">
        <v>74</v>
      </c>
      <c r="N150" s="1" t="s">
        <v>74</v>
      </c>
      <c r="O150" s="1" t="s">
        <v>74</v>
      </c>
      <c r="P150" s="1" t="s">
        <v>74</v>
      </c>
      <c r="Q150" s="1" t="s">
        <v>74</v>
      </c>
      <c r="R150" s="1" t="s">
        <v>74</v>
      </c>
      <c r="S150" s="1" t="s">
        <v>74</v>
      </c>
      <c r="T150" s="1" t="s">
        <v>74</v>
      </c>
      <c r="U150" s="1" t="s">
        <v>74</v>
      </c>
      <c r="V150" s="1" t="s">
        <v>1630</v>
      </c>
      <c r="W150" s="1" t="s">
        <v>74</v>
      </c>
      <c r="X150" s="1" t="s">
        <v>74</v>
      </c>
      <c r="Y150" s="1" t="s">
        <v>74</v>
      </c>
      <c r="Z150" s="1" t="s">
        <v>74</v>
      </c>
      <c r="AA150" s="1" t="s">
        <v>74</v>
      </c>
      <c r="AB150" s="1" t="s">
        <v>74</v>
      </c>
      <c r="AC150" s="1" t="s">
        <v>74</v>
      </c>
      <c r="AD150" s="1" t="s">
        <v>74</v>
      </c>
      <c r="AE150" s="1" t="s">
        <v>74</v>
      </c>
      <c r="AF150" s="1" t="s">
        <v>74</v>
      </c>
      <c r="AG150" s="1" t="s">
        <v>74</v>
      </c>
      <c r="AH150" s="1" t="s">
        <v>74</v>
      </c>
      <c r="AI150" s="1" t="s">
        <v>74</v>
      </c>
      <c r="AJ150" s="1" t="s">
        <v>74</v>
      </c>
      <c r="AK150" s="1" t="s">
        <v>74</v>
      </c>
      <c r="AL150" s="1" t="s">
        <v>74</v>
      </c>
      <c r="AM150" s="1" t="s">
        <v>74</v>
      </c>
      <c r="AN150" s="1" t="s">
        <v>74</v>
      </c>
      <c r="AO150" s="1" t="s">
        <v>1631</v>
      </c>
      <c r="AP150" s="1" t="s">
        <v>1632</v>
      </c>
      <c r="AQ150" s="1" t="s">
        <v>74</v>
      </c>
      <c r="AR150" s="1" t="s">
        <v>74</v>
      </c>
      <c r="AS150" s="1" t="s">
        <v>74</v>
      </c>
      <c r="AT150" s="1" t="s">
        <v>1049</v>
      </c>
      <c r="AU150" s="1">
        <v>1997.0</v>
      </c>
      <c r="AV150" s="1">
        <v>31.0</v>
      </c>
      <c r="AW150" s="1">
        <v>22.0</v>
      </c>
      <c r="AX150" s="1" t="s">
        <v>74</v>
      </c>
      <c r="AY150" s="1" t="s">
        <v>74</v>
      </c>
      <c r="AZ150" s="1" t="s">
        <v>74</v>
      </c>
      <c r="BA150" s="1" t="s">
        <v>74</v>
      </c>
      <c r="BB150" s="1">
        <v>3737.0</v>
      </c>
      <c r="BC150" s="1">
        <v>3744.0</v>
      </c>
      <c r="BD150" s="1" t="s">
        <v>74</v>
      </c>
      <c r="BE150" s="1" t="s">
        <v>1633</v>
      </c>
      <c r="BF150" s="2" t="str">
        <f>HYPERLINK("http://dx.doi.org/10.1016/S1352-2310(97)00215-X","http://dx.doi.org/10.1016/S1352-2310(97)00215-X")</f>
        <v>http://dx.doi.org/10.1016/S1352-2310(97)00215-X</v>
      </c>
      <c r="BG150" s="1" t="s">
        <v>74</v>
      </c>
      <c r="BH150" s="1" t="s">
        <v>74</v>
      </c>
      <c r="BI150" s="1" t="s">
        <v>74</v>
      </c>
      <c r="BJ150" s="1" t="s">
        <v>74</v>
      </c>
      <c r="BK150" s="1" t="s">
        <v>74</v>
      </c>
      <c r="BL150" s="1" t="s">
        <v>74</v>
      </c>
      <c r="BM150" s="1" t="s">
        <v>74</v>
      </c>
      <c r="BN150" s="1" t="s">
        <v>74</v>
      </c>
      <c r="BO150" s="1" t="s">
        <v>74</v>
      </c>
      <c r="BP150" s="1" t="s">
        <v>74</v>
      </c>
      <c r="BQ150" s="1" t="s">
        <v>74</v>
      </c>
      <c r="BR150" s="1" t="s">
        <v>74</v>
      </c>
      <c r="BS150" s="1" t="s">
        <v>1634</v>
      </c>
      <c r="BT150" s="1" t="str">
        <f>HYPERLINK("https%3A%2F%2Fwww.webofscience.com%2Fwos%2Fwoscc%2Ffull-record%2FWOS:A1997XX49500006","View Full Record in Web of Science")</f>
        <v>View Full Record in Web of Science</v>
      </c>
    </row>
    <row r="151" ht="12.75" customHeight="1">
      <c r="A151" s="1" t="s">
        <v>72</v>
      </c>
      <c r="B151" s="1" t="s">
        <v>1635</v>
      </c>
      <c r="C151" s="1" t="s">
        <v>74</v>
      </c>
      <c r="D151" s="1" t="s">
        <v>74</v>
      </c>
      <c r="E151" s="1" t="s">
        <v>74</v>
      </c>
      <c r="F151" s="1" t="s">
        <v>1635</v>
      </c>
      <c r="G151" s="1" t="s">
        <v>74</v>
      </c>
      <c r="H151" s="1" t="s">
        <v>74</v>
      </c>
      <c r="I151" s="1" t="s">
        <v>1636</v>
      </c>
      <c r="J151" s="1" t="s">
        <v>1637</v>
      </c>
      <c r="K151" s="1" t="s">
        <v>74</v>
      </c>
      <c r="L151" s="1" t="s">
        <v>74</v>
      </c>
      <c r="M151" s="1" t="s">
        <v>74</v>
      </c>
      <c r="N151" s="1" t="s">
        <v>74</v>
      </c>
      <c r="O151" s="1" t="s">
        <v>74</v>
      </c>
      <c r="P151" s="1" t="s">
        <v>74</v>
      </c>
      <c r="Q151" s="1" t="s">
        <v>74</v>
      </c>
      <c r="R151" s="1" t="s">
        <v>74</v>
      </c>
      <c r="S151" s="1" t="s">
        <v>74</v>
      </c>
      <c r="T151" s="1" t="s">
        <v>74</v>
      </c>
      <c r="U151" s="1" t="s">
        <v>74</v>
      </c>
      <c r="V151" s="1" t="s">
        <v>1638</v>
      </c>
      <c r="W151" s="1" t="s">
        <v>74</v>
      </c>
      <c r="X151" s="1" t="s">
        <v>74</v>
      </c>
      <c r="Y151" s="1" t="s">
        <v>74</v>
      </c>
      <c r="Z151" s="1" t="s">
        <v>74</v>
      </c>
      <c r="AA151" s="1" t="s">
        <v>1639</v>
      </c>
      <c r="AB151" s="1" t="s">
        <v>74</v>
      </c>
      <c r="AC151" s="1" t="s">
        <v>74</v>
      </c>
      <c r="AD151" s="1" t="s">
        <v>74</v>
      </c>
      <c r="AE151" s="1" t="s">
        <v>74</v>
      </c>
      <c r="AF151" s="1" t="s">
        <v>74</v>
      </c>
      <c r="AG151" s="1" t="s">
        <v>74</v>
      </c>
      <c r="AH151" s="1" t="s">
        <v>74</v>
      </c>
      <c r="AI151" s="1" t="s">
        <v>74</v>
      </c>
      <c r="AJ151" s="1" t="s">
        <v>74</v>
      </c>
      <c r="AK151" s="1" t="s">
        <v>74</v>
      </c>
      <c r="AL151" s="1" t="s">
        <v>74</v>
      </c>
      <c r="AM151" s="1" t="s">
        <v>74</v>
      </c>
      <c r="AN151" s="1" t="s">
        <v>74</v>
      </c>
      <c r="AO151" s="1" t="s">
        <v>1640</v>
      </c>
      <c r="AP151" s="1" t="s">
        <v>74</v>
      </c>
      <c r="AQ151" s="1" t="s">
        <v>74</v>
      </c>
      <c r="AR151" s="1" t="s">
        <v>74</v>
      </c>
      <c r="AS151" s="1" t="s">
        <v>74</v>
      </c>
      <c r="AT151" s="1" t="s">
        <v>650</v>
      </c>
      <c r="AU151" s="1">
        <v>1997.0</v>
      </c>
      <c r="AV151" s="1">
        <v>12.0</v>
      </c>
      <c r="AW151" s="1">
        <v>1.0</v>
      </c>
      <c r="AX151" s="1" t="s">
        <v>74</v>
      </c>
      <c r="AY151" s="1" t="s">
        <v>74</v>
      </c>
      <c r="AZ151" s="1" t="s">
        <v>74</v>
      </c>
      <c r="BA151" s="1" t="s">
        <v>74</v>
      </c>
      <c r="BB151" s="1">
        <v>25.0</v>
      </c>
      <c r="BC151" s="1">
        <v>37.0</v>
      </c>
      <c r="BD151" s="1" t="s">
        <v>74</v>
      </c>
      <c r="BE151" s="1" t="s">
        <v>1641</v>
      </c>
      <c r="BF151" s="2" t="str">
        <f>HYPERLINK("http://dx.doi.org/10.1080/02681119708806234","http://dx.doi.org/10.1080/02681119708806234")</f>
        <v>http://dx.doi.org/10.1080/02681119708806234</v>
      </c>
      <c r="BG151" s="1" t="s">
        <v>74</v>
      </c>
      <c r="BH151" s="1" t="s">
        <v>74</v>
      </c>
      <c r="BI151" s="1" t="s">
        <v>74</v>
      </c>
      <c r="BJ151" s="1" t="s">
        <v>74</v>
      </c>
      <c r="BK151" s="1" t="s">
        <v>74</v>
      </c>
      <c r="BL151" s="1" t="s">
        <v>74</v>
      </c>
      <c r="BM151" s="1" t="s">
        <v>74</v>
      </c>
      <c r="BN151" s="1" t="s">
        <v>74</v>
      </c>
      <c r="BO151" s="1" t="s">
        <v>74</v>
      </c>
      <c r="BP151" s="1" t="s">
        <v>74</v>
      </c>
      <c r="BQ151" s="1" t="s">
        <v>74</v>
      </c>
      <c r="BR151" s="1" t="s">
        <v>74</v>
      </c>
      <c r="BS151" s="1" t="s">
        <v>1642</v>
      </c>
      <c r="BT151" s="1" t="str">
        <f>HYPERLINK("https%3A%2F%2Fwww.webofscience.com%2Fwos%2Fwoscc%2Ffull-record%2FWOS:A1997WY61800002","View Full Record in Web of Science")</f>
        <v>View Full Record in Web of Science</v>
      </c>
    </row>
    <row r="152" ht="12.75" customHeight="1">
      <c r="A152" s="1" t="s">
        <v>72</v>
      </c>
      <c r="B152" s="1" t="s">
        <v>1643</v>
      </c>
      <c r="C152" s="1" t="s">
        <v>74</v>
      </c>
      <c r="D152" s="1" t="s">
        <v>74</v>
      </c>
      <c r="E152" s="1" t="s">
        <v>74</v>
      </c>
      <c r="F152" s="1" t="s">
        <v>1643</v>
      </c>
      <c r="G152" s="1" t="s">
        <v>74</v>
      </c>
      <c r="H152" s="1" t="s">
        <v>74</v>
      </c>
      <c r="I152" s="1" t="s">
        <v>1644</v>
      </c>
      <c r="J152" s="1" t="s">
        <v>1645</v>
      </c>
      <c r="K152" s="1" t="s">
        <v>74</v>
      </c>
      <c r="L152" s="1" t="s">
        <v>74</v>
      </c>
      <c r="M152" s="1" t="s">
        <v>74</v>
      </c>
      <c r="N152" s="1" t="s">
        <v>74</v>
      </c>
      <c r="O152" s="1" t="s">
        <v>74</v>
      </c>
      <c r="P152" s="1" t="s">
        <v>74</v>
      </c>
      <c r="Q152" s="1" t="s">
        <v>74</v>
      </c>
      <c r="R152" s="1" t="s">
        <v>74</v>
      </c>
      <c r="S152" s="1" t="s">
        <v>74</v>
      </c>
      <c r="T152" s="1" t="s">
        <v>74</v>
      </c>
      <c r="U152" s="1" t="s">
        <v>74</v>
      </c>
      <c r="V152" s="1" t="s">
        <v>74</v>
      </c>
      <c r="W152" s="1" t="s">
        <v>74</v>
      </c>
      <c r="X152" s="1" t="s">
        <v>74</v>
      </c>
      <c r="Y152" s="1" t="s">
        <v>74</v>
      </c>
      <c r="Z152" s="1" t="s">
        <v>74</v>
      </c>
      <c r="AA152" s="1" t="s">
        <v>1646</v>
      </c>
      <c r="AB152" s="1" t="s">
        <v>74</v>
      </c>
      <c r="AC152" s="1" t="s">
        <v>74</v>
      </c>
      <c r="AD152" s="1" t="s">
        <v>74</v>
      </c>
      <c r="AE152" s="1" t="s">
        <v>74</v>
      </c>
      <c r="AF152" s="1" t="s">
        <v>74</v>
      </c>
      <c r="AG152" s="1" t="s">
        <v>74</v>
      </c>
      <c r="AH152" s="1" t="s">
        <v>74</v>
      </c>
      <c r="AI152" s="1" t="s">
        <v>74</v>
      </c>
      <c r="AJ152" s="1" t="s">
        <v>74</v>
      </c>
      <c r="AK152" s="1" t="s">
        <v>74</v>
      </c>
      <c r="AL152" s="1" t="s">
        <v>74</v>
      </c>
      <c r="AM152" s="1" t="s">
        <v>74</v>
      </c>
      <c r="AN152" s="1" t="s">
        <v>74</v>
      </c>
      <c r="AO152" s="1" t="s">
        <v>1647</v>
      </c>
      <c r="AP152" s="1" t="s">
        <v>74</v>
      </c>
      <c r="AQ152" s="1" t="s">
        <v>74</v>
      </c>
      <c r="AR152" s="1" t="s">
        <v>74</v>
      </c>
      <c r="AS152" s="1" t="s">
        <v>74</v>
      </c>
      <c r="AT152" s="1" t="s">
        <v>88</v>
      </c>
      <c r="AU152" s="1">
        <v>1996.0</v>
      </c>
      <c r="AV152" s="1">
        <v>39.0</v>
      </c>
      <c r="AW152" s="1">
        <v>4.0</v>
      </c>
      <c r="AX152" s="1">
        <v>2.0</v>
      </c>
      <c r="AY152" s="1" t="s">
        <v>74</v>
      </c>
      <c r="AZ152" s="1" t="s">
        <v>74</v>
      </c>
      <c r="BA152" s="1" t="s">
        <v>74</v>
      </c>
      <c r="BB152" s="1">
        <v>2258.0</v>
      </c>
      <c r="BC152" s="1">
        <v>2258.0</v>
      </c>
      <c r="BD152" s="1" t="s">
        <v>74</v>
      </c>
      <c r="BE152" s="1" t="s">
        <v>74</v>
      </c>
      <c r="BF152" s="1" t="s">
        <v>74</v>
      </c>
      <c r="BG152" s="1" t="s">
        <v>74</v>
      </c>
      <c r="BH152" s="1" t="s">
        <v>74</v>
      </c>
      <c r="BI152" s="1" t="s">
        <v>74</v>
      </c>
      <c r="BJ152" s="1" t="s">
        <v>74</v>
      </c>
      <c r="BK152" s="1" t="s">
        <v>74</v>
      </c>
      <c r="BL152" s="1" t="s">
        <v>74</v>
      </c>
      <c r="BM152" s="1" t="s">
        <v>74</v>
      </c>
      <c r="BN152" s="1" t="s">
        <v>74</v>
      </c>
      <c r="BO152" s="1" t="s">
        <v>74</v>
      </c>
      <c r="BP152" s="1" t="s">
        <v>74</v>
      </c>
      <c r="BQ152" s="1" t="s">
        <v>74</v>
      </c>
      <c r="BR152" s="1" t="s">
        <v>74</v>
      </c>
      <c r="BS152" s="1" t="s">
        <v>1648</v>
      </c>
      <c r="BT152" s="1" t="str">
        <f>HYPERLINK("https%3A%2F%2Fwww.webofscience.com%2Fwos%2Fwoscc%2Ffull-record%2FWOS:A1996UD23802258","View Full Record in Web of Science")</f>
        <v>View Full Record in Web of Science</v>
      </c>
    </row>
    <row r="153" ht="12.75" customHeight="1">
      <c r="A153" s="1" t="s">
        <v>72</v>
      </c>
      <c r="B153" s="1" t="s">
        <v>1649</v>
      </c>
      <c r="C153" s="1" t="s">
        <v>74</v>
      </c>
      <c r="D153" s="1" t="s">
        <v>74</v>
      </c>
      <c r="E153" s="1" t="s">
        <v>74</v>
      </c>
      <c r="F153" s="1" t="s">
        <v>1649</v>
      </c>
      <c r="G153" s="1" t="s">
        <v>74</v>
      </c>
      <c r="H153" s="1" t="s">
        <v>74</v>
      </c>
      <c r="I153" s="1" t="s">
        <v>1650</v>
      </c>
      <c r="J153" s="1" t="s">
        <v>1651</v>
      </c>
      <c r="K153" s="1" t="s">
        <v>74</v>
      </c>
      <c r="L153" s="1" t="s">
        <v>74</v>
      </c>
      <c r="M153" s="1" t="s">
        <v>74</v>
      </c>
      <c r="N153" s="1" t="s">
        <v>74</v>
      </c>
      <c r="O153" s="1" t="s">
        <v>74</v>
      </c>
      <c r="P153" s="1" t="s">
        <v>74</v>
      </c>
      <c r="Q153" s="1" t="s">
        <v>74</v>
      </c>
      <c r="R153" s="1" t="s">
        <v>74</v>
      </c>
      <c r="S153" s="1" t="s">
        <v>74</v>
      </c>
      <c r="T153" s="1" t="s">
        <v>74</v>
      </c>
      <c r="U153" s="1" t="s">
        <v>74</v>
      </c>
      <c r="V153" s="1" t="s">
        <v>1652</v>
      </c>
      <c r="W153" s="1" t="s">
        <v>74</v>
      </c>
      <c r="X153" s="1" t="s">
        <v>74</v>
      </c>
      <c r="Y153" s="1" t="s">
        <v>74</v>
      </c>
      <c r="Z153" s="1" t="s">
        <v>74</v>
      </c>
      <c r="AA153" s="1" t="s">
        <v>74</v>
      </c>
      <c r="AB153" s="1" t="s">
        <v>74</v>
      </c>
      <c r="AC153" s="1" t="s">
        <v>74</v>
      </c>
      <c r="AD153" s="1" t="s">
        <v>74</v>
      </c>
      <c r="AE153" s="1" t="s">
        <v>74</v>
      </c>
      <c r="AF153" s="1" t="s">
        <v>74</v>
      </c>
      <c r="AG153" s="1" t="s">
        <v>74</v>
      </c>
      <c r="AH153" s="1" t="s">
        <v>74</v>
      </c>
      <c r="AI153" s="1" t="s">
        <v>74</v>
      </c>
      <c r="AJ153" s="1" t="s">
        <v>74</v>
      </c>
      <c r="AK153" s="1" t="s">
        <v>74</v>
      </c>
      <c r="AL153" s="1" t="s">
        <v>74</v>
      </c>
      <c r="AM153" s="1" t="s">
        <v>74</v>
      </c>
      <c r="AN153" s="1" t="s">
        <v>74</v>
      </c>
      <c r="AO153" s="1" t="s">
        <v>1653</v>
      </c>
      <c r="AP153" s="1" t="s">
        <v>74</v>
      </c>
      <c r="AQ153" s="1" t="s">
        <v>74</v>
      </c>
      <c r="AR153" s="1" t="s">
        <v>74</v>
      </c>
      <c r="AS153" s="1" t="s">
        <v>74</v>
      </c>
      <c r="AT153" s="1" t="s">
        <v>650</v>
      </c>
      <c r="AU153" s="1">
        <v>1995.0</v>
      </c>
      <c r="AV153" s="1">
        <v>40.0</v>
      </c>
      <c r="AW153" s="1">
        <v>1.0</v>
      </c>
      <c r="AX153" s="1" t="s">
        <v>74</v>
      </c>
      <c r="AY153" s="1" t="s">
        <v>74</v>
      </c>
      <c r="AZ153" s="1" t="s">
        <v>74</v>
      </c>
      <c r="BA153" s="1" t="s">
        <v>74</v>
      </c>
      <c r="BB153" s="1">
        <v>71.0</v>
      </c>
      <c r="BC153" s="1">
        <v>74.0</v>
      </c>
      <c r="BD153" s="1" t="s">
        <v>74</v>
      </c>
      <c r="BE153" s="1" t="s">
        <v>74</v>
      </c>
      <c r="BF153" s="1" t="s">
        <v>74</v>
      </c>
      <c r="BG153" s="1" t="s">
        <v>74</v>
      </c>
      <c r="BH153" s="1" t="s">
        <v>74</v>
      </c>
      <c r="BI153" s="1" t="s">
        <v>74</v>
      </c>
      <c r="BJ153" s="1" t="s">
        <v>74</v>
      </c>
      <c r="BK153" s="1" t="s">
        <v>74</v>
      </c>
      <c r="BL153" s="1" t="s">
        <v>74</v>
      </c>
      <c r="BM153" s="1" t="s">
        <v>74</v>
      </c>
      <c r="BN153" s="1" t="s">
        <v>74</v>
      </c>
      <c r="BO153" s="1" t="s">
        <v>74</v>
      </c>
      <c r="BP153" s="1" t="s">
        <v>74</v>
      </c>
      <c r="BQ153" s="1" t="s">
        <v>74</v>
      </c>
      <c r="BR153" s="1" t="s">
        <v>74</v>
      </c>
      <c r="BS153" s="1" t="s">
        <v>1654</v>
      </c>
      <c r="BT153" s="1" t="str">
        <f>HYPERLINK("https%3A%2F%2Fwww.webofscience.com%2Fwos%2Fwoscc%2Ffull-record%2FWOS:A1995QV98900010","View Full Record in Web of Science")</f>
        <v>View Full Record in Web of Science</v>
      </c>
    </row>
    <row r="154" ht="12.75" customHeight="1">
      <c r="A154" s="1" t="s">
        <v>72</v>
      </c>
      <c r="B154" s="1" t="s">
        <v>1655</v>
      </c>
      <c r="C154" s="1" t="s">
        <v>74</v>
      </c>
      <c r="D154" s="1" t="s">
        <v>74</v>
      </c>
      <c r="E154" s="1" t="s">
        <v>74</v>
      </c>
      <c r="F154" s="1" t="s">
        <v>1655</v>
      </c>
      <c r="G154" s="1" t="s">
        <v>74</v>
      </c>
      <c r="H154" s="1" t="s">
        <v>74</v>
      </c>
      <c r="I154" s="1" t="s">
        <v>1656</v>
      </c>
      <c r="J154" s="1" t="s">
        <v>1657</v>
      </c>
      <c r="K154" s="1" t="s">
        <v>74</v>
      </c>
      <c r="L154" s="1" t="s">
        <v>74</v>
      </c>
      <c r="M154" s="1" t="s">
        <v>74</v>
      </c>
      <c r="N154" s="1" t="s">
        <v>74</v>
      </c>
      <c r="O154" s="1" t="s">
        <v>74</v>
      </c>
      <c r="P154" s="1" t="s">
        <v>74</v>
      </c>
      <c r="Q154" s="1" t="s">
        <v>74</v>
      </c>
      <c r="R154" s="1" t="s">
        <v>74</v>
      </c>
      <c r="S154" s="1" t="s">
        <v>74</v>
      </c>
      <c r="T154" s="1" t="s">
        <v>74</v>
      </c>
      <c r="U154" s="1" t="s">
        <v>74</v>
      </c>
      <c r="V154" s="1" t="s">
        <v>1658</v>
      </c>
      <c r="W154" s="1" t="s">
        <v>74</v>
      </c>
      <c r="X154" s="1" t="s">
        <v>74</v>
      </c>
      <c r="Y154" s="1" t="s">
        <v>74</v>
      </c>
      <c r="Z154" s="1" t="s">
        <v>74</v>
      </c>
      <c r="AA154" s="1" t="s">
        <v>74</v>
      </c>
      <c r="AB154" s="1" t="s">
        <v>1659</v>
      </c>
      <c r="AC154" s="1" t="s">
        <v>74</v>
      </c>
      <c r="AD154" s="1" t="s">
        <v>74</v>
      </c>
      <c r="AE154" s="1" t="s">
        <v>74</v>
      </c>
      <c r="AF154" s="1" t="s">
        <v>74</v>
      </c>
      <c r="AG154" s="1" t="s">
        <v>74</v>
      </c>
      <c r="AH154" s="1" t="s">
        <v>74</v>
      </c>
      <c r="AI154" s="1" t="s">
        <v>74</v>
      </c>
      <c r="AJ154" s="1" t="s">
        <v>74</v>
      </c>
      <c r="AK154" s="1" t="s">
        <v>74</v>
      </c>
      <c r="AL154" s="1" t="s">
        <v>74</v>
      </c>
      <c r="AM154" s="1" t="s">
        <v>74</v>
      </c>
      <c r="AN154" s="1" t="s">
        <v>74</v>
      </c>
      <c r="AO154" s="1" t="s">
        <v>1660</v>
      </c>
      <c r="AP154" s="1" t="s">
        <v>74</v>
      </c>
      <c r="AQ154" s="1" t="s">
        <v>74</v>
      </c>
      <c r="AR154" s="1" t="s">
        <v>74</v>
      </c>
      <c r="AS154" s="1" t="s">
        <v>74</v>
      </c>
      <c r="AT154" s="1" t="s">
        <v>88</v>
      </c>
      <c r="AU154" s="1">
        <v>1994.0</v>
      </c>
      <c r="AV154" s="1">
        <v>272.0</v>
      </c>
      <c r="AW154" s="1">
        <v>4.0</v>
      </c>
      <c r="AX154" s="1" t="s">
        <v>74</v>
      </c>
      <c r="AY154" s="1" t="s">
        <v>74</v>
      </c>
      <c r="AZ154" s="1" t="s">
        <v>74</v>
      </c>
      <c r="BA154" s="1" t="s">
        <v>74</v>
      </c>
      <c r="BB154" s="1">
        <v>427.0</v>
      </c>
      <c r="BC154" s="1">
        <v>432.0</v>
      </c>
      <c r="BD154" s="1" t="s">
        <v>74</v>
      </c>
      <c r="BE154" s="1" t="s">
        <v>1661</v>
      </c>
      <c r="BF154" s="2" t="str">
        <f>HYPERLINK("http://dx.doi.org/10.1007/BF00659455","http://dx.doi.org/10.1007/BF00659455")</f>
        <v>http://dx.doi.org/10.1007/BF00659455</v>
      </c>
      <c r="BG154" s="1" t="s">
        <v>74</v>
      </c>
      <c r="BH154" s="1" t="s">
        <v>74</v>
      </c>
      <c r="BI154" s="1" t="s">
        <v>74</v>
      </c>
      <c r="BJ154" s="1" t="s">
        <v>74</v>
      </c>
      <c r="BK154" s="1" t="s">
        <v>74</v>
      </c>
      <c r="BL154" s="1" t="s">
        <v>74</v>
      </c>
      <c r="BM154" s="1" t="s">
        <v>74</v>
      </c>
      <c r="BN154" s="1" t="s">
        <v>74</v>
      </c>
      <c r="BO154" s="1" t="s">
        <v>74</v>
      </c>
      <c r="BP154" s="1" t="s">
        <v>74</v>
      </c>
      <c r="BQ154" s="1" t="s">
        <v>74</v>
      </c>
      <c r="BR154" s="1" t="s">
        <v>74</v>
      </c>
      <c r="BS154" s="1" t="s">
        <v>1662</v>
      </c>
      <c r="BT154" s="1" t="str">
        <f>HYPERLINK("https%3A%2F%2Fwww.webofscience.com%2Fwos%2Fwoscc%2Ffull-record%2FWOS:A1994NL14900008","View Full Record in Web of Science")</f>
        <v>View Full Record in Web of Science</v>
      </c>
    </row>
    <row r="155" ht="12.75" customHeight="1">
      <c r="A155" s="1" t="s">
        <v>242</v>
      </c>
      <c r="B155" s="1" t="s">
        <v>1663</v>
      </c>
      <c r="C155" s="1" t="s">
        <v>74</v>
      </c>
      <c r="D155" s="1" t="s">
        <v>1664</v>
      </c>
      <c r="E155" s="1" t="s">
        <v>74</v>
      </c>
      <c r="F155" s="1" t="s">
        <v>1663</v>
      </c>
      <c r="G155" s="1" t="s">
        <v>74</v>
      </c>
      <c r="H155" s="1" t="s">
        <v>74</v>
      </c>
      <c r="I155" s="1" t="s">
        <v>1665</v>
      </c>
      <c r="J155" s="1" t="s">
        <v>1666</v>
      </c>
      <c r="K155" s="1" t="s">
        <v>1667</v>
      </c>
      <c r="L155" s="1" t="s">
        <v>74</v>
      </c>
      <c r="M155" s="1" t="s">
        <v>74</v>
      </c>
      <c r="N155" s="1" t="s">
        <v>74</v>
      </c>
      <c r="O155" s="1" t="s">
        <v>1668</v>
      </c>
      <c r="P155" s="1" t="s">
        <v>1669</v>
      </c>
      <c r="Q155" s="1" t="s">
        <v>1670</v>
      </c>
      <c r="R155" s="1" t="s">
        <v>1671</v>
      </c>
      <c r="S155" s="1" t="s">
        <v>74</v>
      </c>
      <c r="T155" s="1" t="s">
        <v>74</v>
      </c>
      <c r="U155" s="1" t="s">
        <v>74</v>
      </c>
      <c r="V155" s="1" t="s">
        <v>1672</v>
      </c>
      <c r="W155" s="1" t="s">
        <v>74</v>
      </c>
      <c r="X155" s="1" t="s">
        <v>74</v>
      </c>
      <c r="Y155" s="1" t="s">
        <v>74</v>
      </c>
      <c r="Z155" s="1" t="s">
        <v>74</v>
      </c>
      <c r="AA155" s="1" t="s">
        <v>1673</v>
      </c>
      <c r="AB155" s="1" t="s">
        <v>1674</v>
      </c>
      <c r="AC155" s="1" t="s">
        <v>74</v>
      </c>
      <c r="AD155" s="1" t="s">
        <v>74</v>
      </c>
      <c r="AE155" s="1" t="s">
        <v>74</v>
      </c>
      <c r="AF155" s="1" t="s">
        <v>74</v>
      </c>
      <c r="AG155" s="1" t="s">
        <v>74</v>
      </c>
      <c r="AH155" s="1" t="s">
        <v>74</v>
      </c>
      <c r="AI155" s="1" t="s">
        <v>74</v>
      </c>
      <c r="AJ155" s="1" t="s">
        <v>74</v>
      </c>
      <c r="AK155" s="1" t="s">
        <v>74</v>
      </c>
      <c r="AL155" s="1" t="s">
        <v>74</v>
      </c>
      <c r="AM155" s="1" t="s">
        <v>74</v>
      </c>
      <c r="AN155" s="1" t="s">
        <v>74</v>
      </c>
      <c r="AO155" s="1" t="s">
        <v>74</v>
      </c>
      <c r="AP155" s="1" t="s">
        <v>74</v>
      </c>
      <c r="AQ155" s="1" t="s">
        <v>1675</v>
      </c>
      <c r="AR155" s="1" t="s">
        <v>74</v>
      </c>
      <c r="AS155" s="1" t="s">
        <v>74</v>
      </c>
      <c r="AT155" s="1" t="s">
        <v>74</v>
      </c>
      <c r="AU155" s="1">
        <v>1994.0</v>
      </c>
      <c r="AV155" s="1">
        <v>82.0</v>
      </c>
      <c r="AW155" s="1" t="s">
        <v>74</v>
      </c>
      <c r="AX155" s="1" t="s">
        <v>74</v>
      </c>
      <c r="AY155" s="1" t="s">
        <v>74</v>
      </c>
      <c r="AZ155" s="1" t="s">
        <v>74</v>
      </c>
      <c r="BA155" s="1" t="s">
        <v>74</v>
      </c>
      <c r="BB155" s="1">
        <v>55.0</v>
      </c>
      <c r="BC155" s="1">
        <v>66.0</v>
      </c>
      <c r="BD155" s="1" t="s">
        <v>74</v>
      </c>
      <c r="BE155" s="1" t="s">
        <v>74</v>
      </c>
      <c r="BF155" s="1" t="s">
        <v>74</v>
      </c>
      <c r="BG155" s="1" t="s">
        <v>74</v>
      </c>
      <c r="BH155" s="1" t="s">
        <v>74</v>
      </c>
      <c r="BI155" s="1" t="s">
        <v>74</v>
      </c>
      <c r="BJ155" s="1" t="s">
        <v>74</v>
      </c>
      <c r="BK155" s="1" t="s">
        <v>74</v>
      </c>
      <c r="BL155" s="1" t="s">
        <v>74</v>
      </c>
      <c r="BM155" s="1" t="s">
        <v>74</v>
      </c>
      <c r="BN155" s="1" t="s">
        <v>74</v>
      </c>
      <c r="BO155" s="1" t="s">
        <v>74</v>
      </c>
      <c r="BP155" s="1" t="s">
        <v>74</v>
      </c>
      <c r="BQ155" s="1" t="s">
        <v>74</v>
      </c>
      <c r="BR155" s="1" t="s">
        <v>74</v>
      </c>
      <c r="BS155" s="1" t="s">
        <v>1676</v>
      </c>
      <c r="BT155" s="1" t="str">
        <f>HYPERLINK("https%3A%2F%2Fwww.webofscience.com%2Fwos%2Fwoscc%2Ffull-record%2FWOS:A1994BC20N00005","View Full Record in Web of Science")</f>
        <v>View Full Record in Web of Science</v>
      </c>
    </row>
    <row r="156" ht="12.75" customHeight="1">
      <c r="A156" s="1" t="s">
        <v>72</v>
      </c>
      <c r="B156" s="1" t="s">
        <v>1677</v>
      </c>
      <c r="C156" s="1" t="s">
        <v>74</v>
      </c>
      <c r="D156" s="1" t="s">
        <v>74</v>
      </c>
      <c r="E156" s="1" t="s">
        <v>74</v>
      </c>
      <c r="F156" s="1" t="s">
        <v>1677</v>
      </c>
      <c r="G156" s="1" t="s">
        <v>74</v>
      </c>
      <c r="H156" s="1" t="s">
        <v>74</v>
      </c>
      <c r="I156" s="1" t="s">
        <v>1678</v>
      </c>
      <c r="J156" s="1" t="s">
        <v>345</v>
      </c>
      <c r="K156" s="1" t="s">
        <v>74</v>
      </c>
      <c r="L156" s="1" t="s">
        <v>74</v>
      </c>
      <c r="M156" s="1" t="s">
        <v>74</v>
      </c>
      <c r="N156" s="1" t="s">
        <v>74</v>
      </c>
      <c r="O156" s="1" t="s">
        <v>74</v>
      </c>
      <c r="P156" s="1" t="s">
        <v>74</v>
      </c>
      <c r="Q156" s="1" t="s">
        <v>74</v>
      </c>
      <c r="R156" s="1" t="s">
        <v>74</v>
      </c>
      <c r="S156" s="1" t="s">
        <v>74</v>
      </c>
      <c r="T156" s="1" t="s">
        <v>74</v>
      </c>
      <c r="U156" s="1" t="s">
        <v>74</v>
      </c>
      <c r="V156" s="1" t="s">
        <v>1679</v>
      </c>
      <c r="W156" s="1" t="s">
        <v>74</v>
      </c>
      <c r="X156" s="1" t="s">
        <v>74</v>
      </c>
      <c r="Y156" s="1" t="s">
        <v>74</v>
      </c>
      <c r="Z156" s="1" t="s">
        <v>74</v>
      </c>
      <c r="AA156" s="1" t="s">
        <v>74</v>
      </c>
      <c r="AB156" s="1" t="s">
        <v>74</v>
      </c>
      <c r="AC156" s="1" t="s">
        <v>74</v>
      </c>
      <c r="AD156" s="1" t="s">
        <v>74</v>
      </c>
      <c r="AE156" s="1" t="s">
        <v>74</v>
      </c>
      <c r="AF156" s="1" t="s">
        <v>74</v>
      </c>
      <c r="AG156" s="1" t="s">
        <v>74</v>
      </c>
      <c r="AH156" s="1" t="s">
        <v>74</v>
      </c>
      <c r="AI156" s="1" t="s">
        <v>74</v>
      </c>
      <c r="AJ156" s="1" t="s">
        <v>74</v>
      </c>
      <c r="AK156" s="1" t="s">
        <v>74</v>
      </c>
      <c r="AL156" s="1" t="s">
        <v>74</v>
      </c>
      <c r="AM156" s="1" t="s">
        <v>74</v>
      </c>
      <c r="AN156" s="1" t="s">
        <v>74</v>
      </c>
      <c r="AO156" s="1" t="s">
        <v>349</v>
      </c>
      <c r="AP156" s="1" t="s">
        <v>74</v>
      </c>
      <c r="AQ156" s="1" t="s">
        <v>74</v>
      </c>
      <c r="AR156" s="1" t="s">
        <v>74</v>
      </c>
      <c r="AS156" s="1" t="s">
        <v>74</v>
      </c>
      <c r="AT156" s="1" t="s">
        <v>1049</v>
      </c>
      <c r="AU156" s="1">
        <v>1993.0</v>
      </c>
      <c r="AV156" s="1">
        <v>21.0</v>
      </c>
      <c r="AW156" s="1">
        <v>1.0</v>
      </c>
      <c r="AX156" s="1" t="s">
        <v>74</v>
      </c>
      <c r="AY156" s="1" t="s">
        <v>74</v>
      </c>
      <c r="AZ156" s="1" t="s">
        <v>74</v>
      </c>
      <c r="BA156" s="1" t="s">
        <v>74</v>
      </c>
      <c r="BB156" s="1">
        <v>37.0</v>
      </c>
      <c r="BC156" s="1">
        <v>40.0</v>
      </c>
      <c r="BD156" s="1" t="s">
        <v>74</v>
      </c>
      <c r="BE156" s="1" t="s">
        <v>1680</v>
      </c>
      <c r="BF156" s="2" t="str">
        <f>HYPERLINK("http://dx.doi.org/10.1016/1011-1344(93)80161-2","http://dx.doi.org/10.1016/1011-1344(93)80161-2")</f>
        <v>http://dx.doi.org/10.1016/1011-1344(93)80161-2</v>
      </c>
      <c r="BG156" s="1" t="s">
        <v>74</v>
      </c>
      <c r="BH156" s="1" t="s">
        <v>74</v>
      </c>
      <c r="BI156" s="1" t="s">
        <v>74</v>
      </c>
      <c r="BJ156" s="1" t="s">
        <v>74</v>
      </c>
      <c r="BK156" s="1" t="s">
        <v>74</v>
      </c>
      <c r="BL156" s="1" t="s">
        <v>74</v>
      </c>
      <c r="BM156" s="1" t="s">
        <v>74</v>
      </c>
      <c r="BN156" s="1">
        <v>8289110.0</v>
      </c>
      <c r="BO156" s="1" t="s">
        <v>74</v>
      </c>
      <c r="BP156" s="1" t="s">
        <v>74</v>
      </c>
      <c r="BQ156" s="1" t="s">
        <v>74</v>
      </c>
      <c r="BR156" s="1" t="s">
        <v>74</v>
      </c>
      <c r="BS156" s="1" t="s">
        <v>1681</v>
      </c>
      <c r="BT156" s="1" t="str">
        <f>HYPERLINK("https%3A%2F%2Fwww.webofscience.com%2Fwos%2Fwoscc%2Ffull-record%2FWOS:A1993MH48900003","View Full Record in Web of Science")</f>
        <v>View Full Record in Web of Science</v>
      </c>
    </row>
    <row r="157" ht="12.75" customHeight="1">
      <c r="A157" s="1" t="s">
        <v>72</v>
      </c>
      <c r="B157" s="1" t="s">
        <v>1682</v>
      </c>
      <c r="C157" s="1" t="s">
        <v>74</v>
      </c>
      <c r="D157" s="1" t="s">
        <v>74</v>
      </c>
      <c r="E157" s="1" t="s">
        <v>74</v>
      </c>
      <c r="F157" s="1" t="s">
        <v>1682</v>
      </c>
      <c r="G157" s="1" t="s">
        <v>74</v>
      </c>
      <c r="H157" s="1" t="s">
        <v>74</v>
      </c>
      <c r="I157" s="1" t="s">
        <v>1683</v>
      </c>
      <c r="J157" s="1" t="s">
        <v>1651</v>
      </c>
      <c r="K157" s="1" t="s">
        <v>74</v>
      </c>
      <c r="L157" s="1" t="s">
        <v>74</v>
      </c>
      <c r="M157" s="1" t="s">
        <v>74</v>
      </c>
      <c r="N157" s="1" t="s">
        <v>74</v>
      </c>
      <c r="O157" s="1" t="s">
        <v>74</v>
      </c>
      <c r="P157" s="1" t="s">
        <v>74</v>
      </c>
      <c r="Q157" s="1" t="s">
        <v>74</v>
      </c>
      <c r="R157" s="1" t="s">
        <v>74</v>
      </c>
      <c r="S157" s="1" t="s">
        <v>74</v>
      </c>
      <c r="T157" s="1" t="s">
        <v>74</v>
      </c>
      <c r="U157" s="1" t="s">
        <v>74</v>
      </c>
      <c r="V157" s="1" t="s">
        <v>74</v>
      </c>
      <c r="W157" s="1" t="s">
        <v>74</v>
      </c>
      <c r="X157" s="1" t="s">
        <v>74</v>
      </c>
      <c r="Y157" s="1" t="s">
        <v>74</v>
      </c>
      <c r="Z157" s="1" t="s">
        <v>74</v>
      </c>
      <c r="AA157" s="1" t="s">
        <v>1684</v>
      </c>
      <c r="AB157" s="1" t="s">
        <v>74</v>
      </c>
      <c r="AC157" s="1" t="s">
        <v>74</v>
      </c>
      <c r="AD157" s="1" t="s">
        <v>74</v>
      </c>
      <c r="AE157" s="1" t="s">
        <v>74</v>
      </c>
      <c r="AF157" s="1" t="s">
        <v>74</v>
      </c>
      <c r="AG157" s="1" t="s">
        <v>74</v>
      </c>
      <c r="AH157" s="1" t="s">
        <v>74</v>
      </c>
      <c r="AI157" s="1" t="s">
        <v>74</v>
      </c>
      <c r="AJ157" s="1" t="s">
        <v>74</v>
      </c>
      <c r="AK157" s="1" t="s">
        <v>74</v>
      </c>
      <c r="AL157" s="1" t="s">
        <v>74</v>
      </c>
      <c r="AM157" s="1" t="s">
        <v>74</v>
      </c>
      <c r="AN157" s="1" t="s">
        <v>74</v>
      </c>
      <c r="AO157" s="1" t="s">
        <v>1653</v>
      </c>
      <c r="AP157" s="1" t="s">
        <v>74</v>
      </c>
      <c r="AQ157" s="1" t="s">
        <v>74</v>
      </c>
      <c r="AR157" s="1" t="s">
        <v>74</v>
      </c>
      <c r="AS157" s="1" t="s">
        <v>74</v>
      </c>
      <c r="AT157" s="1" t="s">
        <v>650</v>
      </c>
      <c r="AU157" s="1">
        <v>1987.0</v>
      </c>
      <c r="AV157" s="1">
        <v>32.0</v>
      </c>
      <c r="AW157" s="1">
        <v>1.0</v>
      </c>
      <c r="AX157" s="1" t="s">
        <v>74</v>
      </c>
      <c r="AY157" s="1" t="s">
        <v>74</v>
      </c>
      <c r="AZ157" s="1" t="s">
        <v>74</v>
      </c>
      <c r="BA157" s="1" t="s">
        <v>74</v>
      </c>
      <c r="BB157" s="1">
        <v>5.0</v>
      </c>
      <c r="BC157" s="1">
        <v>9.0</v>
      </c>
      <c r="BD157" s="1" t="s">
        <v>74</v>
      </c>
      <c r="BE157" s="1" t="s">
        <v>74</v>
      </c>
      <c r="BF157" s="1" t="s">
        <v>74</v>
      </c>
      <c r="BG157" s="1" t="s">
        <v>74</v>
      </c>
      <c r="BH157" s="1" t="s">
        <v>74</v>
      </c>
      <c r="BI157" s="1" t="s">
        <v>74</v>
      </c>
      <c r="BJ157" s="1" t="s">
        <v>74</v>
      </c>
      <c r="BK157" s="1" t="s">
        <v>74</v>
      </c>
      <c r="BL157" s="1" t="s">
        <v>74</v>
      </c>
      <c r="BM157" s="1" t="s">
        <v>74</v>
      </c>
      <c r="BN157" s="1" t="s">
        <v>74</v>
      </c>
      <c r="BO157" s="1" t="s">
        <v>74</v>
      </c>
      <c r="BP157" s="1" t="s">
        <v>74</v>
      </c>
      <c r="BQ157" s="1" t="s">
        <v>74</v>
      </c>
      <c r="BR157" s="1" t="s">
        <v>74</v>
      </c>
      <c r="BS157" s="1" t="s">
        <v>1685</v>
      </c>
      <c r="BT157" s="1" t="str">
        <f>HYPERLINK("https%3A%2F%2Fwww.webofscience.com%2Fwos%2Fwoscc%2Ffull-record%2FWOS:A1987G733200002","View Full Record in Web of Science")</f>
        <v>View Full Record in Web of Science</v>
      </c>
    </row>
    <row r="158" ht="12.75" customHeight="1">
      <c r="A158" s="1" t="s">
        <v>72</v>
      </c>
      <c r="B158" s="1" t="s">
        <v>1686</v>
      </c>
      <c r="C158" s="1" t="s">
        <v>74</v>
      </c>
      <c r="D158" s="1" t="s">
        <v>74</v>
      </c>
      <c r="E158" s="1" t="s">
        <v>74</v>
      </c>
      <c r="F158" s="1" t="s">
        <v>1686</v>
      </c>
      <c r="G158" s="1" t="s">
        <v>74</v>
      </c>
      <c r="H158" s="1" t="s">
        <v>74</v>
      </c>
      <c r="I158" s="1" t="s">
        <v>1687</v>
      </c>
      <c r="J158" s="1" t="s">
        <v>856</v>
      </c>
      <c r="K158" s="1" t="s">
        <v>74</v>
      </c>
      <c r="L158" s="1" t="s">
        <v>74</v>
      </c>
      <c r="M158" s="1" t="s">
        <v>74</v>
      </c>
      <c r="N158" s="1" t="s">
        <v>74</v>
      </c>
      <c r="O158" s="1" t="s">
        <v>74</v>
      </c>
      <c r="P158" s="1" t="s">
        <v>74</v>
      </c>
      <c r="Q158" s="1" t="s">
        <v>74</v>
      </c>
      <c r="R158" s="1" t="s">
        <v>74</v>
      </c>
      <c r="S158" s="1" t="s">
        <v>74</v>
      </c>
      <c r="T158" s="1" t="s">
        <v>74</v>
      </c>
      <c r="U158" s="1" t="s">
        <v>74</v>
      </c>
      <c r="V158" s="1" t="s">
        <v>74</v>
      </c>
      <c r="W158" s="1" t="s">
        <v>74</v>
      </c>
      <c r="X158" s="1" t="s">
        <v>74</v>
      </c>
      <c r="Y158" s="1" t="s">
        <v>74</v>
      </c>
      <c r="Z158" s="1" t="s">
        <v>74</v>
      </c>
      <c r="AA158" s="1" t="s">
        <v>875</v>
      </c>
      <c r="AB158" s="1" t="s">
        <v>1688</v>
      </c>
      <c r="AC158" s="1" t="s">
        <v>74</v>
      </c>
      <c r="AD158" s="1" t="s">
        <v>74</v>
      </c>
      <c r="AE158" s="1" t="s">
        <v>74</v>
      </c>
      <c r="AF158" s="1" t="s">
        <v>74</v>
      </c>
      <c r="AG158" s="1" t="s">
        <v>74</v>
      </c>
      <c r="AH158" s="1" t="s">
        <v>74</v>
      </c>
      <c r="AI158" s="1" t="s">
        <v>74</v>
      </c>
      <c r="AJ158" s="1" t="s">
        <v>74</v>
      </c>
      <c r="AK158" s="1" t="s">
        <v>74</v>
      </c>
      <c r="AL158" s="1" t="s">
        <v>74</v>
      </c>
      <c r="AM158" s="1" t="s">
        <v>74</v>
      </c>
      <c r="AN158" s="1" t="s">
        <v>74</v>
      </c>
      <c r="AO158" s="1" t="s">
        <v>860</v>
      </c>
      <c r="AP158" s="1" t="s">
        <v>74</v>
      </c>
      <c r="AQ158" s="1" t="s">
        <v>74</v>
      </c>
      <c r="AR158" s="1" t="s">
        <v>74</v>
      </c>
      <c r="AS158" s="1" t="s">
        <v>74</v>
      </c>
      <c r="AT158" s="1" t="s">
        <v>74</v>
      </c>
      <c r="AU158" s="1">
        <v>1985.0</v>
      </c>
      <c r="AV158" s="1">
        <v>103.0</v>
      </c>
      <c r="AW158" s="1">
        <v>1.0</v>
      </c>
      <c r="AX158" s="1" t="s">
        <v>74</v>
      </c>
      <c r="AY158" s="1" t="s">
        <v>74</v>
      </c>
      <c r="AZ158" s="1" t="s">
        <v>74</v>
      </c>
      <c r="BA158" s="1" t="s">
        <v>74</v>
      </c>
      <c r="BB158" s="1">
        <v>139.0</v>
      </c>
      <c r="BC158" s="1">
        <v>144.0</v>
      </c>
      <c r="BD158" s="1" t="s">
        <v>74</v>
      </c>
      <c r="BE158" s="1" t="s">
        <v>1689</v>
      </c>
      <c r="BF158" s="2" t="str">
        <f>HYPERLINK("http://dx.doi.org/10.1016/0021-9797(85)90085-2","http://dx.doi.org/10.1016/0021-9797(85)90085-2")</f>
        <v>http://dx.doi.org/10.1016/0021-9797(85)90085-2</v>
      </c>
      <c r="BG158" s="1" t="s">
        <v>74</v>
      </c>
      <c r="BH158" s="1" t="s">
        <v>74</v>
      </c>
      <c r="BI158" s="1" t="s">
        <v>74</v>
      </c>
      <c r="BJ158" s="1" t="s">
        <v>74</v>
      </c>
      <c r="BK158" s="1" t="s">
        <v>74</v>
      </c>
      <c r="BL158" s="1" t="s">
        <v>74</v>
      </c>
      <c r="BM158" s="1" t="s">
        <v>74</v>
      </c>
      <c r="BN158" s="1" t="s">
        <v>74</v>
      </c>
      <c r="BO158" s="1" t="s">
        <v>74</v>
      </c>
      <c r="BP158" s="1" t="s">
        <v>74</v>
      </c>
      <c r="BQ158" s="1" t="s">
        <v>74</v>
      </c>
      <c r="BR158" s="1" t="s">
        <v>74</v>
      </c>
      <c r="BS158" s="1" t="s">
        <v>1690</v>
      </c>
      <c r="BT158" s="1" t="str">
        <f>HYPERLINK("https%3A%2F%2Fwww.webofscience.com%2Fwos%2Fwoscc%2Ffull-record%2FWOS:A1985AAN5400014","View Full Record in Web of Science")</f>
        <v>View Full Record in Web of Science</v>
      </c>
    </row>
    <row r="159" ht="12.75" customHeight="1">
      <c r="A159" s="1" t="s">
        <v>72</v>
      </c>
      <c r="B159" s="1" t="s">
        <v>1691</v>
      </c>
      <c r="C159" s="1" t="s">
        <v>74</v>
      </c>
      <c r="D159" s="1" t="s">
        <v>74</v>
      </c>
      <c r="E159" s="1" t="s">
        <v>74</v>
      </c>
      <c r="F159" s="1" t="s">
        <v>1691</v>
      </c>
      <c r="G159" s="1" t="s">
        <v>74</v>
      </c>
      <c r="H159" s="1" t="s">
        <v>74</v>
      </c>
      <c r="I159" s="1" t="s">
        <v>1692</v>
      </c>
      <c r="J159" s="1" t="s">
        <v>1693</v>
      </c>
      <c r="K159" s="1" t="s">
        <v>74</v>
      </c>
      <c r="L159" s="1" t="s">
        <v>74</v>
      </c>
      <c r="M159" s="1" t="s">
        <v>74</v>
      </c>
      <c r="N159" s="1" t="s">
        <v>74</v>
      </c>
      <c r="O159" s="1" t="s">
        <v>74</v>
      </c>
      <c r="P159" s="1" t="s">
        <v>74</v>
      </c>
      <c r="Q159" s="1" t="s">
        <v>74</v>
      </c>
      <c r="R159" s="1" t="s">
        <v>74</v>
      </c>
      <c r="S159" s="1" t="s">
        <v>74</v>
      </c>
      <c r="T159" s="1" t="s">
        <v>74</v>
      </c>
      <c r="U159" s="1" t="s">
        <v>74</v>
      </c>
      <c r="V159" s="1" t="s">
        <v>1694</v>
      </c>
      <c r="W159" s="1" t="s">
        <v>74</v>
      </c>
      <c r="X159" s="1" t="s">
        <v>74</v>
      </c>
      <c r="Y159" s="1" t="s">
        <v>74</v>
      </c>
      <c r="Z159" s="1" t="s">
        <v>74</v>
      </c>
      <c r="AA159" s="1" t="s">
        <v>1695</v>
      </c>
      <c r="AB159" s="1" t="s">
        <v>1696</v>
      </c>
      <c r="AC159" s="1" t="s">
        <v>74</v>
      </c>
      <c r="AD159" s="1" t="s">
        <v>74</v>
      </c>
      <c r="AE159" s="1" t="s">
        <v>74</v>
      </c>
      <c r="AF159" s="1" t="s">
        <v>74</v>
      </c>
      <c r="AG159" s="1" t="s">
        <v>74</v>
      </c>
      <c r="AH159" s="1" t="s">
        <v>74</v>
      </c>
      <c r="AI159" s="1" t="s">
        <v>74</v>
      </c>
      <c r="AJ159" s="1" t="s">
        <v>74</v>
      </c>
      <c r="AK159" s="1" t="s">
        <v>74</v>
      </c>
      <c r="AL159" s="1" t="s">
        <v>74</v>
      </c>
      <c r="AM159" s="1" t="s">
        <v>74</v>
      </c>
      <c r="AN159" s="1" t="s">
        <v>74</v>
      </c>
      <c r="AO159" s="1" t="s">
        <v>1697</v>
      </c>
      <c r="AP159" s="1" t="s">
        <v>1698</v>
      </c>
      <c r="AQ159" s="1" t="s">
        <v>74</v>
      </c>
      <c r="AR159" s="1" t="s">
        <v>74</v>
      </c>
      <c r="AS159" s="1" t="s">
        <v>74</v>
      </c>
      <c r="AT159" s="1" t="s">
        <v>74</v>
      </c>
      <c r="AU159" s="1">
        <v>1983.0</v>
      </c>
      <c r="AV159" s="1">
        <v>46.0</v>
      </c>
      <c r="AW159" s="1">
        <v>1.0</v>
      </c>
      <c r="AX159" s="1" t="s">
        <v>74</v>
      </c>
      <c r="AY159" s="1" t="s">
        <v>74</v>
      </c>
      <c r="AZ159" s="1" t="s">
        <v>74</v>
      </c>
      <c r="BA159" s="1" t="s">
        <v>74</v>
      </c>
      <c r="BB159" s="1">
        <v>92.0</v>
      </c>
      <c r="BC159" s="1">
        <v>97.0</v>
      </c>
      <c r="BD159" s="1" t="s">
        <v>74</v>
      </c>
      <c r="BE159" s="1" t="s">
        <v>1699</v>
      </c>
      <c r="BF159" s="2" t="str">
        <f>HYPERLINK("http://dx.doi.org/10.1021/np50025a007","http://dx.doi.org/10.1021/np50025a007")</f>
        <v>http://dx.doi.org/10.1021/np50025a007</v>
      </c>
      <c r="BG159" s="1" t="s">
        <v>74</v>
      </c>
      <c r="BH159" s="1" t="s">
        <v>74</v>
      </c>
      <c r="BI159" s="1" t="s">
        <v>74</v>
      </c>
      <c r="BJ159" s="1" t="s">
        <v>74</v>
      </c>
      <c r="BK159" s="1" t="s">
        <v>74</v>
      </c>
      <c r="BL159" s="1" t="s">
        <v>74</v>
      </c>
      <c r="BM159" s="1" t="s">
        <v>74</v>
      </c>
      <c r="BN159" s="1" t="s">
        <v>74</v>
      </c>
      <c r="BO159" s="1" t="s">
        <v>74</v>
      </c>
      <c r="BP159" s="1" t="s">
        <v>74</v>
      </c>
      <c r="BQ159" s="1" t="s">
        <v>74</v>
      </c>
      <c r="BR159" s="1" t="s">
        <v>74</v>
      </c>
      <c r="BS159" s="1" t="s">
        <v>1700</v>
      </c>
      <c r="BT159" s="1" t="str">
        <f>HYPERLINK("https%3A%2F%2Fwww.webofscience.com%2Fwos%2Fwoscc%2Ffull-record%2FWOS:A1983QK31300007","View Full Record in Web of Science")</f>
        <v>View Full Record in Web of Science</v>
      </c>
    </row>
    <row r="160" ht="12.75" customHeight="1">
      <c r="A160" s="1" t="s">
        <v>72</v>
      </c>
      <c r="B160" s="1" t="s">
        <v>1701</v>
      </c>
      <c r="C160" s="1" t="s">
        <v>74</v>
      </c>
      <c r="D160" s="1" t="s">
        <v>74</v>
      </c>
      <c r="E160" s="1" t="s">
        <v>74</v>
      </c>
      <c r="F160" s="1" t="s">
        <v>1701</v>
      </c>
      <c r="G160" s="1" t="s">
        <v>74</v>
      </c>
      <c r="H160" s="1" t="s">
        <v>74</v>
      </c>
      <c r="I160" s="1" t="s">
        <v>1702</v>
      </c>
      <c r="J160" s="1" t="s">
        <v>76</v>
      </c>
      <c r="K160" s="1" t="s">
        <v>74</v>
      </c>
      <c r="L160" s="1" t="s">
        <v>74</v>
      </c>
      <c r="M160" s="1" t="s">
        <v>74</v>
      </c>
      <c r="N160" s="1" t="s">
        <v>74</v>
      </c>
      <c r="O160" s="1" t="s">
        <v>74</v>
      </c>
      <c r="P160" s="1" t="s">
        <v>74</v>
      </c>
      <c r="Q160" s="1" t="s">
        <v>74</v>
      </c>
      <c r="R160" s="1" t="s">
        <v>74</v>
      </c>
      <c r="S160" s="1" t="s">
        <v>74</v>
      </c>
      <c r="T160" s="1" t="s">
        <v>74</v>
      </c>
      <c r="U160" s="1" t="s">
        <v>74</v>
      </c>
      <c r="V160" s="1" t="s">
        <v>74</v>
      </c>
      <c r="W160" s="1" t="s">
        <v>74</v>
      </c>
      <c r="X160" s="1" t="s">
        <v>74</v>
      </c>
      <c r="Y160" s="1" t="s">
        <v>74</v>
      </c>
      <c r="Z160" s="1" t="s">
        <v>74</v>
      </c>
      <c r="AA160" s="1" t="s">
        <v>1703</v>
      </c>
      <c r="AB160" s="1" t="s">
        <v>74</v>
      </c>
      <c r="AC160" s="1" t="s">
        <v>74</v>
      </c>
      <c r="AD160" s="1" t="s">
        <v>74</v>
      </c>
      <c r="AE160" s="1" t="s">
        <v>74</v>
      </c>
      <c r="AF160" s="1" t="s">
        <v>74</v>
      </c>
      <c r="AG160" s="1" t="s">
        <v>74</v>
      </c>
      <c r="AH160" s="1" t="s">
        <v>74</v>
      </c>
      <c r="AI160" s="1" t="s">
        <v>74</v>
      </c>
      <c r="AJ160" s="1" t="s">
        <v>74</v>
      </c>
      <c r="AK160" s="1" t="s">
        <v>74</v>
      </c>
      <c r="AL160" s="1" t="s">
        <v>74</v>
      </c>
      <c r="AM160" s="1" t="s">
        <v>74</v>
      </c>
      <c r="AN160" s="1" t="s">
        <v>74</v>
      </c>
      <c r="AO160" s="1" t="s">
        <v>78</v>
      </c>
      <c r="AP160" s="1" t="s">
        <v>74</v>
      </c>
      <c r="AQ160" s="1" t="s">
        <v>74</v>
      </c>
      <c r="AR160" s="1" t="s">
        <v>74</v>
      </c>
      <c r="AS160" s="1" t="s">
        <v>74</v>
      </c>
      <c r="AT160" s="1" t="s">
        <v>74</v>
      </c>
      <c r="AU160" s="1">
        <v>1983.0</v>
      </c>
      <c r="AV160" s="1">
        <v>21.0</v>
      </c>
      <c r="AW160" s="1">
        <v>7.0</v>
      </c>
      <c r="AX160" s="1" t="s">
        <v>74</v>
      </c>
      <c r="AY160" s="1" t="s">
        <v>74</v>
      </c>
      <c r="AZ160" s="1" t="s">
        <v>74</v>
      </c>
      <c r="BA160" s="1" t="s">
        <v>74</v>
      </c>
      <c r="BB160" s="1">
        <v>2157.0</v>
      </c>
      <c r="BC160" s="1">
        <v>2159.0</v>
      </c>
      <c r="BD160" s="1" t="s">
        <v>74</v>
      </c>
      <c r="BE160" s="1" t="s">
        <v>1704</v>
      </c>
      <c r="BF160" s="2" t="str">
        <f>HYPERLINK("http://dx.doi.org/10.1002/pol.1983.170210724","http://dx.doi.org/10.1002/pol.1983.170210724")</f>
        <v>http://dx.doi.org/10.1002/pol.1983.170210724</v>
      </c>
      <c r="BG160" s="1" t="s">
        <v>74</v>
      </c>
      <c r="BH160" s="1" t="s">
        <v>74</v>
      </c>
      <c r="BI160" s="1" t="s">
        <v>74</v>
      </c>
      <c r="BJ160" s="1" t="s">
        <v>74</v>
      </c>
      <c r="BK160" s="1" t="s">
        <v>74</v>
      </c>
      <c r="BL160" s="1" t="s">
        <v>74</v>
      </c>
      <c r="BM160" s="1" t="s">
        <v>74</v>
      </c>
      <c r="BN160" s="1" t="s">
        <v>74</v>
      </c>
      <c r="BO160" s="1" t="s">
        <v>74</v>
      </c>
      <c r="BP160" s="1" t="s">
        <v>74</v>
      </c>
      <c r="BQ160" s="1" t="s">
        <v>74</v>
      </c>
      <c r="BR160" s="1" t="s">
        <v>74</v>
      </c>
      <c r="BS160" s="1" t="s">
        <v>1705</v>
      </c>
      <c r="BT160" s="1" t="str">
        <f>HYPERLINK("https%3A%2F%2Fwww.webofscience.com%2Fwos%2Fwoscc%2Ffull-record%2FWOS:A1983QW15800024","View Full Record in Web of Science")</f>
        <v>View Full Record in Web of Science</v>
      </c>
    </row>
    <row r="161" ht="12.75" customHeight="1">
      <c r="A161" s="1" t="s">
        <v>72</v>
      </c>
      <c r="B161" s="1" t="s">
        <v>1706</v>
      </c>
      <c r="C161" s="1" t="s">
        <v>74</v>
      </c>
      <c r="D161" s="1" t="s">
        <v>74</v>
      </c>
      <c r="E161" s="1" t="s">
        <v>74</v>
      </c>
      <c r="F161" s="1" t="s">
        <v>1707</v>
      </c>
      <c r="G161" s="1" t="s">
        <v>74</v>
      </c>
      <c r="H161" s="1" t="s">
        <v>74</v>
      </c>
      <c r="I161" s="1" t="s">
        <v>1708</v>
      </c>
      <c r="J161" s="1" t="s">
        <v>1709</v>
      </c>
      <c r="K161" s="1" t="s">
        <v>74</v>
      </c>
      <c r="L161" s="1" t="s">
        <v>74</v>
      </c>
      <c r="M161" s="1" t="s">
        <v>74</v>
      </c>
      <c r="N161" s="1" t="s">
        <v>74</v>
      </c>
      <c r="O161" s="1" t="s">
        <v>74</v>
      </c>
      <c r="P161" s="1" t="s">
        <v>74</v>
      </c>
      <c r="Q161" s="1" t="s">
        <v>74</v>
      </c>
      <c r="R161" s="1" t="s">
        <v>74</v>
      </c>
      <c r="S161" s="1" t="s">
        <v>74</v>
      </c>
      <c r="T161" s="1" t="s">
        <v>74</v>
      </c>
      <c r="U161" s="1" t="s">
        <v>74</v>
      </c>
      <c r="V161" s="1" t="s">
        <v>1710</v>
      </c>
      <c r="W161" s="1" t="s">
        <v>74</v>
      </c>
      <c r="X161" s="1" t="s">
        <v>74</v>
      </c>
      <c r="Y161" s="1" t="s">
        <v>74</v>
      </c>
      <c r="Z161" s="1" t="s">
        <v>74</v>
      </c>
      <c r="AA161" s="1" t="s">
        <v>1711</v>
      </c>
      <c r="AB161" s="1" t="s">
        <v>74</v>
      </c>
      <c r="AC161" s="1" t="s">
        <v>74</v>
      </c>
      <c r="AD161" s="1" t="s">
        <v>74</v>
      </c>
      <c r="AE161" s="1" t="s">
        <v>74</v>
      </c>
      <c r="AF161" s="1" t="s">
        <v>74</v>
      </c>
      <c r="AG161" s="1" t="s">
        <v>74</v>
      </c>
      <c r="AH161" s="1" t="s">
        <v>74</v>
      </c>
      <c r="AI161" s="1" t="s">
        <v>74</v>
      </c>
      <c r="AJ161" s="1" t="s">
        <v>74</v>
      </c>
      <c r="AK161" s="1" t="s">
        <v>74</v>
      </c>
      <c r="AL161" s="1" t="s">
        <v>74</v>
      </c>
      <c r="AM161" s="1" t="s">
        <v>74</v>
      </c>
      <c r="AN161" s="1" t="s">
        <v>74</v>
      </c>
      <c r="AO161" s="1" t="s">
        <v>74</v>
      </c>
      <c r="AP161" s="1" t="s">
        <v>1712</v>
      </c>
      <c r="AQ161" s="1" t="s">
        <v>74</v>
      </c>
      <c r="AR161" s="1" t="s">
        <v>74</v>
      </c>
      <c r="AS161" s="1" t="s">
        <v>74</v>
      </c>
      <c r="AT161" s="1" t="s">
        <v>360</v>
      </c>
      <c r="AU161" s="1">
        <v>2025.0</v>
      </c>
      <c r="AV161" s="1">
        <v>13.0</v>
      </c>
      <c r="AW161" s="1">
        <v>3.0</v>
      </c>
      <c r="AX161" s="1" t="s">
        <v>74</v>
      </c>
      <c r="AY161" s="1" t="s">
        <v>74</v>
      </c>
      <c r="AZ161" s="1" t="s">
        <v>74</v>
      </c>
      <c r="BA161" s="1" t="s">
        <v>74</v>
      </c>
      <c r="BB161" s="1" t="s">
        <v>74</v>
      </c>
      <c r="BC161" s="1" t="s">
        <v>74</v>
      </c>
      <c r="BD161" s="1">
        <v>503.0</v>
      </c>
      <c r="BE161" s="1" t="s">
        <v>1713</v>
      </c>
      <c r="BF161" s="2" t="str">
        <f>HYPERLINK("http://dx.doi.org/10.3390/math13030503","http://dx.doi.org/10.3390/math13030503")</f>
        <v>http://dx.doi.org/10.3390/math13030503</v>
      </c>
      <c r="BG161" s="1" t="s">
        <v>74</v>
      </c>
      <c r="BH161" s="1" t="s">
        <v>74</v>
      </c>
      <c r="BI161" s="1" t="s">
        <v>74</v>
      </c>
      <c r="BJ161" s="1" t="s">
        <v>74</v>
      </c>
      <c r="BK161" s="1" t="s">
        <v>74</v>
      </c>
      <c r="BL161" s="1" t="s">
        <v>74</v>
      </c>
      <c r="BM161" s="1" t="s">
        <v>74</v>
      </c>
      <c r="BN161" s="1" t="s">
        <v>74</v>
      </c>
      <c r="BO161" s="1" t="s">
        <v>74</v>
      </c>
      <c r="BP161" s="1" t="s">
        <v>74</v>
      </c>
      <c r="BQ161" s="1" t="s">
        <v>74</v>
      </c>
      <c r="BR161" s="1" t="s">
        <v>74</v>
      </c>
      <c r="BS161" s="1" t="s">
        <v>1714</v>
      </c>
      <c r="BT161" s="1" t="str">
        <f>HYPERLINK("https%3A%2F%2Fwww.webofscience.com%2Fwos%2Fwoscc%2Ffull-record%2FWOS:001418618600001","View Full Record in Web of Science")</f>
        <v>View Full Record in Web of Science</v>
      </c>
    </row>
    <row r="162" ht="12.75" customHeight="1">
      <c r="A162" s="1" t="s">
        <v>72</v>
      </c>
      <c r="B162" s="1" t="s">
        <v>1715</v>
      </c>
      <c r="C162" s="1" t="s">
        <v>74</v>
      </c>
      <c r="D162" s="1" t="s">
        <v>74</v>
      </c>
      <c r="E162" s="1" t="s">
        <v>74</v>
      </c>
      <c r="F162" s="1" t="s">
        <v>1716</v>
      </c>
      <c r="G162" s="1" t="s">
        <v>74</v>
      </c>
      <c r="H162" s="1" t="s">
        <v>74</v>
      </c>
      <c r="I162" s="1" t="s">
        <v>1717</v>
      </c>
      <c r="J162" s="1" t="s">
        <v>1239</v>
      </c>
      <c r="K162" s="1" t="s">
        <v>74</v>
      </c>
      <c r="L162" s="1" t="s">
        <v>74</v>
      </c>
      <c r="M162" s="1" t="s">
        <v>74</v>
      </c>
      <c r="N162" s="1" t="s">
        <v>74</v>
      </c>
      <c r="O162" s="1" t="s">
        <v>74</v>
      </c>
      <c r="P162" s="1" t="s">
        <v>74</v>
      </c>
      <c r="Q162" s="1" t="s">
        <v>74</v>
      </c>
      <c r="R162" s="1" t="s">
        <v>74</v>
      </c>
      <c r="S162" s="1" t="s">
        <v>74</v>
      </c>
      <c r="T162" s="1" t="s">
        <v>74</v>
      </c>
      <c r="U162" s="1" t="s">
        <v>74</v>
      </c>
      <c r="V162" s="1" t="s">
        <v>1718</v>
      </c>
      <c r="W162" s="1" t="s">
        <v>74</v>
      </c>
      <c r="X162" s="1" t="s">
        <v>74</v>
      </c>
      <c r="Y162" s="1" t="s">
        <v>74</v>
      </c>
      <c r="Z162" s="1" t="s">
        <v>74</v>
      </c>
      <c r="AA162" s="1" t="s">
        <v>1719</v>
      </c>
      <c r="AB162" s="1" t="s">
        <v>1720</v>
      </c>
      <c r="AC162" s="1" t="s">
        <v>74</v>
      </c>
      <c r="AD162" s="1" t="s">
        <v>74</v>
      </c>
      <c r="AE162" s="1" t="s">
        <v>74</v>
      </c>
      <c r="AF162" s="1" t="s">
        <v>74</v>
      </c>
      <c r="AG162" s="1" t="s">
        <v>74</v>
      </c>
      <c r="AH162" s="1" t="s">
        <v>74</v>
      </c>
      <c r="AI162" s="1" t="s">
        <v>74</v>
      </c>
      <c r="AJ162" s="1" t="s">
        <v>74</v>
      </c>
      <c r="AK162" s="1" t="s">
        <v>74</v>
      </c>
      <c r="AL162" s="1" t="s">
        <v>74</v>
      </c>
      <c r="AM162" s="1" t="s">
        <v>74</v>
      </c>
      <c r="AN162" s="1" t="s">
        <v>74</v>
      </c>
      <c r="AO162" s="1" t="s">
        <v>74</v>
      </c>
      <c r="AP162" s="1" t="s">
        <v>1243</v>
      </c>
      <c r="AQ162" s="1" t="s">
        <v>74</v>
      </c>
      <c r="AR162" s="1" t="s">
        <v>74</v>
      </c>
      <c r="AS162" s="1" t="s">
        <v>74</v>
      </c>
      <c r="AT162" s="1" t="s">
        <v>110</v>
      </c>
      <c r="AU162" s="1">
        <v>2024.0</v>
      </c>
      <c r="AV162" s="1">
        <v>16.0</v>
      </c>
      <c r="AW162" s="1">
        <v>23.0</v>
      </c>
      <c r="AX162" s="1" t="s">
        <v>74</v>
      </c>
      <c r="AY162" s="1" t="s">
        <v>74</v>
      </c>
      <c r="AZ162" s="1" t="s">
        <v>74</v>
      </c>
      <c r="BA162" s="1" t="s">
        <v>74</v>
      </c>
      <c r="BB162" s="1" t="s">
        <v>74</v>
      </c>
      <c r="BC162" s="1" t="s">
        <v>74</v>
      </c>
      <c r="BD162" s="1">
        <v>10339.0</v>
      </c>
      <c r="BE162" s="1" t="s">
        <v>1721</v>
      </c>
      <c r="BF162" s="2" t="str">
        <f>HYPERLINK("http://dx.doi.org/10.3390/su162310339","http://dx.doi.org/10.3390/su162310339")</f>
        <v>http://dx.doi.org/10.3390/su162310339</v>
      </c>
      <c r="BG162" s="1" t="s">
        <v>74</v>
      </c>
      <c r="BH162" s="1" t="s">
        <v>74</v>
      </c>
      <c r="BI162" s="1" t="s">
        <v>74</v>
      </c>
      <c r="BJ162" s="1" t="s">
        <v>74</v>
      </c>
      <c r="BK162" s="1" t="s">
        <v>74</v>
      </c>
      <c r="BL162" s="1" t="s">
        <v>74</v>
      </c>
      <c r="BM162" s="1" t="s">
        <v>74</v>
      </c>
      <c r="BN162" s="1" t="s">
        <v>74</v>
      </c>
      <c r="BO162" s="1" t="s">
        <v>74</v>
      </c>
      <c r="BP162" s="1" t="s">
        <v>74</v>
      </c>
      <c r="BQ162" s="1" t="s">
        <v>74</v>
      </c>
      <c r="BR162" s="1" t="s">
        <v>74</v>
      </c>
      <c r="BS162" s="1" t="s">
        <v>1722</v>
      </c>
      <c r="BT162" s="1" t="str">
        <f>HYPERLINK("https%3A%2F%2Fwww.webofscience.com%2Fwos%2Fwoscc%2Ffull-record%2FWOS:001377897700001","View Full Record in Web of Science")</f>
        <v>View Full Record in Web of Science</v>
      </c>
    </row>
    <row r="163" ht="12.75" customHeight="1">
      <c r="A163" s="1" t="s">
        <v>72</v>
      </c>
      <c r="B163" s="1" t="s">
        <v>1723</v>
      </c>
      <c r="C163" s="1" t="s">
        <v>74</v>
      </c>
      <c r="D163" s="1" t="s">
        <v>74</v>
      </c>
      <c r="E163" s="1" t="s">
        <v>74</v>
      </c>
      <c r="F163" s="1" t="s">
        <v>1724</v>
      </c>
      <c r="G163" s="1" t="s">
        <v>74</v>
      </c>
      <c r="H163" s="1" t="s">
        <v>74</v>
      </c>
      <c r="I163" s="1" t="s">
        <v>1725</v>
      </c>
      <c r="J163" s="1" t="s">
        <v>1726</v>
      </c>
      <c r="K163" s="1" t="s">
        <v>74</v>
      </c>
      <c r="L163" s="1" t="s">
        <v>74</v>
      </c>
      <c r="M163" s="1" t="s">
        <v>74</v>
      </c>
      <c r="N163" s="1" t="s">
        <v>74</v>
      </c>
      <c r="O163" s="1" t="s">
        <v>74</v>
      </c>
      <c r="P163" s="1" t="s">
        <v>74</v>
      </c>
      <c r="Q163" s="1" t="s">
        <v>74</v>
      </c>
      <c r="R163" s="1" t="s">
        <v>74</v>
      </c>
      <c r="S163" s="1" t="s">
        <v>74</v>
      </c>
      <c r="T163" s="1" t="s">
        <v>74</v>
      </c>
      <c r="U163" s="1" t="s">
        <v>74</v>
      </c>
      <c r="V163" s="1" t="s">
        <v>74</v>
      </c>
      <c r="W163" s="1" t="s">
        <v>74</v>
      </c>
      <c r="X163" s="1" t="s">
        <v>74</v>
      </c>
      <c r="Y163" s="1" t="s">
        <v>74</v>
      </c>
      <c r="Z163" s="1" t="s">
        <v>74</v>
      </c>
      <c r="AA163" s="1" t="s">
        <v>74</v>
      </c>
      <c r="AB163" s="1" t="s">
        <v>74</v>
      </c>
      <c r="AC163" s="1" t="s">
        <v>74</v>
      </c>
      <c r="AD163" s="1" t="s">
        <v>74</v>
      </c>
      <c r="AE163" s="1" t="s">
        <v>74</v>
      </c>
      <c r="AF163" s="1" t="s">
        <v>74</v>
      </c>
      <c r="AG163" s="1" t="s">
        <v>74</v>
      </c>
      <c r="AH163" s="1" t="s">
        <v>74</v>
      </c>
      <c r="AI163" s="1" t="s">
        <v>74</v>
      </c>
      <c r="AJ163" s="1" t="s">
        <v>74</v>
      </c>
      <c r="AK163" s="1" t="s">
        <v>74</v>
      </c>
      <c r="AL163" s="1" t="s">
        <v>74</v>
      </c>
      <c r="AM163" s="1" t="s">
        <v>74</v>
      </c>
      <c r="AN163" s="1" t="s">
        <v>74</v>
      </c>
      <c r="AO163" s="1" t="s">
        <v>1727</v>
      </c>
      <c r="AP163" s="1" t="s">
        <v>1728</v>
      </c>
      <c r="AQ163" s="1" t="s">
        <v>74</v>
      </c>
      <c r="AR163" s="1" t="s">
        <v>74</v>
      </c>
      <c r="AS163" s="1" t="s">
        <v>74</v>
      </c>
      <c r="AT163" s="1" t="s">
        <v>135</v>
      </c>
      <c r="AU163" s="1">
        <v>2024.0</v>
      </c>
      <c r="AV163" s="1">
        <v>34.0</v>
      </c>
      <c r="AW163" s="1">
        <v>1.0</v>
      </c>
      <c r="AX163" s="1" t="s">
        <v>74</v>
      </c>
      <c r="AY163" s="1" t="s">
        <v>74</v>
      </c>
      <c r="AZ163" s="1" t="s">
        <v>74</v>
      </c>
      <c r="BA163" s="1" t="s">
        <v>74</v>
      </c>
      <c r="BB163" s="1" t="s">
        <v>74</v>
      </c>
      <c r="BC163" s="1" t="s">
        <v>74</v>
      </c>
      <c r="BD163" s="1" t="s">
        <v>74</v>
      </c>
      <c r="BE163" s="1" t="s">
        <v>1729</v>
      </c>
      <c r="BF163" s="2" t="str">
        <f>HYPERLINK("http://dx.doi.org/10.7770/CUHSO-V34N1-ART723","http://dx.doi.org/10.7770/CUHSO-V34N1-ART723")</f>
        <v>http://dx.doi.org/10.7770/CUHSO-V34N1-ART723</v>
      </c>
      <c r="BG163" s="1" t="s">
        <v>74</v>
      </c>
      <c r="BH163" s="1" t="s">
        <v>74</v>
      </c>
      <c r="BI163" s="1" t="s">
        <v>74</v>
      </c>
      <c r="BJ163" s="1" t="s">
        <v>74</v>
      </c>
      <c r="BK163" s="1" t="s">
        <v>74</v>
      </c>
      <c r="BL163" s="1" t="s">
        <v>74</v>
      </c>
      <c r="BM163" s="1" t="s">
        <v>74</v>
      </c>
      <c r="BN163" s="1" t="s">
        <v>74</v>
      </c>
      <c r="BO163" s="1" t="s">
        <v>74</v>
      </c>
      <c r="BP163" s="1" t="s">
        <v>74</v>
      </c>
      <c r="BQ163" s="1" t="s">
        <v>74</v>
      </c>
      <c r="BR163" s="1" t="s">
        <v>74</v>
      </c>
      <c r="BS163" s="1" t="s">
        <v>1730</v>
      </c>
      <c r="BT163" s="1" t="str">
        <f>HYPERLINK("https%3A%2F%2Fwww.webofscience.com%2Fwos%2Fwoscc%2Ffull-record%2FWOS:001296676800036","View Full Record in Web of Science")</f>
        <v>View Full Record in Web of Science</v>
      </c>
    </row>
    <row r="164" ht="12.75" customHeight="1">
      <c r="A164" s="1" t="s">
        <v>72</v>
      </c>
      <c r="B164" s="1" t="s">
        <v>1731</v>
      </c>
      <c r="C164" s="1" t="s">
        <v>74</v>
      </c>
      <c r="D164" s="1" t="s">
        <v>74</v>
      </c>
      <c r="E164" s="1" t="s">
        <v>74</v>
      </c>
      <c r="F164" s="1" t="s">
        <v>1732</v>
      </c>
      <c r="G164" s="1" t="s">
        <v>74</v>
      </c>
      <c r="H164" s="1" t="s">
        <v>74</v>
      </c>
      <c r="I164" s="1" t="s">
        <v>1733</v>
      </c>
      <c r="J164" s="1" t="s">
        <v>1734</v>
      </c>
      <c r="K164" s="1" t="s">
        <v>74</v>
      </c>
      <c r="L164" s="1" t="s">
        <v>74</v>
      </c>
      <c r="M164" s="1" t="s">
        <v>74</v>
      </c>
      <c r="N164" s="1" t="s">
        <v>74</v>
      </c>
      <c r="O164" s="1" t="s">
        <v>74</v>
      </c>
      <c r="P164" s="1" t="s">
        <v>74</v>
      </c>
      <c r="Q164" s="1" t="s">
        <v>74</v>
      </c>
      <c r="R164" s="1" t="s">
        <v>74</v>
      </c>
      <c r="S164" s="1" t="s">
        <v>74</v>
      </c>
      <c r="T164" s="1" t="s">
        <v>74</v>
      </c>
      <c r="U164" s="1" t="s">
        <v>74</v>
      </c>
      <c r="V164" s="1" t="s">
        <v>1735</v>
      </c>
      <c r="W164" s="1" t="s">
        <v>74</v>
      </c>
      <c r="X164" s="1" t="s">
        <v>74</v>
      </c>
      <c r="Y164" s="1" t="s">
        <v>74</v>
      </c>
      <c r="Z164" s="1" t="s">
        <v>74</v>
      </c>
      <c r="AA164" s="1" t="s">
        <v>1736</v>
      </c>
      <c r="AB164" s="1" t="s">
        <v>74</v>
      </c>
      <c r="AC164" s="1" t="s">
        <v>74</v>
      </c>
      <c r="AD164" s="1" t="s">
        <v>74</v>
      </c>
      <c r="AE164" s="1" t="s">
        <v>74</v>
      </c>
      <c r="AF164" s="1" t="s">
        <v>74</v>
      </c>
      <c r="AG164" s="1" t="s">
        <v>74</v>
      </c>
      <c r="AH164" s="1" t="s">
        <v>74</v>
      </c>
      <c r="AI164" s="1" t="s">
        <v>74</v>
      </c>
      <c r="AJ164" s="1" t="s">
        <v>74</v>
      </c>
      <c r="AK164" s="1" t="s">
        <v>74</v>
      </c>
      <c r="AL164" s="1" t="s">
        <v>74</v>
      </c>
      <c r="AM164" s="1" t="s">
        <v>74</v>
      </c>
      <c r="AN164" s="1" t="s">
        <v>74</v>
      </c>
      <c r="AO164" s="1" t="s">
        <v>1737</v>
      </c>
      <c r="AP164" s="1" t="s">
        <v>74</v>
      </c>
      <c r="AQ164" s="1" t="s">
        <v>74</v>
      </c>
      <c r="AR164" s="1" t="s">
        <v>74</v>
      </c>
      <c r="AS164" s="1" t="s">
        <v>74</v>
      </c>
      <c r="AT164" s="1" t="s">
        <v>650</v>
      </c>
      <c r="AU164" s="1">
        <v>2024.0</v>
      </c>
      <c r="AV164" s="1">
        <v>56.0</v>
      </c>
      <c r="AW164" s="1">
        <v>1.0</v>
      </c>
      <c r="AX164" s="1" t="s">
        <v>74</v>
      </c>
      <c r="AY164" s="1" t="s">
        <v>74</v>
      </c>
      <c r="AZ164" s="1" t="s">
        <v>74</v>
      </c>
      <c r="BA164" s="1" t="s">
        <v>74</v>
      </c>
      <c r="BB164" s="1">
        <v>45.0</v>
      </c>
      <c r="BC164" s="1">
        <v>62.0</v>
      </c>
      <c r="BD164" s="1" t="s">
        <v>74</v>
      </c>
      <c r="BE164" s="1" t="s">
        <v>1738</v>
      </c>
      <c r="BF164" s="2" t="str">
        <f>HYPERLINK("http://dx.doi.org/10.4067/s0717-73562024005000102","http://dx.doi.org/10.4067/s0717-73562024005000102")</f>
        <v>http://dx.doi.org/10.4067/s0717-73562024005000102</v>
      </c>
      <c r="BG164" s="1" t="s">
        <v>74</v>
      </c>
      <c r="BH164" s="1" t="s">
        <v>74</v>
      </c>
      <c r="BI164" s="1" t="s">
        <v>74</v>
      </c>
      <c r="BJ164" s="1" t="s">
        <v>74</v>
      </c>
      <c r="BK164" s="1" t="s">
        <v>74</v>
      </c>
      <c r="BL164" s="1" t="s">
        <v>74</v>
      </c>
      <c r="BM164" s="1" t="s">
        <v>74</v>
      </c>
      <c r="BN164" s="1" t="s">
        <v>74</v>
      </c>
      <c r="BO164" s="1" t="s">
        <v>74</v>
      </c>
      <c r="BP164" s="1" t="s">
        <v>74</v>
      </c>
      <c r="BQ164" s="1" t="s">
        <v>74</v>
      </c>
      <c r="BR164" s="1" t="s">
        <v>74</v>
      </c>
      <c r="BS164" s="1" t="s">
        <v>1739</v>
      </c>
      <c r="BT164" s="1" t="str">
        <f>HYPERLINK("https%3A%2F%2Fwww.webofscience.com%2Fwos%2Fwoscc%2Ffull-record%2FWOS:001343341000004","View Full Record in Web of Science")</f>
        <v>View Full Record in Web of Science</v>
      </c>
    </row>
    <row r="165" ht="12.75" customHeight="1">
      <c r="A165" s="1" t="s">
        <v>72</v>
      </c>
      <c r="B165" s="1" t="s">
        <v>1740</v>
      </c>
      <c r="C165" s="1" t="s">
        <v>74</v>
      </c>
      <c r="D165" s="1" t="s">
        <v>74</v>
      </c>
      <c r="E165" s="1" t="s">
        <v>74</v>
      </c>
      <c r="F165" s="1" t="s">
        <v>1741</v>
      </c>
      <c r="G165" s="1" t="s">
        <v>74</v>
      </c>
      <c r="H165" s="1" t="s">
        <v>74</v>
      </c>
      <c r="I165" s="1" t="s">
        <v>1742</v>
      </c>
      <c r="J165" s="1" t="s">
        <v>1743</v>
      </c>
      <c r="K165" s="1" t="s">
        <v>74</v>
      </c>
      <c r="L165" s="1" t="s">
        <v>74</v>
      </c>
      <c r="M165" s="1" t="s">
        <v>74</v>
      </c>
      <c r="N165" s="1" t="s">
        <v>74</v>
      </c>
      <c r="O165" s="1" t="s">
        <v>74</v>
      </c>
      <c r="P165" s="1" t="s">
        <v>74</v>
      </c>
      <c r="Q165" s="1" t="s">
        <v>74</v>
      </c>
      <c r="R165" s="1" t="s">
        <v>74</v>
      </c>
      <c r="S165" s="1" t="s">
        <v>74</v>
      </c>
      <c r="T165" s="1" t="s">
        <v>74</v>
      </c>
      <c r="U165" s="1" t="s">
        <v>74</v>
      </c>
      <c r="V165" s="1" t="s">
        <v>1744</v>
      </c>
      <c r="W165" s="1" t="s">
        <v>74</v>
      </c>
      <c r="X165" s="1" t="s">
        <v>74</v>
      </c>
      <c r="Y165" s="1" t="s">
        <v>74</v>
      </c>
      <c r="Z165" s="1" t="s">
        <v>74</v>
      </c>
      <c r="AA165" s="1" t="s">
        <v>1745</v>
      </c>
      <c r="AB165" s="1" t="s">
        <v>1746</v>
      </c>
      <c r="AC165" s="1" t="s">
        <v>74</v>
      </c>
      <c r="AD165" s="1" t="s">
        <v>74</v>
      </c>
      <c r="AE165" s="1" t="s">
        <v>74</v>
      </c>
      <c r="AF165" s="1" t="s">
        <v>74</v>
      </c>
      <c r="AG165" s="1" t="s">
        <v>74</v>
      </c>
      <c r="AH165" s="1" t="s">
        <v>74</v>
      </c>
      <c r="AI165" s="1" t="s">
        <v>74</v>
      </c>
      <c r="AJ165" s="1" t="s">
        <v>74</v>
      </c>
      <c r="AK165" s="1" t="s">
        <v>74</v>
      </c>
      <c r="AL165" s="1" t="s">
        <v>74</v>
      </c>
      <c r="AM165" s="1" t="s">
        <v>74</v>
      </c>
      <c r="AN165" s="1" t="s">
        <v>74</v>
      </c>
      <c r="AO165" s="1" t="s">
        <v>1747</v>
      </c>
      <c r="AP165" s="1" t="s">
        <v>1748</v>
      </c>
      <c r="AQ165" s="1" t="s">
        <v>74</v>
      </c>
      <c r="AR165" s="1" t="s">
        <v>74</v>
      </c>
      <c r="AS165" s="1" t="s">
        <v>74</v>
      </c>
      <c r="AT165" s="1" t="s">
        <v>650</v>
      </c>
      <c r="AU165" s="1">
        <v>2024.0</v>
      </c>
      <c r="AV165" s="1">
        <v>223.0</v>
      </c>
      <c r="AW165" s="1" t="s">
        <v>74</v>
      </c>
      <c r="AX165" s="1" t="s">
        <v>74</v>
      </c>
      <c r="AY165" s="1" t="s">
        <v>74</v>
      </c>
      <c r="AZ165" s="1" t="s">
        <v>74</v>
      </c>
      <c r="BA165" s="1" t="s">
        <v>74</v>
      </c>
      <c r="BB165" s="1" t="s">
        <v>74</v>
      </c>
      <c r="BC165" s="1" t="s">
        <v>74</v>
      </c>
      <c r="BD165" s="1">
        <v>119953.0</v>
      </c>
      <c r="BE165" s="1" t="s">
        <v>1749</v>
      </c>
      <c r="BF165" s="2" t="str">
        <f>HYPERLINK("http://dx.doi.org/10.1016/j.renene.2024.119953","http://dx.doi.org/10.1016/j.renene.2024.119953")</f>
        <v>http://dx.doi.org/10.1016/j.renene.2024.119953</v>
      </c>
      <c r="BG165" s="1" t="s">
        <v>74</v>
      </c>
      <c r="BH165" s="1" t="s">
        <v>1750</v>
      </c>
      <c r="BI165" s="1" t="s">
        <v>74</v>
      </c>
      <c r="BJ165" s="1" t="s">
        <v>74</v>
      </c>
      <c r="BK165" s="1" t="s">
        <v>74</v>
      </c>
      <c r="BL165" s="1" t="s">
        <v>74</v>
      </c>
      <c r="BM165" s="1" t="s">
        <v>74</v>
      </c>
      <c r="BN165" s="1" t="s">
        <v>74</v>
      </c>
      <c r="BO165" s="1" t="s">
        <v>74</v>
      </c>
      <c r="BP165" s="1" t="s">
        <v>74</v>
      </c>
      <c r="BQ165" s="1" t="s">
        <v>74</v>
      </c>
      <c r="BR165" s="1" t="s">
        <v>74</v>
      </c>
      <c r="BS165" s="1" t="s">
        <v>1751</v>
      </c>
      <c r="BT165" s="1" t="str">
        <f>HYPERLINK("https%3A%2F%2Fwww.webofscience.com%2Fwos%2Fwoscc%2Ffull-record%2FWOS:001168643100001","View Full Record in Web of Science")</f>
        <v>View Full Record in Web of Science</v>
      </c>
    </row>
    <row r="166" ht="12.75" customHeight="1">
      <c r="A166" s="1" t="s">
        <v>72</v>
      </c>
      <c r="B166" s="1" t="s">
        <v>1752</v>
      </c>
      <c r="C166" s="1" t="s">
        <v>74</v>
      </c>
      <c r="D166" s="1" t="s">
        <v>74</v>
      </c>
      <c r="E166" s="1" t="s">
        <v>74</v>
      </c>
      <c r="F166" s="1" t="s">
        <v>1753</v>
      </c>
      <c r="G166" s="1" t="s">
        <v>74</v>
      </c>
      <c r="H166" s="1" t="s">
        <v>74</v>
      </c>
      <c r="I166" s="1" t="s">
        <v>1754</v>
      </c>
      <c r="J166" s="1" t="s">
        <v>1755</v>
      </c>
      <c r="K166" s="1" t="s">
        <v>74</v>
      </c>
      <c r="L166" s="1" t="s">
        <v>74</v>
      </c>
      <c r="M166" s="1" t="s">
        <v>74</v>
      </c>
      <c r="N166" s="1" t="s">
        <v>74</v>
      </c>
      <c r="O166" s="1" t="s">
        <v>74</v>
      </c>
      <c r="P166" s="1" t="s">
        <v>74</v>
      </c>
      <c r="Q166" s="1" t="s">
        <v>74</v>
      </c>
      <c r="R166" s="1" t="s">
        <v>74</v>
      </c>
      <c r="S166" s="1" t="s">
        <v>74</v>
      </c>
      <c r="T166" s="1" t="s">
        <v>74</v>
      </c>
      <c r="U166" s="1" t="s">
        <v>74</v>
      </c>
      <c r="V166" s="1" t="s">
        <v>1756</v>
      </c>
      <c r="W166" s="1" t="s">
        <v>74</v>
      </c>
      <c r="X166" s="1" t="s">
        <v>74</v>
      </c>
      <c r="Y166" s="1" t="s">
        <v>74</v>
      </c>
      <c r="Z166" s="1" t="s">
        <v>74</v>
      </c>
      <c r="AA166" s="1" t="s">
        <v>1757</v>
      </c>
      <c r="AB166" s="1" t="s">
        <v>1758</v>
      </c>
      <c r="AC166" s="1" t="s">
        <v>74</v>
      </c>
      <c r="AD166" s="1" t="s">
        <v>74</v>
      </c>
      <c r="AE166" s="1" t="s">
        <v>74</v>
      </c>
      <c r="AF166" s="1" t="s">
        <v>74</v>
      </c>
      <c r="AG166" s="1" t="s">
        <v>74</v>
      </c>
      <c r="AH166" s="1" t="s">
        <v>74</v>
      </c>
      <c r="AI166" s="1" t="s">
        <v>74</v>
      </c>
      <c r="AJ166" s="1" t="s">
        <v>74</v>
      </c>
      <c r="AK166" s="1" t="s">
        <v>74</v>
      </c>
      <c r="AL166" s="1" t="s">
        <v>74</v>
      </c>
      <c r="AM166" s="1" t="s">
        <v>74</v>
      </c>
      <c r="AN166" s="1" t="s">
        <v>74</v>
      </c>
      <c r="AO166" s="1" t="s">
        <v>1759</v>
      </c>
      <c r="AP166" s="1" t="s">
        <v>1760</v>
      </c>
      <c r="AQ166" s="1" t="s">
        <v>74</v>
      </c>
      <c r="AR166" s="1" t="s">
        <v>74</v>
      </c>
      <c r="AS166" s="1" t="s">
        <v>74</v>
      </c>
      <c r="AT166" s="1" t="s">
        <v>74</v>
      </c>
      <c r="AU166" s="1">
        <v>2024.0</v>
      </c>
      <c r="AV166" s="1">
        <v>20.0</v>
      </c>
      <c r="AW166" s="1" t="s">
        <v>74</v>
      </c>
      <c r="AX166" s="1" t="s">
        <v>74</v>
      </c>
      <c r="AY166" s="1" t="s">
        <v>74</v>
      </c>
      <c r="AZ166" s="1" t="s">
        <v>74</v>
      </c>
      <c r="BA166" s="1" t="s">
        <v>74</v>
      </c>
      <c r="BB166" s="1">
        <v>379.0</v>
      </c>
      <c r="BC166" s="1">
        <v>407.0</v>
      </c>
      <c r="BD166" s="1" t="s">
        <v>74</v>
      </c>
      <c r="BE166" s="1" t="s">
        <v>1761</v>
      </c>
      <c r="BF166" s="2" t="str">
        <f>HYPERLINK("http://dx.doi.org/10.3934/jmd.2024010","http://dx.doi.org/10.3934/jmd.2024010")</f>
        <v>http://dx.doi.org/10.3934/jmd.2024010</v>
      </c>
      <c r="BG166" s="1" t="s">
        <v>74</v>
      </c>
      <c r="BH166" s="1" t="s">
        <v>74</v>
      </c>
      <c r="BI166" s="1" t="s">
        <v>74</v>
      </c>
      <c r="BJ166" s="1" t="s">
        <v>74</v>
      </c>
      <c r="BK166" s="1" t="s">
        <v>74</v>
      </c>
      <c r="BL166" s="1" t="s">
        <v>74</v>
      </c>
      <c r="BM166" s="1" t="s">
        <v>74</v>
      </c>
      <c r="BN166" s="1" t="s">
        <v>74</v>
      </c>
      <c r="BO166" s="1" t="s">
        <v>74</v>
      </c>
      <c r="BP166" s="1" t="s">
        <v>74</v>
      </c>
      <c r="BQ166" s="1" t="s">
        <v>74</v>
      </c>
      <c r="BR166" s="1" t="s">
        <v>74</v>
      </c>
      <c r="BS166" s="1" t="s">
        <v>1762</v>
      </c>
      <c r="BT166" s="1" t="str">
        <f>HYPERLINK("https%3A%2F%2Fwww.webofscience.com%2Fwos%2Fwoscc%2Ffull-record%2FWOS:001266159200001","View Full Record in Web of Science")</f>
        <v>View Full Record in Web of Science</v>
      </c>
    </row>
    <row r="167" ht="12.75" customHeight="1">
      <c r="A167" s="1" t="s">
        <v>72</v>
      </c>
      <c r="B167" s="1" t="s">
        <v>1763</v>
      </c>
      <c r="C167" s="1" t="s">
        <v>74</v>
      </c>
      <c r="D167" s="1" t="s">
        <v>74</v>
      </c>
      <c r="E167" s="1" t="s">
        <v>74</v>
      </c>
      <c r="F167" s="1" t="s">
        <v>1764</v>
      </c>
      <c r="G167" s="1" t="s">
        <v>74</v>
      </c>
      <c r="H167" s="1" t="s">
        <v>74</v>
      </c>
      <c r="I167" s="1" t="s">
        <v>1765</v>
      </c>
      <c r="J167" s="1" t="s">
        <v>1766</v>
      </c>
      <c r="K167" s="1" t="s">
        <v>74</v>
      </c>
      <c r="L167" s="1" t="s">
        <v>74</v>
      </c>
      <c r="M167" s="1" t="s">
        <v>74</v>
      </c>
      <c r="N167" s="1" t="s">
        <v>74</v>
      </c>
      <c r="O167" s="1" t="s">
        <v>74</v>
      </c>
      <c r="P167" s="1" t="s">
        <v>74</v>
      </c>
      <c r="Q167" s="1" t="s">
        <v>74</v>
      </c>
      <c r="R167" s="1" t="s">
        <v>74</v>
      </c>
      <c r="S167" s="1" t="s">
        <v>74</v>
      </c>
      <c r="T167" s="1" t="s">
        <v>74</v>
      </c>
      <c r="U167" s="1" t="s">
        <v>74</v>
      </c>
      <c r="V167" s="1" t="s">
        <v>1767</v>
      </c>
      <c r="W167" s="1" t="s">
        <v>74</v>
      </c>
      <c r="X167" s="1" t="s">
        <v>74</v>
      </c>
      <c r="Y167" s="1" t="s">
        <v>74</v>
      </c>
      <c r="Z167" s="1" t="s">
        <v>74</v>
      </c>
      <c r="AA167" s="1" t="s">
        <v>1768</v>
      </c>
      <c r="AB167" s="1" t="s">
        <v>74</v>
      </c>
      <c r="AC167" s="1" t="s">
        <v>74</v>
      </c>
      <c r="AD167" s="1" t="s">
        <v>74</v>
      </c>
      <c r="AE167" s="1" t="s">
        <v>74</v>
      </c>
      <c r="AF167" s="1" t="s">
        <v>74</v>
      </c>
      <c r="AG167" s="1" t="s">
        <v>74</v>
      </c>
      <c r="AH167" s="1" t="s">
        <v>74</v>
      </c>
      <c r="AI167" s="1" t="s">
        <v>74</v>
      </c>
      <c r="AJ167" s="1" t="s">
        <v>74</v>
      </c>
      <c r="AK167" s="1" t="s">
        <v>74</v>
      </c>
      <c r="AL167" s="1" t="s">
        <v>74</v>
      </c>
      <c r="AM167" s="1" t="s">
        <v>74</v>
      </c>
      <c r="AN167" s="1" t="s">
        <v>74</v>
      </c>
      <c r="AO167" s="1" t="s">
        <v>1769</v>
      </c>
      <c r="AP167" s="1" t="s">
        <v>74</v>
      </c>
      <c r="AQ167" s="1" t="s">
        <v>74</v>
      </c>
      <c r="AR167" s="1" t="s">
        <v>74</v>
      </c>
      <c r="AS167" s="1" t="s">
        <v>74</v>
      </c>
      <c r="AT167" s="1" t="s">
        <v>74</v>
      </c>
      <c r="AU167" s="1">
        <v>2024.0</v>
      </c>
      <c r="AV167" s="1">
        <v>18.0</v>
      </c>
      <c r="AW167" s="1">
        <v>1.0</v>
      </c>
      <c r="AX167" s="1" t="s">
        <v>74</v>
      </c>
      <c r="AY167" s="1" t="s">
        <v>74</v>
      </c>
      <c r="AZ167" s="1" t="s">
        <v>74</v>
      </c>
      <c r="BA167" s="1" t="s">
        <v>74</v>
      </c>
      <c r="BB167" s="1">
        <v>2064.0</v>
      </c>
      <c r="BC167" s="1">
        <v>2134.0</v>
      </c>
      <c r="BD167" s="1" t="s">
        <v>74</v>
      </c>
      <c r="BE167" s="1" t="s">
        <v>1770</v>
      </c>
      <c r="BF167" s="2" t="str">
        <f>HYPERLINK("http://dx.doi.org/10.1214/24-EJS2245","http://dx.doi.org/10.1214/24-EJS2245")</f>
        <v>http://dx.doi.org/10.1214/24-EJS2245</v>
      </c>
      <c r="BG167" s="1" t="s">
        <v>74</v>
      </c>
      <c r="BH167" s="1" t="s">
        <v>74</v>
      </c>
      <c r="BI167" s="1" t="s">
        <v>74</v>
      </c>
      <c r="BJ167" s="1" t="s">
        <v>74</v>
      </c>
      <c r="BK167" s="1" t="s">
        <v>74</v>
      </c>
      <c r="BL167" s="1" t="s">
        <v>74</v>
      </c>
      <c r="BM167" s="1" t="s">
        <v>74</v>
      </c>
      <c r="BN167" s="1" t="s">
        <v>74</v>
      </c>
      <c r="BO167" s="1" t="s">
        <v>74</v>
      </c>
      <c r="BP167" s="1" t="s">
        <v>74</v>
      </c>
      <c r="BQ167" s="1" t="s">
        <v>74</v>
      </c>
      <c r="BR167" s="1" t="s">
        <v>74</v>
      </c>
      <c r="BS167" s="1" t="s">
        <v>1771</v>
      </c>
      <c r="BT167" s="1" t="str">
        <f>HYPERLINK("https%3A%2F%2Fwww.webofscience.com%2Fwos%2Fwoscc%2Ffull-record%2FWOS:001247620800002","View Full Record in Web of Science")</f>
        <v>View Full Record in Web of Science</v>
      </c>
    </row>
    <row r="168" ht="12.75" customHeight="1">
      <c r="A168" s="1" t="s">
        <v>72</v>
      </c>
      <c r="B168" s="1" t="s">
        <v>1772</v>
      </c>
      <c r="C168" s="1" t="s">
        <v>74</v>
      </c>
      <c r="D168" s="1" t="s">
        <v>74</v>
      </c>
      <c r="E168" s="1" t="s">
        <v>74</v>
      </c>
      <c r="F168" s="1" t="s">
        <v>1773</v>
      </c>
      <c r="G168" s="1" t="s">
        <v>74</v>
      </c>
      <c r="H168" s="1" t="s">
        <v>74</v>
      </c>
      <c r="I168" s="1" t="s">
        <v>1774</v>
      </c>
      <c r="J168" s="1" t="s">
        <v>941</v>
      </c>
      <c r="K168" s="1" t="s">
        <v>74</v>
      </c>
      <c r="L168" s="1" t="s">
        <v>74</v>
      </c>
      <c r="M168" s="1" t="s">
        <v>74</v>
      </c>
      <c r="N168" s="1" t="s">
        <v>74</v>
      </c>
      <c r="O168" s="1" t="s">
        <v>74</v>
      </c>
      <c r="P168" s="1" t="s">
        <v>74</v>
      </c>
      <c r="Q168" s="1" t="s">
        <v>74</v>
      </c>
      <c r="R168" s="1" t="s">
        <v>74</v>
      </c>
      <c r="S168" s="1" t="s">
        <v>74</v>
      </c>
      <c r="T168" s="1" t="s">
        <v>74</v>
      </c>
      <c r="U168" s="1" t="s">
        <v>74</v>
      </c>
      <c r="V168" s="1" t="s">
        <v>1775</v>
      </c>
      <c r="W168" s="1" t="s">
        <v>74</v>
      </c>
      <c r="X168" s="1" t="s">
        <v>74</v>
      </c>
      <c r="Y168" s="1" t="s">
        <v>74</v>
      </c>
      <c r="Z168" s="1" t="s">
        <v>74</v>
      </c>
      <c r="AA168" s="1" t="s">
        <v>1776</v>
      </c>
      <c r="AB168" s="1" t="s">
        <v>1777</v>
      </c>
      <c r="AC168" s="1" t="s">
        <v>74</v>
      </c>
      <c r="AD168" s="1" t="s">
        <v>74</v>
      </c>
      <c r="AE168" s="1" t="s">
        <v>74</v>
      </c>
      <c r="AF168" s="1" t="s">
        <v>74</v>
      </c>
      <c r="AG168" s="1" t="s">
        <v>74</v>
      </c>
      <c r="AH168" s="1" t="s">
        <v>74</v>
      </c>
      <c r="AI168" s="1" t="s">
        <v>74</v>
      </c>
      <c r="AJ168" s="1" t="s">
        <v>74</v>
      </c>
      <c r="AK168" s="1" t="s">
        <v>74</v>
      </c>
      <c r="AL168" s="1" t="s">
        <v>74</v>
      </c>
      <c r="AM168" s="1" t="s">
        <v>74</v>
      </c>
      <c r="AN168" s="1" t="s">
        <v>74</v>
      </c>
      <c r="AO168" s="1" t="s">
        <v>74</v>
      </c>
      <c r="AP168" s="1" t="s">
        <v>945</v>
      </c>
      <c r="AQ168" s="1" t="s">
        <v>74</v>
      </c>
      <c r="AR168" s="1" t="s">
        <v>74</v>
      </c>
      <c r="AS168" s="1" t="s">
        <v>74</v>
      </c>
      <c r="AT168" s="1" t="s">
        <v>1049</v>
      </c>
      <c r="AU168" s="1">
        <v>2023.0</v>
      </c>
      <c r="AV168" s="1">
        <v>13.0</v>
      </c>
      <c r="AW168" s="1">
        <v>21.0</v>
      </c>
      <c r="AX168" s="1" t="s">
        <v>74</v>
      </c>
      <c r="AY168" s="1" t="s">
        <v>74</v>
      </c>
      <c r="AZ168" s="1" t="s">
        <v>74</v>
      </c>
      <c r="BA168" s="1" t="s">
        <v>74</v>
      </c>
      <c r="BB168" s="1" t="s">
        <v>74</v>
      </c>
      <c r="BC168" s="1" t="s">
        <v>74</v>
      </c>
      <c r="BD168" s="1">
        <v>11841.0</v>
      </c>
      <c r="BE168" s="1" t="s">
        <v>1778</v>
      </c>
      <c r="BF168" s="2" t="str">
        <f>HYPERLINK("http://dx.doi.org/10.3390/app132111841","http://dx.doi.org/10.3390/app132111841")</f>
        <v>http://dx.doi.org/10.3390/app132111841</v>
      </c>
      <c r="BG168" s="1" t="s">
        <v>74</v>
      </c>
      <c r="BH168" s="1" t="s">
        <v>74</v>
      </c>
      <c r="BI168" s="1" t="s">
        <v>74</v>
      </c>
      <c r="BJ168" s="1" t="s">
        <v>74</v>
      </c>
      <c r="BK168" s="1" t="s">
        <v>74</v>
      </c>
      <c r="BL168" s="1" t="s">
        <v>74</v>
      </c>
      <c r="BM168" s="1" t="s">
        <v>74</v>
      </c>
      <c r="BN168" s="1" t="s">
        <v>74</v>
      </c>
      <c r="BO168" s="1" t="s">
        <v>74</v>
      </c>
      <c r="BP168" s="1" t="s">
        <v>74</v>
      </c>
      <c r="BQ168" s="1" t="s">
        <v>74</v>
      </c>
      <c r="BR168" s="1" t="s">
        <v>74</v>
      </c>
      <c r="BS168" s="1" t="s">
        <v>1779</v>
      </c>
      <c r="BT168" s="1" t="str">
        <f>HYPERLINK("https%3A%2F%2Fwww.webofscience.com%2Fwos%2Fwoscc%2Ffull-record%2FWOS:001099497900001","View Full Record in Web of Science")</f>
        <v>View Full Record in Web of Science</v>
      </c>
    </row>
    <row r="169" ht="12.75" customHeight="1">
      <c r="A169" s="1" t="s">
        <v>72</v>
      </c>
      <c r="B169" s="1" t="s">
        <v>1780</v>
      </c>
      <c r="C169" s="1" t="s">
        <v>74</v>
      </c>
      <c r="D169" s="1" t="s">
        <v>74</v>
      </c>
      <c r="E169" s="1" t="s">
        <v>74</v>
      </c>
      <c r="F169" s="1" t="s">
        <v>1781</v>
      </c>
      <c r="G169" s="1" t="s">
        <v>74</v>
      </c>
      <c r="H169" s="1" t="s">
        <v>74</v>
      </c>
      <c r="I169" s="1" t="s">
        <v>1782</v>
      </c>
      <c r="J169" s="1" t="s">
        <v>1783</v>
      </c>
      <c r="K169" s="1" t="s">
        <v>74</v>
      </c>
      <c r="L169" s="1" t="s">
        <v>74</v>
      </c>
      <c r="M169" s="1" t="s">
        <v>74</v>
      </c>
      <c r="N169" s="1" t="s">
        <v>74</v>
      </c>
      <c r="O169" s="1" t="s">
        <v>74</v>
      </c>
      <c r="P169" s="1" t="s">
        <v>74</v>
      </c>
      <c r="Q169" s="1" t="s">
        <v>74</v>
      </c>
      <c r="R169" s="1" t="s">
        <v>74</v>
      </c>
      <c r="S169" s="1" t="s">
        <v>74</v>
      </c>
      <c r="T169" s="1" t="s">
        <v>74</v>
      </c>
      <c r="U169" s="1" t="s">
        <v>74</v>
      </c>
      <c r="V169" s="1" t="s">
        <v>1784</v>
      </c>
      <c r="W169" s="1" t="s">
        <v>74</v>
      </c>
      <c r="X169" s="1" t="s">
        <v>74</v>
      </c>
      <c r="Y169" s="1" t="s">
        <v>74</v>
      </c>
      <c r="Z169" s="1" t="s">
        <v>74</v>
      </c>
      <c r="AA169" s="1" t="s">
        <v>1785</v>
      </c>
      <c r="AB169" s="1" t="s">
        <v>1786</v>
      </c>
      <c r="AC169" s="1" t="s">
        <v>74</v>
      </c>
      <c r="AD169" s="1" t="s">
        <v>74</v>
      </c>
      <c r="AE169" s="1" t="s">
        <v>74</v>
      </c>
      <c r="AF169" s="1" t="s">
        <v>74</v>
      </c>
      <c r="AG169" s="1" t="s">
        <v>74</v>
      </c>
      <c r="AH169" s="1" t="s">
        <v>74</v>
      </c>
      <c r="AI169" s="1" t="s">
        <v>74</v>
      </c>
      <c r="AJ169" s="1" t="s">
        <v>74</v>
      </c>
      <c r="AK169" s="1" t="s">
        <v>74</v>
      </c>
      <c r="AL169" s="1" t="s">
        <v>74</v>
      </c>
      <c r="AM169" s="1" t="s">
        <v>74</v>
      </c>
      <c r="AN169" s="1" t="s">
        <v>74</v>
      </c>
      <c r="AO169" s="1" t="s">
        <v>1787</v>
      </c>
      <c r="AP169" s="1" t="s">
        <v>1788</v>
      </c>
      <c r="AQ169" s="1" t="s">
        <v>74</v>
      </c>
      <c r="AR169" s="1" t="s">
        <v>74</v>
      </c>
      <c r="AS169" s="1" t="s">
        <v>74</v>
      </c>
      <c r="AT169" s="1" t="s">
        <v>123</v>
      </c>
      <c r="AU169" s="1">
        <v>2023.0</v>
      </c>
      <c r="AV169" s="1">
        <v>11.0</v>
      </c>
      <c r="AW169" s="1">
        <v>5.0</v>
      </c>
      <c r="AX169" s="1" t="s">
        <v>74</v>
      </c>
      <c r="AY169" s="1" t="s">
        <v>74</v>
      </c>
      <c r="AZ169" s="1" t="s">
        <v>74</v>
      </c>
      <c r="BA169" s="1" t="s">
        <v>74</v>
      </c>
      <c r="BB169" s="1" t="s">
        <v>74</v>
      </c>
      <c r="BC169" s="1" t="s">
        <v>74</v>
      </c>
      <c r="BD169" s="1">
        <v>110997.0</v>
      </c>
      <c r="BE169" s="1" t="s">
        <v>1789</v>
      </c>
      <c r="BF169" s="2" t="str">
        <f>HYPERLINK("http://dx.doi.org/10.1016/j.jece.2023.110997","http://dx.doi.org/10.1016/j.jece.2023.110997")</f>
        <v>http://dx.doi.org/10.1016/j.jece.2023.110997</v>
      </c>
      <c r="BG169" s="1" t="s">
        <v>74</v>
      </c>
      <c r="BH169" s="1" t="s">
        <v>1790</v>
      </c>
      <c r="BI169" s="1" t="s">
        <v>74</v>
      </c>
      <c r="BJ169" s="1" t="s">
        <v>74</v>
      </c>
      <c r="BK169" s="1" t="s">
        <v>74</v>
      </c>
      <c r="BL169" s="1" t="s">
        <v>74</v>
      </c>
      <c r="BM169" s="1" t="s">
        <v>74</v>
      </c>
      <c r="BN169" s="1" t="s">
        <v>74</v>
      </c>
      <c r="BO169" s="1" t="s">
        <v>74</v>
      </c>
      <c r="BP169" s="1" t="s">
        <v>74</v>
      </c>
      <c r="BQ169" s="1" t="s">
        <v>74</v>
      </c>
      <c r="BR169" s="1" t="s">
        <v>74</v>
      </c>
      <c r="BS169" s="1" t="s">
        <v>1791</v>
      </c>
      <c r="BT169" s="1" t="str">
        <f>HYPERLINK("https%3A%2F%2Fwww.webofscience.com%2Fwos%2Fwoscc%2Ffull-record%2FWOS:001083209600001","View Full Record in Web of Science")</f>
        <v>View Full Record in Web of Science</v>
      </c>
    </row>
    <row r="170" ht="12.75" customHeight="1">
      <c r="A170" s="1" t="s">
        <v>72</v>
      </c>
      <c r="B170" s="1" t="s">
        <v>1792</v>
      </c>
      <c r="C170" s="1" t="s">
        <v>74</v>
      </c>
      <c r="D170" s="1" t="s">
        <v>74</v>
      </c>
      <c r="E170" s="1" t="s">
        <v>74</v>
      </c>
      <c r="F170" s="1" t="s">
        <v>1793</v>
      </c>
      <c r="G170" s="1" t="s">
        <v>74</v>
      </c>
      <c r="H170" s="1" t="s">
        <v>74</v>
      </c>
      <c r="I170" s="1" t="s">
        <v>1794</v>
      </c>
      <c r="J170" s="1" t="s">
        <v>1795</v>
      </c>
      <c r="K170" s="1" t="s">
        <v>74</v>
      </c>
      <c r="L170" s="1" t="s">
        <v>74</v>
      </c>
      <c r="M170" s="1" t="s">
        <v>74</v>
      </c>
      <c r="N170" s="1" t="s">
        <v>74</v>
      </c>
      <c r="O170" s="1" t="s">
        <v>74</v>
      </c>
      <c r="P170" s="1" t="s">
        <v>74</v>
      </c>
      <c r="Q170" s="1" t="s">
        <v>74</v>
      </c>
      <c r="R170" s="1" t="s">
        <v>74</v>
      </c>
      <c r="S170" s="1" t="s">
        <v>74</v>
      </c>
      <c r="T170" s="1" t="s">
        <v>74</v>
      </c>
      <c r="U170" s="1" t="s">
        <v>74</v>
      </c>
      <c r="V170" s="1" t="s">
        <v>1796</v>
      </c>
      <c r="W170" s="1" t="s">
        <v>74</v>
      </c>
      <c r="X170" s="1" t="s">
        <v>74</v>
      </c>
      <c r="Y170" s="1" t="s">
        <v>74</v>
      </c>
      <c r="Z170" s="1" t="s">
        <v>74</v>
      </c>
      <c r="AA170" s="1" t="s">
        <v>1797</v>
      </c>
      <c r="AB170" s="1" t="s">
        <v>1798</v>
      </c>
      <c r="AC170" s="1" t="s">
        <v>74</v>
      </c>
      <c r="AD170" s="1" t="s">
        <v>74</v>
      </c>
      <c r="AE170" s="1" t="s">
        <v>74</v>
      </c>
      <c r="AF170" s="1" t="s">
        <v>74</v>
      </c>
      <c r="AG170" s="1" t="s">
        <v>74</v>
      </c>
      <c r="AH170" s="1" t="s">
        <v>74</v>
      </c>
      <c r="AI170" s="1" t="s">
        <v>74</v>
      </c>
      <c r="AJ170" s="1" t="s">
        <v>74</v>
      </c>
      <c r="AK170" s="1" t="s">
        <v>74</v>
      </c>
      <c r="AL170" s="1" t="s">
        <v>74</v>
      </c>
      <c r="AM170" s="1" t="s">
        <v>74</v>
      </c>
      <c r="AN170" s="1" t="s">
        <v>74</v>
      </c>
      <c r="AO170" s="1" t="s">
        <v>1799</v>
      </c>
      <c r="AP170" s="1" t="s">
        <v>1800</v>
      </c>
      <c r="AQ170" s="1" t="s">
        <v>74</v>
      </c>
      <c r="AR170" s="1" t="s">
        <v>74</v>
      </c>
      <c r="AS170" s="1" t="s">
        <v>74</v>
      </c>
      <c r="AT170" s="1" t="s">
        <v>99</v>
      </c>
      <c r="AU170" s="1">
        <v>2023.0</v>
      </c>
      <c r="AV170" s="1">
        <v>320.0</v>
      </c>
      <c r="AW170" s="1" t="s">
        <v>74</v>
      </c>
      <c r="AX170" s="1" t="s">
        <v>74</v>
      </c>
      <c r="AY170" s="1" t="s">
        <v>74</v>
      </c>
      <c r="AZ170" s="1" t="s">
        <v>74</v>
      </c>
      <c r="BA170" s="1" t="s">
        <v>74</v>
      </c>
      <c r="BB170" s="1" t="s">
        <v>74</v>
      </c>
      <c r="BC170" s="1" t="s">
        <v>74</v>
      </c>
      <c r="BD170" s="1">
        <v>124050.0</v>
      </c>
      <c r="BE170" s="1" t="s">
        <v>1801</v>
      </c>
      <c r="BF170" s="2" t="str">
        <f>HYPERLINK("http://dx.doi.org/10.1016/j.seppur.2023.124050","http://dx.doi.org/10.1016/j.seppur.2023.124050")</f>
        <v>http://dx.doi.org/10.1016/j.seppur.2023.124050</v>
      </c>
      <c r="BG170" s="1" t="s">
        <v>74</v>
      </c>
      <c r="BH170" s="1" t="s">
        <v>1802</v>
      </c>
      <c r="BI170" s="1" t="s">
        <v>74</v>
      </c>
      <c r="BJ170" s="1" t="s">
        <v>74</v>
      </c>
      <c r="BK170" s="1" t="s">
        <v>74</v>
      </c>
      <c r="BL170" s="1" t="s">
        <v>74</v>
      </c>
      <c r="BM170" s="1" t="s">
        <v>74</v>
      </c>
      <c r="BN170" s="1" t="s">
        <v>74</v>
      </c>
      <c r="BO170" s="1" t="s">
        <v>74</v>
      </c>
      <c r="BP170" s="1" t="s">
        <v>74</v>
      </c>
      <c r="BQ170" s="1" t="s">
        <v>74</v>
      </c>
      <c r="BR170" s="1" t="s">
        <v>74</v>
      </c>
      <c r="BS170" s="1" t="s">
        <v>1803</v>
      </c>
      <c r="BT170" s="1" t="str">
        <f>HYPERLINK("https%3A%2F%2Fwww.webofscience.com%2Fwos%2Fwoscc%2Ffull-record%2FWOS:001010699100001","View Full Record in Web of Science")</f>
        <v>View Full Record in Web of Science</v>
      </c>
    </row>
    <row r="171" ht="12.75" customHeight="1">
      <c r="A171" s="1" t="s">
        <v>72</v>
      </c>
      <c r="B171" s="1" t="s">
        <v>1804</v>
      </c>
      <c r="C171" s="1" t="s">
        <v>74</v>
      </c>
      <c r="D171" s="1" t="s">
        <v>74</v>
      </c>
      <c r="E171" s="1" t="s">
        <v>74</v>
      </c>
      <c r="F171" s="1" t="s">
        <v>1805</v>
      </c>
      <c r="G171" s="1" t="s">
        <v>74</v>
      </c>
      <c r="H171" s="1" t="s">
        <v>74</v>
      </c>
      <c r="I171" s="1" t="s">
        <v>1806</v>
      </c>
      <c r="J171" s="1" t="s">
        <v>1384</v>
      </c>
      <c r="K171" s="1" t="s">
        <v>74</v>
      </c>
      <c r="L171" s="1" t="s">
        <v>74</v>
      </c>
      <c r="M171" s="1" t="s">
        <v>74</v>
      </c>
      <c r="N171" s="1" t="s">
        <v>74</v>
      </c>
      <c r="O171" s="1" t="s">
        <v>74</v>
      </c>
      <c r="P171" s="1" t="s">
        <v>74</v>
      </c>
      <c r="Q171" s="1" t="s">
        <v>74</v>
      </c>
      <c r="R171" s="1" t="s">
        <v>74</v>
      </c>
      <c r="S171" s="1" t="s">
        <v>74</v>
      </c>
      <c r="T171" s="1" t="s">
        <v>74</v>
      </c>
      <c r="U171" s="1" t="s">
        <v>74</v>
      </c>
      <c r="V171" s="1" t="s">
        <v>1807</v>
      </c>
      <c r="W171" s="1" t="s">
        <v>74</v>
      </c>
      <c r="X171" s="1" t="s">
        <v>74</v>
      </c>
      <c r="Y171" s="1" t="s">
        <v>74</v>
      </c>
      <c r="Z171" s="1" t="s">
        <v>74</v>
      </c>
      <c r="AA171" s="1" t="s">
        <v>1808</v>
      </c>
      <c r="AB171" s="1" t="s">
        <v>1809</v>
      </c>
      <c r="AC171" s="1" t="s">
        <v>74</v>
      </c>
      <c r="AD171" s="1" t="s">
        <v>74</v>
      </c>
      <c r="AE171" s="1" t="s">
        <v>74</v>
      </c>
      <c r="AF171" s="1" t="s">
        <v>74</v>
      </c>
      <c r="AG171" s="1" t="s">
        <v>74</v>
      </c>
      <c r="AH171" s="1" t="s">
        <v>74</v>
      </c>
      <c r="AI171" s="1" t="s">
        <v>74</v>
      </c>
      <c r="AJ171" s="1" t="s">
        <v>74</v>
      </c>
      <c r="AK171" s="1" t="s">
        <v>74</v>
      </c>
      <c r="AL171" s="1" t="s">
        <v>74</v>
      </c>
      <c r="AM171" s="1" t="s">
        <v>74</v>
      </c>
      <c r="AN171" s="1" t="s">
        <v>74</v>
      </c>
      <c r="AO171" s="1" t="s">
        <v>1388</v>
      </c>
      <c r="AP171" s="1" t="s">
        <v>1389</v>
      </c>
      <c r="AQ171" s="1" t="s">
        <v>74</v>
      </c>
      <c r="AR171" s="1" t="s">
        <v>74</v>
      </c>
      <c r="AS171" s="1" t="s">
        <v>74</v>
      </c>
      <c r="AT171" s="1" t="s">
        <v>215</v>
      </c>
      <c r="AU171" s="1">
        <v>2023.0</v>
      </c>
      <c r="AV171" s="1">
        <v>23.0</v>
      </c>
      <c r="AW171" s="1">
        <v>2.0</v>
      </c>
      <c r="AX171" s="1" t="s">
        <v>74</v>
      </c>
      <c r="AY171" s="1" t="s">
        <v>74</v>
      </c>
      <c r="AZ171" s="1" t="s">
        <v>74</v>
      </c>
      <c r="BA171" s="1" t="s">
        <v>74</v>
      </c>
      <c r="BB171" s="1">
        <v>2708.0</v>
      </c>
      <c r="BC171" s="1">
        <v>2722.0</v>
      </c>
      <c r="BD171" s="1" t="s">
        <v>74</v>
      </c>
      <c r="BE171" s="1" t="s">
        <v>1810</v>
      </c>
      <c r="BF171" s="2" t="str">
        <f>HYPERLINK("http://dx.doi.org/10.1007/s42729-023-01228-0","http://dx.doi.org/10.1007/s42729-023-01228-0")</f>
        <v>http://dx.doi.org/10.1007/s42729-023-01228-0</v>
      </c>
      <c r="BG171" s="1" t="s">
        <v>74</v>
      </c>
      <c r="BH171" s="1" t="s">
        <v>1007</v>
      </c>
      <c r="BI171" s="1" t="s">
        <v>74</v>
      </c>
      <c r="BJ171" s="1" t="s">
        <v>74</v>
      </c>
      <c r="BK171" s="1" t="s">
        <v>74</v>
      </c>
      <c r="BL171" s="1" t="s">
        <v>74</v>
      </c>
      <c r="BM171" s="1" t="s">
        <v>74</v>
      </c>
      <c r="BN171" s="1" t="s">
        <v>74</v>
      </c>
      <c r="BO171" s="1" t="s">
        <v>74</v>
      </c>
      <c r="BP171" s="1" t="s">
        <v>74</v>
      </c>
      <c r="BQ171" s="1" t="s">
        <v>74</v>
      </c>
      <c r="BR171" s="1" t="s">
        <v>74</v>
      </c>
      <c r="BS171" s="1" t="s">
        <v>1811</v>
      </c>
      <c r="BT171" s="1" t="str">
        <f>HYPERLINK("https%3A%2F%2Fwww.webofscience.com%2Fwos%2Fwoscc%2Ffull-record%2FWOS:000962952600001","View Full Record in Web of Science")</f>
        <v>View Full Record in Web of Science</v>
      </c>
    </row>
    <row r="172" ht="12.75" customHeight="1">
      <c r="A172" s="1" t="s">
        <v>72</v>
      </c>
      <c r="B172" s="1" t="s">
        <v>1812</v>
      </c>
      <c r="C172" s="1" t="s">
        <v>74</v>
      </c>
      <c r="D172" s="1" t="s">
        <v>74</v>
      </c>
      <c r="E172" s="1" t="s">
        <v>74</v>
      </c>
      <c r="F172" s="1" t="s">
        <v>1813</v>
      </c>
      <c r="G172" s="1" t="s">
        <v>74</v>
      </c>
      <c r="H172" s="1" t="s">
        <v>74</v>
      </c>
      <c r="I172" s="1" t="s">
        <v>1814</v>
      </c>
      <c r="J172" s="1" t="s">
        <v>1815</v>
      </c>
      <c r="K172" s="1" t="s">
        <v>74</v>
      </c>
      <c r="L172" s="1" t="s">
        <v>74</v>
      </c>
      <c r="M172" s="1" t="s">
        <v>74</v>
      </c>
      <c r="N172" s="1" t="s">
        <v>74</v>
      </c>
      <c r="O172" s="1" t="s">
        <v>74</v>
      </c>
      <c r="P172" s="1" t="s">
        <v>74</v>
      </c>
      <c r="Q172" s="1" t="s">
        <v>74</v>
      </c>
      <c r="R172" s="1" t="s">
        <v>74</v>
      </c>
      <c r="S172" s="1" t="s">
        <v>74</v>
      </c>
      <c r="T172" s="1" t="s">
        <v>74</v>
      </c>
      <c r="U172" s="1" t="s">
        <v>74</v>
      </c>
      <c r="V172" s="1" t="s">
        <v>1816</v>
      </c>
      <c r="W172" s="1" t="s">
        <v>74</v>
      </c>
      <c r="X172" s="1" t="s">
        <v>74</v>
      </c>
      <c r="Y172" s="1" t="s">
        <v>74</v>
      </c>
      <c r="Z172" s="1" t="s">
        <v>74</v>
      </c>
      <c r="AA172" s="1" t="s">
        <v>1817</v>
      </c>
      <c r="AB172" s="1" t="s">
        <v>1818</v>
      </c>
      <c r="AC172" s="1" t="s">
        <v>74</v>
      </c>
      <c r="AD172" s="1" t="s">
        <v>74</v>
      </c>
      <c r="AE172" s="1" t="s">
        <v>74</v>
      </c>
      <c r="AF172" s="1" t="s">
        <v>74</v>
      </c>
      <c r="AG172" s="1" t="s">
        <v>74</v>
      </c>
      <c r="AH172" s="1" t="s">
        <v>74</v>
      </c>
      <c r="AI172" s="1" t="s">
        <v>74</v>
      </c>
      <c r="AJ172" s="1" t="s">
        <v>74</v>
      </c>
      <c r="AK172" s="1" t="s">
        <v>74</v>
      </c>
      <c r="AL172" s="1" t="s">
        <v>74</v>
      </c>
      <c r="AM172" s="1" t="s">
        <v>74</v>
      </c>
      <c r="AN172" s="1" t="s">
        <v>74</v>
      </c>
      <c r="AO172" s="1" t="s">
        <v>1819</v>
      </c>
      <c r="AP172" s="1" t="s">
        <v>74</v>
      </c>
      <c r="AQ172" s="1" t="s">
        <v>74</v>
      </c>
      <c r="AR172" s="1" t="s">
        <v>74</v>
      </c>
      <c r="AS172" s="1" t="s">
        <v>74</v>
      </c>
      <c r="AT172" s="1" t="s">
        <v>1820</v>
      </c>
      <c r="AU172" s="1">
        <v>2023.0</v>
      </c>
      <c r="AV172" s="1">
        <v>82.0</v>
      </c>
      <c r="AW172" s="1">
        <v>324.0</v>
      </c>
      <c r="AX172" s="1" t="s">
        <v>74</v>
      </c>
      <c r="AY172" s="1" t="s">
        <v>74</v>
      </c>
      <c r="AZ172" s="1" t="s">
        <v>74</v>
      </c>
      <c r="BA172" s="1" t="s">
        <v>74</v>
      </c>
      <c r="BB172" s="1">
        <v>98.0</v>
      </c>
      <c r="BC172" s="1">
        <v>125.0</v>
      </c>
      <c r="BD172" s="1" t="s">
        <v>74</v>
      </c>
      <c r="BE172" s="1" t="s">
        <v>1821</v>
      </c>
      <c r="BF172" s="2" t="str">
        <f>HYPERLINK("http://dx.doi.org/10.22201/fe.01851667p.2023.324.83713","http://dx.doi.org/10.22201/fe.01851667p.2023.324.83713")</f>
        <v>http://dx.doi.org/10.22201/fe.01851667p.2023.324.83713</v>
      </c>
      <c r="BG172" s="1" t="s">
        <v>74</v>
      </c>
      <c r="BH172" s="1" t="s">
        <v>74</v>
      </c>
      <c r="BI172" s="1" t="s">
        <v>74</v>
      </c>
      <c r="BJ172" s="1" t="s">
        <v>74</v>
      </c>
      <c r="BK172" s="1" t="s">
        <v>74</v>
      </c>
      <c r="BL172" s="1" t="s">
        <v>74</v>
      </c>
      <c r="BM172" s="1" t="s">
        <v>74</v>
      </c>
      <c r="BN172" s="1" t="s">
        <v>74</v>
      </c>
      <c r="BO172" s="1" t="s">
        <v>74</v>
      </c>
      <c r="BP172" s="1" t="s">
        <v>74</v>
      </c>
      <c r="BQ172" s="1" t="s">
        <v>74</v>
      </c>
      <c r="BR172" s="1" t="s">
        <v>74</v>
      </c>
      <c r="BS172" s="1" t="s">
        <v>1822</v>
      </c>
      <c r="BT172" s="1" t="str">
        <f>HYPERLINK("https%3A%2F%2Fwww.webofscience.com%2Fwos%2Fwoscc%2Ffull-record%2FWOS:001000797800005","View Full Record in Web of Science")</f>
        <v>View Full Record in Web of Science</v>
      </c>
    </row>
    <row r="173" ht="12.75" customHeight="1">
      <c r="A173" s="1" t="s">
        <v>72</v>
      </c>
      <c r="B173" s="1" t="s">
        <v>1823</v>
      </c>
      <c r="C173" s="1" t="s">
        <v>74</v>
      </c>
      <c r="D173" s="1" t="s">
        <v>74</v>
      </c>
      <c r="E173" s="1" t="s">
        <v>74</v>
      </c>
      <c r="F173" s="1" t="s">
        <v>1824</v>
      </c>
      <c r="G173" s="1" t="s">
        <v>74</v>
      </c>
      <c r="H173" s="1" t="s">
        <v>74</v>
      </c>
      <c r="I173" s="1" t="s">
        <v>1825</v>
      </c>
      <c r="J173" s="1" t="s">
        <v>1826</v>
      </c>
      <c r="K173" s="1" t="s">
        <v>74</v>
      </c>
      <c r="L173" s="1" t="s">
        <v>74</v>
      </c>
      <c r="M173" s="1" t="s">
        <v>74</v>
      </c>
      <c r="N173" s="1" t="s">
        <v>74</v>
      </c>
      <c r="O173" s="1" t="s">
        <v>74</v>
      </c>
      <c r="P173" s="1" t="s">
        <v>74</v>
      </c>
      <c r="Q173" s="1" t="s">
        <v>74</v>
      </c>
      <c r="R173" s="1" t="s">
        <v>74</v>
      </c>
      <c r="S173" s="1" t="s">
        <v>74</v>
      </c>
      <c r="T173" s="1" t="s">
        <v>74</v>
      </c>
      <c r="U173" s="1" t="s">
        <v>74</v>
      </c>
      <c r="V173" s="1" t="s">
        <v>74</v>
      </c>
      <c r="W173" s="1" t="s">
        <v>74</v>
      </c>
      <c r="X173" s="1" t="s">
        <v>74</v>
      </c>
      <c r="Y173" s="1" t="s">
        <v>74</v>
      </c>
      <c r="Z173" s="1" t="s">
        <v>74</v>
      </c>
      <c r="AA173" s="1" t="s">
        <v>74</v>
      </c>
      <c r="AB173" s="1" t="s">
        <v>74</v>
      </c>
      <c r="AC173" s="1" t="s">
        <v>74</v>
      </c>
      <c r="AD173" s="1" t="s">
        <v>74</v>
      </c>
      <c r="AE173" s="1" t="s">
        <v>74</v>
      </c>
      <c r="AF173" s="1" t="s">
        <v>74</v>
      </c>
      <c r="AG173" s="1" t="s">
        <v>74</v>
      </c>
      <c r="AH173" s="1" t="s">
        <v>74</v>
      </c>
      <c r="AI173" s="1" t="s">
        <v>74</v>
      </c>
      <c r="AJ173" s="1" t="s">
        <v>74</v>
      </c>
      <c r="AK173" s="1" t="s">
        <v>74</v>
      </c>
      <c r="AL173" s="1" t="s">
        <v>74</v>
      </c>
      <c r="AM173" s="1" t="s">
        <v>74</v>
      </c>
      <c r="AN173" s="1" t="s">
        <v>74</v>
      </c>
      <c r="AO173" s="1" t="s">
        <v>1827</v>
      </c>
      <c r="AP173" s="1" t="s">
        <v>1828</v>
      </c>
      <c r="AQ173" s="1" t="s">
        <v>74</v>
      </c>
      <c r="AR173" s="1" t="s">
        <v>74</v>
      </c>
      <c r="AS173" s="1" t="s">
        <v>74</v>
      </c>
      <c r="AT173" s="1" t="s">
        <v>1829</v>
      </c>
      <c r="AU173" s="1">
        <v>2023.0</v>
      </c>
      <c r="AV173" s="1">
        <v>89.0</v>
      </c>
      <c r="AW173" s="1">
        <v>282.0</v>
      </c>
      <c r="AX173" s="1" t="s">
        <v>74</v>
      </c>
      <c r="AY173" s="1" t="s">
        <v>74</v>
      </c>
      <c r="AZ173" s="1" t="s">
        <v>74</v>
      </c>
      <c r="BA173" s="1" t="s">
        <v>74</v>
      </c>
      <c r="BB173" s="1">
        <v>525.0</v>
      </c>
      <c r="BC173" s="1">
        <v>544.0</v>
      </c>
      <c r="BD173" s="1" t="s">
        <v>74</v>
      </c>
      <c r="BE173" s="1" t="s">
        <v>74</v>
      </c>
      <c r="BF173" s="1" t="s">
        <v>74</v>
      </c>
      <c r="BG173" s="1" t="s">
        <v>74</v>
      </c>
      <c r="BH173" s="1" t="s">
        <v>74</v>
      </c>
      <c r="BI173" s="1" t="s">
        <v>74</v>
      </c>
      <c r="BJ173" s="1" t="s">
        <v>74</v>
      </c>
      <c r="BK173" s="1" t="s">
        <v>74</v>
      </c>
      <c r="BL173" s="1" t="s">
        <v>74</v>
      </c>
      <c r="BM173" s="1" t="s">
        <v>74</v>
      </c>
      <c r="BN173" s="1" t="s">
        <v>74</v>
      </c>
      <c r="BO173" s="1" t="s">
        <v>74</v>
      </c>
      <c r="BP173" s="1" t="s">
        <v>74</v>
      </c>
      <c r="BQ173" s="1" t="s">
        <v>74</v>
      </c>
      <c r="BR173" s="1" t="s">
        <v>74</v>
      </c>
      <c r="BS173" s="1" t="s">
        <v>1830</v>
      </c>
      <c r="BT173" s="1" t="str">
        <f>HYPERLINK("https%3A%2F%2Fwww.webofscience.com%2Fwos%2Fwoscc%2Ffull-record%2FWOS:000957973000001","View Full Record in Web of Science")</f>
        <v>View Full Record in Web of Science</v>
      </c>
    </row>
    <row r="174" ht="12.75" customHeight="1">
      <c r="A174" s="1" t="s">
        <v>72</v>
      </c>
      <c r="B174" s="1" t="s">
        <v>1831</v>
      </c>
      <c r="C174" s="1" t="s">
        <v>74</v>
      </c>
      <c r="D174" s="1" t="s">
        <v>74</v>
      </c>
      <c r="E174" s="1" t="s">
        <v>74</v>
      </c>
      <c r="F174" s="1" t="s">
        <v>1832</v>
      </c>
      <c r="G174" s="1" t="s">
        <v>74</v>
      </c>
      <c r="H174" s="1" t="s">
        <v>74</v>
      </c>
      <c r="I174" s="1" t="s">
        <v>1833</v>
      </c>
      <c r="J174" s="1" t="s">
        <v>1834</v>
      </c>
      <c r="K174" s="1" t="s">
        <v>74</v>
      </c>
      <c r="L174" s="1" t="s">
        <v>74</v>
      </c>
      <c r="M174" s="1" t="s">
        <v>74</v>
      </c>
      <c r="N174" s="1" t="s">
        <v>74</v>
      </c>
      <c r="O174" s="1" t="s">
        <v>74</v>
      </c>
      <c r="P174" s="1" t="s">
        <v>74</v>
      </c>
      <c r="Q174" s="1" t="s">
        <v>74</v>
      </c>
      <c r="R174" s="1" t="s">
        <v>74</v>
      </c>
      <c r="S174" s="1" t="s">
        <v>74</v>
      </c>
      <c r="T174" s="1" t="s">
        <v>74</v>
      </c>
      <c r="U174" s="1" t="s">
        <v>74</v>
      </c>
      <c r="V174" s="1" t="s">
        <v>1835</v>
      </c>
      <c r="W174" s="1" t="s">
        <v>74</v>
      </c>
      <c r="X174" s="1" t="s">
        <v>74</v>
      </c>
      <c r="Y174" s="1" t="s">
        <v>74</v>
      </c>
      <c r="Z174" s="1" t="s">
        <v>74</v>
      </c>
      <c r="AA174" s="1" t="s">
        <v>1836</v>
      </c>
      <c r="AB174" s="1" t="s">
        <v>1837</v>
      </c>
      <c r="AC174" s="1" t="s">
        <v>74</v>
      </c>
      <c r="AD174" s="1" t="s">
        <v>74</v>
      </c>
      <c r="AE174" s="1" t="s">
        <v>74</v>
      </c>
      <c r="AF174" s="1" t="s">
        <v>74</v>
      </c>
      <c r="AG174" s="1" t="s">
        <v>74</v>
      </c>
      <c r="AH174" s="1" t="s">
        <v>74</v>
      </c>
      <c r="AI174" s="1" t="s">
        <v>74</v>
      </c>
      <c r="AJ174" s="1" t="s">
        <v>74</v>
      </c>
      <c r="AK174" s="1" t="s">
        <v>74</v>
      </c>
      <c r="AL174" s="1" t="s">
        <v>74</v>
      </c>
      <c r="AM174" s="1" t="s">
        <v>74</v>
      </c>
      <c r="AN174" s="1" t="s">
        <v>74</v>
      </c>
      <c r="AO174" s="1" t="s">
        <v>74</v>
      </c>
      <c r="AP174" s="1" t="s">
        <v>1838</v>
      </c>
      <c r="AQ174" s="1" t="s">
        <v>74</v>
      </c>
      <c r="AR174" s="1" t="s">
        <v>74</v>
      </c>
      <c r="AS174" s="1" t="s">
        <v>74</v>
      </c>
      <c r="AT174" s="1" t="s">
        <v>110</v>
      </c>
      <c r="AU174" s="1">
        <v>2022.0</v>
      </c>
      <c r="AV174" s="1">
        <v>12.0</v>
      </c>
      <c r="AW174" s="1">
        <v>12.0</v>
      </c>
      <c r="AX174" s="1" t="s">
        <v>74</v>
      </c>
      <c r="AY174" s="1" t="s">
        <v>74</v>
      </c>
      <c r="AZ174" s="1" t="s">
        <v>74</v>
      </c>
      <c r="BA174" s="1" t="s">
        <v>74</v>
      </c>
      <c r="BB174" s="1" t="s">
        <v>74</v>
      </c>
      <c r="BC174" s="1" t="s">
        <v>74</v>
      </c>
      <c r="BD174" s="1">
        <v>1960.0</v>
      </c>
      <c r="BE174" s="1" t="s">
        <v>1839</v>
      </c>
      <c r="BF174" s="2" t="str">
        <f>HYPERLINK("http://dx.doi.org/10.3390/life12121960","http://dx.doi.org/10.3390/life12121960")</f>
        <v>http://dx.doi.org/10.3390/life12121960</v>
      </c>
      <c r="BG174" s="1" t="s">
        <v>74</v>
      </c>
      <c r="BH174" s="1" t="s">
        <v>74</v>
      </c>
      <c r="BI174" s="1" t="s">
        <v>74</v>
      </c>
      <c r="BJ174" s="1" t="s">
        <v>74</v>
      </c>
      <c r="BK174" s="1" t="s">
        <v>74</v>
      </c>
      <c r="BL174" s="1" t="s">
        <v>74</v>
      </c>
      <c r="BM174" s="1" t="s">
        <v>74</v>
      </c>
      <c r="BN174" s="1">
        <v>3.6556325E7</v>
      </c>
      <c r="BO174" s="1" t="s">
        <v>74</v>
      </c>
      <c r="BP174" s="1" t="s">
        <v>74</v>
      </c>
      <c r="BQ174" s="1" t="s">
        <v>74</v>
      </c>
      <c r="BR174" s="1" t="s">
        <v>74</v>
      </c>
      <c r="BS174" s="1" t="s">
        <v>1840</v>
      </c>
      <c r="BT174" s="1" t="str">
        <f>HYPERLINK("https%3A%2F%2Fwww.webofscience.com%2Fwos%2Fwoscc%2Ffull-record%2FWOS:000901277200001","View Full Record in Web of Science")</f>
        <v>View Full Record in Web of Science</v>
      </c>
    </row>
    <row r="175" ht="12.75" customHeight="1">
      <c r="A175" s="1" t="s">
        <v>72</v>
      </c>
      <c r="B175" s="1" t="s">
        <v>1841</v>
      </c>
      <c r="C175" s="1" t="s">
        <v>74</v>
      </c>
      <c r="D175" s="1" t="s">
        <v>74</v>
      </c>
      <c r="E175" s="1" t="s">
        <v>74</v>
      </c>
      <c r="F175" s="1" t="s">
        <v>1842</v>
      </c>
      <c r="G175" s="1" t="s">
        <v>74</v>
      </c>
      <c r="H175" s="1" t="s">
        <v>74</v>
      </c>
      <c r="I175" s="1" t="s">
        <v>1843</v>
      </c>
      <c r="J175" s="1" t="s">
        <v>1844</v>
      </c>
      <c r="K175" s="1" t="s">
        <v>74</v>
      </c>
      <c r="L175" s="1" t="s">
        <v>74</v>
      </c>
      <c r="M175" s="1" t="s">
        <v>74</v>
      </c>
      <c r="N175" s="1" t="s">
        <v>74</v>
      </c>
      <c r="O175" s="1" t="s">
        <v>74</v>
      </c>
      <c r="P175" s="1" t="s">
        <v>74</v>
      </c>
      <c r="Q175" s="1" t="s">
        <v>74</v>
      </c>
      <c r="R175" s="1" t="s">
        <v>74</v>
      </c>
      <c r="S175" s="1" t="s">
        <v>74</v>
      </c>
      <c r="T175" s="1" t="s">
        <v>74</v>
      </c>
      <c r="U175" s="1" t="s">
        <v>74</v>
      </c>
      <c r="V175" s="1" t="s">
        <v>1845</v>
      </c>
      <c r="W175" s="1" t="s">
        <v>74</v>
      </c>
      <c r="X175" s="1" t="s">
        <v>74</v>
      </c>
      <c r="Y175" s="1" t="s">
        <v>74</v>
      </c>
      <c r="Z175" s="1" t="s">
        <v>74</v>
      </c>
      <c r="AA175" s="1" t="s">
        <v>1846</v>
      </c>
      <c r="AB175" s="1" t="s">
        <v>1847</v>
      </c>
      <c r="AC175" s="1" t="s">
        <v>74</v>
      </c>
      <c r="AD175" s="1" t="s">
        <v>74</v>
      </c>
      <c r="AE175" s="1" t="s">
        <v>74</v>
      </c>
      <c r="AF175" s="1" t="s">
        <v>74</v>
      </c>
      <c r="AG175" s="1" t="s">
        <v>74</v>
      </c>
      <c r="AH175" s="1" t="s">
        <v>74</v>
      </c>
      <c r="AI175" s="1" t="s">
        <v>74</v>
      </c>
      <c r="AJ175" s="1" t="s">
        <v>74</v>
      </c>
      <c r="AK175" s="1" t="s">
        <v>74</v>
      </c>
      <c r="AL175" s="1" t="s">
        <v>74</v>
      </c>
      <c r="AM175" s="1" t="s">
        <v>74</v>
      </c>
      <c r="AN175" s="1" t="s">
        <v>74</v>
      </c>
      <c r="AO175" s="1" t="s">
        <v>74</v>
      </c>
      <c r="AP175" s="1" t="s">
        <v>1848</v>
      </c>
      <c r="AQ175" s="1" t="s">
        <v>74</v>
      </c>
      <c r="AR175" s="1" t="s">
        <v>74</v>
      </c>
      <c r="AS175" s="1" t="s">
        <v>74</v>
      </c>
      <c r="AT175" s="1" t="s">
        <v>1849</v>
      </c>
      <c r="AU175" s="1">
        <v>2022.0</v>
      </c>
      <c r="AV175" s="1">
        <v>10.0</v>
      </c>
      <c r="AW175" s="1" t="s">
        <v>74</v>
      </c>
      <c r="AX175" s="1" t="s">
        <v>74</v>
      </c>
      <c r="AY175" s="1" t="s">
        <v>74</v>
      </c>
      <c r="AZ175" s="1" t="s">
        <v>74</v>
      </c>
      <c r="BA175" s="1" t="s">
        <v>74</v>
      </c>
      <c r="BB175" s="1" t="s">
        <v>74</v>
      </c>
      <c r="BC175" s="1" t="s">
        <v>74</v>
      </c>
      <c r="BD175" s="1">
        <v>1010336.0</v>
      </c>
      <c r="BE175" s="1" t="s">
        <v>1850</v>
      </c>
      <c r="BF175" s="2" t="str">
        <f>HYPERLINK("http://dx.doi.org/10.3389/fpubh.2022.1010336","http://dx.doi.org/10.3389/fpubh.2022.1010336")</f>
        <v>http://dx.doi.org/10.3389/fpubh.2022.1010336</v>
      </c>
      <c r="BG175" s="1" t="s">
        <v>74</v>
      </c>
      <c r="BH175" s="1" t="s">
        <v>74</v>
      </c>
      <c r="BI175" s="1" t="s">
        <v>74</v>
      </c>
      <c r="BJ175" s="1" t="s">
        <v>74</v>
      </c>
      <c r="BK175" s="1" t="s">
        <v>74</v>
      </c>
      <c r="BL175" s="1" t="s">
        <v>74</v>
      </c>
      <c r="BM175" s="1" t="s">
        <v>74</v>
      </c>
      <c r="BN175" s="1">
        <v>3.6518569E7</v>
      </c>
      <c r="BO175" s="1" t="s">
        <v>74</v>
      </c>
      <c r="BP175" s="1" t="s">
        <v>74</v>
      </c>
      <c r="BQ175" s="1" t="s">
        <v>74</v>
      </c>
      <c r="BR175" s="1" t="s">
        <v>74</v>
      </c>
      <c r="BS175" s="1" t="s">
        <v>1851</v>
      </c>
      <c r="BT175" s="1" t="str">
        <f>HYPERLINK("https%3A%2F%2Fwww.webofscience.com%2Fwos%2Fwoscc%2Ffull-record%2FWOS:000897642400001","View Full Record in Web of Science")</f>
        <v>View Full Record in Web of Science</v>
      </c>
    </row>
    <row r="176" ht="12.75" customHeight="1">
      <c r="A176" s="1" t="s">
        <v>72</v>
      </c>
      <c r="B176" s="1" t="s">
        <v>1852</v>
      </c>
      <c r="C176" s="1" t="s">
        <v>74</v>
      </c>
      <c r="D176" s="1" t="s">
        <v>74</v>
      </c>
      <c r="E176" s="1" t="s">
        <v>74</v>
      </c>
      <c r="F176" s="1" t="s">
        <v>1853</v>
      </c>
      <c r="G176" s="1" t="s">
        <v>74</v>
      </c>
      <c r="H176" s="1" t="s">
        <v>74</v>
      </c>
      <c r="I176" s="1" t="s">
        <v>1854</v>
      </c>
      <c r="J176" s="1" t="s">
        <v>334</v>
      </c>
      <c r="K176" s="1" t="s">
        <v>74</v>
      </c>
      <c r="L176" s="1" t="s">
        <v>74</v>
      </c>
      <c r="M176" s="1" t="s">
        <v>74</v>
      </c>
      <c r="N176" s="1" t="s">
        <v>74</v>
      </c>
      <c r="O176" s="1" t="s">
        <v>74</v>
      </c>
      <c r="P176" s="1" t="s">
        <v>74</v>
      </c>
      <c r="Q176" s="1" t="s">
        <v>74</v>
      </c>
      <c r="R176" s="1" t="s">
        <v>74</v>
      </c>
      <c r="S176" s="1" t="s">
        <v>74</v>
      </c>
      <c r="T176" s="1" t="s">
        <v>74</v>
      </c>
      <c r="U176" s="1" t="s">
        <v>74</v>
      </c>
      <c r="V176" s="1" t="s">
        <v>1855</v>
      </c>
      <c r="W176" s="1" t="s">
        <v>74</v>
      </c>
      <c r="X176" s="1" t="s">
        <v>74</v>
      </c>
      <c r="Y176" s="1" t="s">
        <v>74</v>
      </c>
      <c r="Z176" s="1" t="s">
        <v>74</v>
      </c>
      <c r="AA176" s="1" t="s">
        <v>1856</v>
      </c>
      <c r="AB176" s="1" t="s">
        <v>1857</v>
      </c>
      <c r="AC176" s="1" t="s">
        <v>74</v>
      </c>
      <c r="AD176" s="1" t="s">
        <v>74</v>
      </c>
      <c r="AE176" s="1" t="s">
        <v>74</v>
      </c>
      <c r="AF176" s="1" t="s">
        <v>74</v>
      </c>
      <c r="AG176" s="1" t="s">
        <v>74</v>
      </c>
      <c r="AH176" s="1" t="s">
        <v>74</v>
      </c>
      <c r="AI176" s="1" t="s">
        <v>74</v>
      </c>
      <c r="AJ176" s="1" t="s">
        <v>74</v>
      </c>
      <c r="AK176" s="1" t="s">
        <v>74</v>
      </c>
      <c r="AL176" s="1" t="s">
        <v>74</v>
      </c>
      <c r="AM176" s="1" t="s">
        <v>74</v>
      </c>
      <c r="AN176" s="1" t="s">
        <v>74</v>
      </c>
      <c r="AO176" s="1" t="s">
        <v>338</v>
      </c>
      <c r="AP176" s="1" t="s">
        <v>339</v>
      </c>
      <c r="AQ176" s="1" t="s">
        <v>74</v>
      </c>
      <c r="AR176" s="1" t="s">
        <v>74</v>
      </c>
      <c r="AS176" s="1" t="s">
        <v>74</v>
      </c>
      <c r="AT176" s="1" t="s">
        <v>1858</v>
      </c>
      <c r="AU176" s="1">
        <v>2021.0</v>
      </c>
      <c r="AV176" s="1">
        <v>50.0</v>
      </c>
      <c r="AW176" s="1">
        <v>19.0</v>
      </c>
      <c r="AX176" s="1" t="s">
        <v>74</v>
      </c>
      <c r="AY176" s="1" t="s">
        <v>74</v>
      </c>
      <c r="AZ176" s="1" t="s">
        <v>74</v>
      </c>
      <c r="BA176" s="1" t="s">
        <v>74</v>
      </c>
      <c r="BB176" s="1">
        <v>6578.0</v>
      </c>
      <c r="BC176" s="1">
        <v>6587.0</v>
      </c>
      <c r="BD176" s="1" t="s">
        <v>74</v>
      </c>
      <c r="BE176" s="1" t="s">
        <v>1859</v>
      </c>
      <c r="BF176" s="2" t="str">
        <f>HYPERLINK("http://dx.doi.org/10.1039/d1dt00078k","http://dx.doi.org/10.1039/d1dt00078k")</f>
        <v>http://dx.doi.org/10.1039/d1dt00078k</v>
      </c>
      <c r="BG176" s="1" t="s">
        <v>74</v>
      </c>
      <c r="BH176" s="1" t="s">
        <v>1860</v>
      </c>
      <c r="BI176" s="1" t="s">
        <v>74</v>
      </c>
      <c r="BJ176" s="1" t="s">
        <v>74</v>
      </c>
      <c r="BK176" s="1" t="s">
        <v>74</v>
      </c>
      <c r="BL176" s="1" t="s">
        <v>74</v>
      </c>
      <c r="BM176" s="1" t="s">
        <v>74</v>
      </c>
      <c r="BN176" s="1">
        <v>3.3899067E7</v>
      </c>
      <c r="BO176" s="1" t="s">
        <v>74</v>
      </c>
      <c r="BP176" s="1" t="s">
        <v>74</v>
      </c>
      <c r="BQ176" s="1" t="s">
        <v>74</v>
      </c>
      <c r="BR176" s="1" t="s">
        <v>74</v>
      </c>
      <c r="BS176" s="1" t="s">
        <v>1861</v>
      </c>
      <c r="BT176" s="1" t="str">
        <f>HYPERLINK("https%3A%2F%2Fwww.webofscience.com%2Fwos%2Fwoscc%2Ffull-record%2FWOS:000643687400001","View Full Record in Web of Science")</f>
        <v>View Full Record in Web of Science</v>
      </c>
    </row>
    <row r="177" ht="12.75" customHeight="1">
      <c r="A177" s="1" t="s">
        <v>72</v>
      </c>
      <c r="B177" s="1" t="s">
        <v>1862</v>
      </c>
      <c r="C177" s="1" t="s">
        <v>74</v>
      </c>
      <c r="D177" s="1" t="s">
        <v>74</v>
      </c>
      <c r="E177" s="1" t="s">
        <v>74</v>
      </c>
      <c r="F177" s="1" t="s">
        <v>1863</v>
      </c>
      <c r="G177" s="1" t="s">
        <v>74</v>
      </c>
      <c r="H177" s="1" t="s">
        <v>74</v>
      </c>
      <c r="I177" s="1" t="s">
        <v>1864</v>
      </c>
      <c r="J177" s="1" t="s">
        <v>1865</v>
      </c>
      <c r="K177" s="1" t="s">
        <v>74</v>
      </c>
      <c r="L177" s="1" t="s">
        <v>74</v>
      </c>
      <c r="M177" s="1" t="s">
        <v>74</v>
      </c>
      <c r="N177" s="1" t="s">
        <v>74</v>
      </c>
      <c r="O177" s="1" t="s">
        <v>74</v>
      </c>
      <c r="P177" s="1" t="s">
        <v>74</v>
      </c>
      <c r="Q177" s="1" t="s">
        <v>74</v>
      </c>
      <c r="R177" s="1" t="s">
        <v>74</v>
      </c>
      <c r="S177" s="1" t="s">
        <v>74</v>
      </c>
      <c r="T177" s="1" t="s">
        <v>74</v>
      </c>
      <c r="U177" s="1" t="s">
        <v>74</v>
      </c>
      <c r="V177" s="1" t="s">
        <v>1866</v>
      </c>
      <c r="W177" s="1" t="s">
        <v>74</v>
      </c>
      <c r="X177" s="1" t="s">
        <v>74</v>
      </c>
      <c r="Y177" s="1" t="s">
        <v>74</v>
      </c>
      <c r="Z177" s="1" t="s">
        <v>74</v>
      </c>
      <c r="AA177" s="1" t="s">
        <v>1867</v>
      </c>
      <c r="AB177" s="1" t="s">
        <v>1868</v>
      </c>
      <c r="AC177" s="1" t="s">
        <v>74</v>
      </c>
      <c r="AD177" s="1" t="s">
        <v>74</v>
      </c>
      <c r="AE177" s="1" t="s">
        <v>74</v>
      </c>
      <c r="AF177" s="1" t="s">
        <v>74</v>
      </c>
      <c r="AG177" s="1" t="s">
        <v>74</v>
      </c>
      <c r="AH177" s="1" t="s">
        <v>74</v>
      </c>
      <c r="AI177" s="1" t="s">
        <v>74</v>
      </c>
      <c r="AJ177" s="1" t="s">
        <v>74</v>
      </c>
      <c r="AK177" s="1" t="s">
        <v>74</v>
      </c>
      <c r="AL177" s="1" t="s">
        <v>74</v>
      </c>
      <c r="AM177" s="1" t="s">
        <v>74</v>
      </c>
      <c r="AN177" s="1" t="s">
        <v>74</v>
      </c>
      <c r="AO177" s="1" t="s">
        <v>74</v>
      </c>
      <c r="AP177" s="1" t="s">
        <v>1869</v>
      </c>
      <c r="AQ177" s="1" t="s">
        <v>74</v>
      </c>
      <c r="AR177" s="1" t="s">
        <v>74</v>
      </c>
      <c r="AS177" s="1" t="s">
        <v>74</v>
      </c>
      <c r="AT177" s="1" t="s">
        <v>650</v>
      </c>
      <c r="AU177" s="1">
        <v>2021.0</v>
      </c>
      <c r="AV177" s="1">
        <v>19.0</v>
      </c>
      <c r="AW177" s="1">
        <v>3.0</v>
      </c>
      <c r="AX177" s="1" t="s">
        <v>74</v>
      </c>
      <c r="AY177" s="1" t="s">
        <v>74</v>
      </c>
      <c r="AZ177" s="1" t="s">
        <v>74</v>
      </c>
      <c r="BA177" s="1" t="s">
        <v>74</v>
      </c>
      <c r="BB177" s="1" t="s">
        <v>74</v>
      </c>
      <c r="BC177" s="1" t="s">
        <v>74</v>
      </c>
      <c r="BD177" s="1">
        <v>165.0</v>
      </c>
      <c r="BE177" s="1" t="s">
        <v>1870</v>
      </c>
      <c r="BF177" s="2" t="str">
        <f>HYPERLINK("http://dx.doi.org/10.3390/md19030165","http://dx.doi.org/10.3390/md19030165")</f>
        <v>http://dx.doi.org/10.3390/md19030165</v>
      </c>
      <c r="BG177" s="1" t="s">
        <v>74</v>
      </c>
      <c r="BH177" s="1" t="s">
        <v>74</v>
      </c>
      <c r="BI177" s="1" t="s">
        <v>74</v>
      </c>
      <c r="BJ177" s="1" t="s">
        <v>74</v>
      </c>
      <c r="BK177" s="1" t="s">
        <v>74</v>
      </c>
      <c r="BL177" s="1" t="s">
        <v>74</v>
      </c>
      <c r="BM177" s="1" t="s">
        <v>74</v>
      </c>
      <c r="BN177" s="1">
        <v>3.3808737E7</v>
      </c>
      <c r="BO177" s="1" t="s">
        <v>74</v>
      </c>
      <c r="BP177" s="1" t="s">
        <v>74</v>
      </c>
      <c r="BQ177" s="1" t="s">
        <v>74</v>
      </c>
      <c r="BR177" s="1" t="s">
        <v>74</v>
      </c>
      <c r="BS177" s="1" t="s">
        <v>1871</v>
      </c>
      <c r="BT177" s="1" t="str">
        <f>HYPERLINK("https%3A%2F%2Fwww.webofscience.com%2Fwos%2Fwoscc%2Ffull-record%2FWOS:000633825500001","View Full Record in Web of Science")</f>
        <v>View Full Record in Web of Science</v>
      </c>
    </row>
    <row r="178" ht="12.75" customHeight="1">
      <c r="A178" s="1" t="s">
        <v>72</v>
      </c>
      <c r="B178" s="1" t="s">
        <v>1872</v>
      </c>
      <c r="C178" s="1" t="s">
        <v>74</v>
      </c>
      <c r="D178" s="1" t="s">
        <v>74</v>
      </c>
      <c r="E178" s="1" t="s">
        <v>74</v>
      </c>
      <c r="F178" s="1" t="s">
        <v>1873</v>
      </c>
      <c r="G178" s="1" t="s">
        <v>74</v>
      </c>
      <c r="H178" s="1" t="s">
        <v>74</v>
      </c>
      <c r="I178" s="1" t="s">
        <v>1874</v>
      </c>
      <c r="J178" s="1" t="s">
        <v>481</v>
      </c>
      <c r="K178" s="1" t="s">
        <v>74</v>
      </c>
      <c r="L178" s="1" t="s">
        <v>74</v>
      </c>
      <c r="M178" s="1" t="s">
        <v>74</v>
      </c>
      <c r="N178" s="1" t="s">
        <v>74</v>
      </c>
      <c r="O178" s="1" t="s">
        <v>74</v>
      </c>
      <c r="P178" s="1" t="s">
        <v>74</v>
      </c>
      <c r="Q178" s="1" t="s">
        <v>74</v>
      </c>
      <c r="R178" s="1" t="s">
        <v>74</v>
      </c>
      <c r="S178" s="1" t="s">
        <v>74</v>
      </c>
      <c r="T178" s="1" t="s">
        <v>74</v>
      </c>
      <c r="U178" s="1" t="s">
        <v>74</v>
      </c>
      <c r="V178" s="1" t="s">
        <v>1875</v>
      </c>
      <c r="W178" s="1" t="s">
        <v>74</v>
      </c>
      <c r="X178" s="1" t="s">
        <v>74</v>
      </c>
      <c r="Y178" s="1" t="s">
        <v>74</v>
      </c>
      <c r="Z178" s="1" t="s">
        <v>74</v>
      </c>
      <c r="AA178" s="1" t="s">
        <v>74</v>
      </c>
      <c r="AB178" s="1" t="s">
        <v>74</v>
      </c>
      <c r="AC178" s="1" t="s">
        <v>74</v>
      </c>
      <c r="AD178" s="1" t="s">
        <v>74</v>
      </c>
      <c r="AE178" s="1" t="s">
        <v>74</v>
      </c>
      <c r="AF178" s="1" t="s">
        <v>74</v>
      </c>
      <c r="AG178" s="1" t="s">
        <v>74</v>
      </c>
      <c r="AH178" s="1" t="s">
        <v>74</v>
      </c>
      <c r="AI178" s="1" t="s">
        <v>74</v>
      </c>
      <c r="AJ178" s="1" t="s">
        <v>74</v>
      </c>
      <c r="AK178" s="1" t="s">
        <v>74</v>
      </c>
      <c r="AL178" s="1" t="s">
        <v>74</v>
      </c>
      <c r="AM178" s="1" t="s">
        <v>74</v>
      </c>
      <c r="AN178" s="1" t="s">
        <v>74</v>
      </c>
      <c r="AO178" s="1" t="s">
        <v>483</v>
      </c>
      <c r="AP178" s="1" t="s">
        <v>74</v>
      </c>
      <c r="AQ178" s="1" t="s">
        <v>74</v>
      </c>
      <c r="AR178" s="1" t="s">
        <v>74</v>
      </c>
      <c r="AS178" s="1" t="s">
        <v>74</v>
      </c>
      <c r="AT178" s="1" t="s">
        <v>74</v>
      </c>
      <c r="AU178" s="1">
        <v>2021.0</v>
      </c>
      <c r="AV178" s="1" t="s">
        <v>74</v>
      </c>
      <c r="AW178" s="1">
        <v>67.0</v>
      </c>
      <c r="AX178" s="1" t="s">
        <v>74</v>
      </c>
      <c r="AY178" s="1" t="s">
        <v>74</v>
      </c>
      <c r="AZ178" s="1" t="s">
        <v>74</v>
      </c>
      <c r="BA178" s="1" t="s">
        <v>74</v>
      </c>
      <c r="BB178" s="1" t="s">
        <v>74</v>
      </c>
      <c r="BC178" s="1" t="s">
        <v>74</v>
      </c>
      <c r="BD178" s="1" t="s">
        <v>1876</v>
      </c>
      <c r="BE178" s="1" t="s">
        <v>1877</v>
      </c>
      <c r="BF178" s="2" t="str">
        <f>HYPERLINK("http://dx.doi.org/10.22199/issn.0718-1043-2021-0031","http://dx.doi.org/10.22199/issn.0718-1043-2021-0031")</f>
        <v>http://dx.doi.org/10.22199/issn.0718-1043-2021-0031</v>
      </c>
      <c r="BG178" s="1" t="s">
        <v>74</v>
      </c>
      <c r="BH178" s="1" t="s">
        <v>74</v>
      </c>
      <c r="BI178" s="1" t="s">
        <v>74</v>
      </c>
      <c r="BJ178" s="1" t="s">
        <v>74</v>
      </c>
      <c r="BK178" s="1" t="s">
        <v>74</v>
      </c>
      <c r="BL178" s="1" t="s">
        <v>74</v>
      </c>
      <c r="BM178" s="1" t="s">
        <v>74</v>
      </c>
      <c r="BN178" s="1" t="s">
        <v>74</v>
      </c>
      <c r="BO178" s="1" t="s">
        <v>74</v>
      </c>
      <c r="BP178" s="1" t="s">
        <v>74</v>
      </c>
      <c r="BQ178" s="1" t="s">
        <v>74</v>
      </c>
      <c r="BR178" s="1" t="s">
        <v>74</v>
      </c>
      <c r="BS178" s="1" t="s">
        <v>1878</v>
      </c>
      <c r="BT178" s="1" t="str">
        <f>HYPERLINK("https%3A%2F%2Fwww.webofscience.com%2Fwos%2Fwoscc%2Ffull-record%2FWOS:000743243100001","View Full Record in Web of Science")</f>
        <v>View Full Record in Web of Science</v>
      </c>
    </row>
    <row r="179" ht="12.75" customHeight="1">
      <c r="A179" s="1" t="s">
        <v>72</v>
      </c>
      <c r="B179" s="1" t="s">
        <v>1879</v>
      </c>
      <c r="C179" s="1" t="s">
        <v>74</v>
      </c>
      <c r="D179" s="1" t="s">
        <v>74</v>
      </c>
      <c r="E179" s="1" t="s">
        <v>74</v>
      </c>
      <c r="F179" s="1" t="s">
        <v>1880</v>
      </c>
      <c r="G179" s="1" t="s">
        <v>74</v>
      </c>
      <c r="H179" s="1" t="s">
        <v>74</v>
      </c>
      <c r="I179" s="1" t="s">
        <v>1881</v>
      </c>
      <c r="J179" s="1" t="s">
        <v>1882</v>
      </c>
      <c r="K179" s="1" t="s">
        <v>74</v>
      </c>
      <c r="L179" s="1" t="s">
        <v>74</v>
      </c>
      <c r="M179" s="1" t="s">
        <v>74</v>
      </c>
      <c r="N179" s="1" t="s">
        <v>74</v>
      </c>
      <c r="O179" s="1" t="s">
        <v>74</v>
      </c>
      <c r="P179" s="1" t="s">
        <v>74</v>
      </c>
      <c r="Q179" s="1" t="s">
        <v>74</v>
      </c>
      <c r="R179" s="1" t="s">
        <v>74</v>
      </c>
      <c r="S179" s="1" t="s">
        <v>74</v>
      </c>
      <c r="T179" s="1" t="s">
        <v>74</v>
      </c>
      <c r="U179" s="1" t="s">
        <v>74</v>
      </c>
      <c r="V179" s="1" t="s">
        <v>1883</v>
      </c>
      <c r="W179" s="1" t="s">
        <v>74</v>
      </c>
      <c r="X179" s="1" t="s">
        <v>74</v>
      </c>
      <c r="Y179" s="1" t="s">
        <v>74</v>
      </c>
      <c r="Z179" s="1" t="s">
        <v>74</v>
      </c>
      <c r="AA179" s="1" t="s">
        <v>1884</v>
      </c>
      <c r="AB179" s="1" t="s">
        <v>1885</v>
      </c>
      <c r="AC179" s="1" t="s">
        <v>74</v>
      </c>
      <c r="AD179" s="1" t="s">
        <v>74</v>
      </c>
      <c r="AE179" s="1" t="s">
        <v>74</v>
      </c>
      <c r="AF179" s="1" t="s">
        <v>74</v>
      </c>
      <c r="AG179" s="1" t="s">
        <v>74</v>
      </c>
      <c r="AH179" s="1" t="s">
        <v>74</v>
      </c>
      <c r="AI179" s="1" t="s">
        <v>74</v>
      </c>
      <c r="AJ179" s="1" t="s">
        <v>74</v>
      </c>
      <c r="AK179" s="1" t="s">
        <v>74</v>
      </c>
      <c r="AL179" s="1" t="s">
        <v>74</v>
      </c>
      <c r="AM179" s="1" t="s">
        <v>74</v>
      </c>
      <c r="AN179" s="1" t="s">
        <v>74</v>
      </c>
      <c r="AO179" s="1" t="s">
        <v>1886</v>
      </c>
      <c r="AP179" s="1" t="s">
        <v>1887</v>
      </c>
      <c r="AQ179" s="1" t="s">
        <v>74</v>
      </c>
      <c r="AR179" s="1" t="s">
        <v>74</v>
      </c>
      <c r="AS179" s="1" t="s">
        <v>74</v>
      </c>
      <c r="AT179" s="1" t="s">
        <v>123</v>
      </c>
      <c r="AU179" s="1">
        <v>2020.0</v>
      </c>
      <c r="AV179" s="1">
        <v>30.0</v>
      </c>
      <c r="AW179" s="1">
        <v>10.0</v>
      </c>
      <c r="AX179" s="1" t="s">
        <v>74</v>
      </c>
      <c r="AY179" s="1" t="s">
        <v>74</v>
      </c>
      <c r="AZ179" s="1" t="s">
        <v>74</v>
      </c>
      <c r="BA179" s="1" t="s">
        <v>74</v>
      </c>
      <c r="BB179" s="1" t="s">
        <v>74</v>
      </c>
      <c r="BC179" s="1" t="s">
        <v>74</v>
      </c>
      <c r="BD179" s="1">
        <v>103126.0</v>
      </c>
      <c r="BE179" s="1" t="s">
        <v>1888</v>
      </c>
      <c r="BF179" s="2" t="str">
        <f>HYPERLINK("http://dx.doi.org/10.1063/5.0018408","http://dx.doi.org/10.1063/5.0018408")</f>
        <v>http://dx.doi.org/10.1063/5.0018408</v>
      </c>
      <c r="BG179" s="1" t="s">
        <v>74</v>
      </c>
      <c r="BH179" s="1" t="s">
        <v>74</v>
      </c>
      <c r="BI179" s="1" t="s">
        <v>74</v>
      </c>
      <c r="BJ179" s="1" t="s">
        <v>74</v>
      </c>
      <c r="BK179" s="1" t="s">
        <v>74</v>
      </c>
      <c r="BL179" s="1" t="s">
        <v>74</v>
      </c>
      <c r="BM179" s="1" t="s">
        <v>74</v>
      </c>
      <c r="BN179" s="1">
        <v>3.3138457E7</v>
      </c>
      <c r="BO179" s="1" t="s">
        <v>74</v>
      </c>
      <c r="BP179" s="1" t="s">
        <v>74</v>
      </c>
      <c r="BQ179" s="1" t="s">
        <v>74</v>
      </c>
      <c r="BR179" s="1" t="s">
        <v>74</v>
      </c>
      <c r="BS179" s="1" t="s">
        <v>1889</v>
      </c>
      <c r="BT179" s="1" t="str">
        <f>HYPERLINK("https%3A%2F%2Fwww.webofscience.com%2Fwos%2Fwoscc%2Ffull-record%2FWOS:000588485800003","View Full Record in Web of Science")</f>
        <v>View Full Record in Web of Science</v>
      </c>
    </row>
    <row r="180" ht="12.75" customHeight="1">
      <c r="A180" s="1" t="s">
        <v>72</v>
      </c>
      <c r="B180" s="1" t="s">
        <v>1890</v>
      </c>
      <c r="C180" s="1" t="s">
        <v>74</v>
      </c>
      <c r="D180" s="1" t="s">
        <v>74</v>
      </c>
      <c r="E180" s="1" t="s">
        <v>74</v>
      </c>
      <c r="F180" s="1" t="s">
        <v>1891</v>
      </c>
      <c r="G180" s="1" t="s">
        <v>74</v>
      </c>
      <c r="H180" s="1" t="s">
        <v>74</v>
      </c>
      <c r="I180" s="1" t="s">
        <v>1892</v>
      </c>
      <c r="J180" s="1" t="s">
        <v>1893</v>
      </c>
      <c r="K180" s="1" t="s">
        <v>74</v>
      </c>
      <c r="L180" s="1" t="s">
        <v>74</v>
      </c>
      <c r="M180" s="1" t="s">
        <v>74</v>
      </c>
      <c r="N180" s="1" t="s">
        <v>74</v>
      </c>
      <c r="O180" s="1" t="s">
        <v>74</v>
      </c>
      <c r="P180" s="1" t="s">
        <v>74</v>
      </c>
      <c r="Q180" s="1" t="s">
        <v>74</v>
      </c>
      <c r="R180" s="1" t="s">
        <v>74</v>
      </c>
      <c r="S180" s="1" t="s">
        <v>74</v>
      </c>
      <c r="T180" s="1" t="s">
        <v>74</v>
      </c>
      <c r="U180" s="1" t="s">
        <v>74</v>
      </c>
      <c r="V180" s="1" t="s">
        <v>1894</v>
      </c>
      <c r="W180" s="1" t="s">
        <v>74</v>
      </c>
      <c r="X180" s="1" t="s">
        <v>74</v>
      </c>
      <c r="Y180" s="1" t="s">
        <v>74</v>
      </c>
      <c r="Z180" s="1" t="s">
        <v>74</v>
      </c>
      <c r="AA180" s="1" t="s">
        <v>1895</v>
      </c>
      <c r="AB180" s="1" t="s">
        <v>1896</v>
      </c>
      <c r="AC180" s="1" t="s">
        <v>74</v>
      </c>
      <c r="AD180" s="1" t="s">
        <v>74</v>
      </c>
      <c r="AE180" s="1" t="s">
        <v>74</v>
      </c>
      <c r="AF180" s="1" t="s">
        <v>74</v>
      </c>
      <c r="AG180" s="1" t="s">
        <v>74</v>
      </c>
      <c r="AH180" s="1" t="s">
        <v>74</v>
      </c>
      <c r="AI180" s="1" t="s">
        <v>74</v>
      </c>
      <c r="AJ180" s="1" t="s">
        <v>74</v>
      </c>
      <c r="AK180" s="1" t="s">
        <v>74</v>
      </c>
      <c r="AL180" s="1" t="s">
        <v>74</v>
      </c>
      <c r="AM180" s="1" t="s">
        <v>74</v>
      </c>
      <c r="AN180" s="1" t="s">
        <v>74</v>
      </c>
      <c r="AO180" s="1" t="s">
        <v>1897</v>
      </c>
      <c r="AP180" s="1" t="s">
        <v>74</v>
      </c>
      <c r="AQ180" s="1" t="s">
        <v>74</v>
      </c>
      <c r="AR180" s="1" t="s">
        <v>74</v>
      </c>
      <c r="AS180" s="1" t="s">
        <v>74</v>
      </c>
      <c r="AT180" s="1" t="s">
        <v>459</v>
      </c>
      <c r="AU180" s="1">
        <v>2020.0</v>
      </c>
      <c r="AV180" s="1">
        <v>29.0</v>
      </c>
      <c r="AW180" s="1">
        <v>3.0</v>
      </c>
      <c r="AX180" s="1" t="s">
        <v>74</v>
      </c>
      <c r="AY180" s="1" t="s">
        <v>74</v>
      </c>
      <c r="AZ180" s="1" t="s">
        <v>74</v>
      </c>
      <c r="BA180" s="1" t="s">
        <v>74</v>
      </c>
      <c r="BB180" s="1">
        <v>595.0</v>
      </c>
      <c r="BC180" s="1">
        <v>611.0</v>
      </c>
      <c r="BD180" s="1" t="s">
        <v>74</v>
      </c>
      <c r="BE180" s="1" t="s">
        <v>1898</v>
      </c>
      <c r="BF180" s="2" t="str">
        <f>HYPERLINK("http://dx.doi.org/10.22325/fes/res.2020.37","http://dx.doi.org/10.22325/fes/res.2020.37")</f>
        <v>http://dx.doi.org/10.22325/fes/res.2020.37</v>
      </c>
      <c r="BG180" s="1" t="s">
        <v>74</v>
      </c>
      <c r="BH180" s="1" t="s">
        <v>74</v>
      </c>
      <c r="BI180" s="1" t="s">
        <v>74</v>
      </c>
      <c r="BJ180" s="1" t="s">
        <v>74</v>
      </c>
      <c r="BK180" s="1" t="s">
        <v>74</v>
      </c>
      <c r="BL180" s="1" t="s">
        <v>74</v>
      </c>
      <c r="BM180" s="1" t="s">
        <v>74</v>
      </c>
      <c r="BN180" s="1" t="s">
        <v>74</v>
      </c>
      <c r="BO180" s="1" t="s">
        <v>74</v>
      </c>
      <c r="BP180" s="1" t="s">
        <v>74</v>
      </c>
      <c r="BQ180" s="1" t="s">
        <v>74</v>
      </c>
      <c r="BR180" s="1" t="s">
        <v>74</v>
      </c>
      <c r="BS180" s="1" t="s">
        <v>1899</v>
      </c>
      <c r="BT180" s="1" t="str">
        <f>HYPERLINK("https%3A%2F%2Fwww.webofscience.com%2Fwos%2Fwoscc%2Ffull-record%2FWOS:000610101500009","View Full Record in Web of Science")</f>
        <v>View Full Record in Web of Science</v>
      </c>
    </row>
    <row r="181" ht="12.75" customHeight="1">
      <c r="A181" s="1" t="s">
        <v>72</v>
      </c>
      <c r="B181" s="1" t="s">
        <v>1900</v>
      </c>
      <c r="C181" s="1" t="s">
        <v>74</v>
      </c>
      <c r="D181" s="1" t="s">
        <v>74</v>
      </c>
      <c r="E181" s="1" t="s">
        <v>74</v>
      </c>
      <c r="F181" s="1" t="s">
        <v>1901</v>
      </c>
      <c r="G181" s="1" t="s">
        <v>74</v>
      </c>
      <c r="H181" s="1" t="s">
        <v>74</v>
      </c>
      <c r="I181" s="1" t="s">
        <v>1902</v>
      </c>
      <c r="J181" s="1" t="s">
        <v>334</v>
      </c>
      <c r="K181" s="1" t="s">
        <v>74</v>
      </c>
      <c r="L181" s="1" t="s">
        <v>74</v>
      </c>
      <c r="M181" s="1" t="s">
        <v>74</v>
      </c>
      <c r="N181" s="1" t="s">
        <v>74</v>
      </c>
      <c r="O181" s="1" t="s">
        <v>74</v>
      </c>
      <c r="P181" s="1" t="s">
        <v>74</v>
      </c>
      <c r="Q181" s="1" t="s">
        <v>74</v>
      </c>
      <c r="R181" s="1" t="s">
        <v>74</v>
      </c>
      <c r="S181" s="1" t="s">
        <v>74</v>
      </c>
      <c r="T181" s="1" t="s">
        <v>74</v>
      </c>
      <c r="U181" s="1" t="s">
        <v>74</v>
      </c>
      <c r="V181" s="1" t="s">
        <v>1903</v>
      </c>
      <c r="W181" s="1" t="s">
        <v>74</v>
      </c>
      <c r="X181" s="1" t="s">
        <v>74</v>
      </c>
      <c r="Y181" s="1" t="s">
        <v>74</v>
      </c>
      <c r="Z181" s="1" t="s">
        <v>74</v>
      </c>
      <c r="AA181" s="1" t="s">
        <v>1904</v>
      </c>
      <c r="AB181" s="1" t="s">
        <v>1905</v>
      </c>
      <c r="AC181" s="1" t="s">
        <v>74</v>
      </c>
      <c r="AD181" s="1" t="s">
        <v>74</v>
      </c>
      <c r="AE181" s="1" t="s">
        <v>74</v>
      </c>
      <c r="AF181" s="1" t="s">
        <v>74</v>
      </c>
      <c r="AG181" s="1" t="s">
        <v>74</v>
      </c>
      <c r="AH181" s="1" t="s">
        <v>74</v>
      </c>
      <c r="AI181" s="1" t="s">
        <v>74</v>
      </c>
      <c r="AJ181" s="1" t="s">
        <v>74</v>
      </c>
      <c r="AK181" s="1" t="s">
        <v>74</v>
      </c>
      <c r="AL181" s="1" t="s">
        <v>74</v>
      </c>
      <c r="AM181" s="1" t="s">
        <v>74</v>
      </c>
      <c r="AN181" s="1" t="s">
        <v>74</v>
      </c>
      <c r="AO181" s="1" t="s">
        <v>338</v>
      </c>
      <c r="AP181" s="1" t="s">
        <v>339</v>
      </c>
      <c r="AQ181" s="1" t="s">
        <v>74</v>
      </c>
      <c r="AR181" s="1" t="s">
        <v>74</v>
      </c>
      <c r="AS181" s="1" t="s">
        <v>74</v>
      </c>
      <c r="AT181" s="1" t="s">
        <v>1906</v>
      </c>
      <c r="AU181" s="1">
        <v>2020.0</v>
      </c>
      <c r="AV181" s="1">
        <v>49.0</v>
      </c>
      <c r="AW181" s="1">
        <v>29.0</v>
      </c>
      <c r="AX181" s="1" t="s">
        <v>74</v>
      </c>
      <c r="AY181" s="1" t="s">
        <v>74</v>
      </c>
      <c r="AZ181" s="1" t="s">
        <v>74</v>
      </c>
      <c r="BA181" s="1" t="s">
        <v>74</v>
      </c>
      <c r="BB181" s="1">
        <v>9916.0</v>
      </c>
      <c r="BC181" s="1">
        <v>9928.0</v>
      </c>
      <c r="BD181" s="1" t="s">
        <v>74</v>
      </c>
      <c r="BE181" s="1" t="s">
        <v>1907</v>
      </c>
      <c r="BF181" s="2" t="str">
        <f>HYPERLINK("http://dx.doi.org/10.1039/d0dt01414a","http://dx.doi.org/10.1039/d0dt01414a")</f>
        <v>http://dx.doi.org/10.1039/d0dt01414a</v>
      </c>
      <c r="BG181" s="1" t="s">
        <v>74</v>
      </c>
      <c r="BH181" s="1" t="s">
        <v>74</v>
      </c>
      <c r="BI181" s="1" t="s">
        <v>74</v>
      </c>
      <c r="BJ181" s="1" t="s">
        <v>74</v>
      </c>
      <c r="BK181" s="1" t="s">
        <v>74</v>
      </c>
      <c r="BL181" s="1" t="s">
        <v>74</v>
      </c>
      <c r="BM181" s="1" t="s">
        <v>74</v>
      </c>
      <c r="BN181" s="1">
        <v>3.2589181E7</v>
      </c>
      <c r="BO181" s="1" t="s">
        <v>74</v>
      </c>
      <c r="BP181" s="1" t="s">
        <v>74</v>
      </c>
      <c r="BQ181" s="1" t="s">
        <v>74</v>
      </c>
      <c r="BR181" s="1" t="s">
        <v>74</v>
      </c>
      <c r="BS181" s="1" t="s">
        <v>1908</v>
      </c>
      <c r="BT181" s="1" t="str">
        <f>HYPERLINK("https%3A%2F%2Fwww.webofscience.com%2Fwos%2Fwoscc%2Ffull-record%2FWOS:000552899900001","View Full Record in Web of Science")</f>
        <v>View Full Record in Web of Science</v>
      </c>
    </row>
    <row r="182" ht="12.75" customHeight="1">
      <c r="A182" s="1" t="s">
        <v>72</v>
      </c>
      <c r="B182" s="1" t="s">
        <v>1909</v>
      </c>
      <c r="C182" s="1" t="s">
        <v>74</v>
      </c>
      <c r="D182" s="1" t="s">
        <v>74</v>
      </c>
      <c r="E182" s="1" t="s">
        <v>74</v>
      </c>
      <c r="F182" s="1" t="s">
        <v>1910</v>
      </c>
      <c r="G182" s="1" t="s">
        <v>74</v>
      </c>
      <c r="H182" s="1" t="s">
        <v>74</v>
      </c>
      <c r="I182" s="1" t="s">
        <v>1911</v>
      </c>
      <c r="J182" s="1" t="s">
        <v>84</v>
      </c>
      <c r="K182" s="1" t="s">
        <v>74</v>
      </c>
      <c r="L182" s="1" t="s">
        <v>74</v>
      </c>
      <c r="M182" s="1" t="s">
        <v>74</v>
      </c>
      <c r="N182" s="1" t="s">
        <v>74</v>
      </c>
      <c r="O182" s="1" t="s">
        <v>74</v>
      </c>
      <c r="P182" s="1" t="s">
        <v>74</v>
      </c>
      <c r="Q182" s="1" t="s">
        <v>74</v>
      </c>
      <c r="R182" s="1" t="s">
        <v>74</v>
      </c>
      <c r="S182" s="1" t="s">
        <v>74</v>
      </c>
      <c r="T182" s="1" t="s">
        <v>74</v>
      </c>
      <c r="U182" s="1" t="s">
        <v>74</v>
      </c>
      <c r="V182" s="1" t="s">
        <v>1912</v>
      </c>
      <c r="W182" s="1" t="s">
        <v>74</v>
      </c>
      <c r="X182" s="1" t="s">
        <v>74</v>
      </c>
      <c r="Y182" s="1" t="s">
        <v>74</v>
      </c>
      <c r="Z182" s="1" t="s">
        <v>74</v>
      </c>
      <c r="AA182" s="1" t="s">
        <v>1913</v>
      </c>
      <c r="AB182" s="1" t="s">
        <v>74</v>
      </c>
      <c r="AC182" s="1" t="s">
        <v>74</v>
      </c>
      <c r="AD182" s="1" t="s">
        <v>74</v>
      </c>
      <c r="AE182" s="1" t="s">
        <v>74</v>
      </c>
      <c r="AF182" s="1" t="s">
        <v>74</v>
      </c>
      <c r="AG182" s="1" t="s">
        <v>74</v>
      </c>
      <c r="AH182" s="1" t="s">
        <v>74</v>
      </c>
      <c r="AI182" s="1" t="s">
        <v>74</v>
      </c>
      <c r="AJ182" s="1" t="s">
        <v>74</v>
      </c>
      <c r="AK182" s="1" t="s">
        <v>74</v>
      </c>
      <c r="AL182" s="1" t="s">
        <v>74</v>
      </c>
      <c r="AM182" s="1" t="s">
        <v>74</v>
      </c>
      <c r="AN182" s="1" t="s">
        <v>74</v>
      </c>
      <c r="AO182" s="1" t="s">
        <v>86</v>
      </c>
      <c r="AP182" s="1" t="s">
        <v>87</v>
      </c>
      <c r="AQ182" s="1" t="s">
        <v>74</v>
      </c>
      <c r="AR182" s="1" t="s">
        <v>74</v>
      </c>
      <c r="AS182" s="1" t="s">
        <v>74</v>
      </c>
      <c r="AT182" s="1" t="s">
        <v>135</v>
      </c>
      <c r="AU182" s="1">
        <v>2020.0</v>
      </c>
      <c r="AV182" s="1">
        <v>15.0</v>
      </c>
      <c r="AW182" s="1">
        <v>4.0</v>
      </c>
      <c r="AX182" s="1" t="s">
        <v>74</v>
      </c>
      <c r="AY182" s="1" t="s">
        <v>74</v>
      </c>
      <c r="AZ182" s="1" t="s">
        <v>74</v>
      </c>
      <c r="BA182" s="1" t="s">
        <v>74</v>
      </c>
      <c r="BB182" s="1" t="s">
        <v>74</v>
      </c>
      <c r="BC182" s="1" t="s">
        <v>74</v>
      </c>
      <c r="BD182" s="1">
        <v>3878.0</v>
      </c>
      <c r="BE182" s="1" t="s">
        <v>1914</v>
      </c>
      <c r="BF182" s="2" t="str">
        <f>HYPERLINK("http://dx.doi.org/10.15837/ijccc.2020.4.3878","http://dx.doi.org/10.15837/ijccc.2020.4.3878")</f>
        <v>http://dx.doi.org/10.15837/ijccc.2020.4.3878</v>
      </c>
      <c r="BG182" s="1" t="s">
        <v>74</v>
      </c>
      <c r="BH182" s="1" t="s">
        <v>74</v>
      </c>
      <c r="BI182" s="1" t="s">
        <v>74</v>
      </c>
      <c r="BJ182" s="1" t="s">
        <v>74</v>
      </c>
      <c r="BK182" s="1" t="s">
        <v>74</v>
      </c>
      <c r="BL182" s="1" t="s">
        <v>74</v>
      </c>
      <c r="BM182" s="1" t="s">
        <v>74</v>
      </c>
      <c r="BN182" s="1" t="s">
        <v>74</v>
      </c>
      <c r="BO182" s="1" t="s">
        <v>74</v>
      </c>
      <c r="BP182" s="1" t="s">
        <v>74</v>
      </c>
      <c r="BQ182" s="1" t="s">
        <v>74</v>
      </c>
      <c r="BR182" s="1" t="s">
        <v>74</v>
      </c>
      <c r="BS182" s="1" t="s">
        <v>1915</v>
      </c>
      <c r="BT182" s="1" t="str">
        <f>HYPERLINK("https%3A%2F%2Fwww.webofscience.com%2Fwos%2Fwoscc%2Ffull-record%2FWOS:000540296700004","View Full Record in Web of Science")</f>
        <v>View Full Record in Web of Science</v>
      </c>
    </row>
    <row r="183" ht="12.75" customHeight="1">
      <c r="A183" s="1" t="s">
        <v>72</v>
      </c>
      <c r="B183" s="1" t="s">
        <v>1916</v>
      </c>
      <c r="C183" s="1" t="s">
        <v>74</v>
      </c>
      <c r="D183" s="1" t="s">
        <v>74</v>
      </c>
      <c r="E183" s="1" t="s">
        <v>74</v>
      </c>
      <c r="F183" s="1" t="s">
        <v>1917</v>
      </c>
      <c r="G183" s="1" t="s">
        <v>74</v>
      </c>
      <c r="H183" s="1" t="s">
        <v>74</v>
      </c>
      <c r="I183" s="1" t="s">
        <v>1918</v>
      </c>
      <c r="J183" s="1" t="s">
        <v>1919</v>
      </c>
      <c r="K183" s="1" t="s">
        <v>74</v>
      </c>
      <c r="L183" s="1" t="s">
        <v>74</v>
      </c>
      <c r="M183" s="1" t="s">
        <v>74</v>
      </c>
      <c r="N183" s="1" t="s">
        <v>74</v>
      </c>
      <c r="O183" s="1" t="s">
        <v>74</v>
      </c>
      <c r="P183" s="1" t="s">
        <v>74</v>
      </c>
      <c r="Q183" s="1" t="s">
        <v>74</v>
      </c>
      <c r="R183" s="1" t="s">
        <v>74</v>
      </c>
      <c r="S183" s="1" t="s">
        <v>74</v>
      </c>
      <c r="T183" s="1" t="s">
        <v>74</v>
      </c>
      <c r="U183" s="1" t="s">
        <v>74</v>
      </c>
      <c r="V183" s="1" t="s">
        <v>1920</v>
      </c>
      <c r="W183" s="1" t="s">
        <v>74</v>
      </c>
      <c r="X183" s="1" t="s">
        <v>74</v>
      </c>
      <c r="Y183" s="1" t="s">
        <v>74</v>
      </c>
      <c r="Z183" s="1" t="s">
        <v>74</v>
      </c>
      <c r="AA183" s="1" t="s">
        <v>1921</v>
      </c>
      <c r="AB183" s="1" t="s">
        <v>1922</v>
      </c>
      <c r="AC183" s="1" t="s">
        <v>74</v>
      </c>
      <c r="AD183" s="1" t="s">
        <v>74</v>
      </c>
      <c r="AE183" s="1" t="s">
        <v>74</v>
      </c>
      <c r="AF183" s="1" t="s">
        <v>74</v>
      </c>
      <c r="AG183" s="1" t="s">
        <v>74</v>
      </c>
      <c r="AH183" s="1" t="s">
        <v>74</v>
      </c>
      <c r="AI183" s="1" t="s">
        <v>74</v>
      </c>
      <c r="AJ183" s="1" t="s">
        <v>74</v>
      </c>
      <c r="AK183" s="1" t="s">
        <v>74</v>
      </c>
      <c r="AL183" s="1" t="s">
        <v>74</v>
      </c>
      <c r="AM183" s="1" t="s">
        <v>74</v>
      </c>
      <c r="AN183" s="1" t="s">
        <v>74</v>
      </c>
      <c r="AO183" s="1" t="s">
        <v>1923</v>
      </c>
      <c r="AP183" s="1" t="s">
        <v>1924</v>
      </c>
      <c r="AQ183" s="1" t="s">
        <v>74</v>
      </c>
      <c r="AR183" s="1" t="s">
        <v>74</v>
      </c>
      <c r="AS183" s="1" t="s">
        <v>74</v>
      </c>
      <c r="AT183" s="1" t="s">
        <v>310</v>
      </c>
      <c r="AU183" s="1">
        <v>2020.0</v>
      </c>
      <c r="AV183" s="1">
        <v>94.0</v>
      </c>
      <c r="AW183" s="1" t="s">
        <v>74</v>
      </c>
      <c r="AX183" s="1" t="s">
        <v>74</v>
      </c>
      <c r="AY183" s="1" t="s">
        <v>74</v>
      </c>
      <c r="AZ183" s="1" t="s">
        <v>74</v>
      </c>
      <c r="BA183" s="1" t="s">
        <v>74</v>
      </c>
      <c r="BB183" s="1">
        <v>224.0</v>
      </c>
      <c r="BC183" s="1">
        <v>234.0</v>
      </c>
      <c r="BD183" s="1" t="s">
        <v>74</v>
      </c>
      <c r="BE183" s="1" t="s">
        <v>1925</v>
      </c>
      <c r="BF183" s="2" t="str">
        <f>HYPERLINK("http://dx.doi.org/10.1016/j.procbio.2020.04.025","http://dx.doi.org/10.1016/j.procbio.2020.04.025")</f>
        <v>http://dx.doi.org/10.1016/j.procbio.2020.04.025</v>
      </c>
      <c r="BG183" s="1" t="s">
        <v>74</v>
      </c>
      <c r="BH183" s="1" t="s">
        <v>74</v>
      </c>
      <c r="BI183" s="1" t="s">
        <v>74</v>
      </c>
      <c r="BJ183" s="1" t="s">
        <v>74</v>
      </c>
      <c r="BK183" s="1" t="s">
        <v>74</v>
      </c>
      <c r="BL183" s="1" t="s">
        <v>74</v>
      </c>
      <c r="BM183" s="1" t="s">
        <v>74</v>
      </c>
      <c r="BN183" s="1" t="s">
        <v>74</v>
      </c>
      <c r="BO183" s="1" t="s">
        <v>74</v>
      </c>
      <c r="BP183" s="1" t="s">
        <v>74</v>
      </c>
      <c r="BQ183" s="1" t="s">
        <v>74</v>
      </c>
      <c r="BR183" s="1" t="s">
        <v>74</v>
      </c>
      <c r="BS183" s="1" t="s">
        <v>1926</v>
      </c>
      <c r="BT183" s="1" t="str">
        <f>HYPERLINK("https%3A%2F%2Fwww.webofscience.com%2Fwos%2Fwoscc%2Ffull-record%2FWOS:000537690100024","View Full Record in Web of Science")</f>
        <v>View Full Record in Web of Science</v>
      </c>
    </row>
    <row r="184" ht="12.75" customHeight="1">
      <c r="A184" s="1" t="s">
        <v>72</v>
      </c>
      <c r="B184" s="1" t="s">
        <v>1927</v>
      </c>
      <c r="C184" s="1" t="s">
        <v>74</v>
      </c>
      <c r="D184" s="1" t="s">
        <v>74</v>
      </c>
      <c r="E184" s="1" t="s">
        <v>74</v>
      </c>
      <c r="F184" s="1" t="s">
        <v>1928</v>
      </c>
      <c r="G184" s="1" t="s">
        <v>74</v>
      </c>
      <c r="H184" s="1" t="s">
        <v>74</v>
      </c>
      <c r="I184" s="1" t="s">
        <v>1929</v>
      </c>
      <c r="J184" s="1" t="s">
        <v>1930</v>
      </c>
      <c r="K184" s="1" t="s">
        <v>74</v>
      </c>
      <c r="L184" s="1" t="s">
        <v>74</v>
      </c>
      <c r="M184" s="1" t="s">
        <v>74</v>
      </c>
      <c r="N184" s="1" t="s">
        <v>74</v>
      </c>
      <c r="O184" s="1" t="s">
        <v>74</v>
      </c>
      <c r="P184" s="1" t="s">
        <v>74</v>
      </c>
      <c r="Q184" s="1" t="s">
        <v>74</v>
      </c>
      <c r="R184" s="1" t="s">
        <v>74</v>
      </c>
      <c r="S184" s="1" t="s">
        <v>74</v>
      </c>
      <c r="T184" s="1" t="s">
        <v>74</v>
      </c>
      <c r="U184" s="1" t="s">
        <v>74</v>
      </c>
      <c r="V184" s="1" t="s">
        <v>1931</v>
      </c>
      <c r="W184" s="1" t="s">
        <v>74</v>
      </c>
      <c r="X184" s="1" t="s">
        <v>74</v>
      </c>
      <c r="Y184" s="1" t="s">
        <v>74</v>
      </c>
      <c r="Z184" s="1" t="s">
        <v>74</v>
      </c>
      <c r="AA184" s="1" t="s">
        <v>1932</v>
      </c>
      <c r="AB184" s="1" t="s">
        <v>1933</v>
      </c>
      <c r="AC184" s="1" t="s">
        <v>74</v>
      </c>
      <c r="AD184" s="1" t="s">
        <v>74</v>
      </c>
      <c r="AE184" s="1" t="s">
        <v>74</v>
      </c>
      <c r="AF184" s="1" t="s">
        <v>74</v>
      </c>
      <c r="AG184" s="1" t="s">
        <v>74</v>
      </c>
      <c r="AH184" s="1" t="s">
        <v>74</v>
      </c>
      <c r="AI184" s="1" t="s">
        <v>74</v>
      </c>
      <c r="AJ184" s="1" t="s">
        <v>74</v>
      </c>
      <c r="AK184" s="1" t="s">
        <v>74</v>
      </c>
      <c r="AL184" s="1" t="s">
        <v>74</v>
      </c>
      <c r="AM184" s="1" t="s">
        <v>74</v>
      </c>
      <c r="AN184" s="1" t="s">
        <v>74</v>
      </c>
      <c r="AO184" s="1" t="s">
        <v>1934</v>
      </c>
      <c r="AP184" s="1" t="s">
        <v>1935</v>
      </c>
      <c r="AQ184" s="1" t="s">
        <v>74</v>
      </c>
      <c r="AR184" s="1" t="s">
        <v>74</v>
      </c>
      <c r="AS184" s="1" t="s">
        <v>74</v>
      </c>
      <c r="AT184" s="1" t="s">
        <v>215</v>
      </c>
      <c r="AU184" s="1">
        <v>2020.0</v>
      </c>
      <c r="AV184" s="1">
        <v>152.0</v>
      </c>
      <c r="AW184" s="1">
        <v>6.0</v>
      </c>
      <c r="AX184" s="1" t="s">
        <v>74</v>
      </c>
      <c r="AY184" s="1" t="s">
        <v>74</v>
      </c>
      <c r="AZ184" s="1" t="s">
        <v>74</v>
      </c>
      <c r="BA184" s="1" t="s">
        <v>74</v>
      </c>
      <c r="BB184" s="1" t="s">
        <v>74</v>
      </c>
      <c r="BC184" s="1" t="s">
        <v>74</v>
      </c>
      <c r="BD184" s="1" t="s">
        <v>1936</v>
      </c>
      <c r="BE184" s="1" t="s">
        <v>1937</v>
      </c>
      <c r="BF184" s="2" t="str">
        <f>HYPERLINK("http://dx.doi.org/10.1085/jgp.201912502","http://dx.doi.org/10.1085/jgp.201912502")</f>
        <v>http://dx.doi.org/10.1085/jgp.201912502</v>
      </c>
      <c r="BG184" s="1" t="s">
        <v>74</v>
      </c>
      <c r="BH184" s="1" t="s">
        <v>74</v>
      </c>
      <c r="BI184" s="1" t="s">
        <v>74</v>
      </c>
      <c r="BJ184" s="1" t="s">
        <v>74</v>
      </c>
      <c r="BK184" s="1" t="s">
        <v>74</v>
      </c>
      <c r="BL184" s="1" t="s">
        <v>74</v>
      </c>
      <c r="BM184" s="1" t="s">
        <v>74</v>
      </c>
      <c r="BN184" s="1">
        <v>3.2275741E7</v>
      </c>
      <c r="BO184" s="1" t="s">
        <v>74</v>
      </c>
      <c r="BP184" s="1" t="s">
        <v>74</v>
      </c>
      <c r="BQ184" s="1" t="s">
        <v>74</v>
      </c>
      <c r="BR184" s="1" t="s">
        <v>74</v>
      </c>
      <c r="BS184" s="1" t="s">
        <v>1938</v>
      </c>
      <c r="BT184" s="1" t="str">
        <f>HYPERLINK("https%3A%2F%2Fwww.webofscience.com%2Fwos%2Fwoscc%2Ffull-record%2FWOS:000538137400003","View Full Record in Web of Science")</f>
        <v>View Full Record in Web of Science</v>
      </c>
    </row>
    <row r="185" ht="12.75" customHeight="1">
      <c r="A185" s="1" t="s">
        <v>72</v>
      </c>
      <c r="B185" s="1" t="s">
        <v>1939</v>
      </c>
      <c r="C185" s="1" t="s">
        <v>74</v>
      </c>
      <c r="D185" s="1" t="s">
        <v>74</v>
      </c>
      <c r="E185" s="1" t="s">
        <v>74</v>
      </c>
      <c r="F185" s="1" t="s">
        <v>1940</v>
      </c>
      <c r="G185" s="1" t="s">
        <v>74</v>
      </c>
      <c r="H185" s="1" t="s">
        <v>74</v>
      </c>
      <c r="I185" s="1" t="s">
        <v>1941</v>
      </c>
      <c r="J185" s="1" t="s">
        <v>801</v>
      </c>
      <c r="K185" s="1" t="s">
        <v>74</v>
      </c>
      <c r="L185" s="1" t="s">
        <v>74</v>
      </c>
      <c r="M185" s="1" t="s">
        <v>74</v>
      </c>
      <c r="N185" s="1" t="s">
        <v>74</v>
      </c>
      <c r="O185" s="1" t="s">
        <v>74</v>
      </c>
      <c r="P185" s="1" t="s">
        <v>74</v>
      </c>
      <c r="Q185" s="1" t="s">
        <v>74</v>
      </c>
      <c r="R185" s="1" t="s">
        <v>74</v>
      </c>
      <c r="S185" s="1" t="s">
        <v>74</v>
      </c>
      <c r="T185" s="1" t="s">
        <v>74</v>
      </c>
      <c r="U185" s="1" t="s">
        <v>74</v>
      </c>
      <c r="V185" s="1" t="s">
        <v>1942</v>
      </c>
      <c r="W185" s="1" t="s">
        <v>74</v>
      </c>
      <c r="X185" s="1" t="s">
        <v>74</v>
      </c>
      <c r="Y185" s="1" t="s">
        <v>74</v>
      </c>
      <c r="Z185" s="1" t="s">
        <v>74</v>
      </c>
      <c r="AA185" s="1" t="s">
        <v>1943</v>
      </c>
      <c r="AB185" s="1" t="s">
        <v>1944</v>
      </c>
      <c r="AC185" s="1" t="s">
        <v>74</v>
      </c>
      <c r="AD185" s="1" t="s">
        <v>74</v>
      </c>
      <c r="AE185" s="1" t="s">
        <v>74</v>
      </c>
      <c r="AF185" s="1" t="s">
        <v>74</v>
      </c>
      <c r="AG185" s="1" t="s">
        <v>74</v>
      </c>
      <c r="AH185" s="1" t="s">
        <v>74</v>
      </c>
      <c r="AI185" s="1" t="s">
        <v>74</v>
      </c>
      <c r="AJ185" s="1" t="s">
        <v>74</v>
      </c>
      <c r="AK185" s="1" t="s">
        <v>74</v>
      </c>
      <c r="AL185" s="1" t="s">
        <v>74</v>
      </c>
      <c r="AM185" s="1" t="s">
        <v>74</v>
      </c>
      <c r="AN185" s="1" t="s">
        <v>74</v>
      </c>
      <c r="AO185" s="1" t="s">
        <v>803</v>
      </c>
      <c r="AP185" s="1" t="s">
        <v>804</v>
      </c>
      <c r="AQ185" s="1" t="s">
        <v>74</v>
      </c>
      <c r="AR185" s="1" t="s">
        <v>74</v>
      </c>
      <c r="AS185" s="1" t="s">
        <v>74</v>
      </c>
      <c r="AT185" s="1" t="s">
        <v>88</v>
      </c>
      <c r="AU185" s="1">
        <v>2020.0</v>
      </c>
      <c r="AV185" s="1">
        <v>130.0</v>
      </c>
      <c r="AW185" s="1" t="s">
        <v>74</v>
      </c>
      <c r="AX185" s="1" t="s">
        <v>74</v>
      </c>
      <c r="AY185" s="1" t="s">
        <v>74</v>
      </c>
      <c r="AZ185" s="1" t="s">
        <v>74</v>
      </c>
      <c r="BA185" s="1" t="s">
        <v>74</v>
      </c>
      <c r="BB185" s="1" t="s">
        <v>74</v>
      </c>
      <c r="BC185" s="1" t="s">
        <v>74</v>
      </c>
      <c r="BD185" s="1">
        <v>108967.0</v>
      </c>
      <c r="BE185" s="1" t="s">
        <v>1945</v>
      </c>
      <c r="BF185" s="2" t="str">
        <f>HYPERLINK("http://dx.doi.org/10.1016/j.foodres.2019.108967","http://dx.doi.org/10.1016/j.foodres.2019.108967")</f>
        <v>http://dx.doi.org/10.1016/j.foodres.2019.108967</v>
      </c>
      <c r="BG185" s="1" t="s">
        <v>74</v>
      </c>
      <c r="BH185" s="1" t="s">
        <v>74</v>
      </c>
      <c r="BI185" s="1" t="s">
        <v>74</v>
      </c>
      <c r="BJ185" s="1" t="s">
        <v>74</v>
      </c>
      <c r="BK185" s="1" t="s">
        <v>74</v>
      </c>
      <c r="BL185" s="1" t="s">
        <v>74</v>
      </c>
      <c r="BM185" s="1" t="s">
        <v>74</v>
      </c>
      <c r="BN185" s="1">
        <v>3.2156401E7</v>
      </c>
      <c r="BO185" s="1" t="s">
        <v>74</v>
      </c>
      <c r="BP185" s="1" t="s">
        <v>74</v>
      </c>
      <c r="BQ185" s="1" t="s">
        <v>74</v>
      </c>
      <c r="BR185" s="1" t="s">
        <v>74</v>
      </c>
      <c r="BS185" s="1" t="s">
        <v>1946</v>
      </c>
      <c r="BT185" s="1" t="str">
        <f>HYPERLINK("https%3A%2F%2Fwww.webofscience.com%2Fwos%2Fwoscc%2Ffull-record%2FWOS:000521512900057","View Full Record in Web of Science")</f>
        <v>View Full Record in Web of Science</v>
      </c>
    </row>
    <row r="186" ht="12.75" customHeight="1">
      <c r="A186" s="1" t="s">
        <v>72</v>
      </c>
      <c r="B186" s="1" t="s">
        <v>1947</v>
      </c>
      <c r="C186" s="1" t="s">
        <v>74</v>
      </c>
      <c r="D186" s="1" t="s">
        <v>74</v>
      </c>
      <c r="E186" s="1" t="s">
        <v>74</v>
      </c>
      <c r="F186" s="1" t="s">
        <v>1948</v>
      </c>
      <c r="G186" s="1" t="s">
        <v>74</v>
      </c>
      <c r="H186" s="1" t="s">
        <v>74</v>
      </c>
      <c r="I186" s="1" t="s">
        <v>1949</v>
      </c>
      <c r="J186" s="1" t="s">
        <v>1950</v>
      </c>
      <c r="K186" s="1" t="s">
        <v>74</v>
      </c>
      <c r="L186" s="1" t="s">
        <v>74</v>
      </c>
      <c r="M186" s="1" t="s">
        <v>74</v>
      </c>
      <c r="N186" s="1" t="s">
        <v>74</v>
      </c>
      <c r="O186" s="1" t="s">
        <v>74</v>
      </c>
      <c r="P186" s="1" t="s">
        <v>74</v>
      </c>
      <c r="Q186" s="1" t="s">
        <v>74</v>
      </c>
      <c r="R186" s="1" t="s">
        <v>74</v>
      </c>
      <c r="S186" s="1" t="s">
        <v>74</v>
      </c>
      <c r="T186" s="1" t="s">
        <v>74</v>
      </c>
      <c r="U186" s="1" t="s">
        <v>74</v>
      </c>
      <c r="V186" s="1" t="s">
        <v>1951</v>
      </c>
      <c r="W186" s="1" t="s">
        <v>74</v>
      </c>
      <c r="X186" s="1" t="s">
        <v>74</v>
      </c>
      <c r="Y186" s="1" t="s">
        <v>74</v>
      </c>
      <c r="Z186" s="1" t="s">
        <v>74</v>
      </c>
      <c r="AA186" s="1" t="s">
        <v>1952</v>
      </c>
      <c r="AB186" s="1" t="s">
        <v>1953</v>
      </c>
      <c r="AC186" s="1" t="s">
        <v>74</v>
      </c>
      <c r="AD186" s="1" t="s">
        <v>74</v>
      </c>
      <c r="AE186" s="1" t="s">
        <v>74</v>
      </c>
      <c r="AF186" s="1" t="s">
        <v>74</v>
      </c>
      <c r="AG186" s="1" t="s">
        <v>74</v>
      </c>
      <c r="AH186" s="1" t="s">
        <v>74</v>
      </c>
      <c r="AI186" s="1" t="s">
        <v>74</v>
      </c>
      <c r="AJ186" s="1" t="s">
        <v>74</v>
      </c>
      <c r="AK186" s="1" t="s">
        <v>74</v>
      </c>
      <c r="AL186" s="1" t="s">
        <v>74</v>
      </c>
      <c r="AM186" s="1" t="s">
        <v>74</v>
      </c>
      <c r="AN186" s="1" t="s">
        <v>74</v>
      </c>
      <c r="AO186" s="1" t="s">
        <v>1954</v>
      </c>
      <c r="AP186" s="1" t="s">
        <v>1955</v>
      </c>
      <c r="AQ186" s="1" t="s">
        <v>74</v>
      </c>
      <c r="AR186" s="1" t="s">
        <v>74</v>
      </c>
      <c r="AS186" s="1" t="s">
        <v>74</v>
      </c>
      <c r="AT186" s="1" t="s">
        <v>310</v>
      </c>
      <c r="AU186" s="1">
        <v>2020.0</v>
      </c>
      <c r="AV186" s="1">
        <v>33.0</v>
      </c>
      <c r="AW186" s="1">
        <v>3.0</v>
      </c>
      <c r="AX186" s="1" t="s">
        <v>74</v>
      </c>
      <c r="AY186" s="1" t="s">
        <v>74</v>
      </c>
      <c r="AZ186" s="1" t="s">
        <v>74</v>
      </c>
      <c r="BA186" s="1" t="s">
        <v>74</v>
      </c>
      <c r="BB186" s="1">
        <v>883.0</v>
      </c>
      <c r="BC186" s="1">
        <v>956.0</v>
      </c>
      <c r="BD186" s="1" t="s">
        <v>74</v>
      </c>
      <c r="BE186" s="1" t="s">
        <v>1956</v>
      </c>
      <c r="BF186" s="2" t="str">
        <f>HYPERLINK("http://dx.doi.org/10.1007/s00148-019-00761-6","http://dx.doi.org/10.1007/s00148-019-00761-6")</f>
        <v>http://dx.doi.org/10.1007/s00148-019-00761-6</v>
      </c>
      <c r="BG186" s="1" t="s">
        <v>74</v>
      </c>
      <c r="BH186" s="1" t="s">
        <v>1957</v>
      </c>
      <c r="BI186" s="1" t="s">
        <v>74</v>
      </c>
      <c r="BJ186" s="1" t="s">
        <v>74</v>
      </c>
      <c r="BK186" s="1" t="s">
        <v>74</v>
      </c>
      <c r="BL186" s="1" t="s">
        <v>74</v>
      </c>
      <c r="BM186" s="1" t="s">
        <v>74</v>
      </c>
      <c r="BN186" s="1" t="s">
        <v>74</v>
      </c>
      <c r="BO186" s="1" t="s">
        <v>74</v>
      </c>
      <c r="BP186" s="1" t="s">
        <v>74</v>
      </c>
      <c r="BQ186" s="1" t="s">
        <v>74</v>
      </c>
      <c r="BR186" s="1" t="s">
        <v>74</v>
      </c>
      <c r="BS186" s="1" t="s">
        <v>1958</v>
      </c>
      <c r="BT186" s="1" t="str">
        <f>HYPERLINK("https%3A%2F%2Fwww.webofscience.com%2Fwos%2Fwoscc%2Ffull-record%2FWOS:000516437500001","View Full Record in Web of Science")</f>
        <v>View Full Record in Web of Science</v>
      </c>
    </row>
    <row r="187" ht="12.75" customHeight="1">
      <c r="A187" s="1" t="s">
        <v>251</v>
      </c>
      <c r="B187" s="1" t="s">
        <v>1959</v>
      </c>
      <c r="C187" s="1" t="s">
        <v>74</v>
      </c>
      <c r="D187" s="1" t="s">
        <v>74</v>
      </c>
      <c r="E187" s="1" t="s">
        <v>253</v>
      </c>
      <c r="F187" s="1" t="s">
        <v>1960</v>
      </c>
      <c r="G187" s="1" t="s">
        <v>74</v>
      </c>
      <c r="H187" s="1" t="s">
        <v>74</v>
      </c>
      <c r="I187" s="1" t="s">
        <v>1961</v>
      </c>
      <c r="J187" s="1" t="s">
        <v>1962</v>
      </c>
      <c r="K187" s="1" t="s">
        <v>1963</v>
      </c>
      <c r="L187" s="1" t="s">
        <v>74</v>
      </c>
      <c r="M187" s="1" t="s">
        <v>74</v>
      </c>
      <c r="N187" s="1" t="s">
        <v>74</v>
      </c>
      <c r="O187" s="1" t="s">
        <v>1964</v>
      </c>
      <c r="P187" s="1" t="s">
        <v>1965</v>
      </c>
      <c r="Q187" s="1" t="s">
        <v>1966</v>
      </c>
      <c r="R187" s="1" t="s">
        <v>1967</v>
      </c>
      <c r="S187" s="1" t="s">
        <v>1968</v>
      </c>
      <c r="T187" s="1" t="s">
        <v>74</v>
      </c>
      <c r="U187" s="1" t="s">
        <v>74</v>
      </c>
      <c r="V187" s="1" t="s">
        <v>1969</v>
      </c>
      <c r="W187" s="1" t="s">
        <v>74</v>
      </c>
      <c r="X187" s="1" t="s">
        <v>74</v>
      </c>
      <c r="Y187" s="1" t="s">
        <v>74</v>
      </c>
      <c r="Z187" s="1" t="s">
        <v>74</v>
      </c>
      <c r="AA187" s="1" t="s">
        <v>1970</v>
      </c>
      <c r="AB187" s="1" t="s">
        <v>74</v>
      </c>
      <c r="AC187" s="1" t="s">
        <v>74</v>
      </c>
      <c r="AD187" s="1" t="s">
        <v>74</v>
      </c>
      <c r="AE187" s="1" t="s">
        <v>74</v>
      </c>
      <c r="AF187" s="1" t="s">
        <v>74</v>
      </c>
      <c r="AG187" s="1" t="s">
        <v>74</v>
      </c>
      <c r="AH187" s="1" t="s">
        <v>74</v>
      </c>
      <c r="AI187" s="1" t="s">
        <v>74</v>
      </c>
      <c r="AJ187" s="1" t="s">
        <v>74</v>
      </c>
      <c r="AK187" s="1" t="s">
        <v>74</v>
      </c>
      <c r="AL187" s="1" t="s">
        <v>74</v>
      </c>
      <c r="AM187" s="1" t="s">
        <v>74</v>
      </c>
      <c r="AN187" s="1" t="s">
        <v>74</v>
      </c>
      <c r="AO187" s="1" t="s">
        <v>1971</v>
      </c>
      <c r="AP187" s="1" t="s">
        <v>74</v>
      </c>
      <c r="AQ187" s="1" t="s">
        <v>1972</v>
      </c>
      <c r="AR187" s="1" t="s">
        <v>74</v>
      </c>
      <c r="AS187" s="1" t="s">
        <v>74</v>
      </c>
      <c r="AT187" s="1" t="s">
        <v>74</v>
      </c>
      <c r="AU187" s="1">
        <v>2020.0</v>
      </c>
      <c r="AV187" s="1" t="s">
        <v>74</v>
      </c>
      <c r="AW187" s="1" t="s">
        <v>74</v>
      </c>
      <c r="AX187" s="1" t="s">
        <v>74</v>
      </c>
      <c r="AY187" s="1" t="s">
        <v>74</v>
      </c>
      <c r="AZ187" s="1" t="s">
        <v>74</v>
      </c>
      <c r="BA187" s="1" t="s">
        <v>74</v>
      </c>
      <c r="BB187" s="1" t="s">
        <v>74</v>
      </c>
      <c r="BC187" s="1" t="s">
        <v>74</v>
      </c>
      <c r="BD187" s="1" t="s">
        <v>74</v>
      </c>
      <c r="BE187" s="1" t="s">
        <v>74</v>
      </c>
      <c r="BF187" s="1" t="s">
        <v>74</v>
      </c>
      <c r="BG187" s="1" t="s">
        <v>74</v>
      </c>
      <c r="BH187" s="1" t="s">
        <v>74</v>
      </c>
      <c r="BI187" s="1" t="s">
        <v>74</v>
      </c>
      <c r="BJ187" s="1" t="s">
        <v>74</v>
      </c>
      <c r="BK187" s="1" t="s">
        <v>74</v>
      </c>
      <c r="BL187" s="1" t="s">
        <v>74</v>
      </c>
      <c r="BM187" s="1" t="s">
        <v>74</v>
      </c>
      <c r="BN187" s="1" t="s">
        <v>74</v>
      </c>
      <c r="BO187" s="1" t="s">
        <v>74</v>
      </c>
      <c r="BP187" s="1" t="s">
        <v>74</v>
      </c>
      <c r="BQ187" s="1" t="s">
        <v>74</v>
      </c>
      <c r="BR187" s="1" t="s">
        <v>74</v>
      </c>
      <c r="BS187" s="1" t="s">
        <v>1973</v>
      </c>
      <c r="BT187" s="1" t="str">
        <f>HYPERLINK("https%3A%2F%2Fwww.webofscience.com%2Fwos%2Fwoscc%2Ffull-record%2FWOS:000848755600036","View Full Record in Web of Science")</f>
        <v>View Full Record in Web of Science</v>
      </c>
    </row>
    <row r="188" ht="12.75" customHeight="1">
      <c r="A188" s="1" t="s">
        <v>72</v>
      </c>
      <c r="B188" s="1" t="s">
        <v>1974</v>
      </c>
      <c r="C188" s="1" t="s">
        <v>74</v>
      </c>
      <c r="D188" s="1" t="s">
        <v>74</v>
      </c>
      <c r="E188" s="1" t="s">
        <v>74</v>
      </c>
      <c r="F188" s="1" t="s">
        <v>1975</v>
      </c>
      <c r="G188" s="1" t="s">
        <v>74</v>
      </c>
      <c r="H188" s="1" t="s">
        <v>74</v>
      </c>
      <c r="I188" s="1" t="s">
        <v>1976</v>
      </c>
      <c r="J188" s="1" t="s">
        <v>84</v>
      </c>
      <c r="K188" s="1" t="s">
        <v>74</v>
      </c>
      <c r="L188" s="1" t="s">
        <v>74</v>
      </c>
      <c r="M188" s="1" t="s">
        <v>74</v>
      </c>
      <c r="N188" s="1" t="s">
        <v>74</v>
      </c>
      <c r="O188" s="1" t="s">
        <v>74</v>
      </c>
      <c r="P188" s="1" t="s">
        <v>74</v>
      </c>
      <c r="Q188" s="1" t="s">
        <v>74</v>
      </c>
      <c r="R188" s="1" t="s">
        <v>74</v>
      </c>
      <c r="S188" s="1" t="s">
        <v>74</v>
      </c>
      <c r="T188" s="1" t="s">
        <v>74</v>
      </c>
      <c r="U188" s="1" t="s">
        <v>74</v>
      </c>
      <c r="V188" s="1" t="s">
        <v>1977</v>
      </c>
      <c r="W188" s="1" t="s">
        <v>74</v>
      </c>
      <c r="X188" s="1" t="s">
        <v>74</v>
      </c>
      <c r="Y188" s="1" t="s">
        <v>74</v>
      </c>
      <c r="Z188" s="1" t="s">
        <v>74</v>
      </c>
      <c r="AA188" s="1" t="s">
        <v>74</v>
      </c>
      <c r="AB188" s="1" t="s">
        <v>74</v>
      </c>
      <c r="AC188" s="1" t="s">
        <v>74</v>
      </c>
      <c r="AD188" s="1" t="s">
        <v>74</v>
      </c>
      <c r="AE188" s="1" t="s">
        <v>74</v>
      </c>
      <c r="AF188" s="1" t="s">
        <v>74</v>
      </c>
      <c r="AG188" s="1" t="s">
        <v>74</v>
      </c>
      <c r="AH188" s="1" t="s">
        <v>74</v>
      </c>
      <c r="AI188" s="1" t="s">
        <v>74</v>
      </c>
      <c r="AJ188" s="1" t="s">
        <v>74</v>
      </c>
      <c r="AK188" s="1" t="s">
        <v>74</v>
      </c>
      <c r="AL188" s="1" t="s">
        <v>74</v>
      </c>
      <c r="AM188" s="1" t="s">
        <v>74</v>
      </c>
      <c r="AN188" s="1" t="s">
        <v>74</v>
      </c>
      <c r="AO188" s="1" t="s">
        <v>86</v>
      </c>
      <c r="AP188" s="1" t="s">
        <v>87</v>
      </c>
      <c r="AQ188" s="1" t="s">
        <v>74</v>
      </c>
      <c r="AR188" s="1" t="s">
        <v>74</v>
      </c>
      <c r="AS188" s="1" t="s">
        <v>74</v>
      </c>
      <c r="AT188" s="1" t="s">
        <v>215</v>
      </c>
      <c r="AU188" s="1">
        <v>2019.0</v>
      </c>
      <c r="AV188" s="1">
        <v>14.0</v>
      </c>
      <c r="AW188" s="1">
        <v>3.0</v>
      </c>
      <c r="AX188" s="1" t="s">
        <v>74</v>
      </c>
      <c r="AY188" s="1" t="s">
        <v>74</v>
      </c>
      <c r="AZ188" s="1" t="s">
        <v>74</v>
      </c>
      <c r="BA188" s="1" t="s">
        <v>74</v>
      </c>
      <c r="BB188" s="1">
        <v>375.0</v>
      </c>
      <c r="BC188" s="1">
        <v>387.0</v>
      </c>
      <c r="BD188" s="1" t="s">
        <v>74</v>
      </c>
      <c r="BE188" s="1" t="s">
        <v>1978</v>
      </c>
      <c r="BF188" s="2" t="str">
        <f>HYPERLINK("http://dx.doi.org/10.15837/ijccc.2019.3.3516","http://dx.doi.org/10.15837/ijccc.2019.3.3516")</f>
        <v>http://dx.doi.org/10.15837/ijccc.2019.3.3516</v>
      </c>
      <c r="BG188" s="1" t="s">
        <v>74</v>
      </c>
      <c r="BH188" s="1" t="s">
        <v>74</v>
      </c>
      <c r="BI188" s="1" t="s">
        <v>74</v>
      </c>
      <c r="BJ188" s="1" t="s">
        <v>74</v>
      </c>
      <c r="BK188" s="1" t="s">
        <v>74</v>
      </c>
      <c r="BL188" s="1" t="s">
        <v>74</v>
      </c>
      <c r="BM188" s="1" t="s">
        <v>74</v>
      </c>
      <c r="BN188" s="1" t="s">
        <v>74</v>
      </c>
      <c r="BO188" s="1" t="s">
        <v>74</v>
      </c>
      <c r="BP188" s="1" t="s">
        <v>74</v>
      </c>
      <c r="BQ188" s="1" t="s">
        <v>74</v>
      </c>
      <c r="BR188" s="1" t="s">
        <v>74</v>
      </c>
      <c r="BS188" s="1" t="s">
        <v>1979</v>
      </c>
      <c r="BT188" s="1" t="str">
        <f>HYPERLINK("https%3A%2F%2Fwww.webofscience.com%2Fwos%2Fwoscc%2Ffull-record%2FWOS:000469927900006","View Full Record in Web of Science")</f>
        <v>View Full Record in Web of Science</v>
      </c>
    </row>
    <row r="189" ht="12.75" customHeight="1">
      <c r="A189" s="1" t="s">
        <v>72</v>
      </c>
      <c r="B189" s="1" t="s">
        <v>1980</v>
      </c>
      <c r="C189" s="1" t="s">
        <v>74</v>
      </c>
      <c r="D189" s="1" t="s">
        <v>74</v>
      </c>
      <c r="E189" s="1" t="s">
        <v>74</v>
      </c>
      <c r="F189" s="1" t="s">
        <v>1981</v>
      </c>
      <c r="G189" s="1" t="s">
        <v>74</v>
      </c>
      <c r="H189" s="1" t="s">
        <v>74</v>
      </c>
      <c r="I189" s="1" t="s">
        <v>1982</v>
      </c>
      <c r="J189" s="1" t="s">
        <v>1983</v>
      </c>
      <c r="K189" s="1" t="s">
        <v>74</v>
      </c>
      <c r="L189" s="1" t="s">
        <v>74</v>
      </c>
      <c r="M189" s="1" t="s">
        <v>74</v>
      </c>
      <c r="N189" s="1" t="s">
        <v>74</v>
      </c>
      <c r="O189" s="1" t="s">
        <v>74</v>
      </c>
      <c r="P189" s="1" t="s">
        <v>74</v>
      </c>
      <c r="Q189" s="1" t="s">
        <v>74</v>
      </c>
      <c r="R189" s="1" t="s">
        <v>74</v>
      </c>
      <c r="S189" s="1" t="s">
        <v>74</v>
      </c>
      <c r="T189" s="1" t="s">
        <v>74</v>
      </c>
      <c r="U189" s="1" t="s">
        <v>74</v>
      </c>
      <c r="V189" s="1" t="s">
        <v>1984</v>
      </c>
      <c r="W189" s="1" t="s">
        <v>74</v>
      </c>
      <c r="X189" s="1" t="s">
        <v>74</v>
      </c>
      <c r="Y189" s="1" t="s">
        <v>74</v>
      </c>
      <c r="Z189" s="1" t="s">
        <v>74</v>
      </c>
      <c r="AA189" s="1" t="s">
        <v>1985</v>
      </c>
      <c r="AB189" s="1" t="s">
        <v>1986</v>
      </c>
      <c r="AC189" s="1" t="s">
        <v>74</v>
      </c>
      <c r="AD189" s="1" t="s">
        <v>74</v>
      </c>
      <c r="AE189" s="1" t="s">
        <v>74</v>
      </c>
      <c r="AF189" s="1" t="s">
        <v>74</v>
      </c>
      <c r="AG189" s="1" t="s">
        <v>74</v>
      </c>
      <c r="AH189" s="1" t="s">
        <v>74</v>
      </c>
      <c r="AI189" s="1" t="s">
        <v>74</v>
      </c>
      <c r="AJ189" s="1" t="s">
        <v>74</v>
      </c>
      <c r="AK189" s="1" t="s">
        <v>74</v>
      </c>
      <c r="AL189" s="1" t="s">
        <v>74</v>
      </c>
      <c r="AM189" s="1" t="s">
        <v>74</v>
      </c>
      <c r="AN189" s="1" t="s">
        <v>74</v>
      </c>
      <c r="AO189" s="1" t="s">
        <v>1987</v>
      </c>
      <c r="AP189" s="1" t="s">
        <v>74</v>
      </c>
      <c r="AQ189" s="1" t="s">
        <v>74</v>
      </c>
      <c r="AR189" s="1" t="s">
        <v>74</v>
      </c>
      <c r="AS189" s="1" t="s">
        <v>74</v>
      </c>
      <c r="AT189" s="1" t="s">
        <v>180</v>
      </c>
      <c r="AU189" s="1">
        <v>2019.0</v>
      </c>
      <c r="AV189" s="1">
        <v>15.0</v>
      </c>
      <c r="AW189" s="1">
        <v>5.0</v>
      </c>
      <c r="AX189" s="1" t="s">
        <v>74</v>
      </c>
      <c r="AY189" s="1" t="s">
        <v>74</v>
      </c>
      <c r="AZ189" s="1" t="s">
        <v>74</v>
      </c>
      <c r="BA189" s="1" t="s">
        <v>74</v>
      </c>
      <c r="BB189" s="1" t="s">
        <v>74</v>
      </c>
      <c r="BC189" s="1" t="s">
        <v>74</v>
      </c>
      <c r="BD189" s="1">
        <v>1.550147719847127E15</v>
      </c>
      <c r="BE189" s="1" t="s">
        <v>1988</v>
      </c>
      <c r="BF189" s="2" t="str">
        <f>HYPERLINK("http://dx.doi.org/10.1177/1550147719847127","http://dx.doi.org/10.1177/1550147719847127")</f>
        <v>http://dx.doi.org/10.1177/1550147719847127</v>
      </c>
      <c r="BG189" s="1" t="s">
        <v>74</v>
      </c>
      <c r="BH189" s="1" t="s">
        <v>74</v>
      </c>
      <c r="BI189" s="1" t="s">
        <v>74</v>
      </c>
      <c r="BJ189" s="1" t="s">
        <v>74</v>
      </c>
      <c r="BK189" s="1" t="s">
        <v>74</v>
      </c>
      <c r="BL189" s="1" t="s">
        <v>74</v>
      </c>
      <c r="BM189" s="1" t="s">
        <v>74</v>
      </c>
      <c r="BN189" s="1" t="s">
        <v>74</v>
      </c>
      <c r="BO189" s="1" t="s">
        <v>74</v>
      </c>
      <c r="BP189" s="1" t="s">
        <v>74</v>
      </c>
      <c r="BQ189" s="1" t="s">
        <v>74</v>
      </c>
      <c r="BR189" s="1" t="s">
        <v>74</v>
      </c>
      <c r="BS189" s="1" t="s">
        <v>1989</v>
      </c>
      <c r="BT189" s="1" t="str">
        <f>HYPERLINK("https%3A%2F%2Fwww.webofscience.com%2Fwos%2Fwoscc%2Ffull-record%2FWOS:000482159900001","View Full Record in Web of Science")</f>
        <v>View Full Record in Web of Science</v>
      </c>
    </row>
    <row r="190" ht="12.75" customHeight="1">
      <c r="A190" s="1" t="s">
        <v>72</v>
      </c>
      <c r="B190" s="1" t="s">
        <v>1990</v>
      </c>
      <c r="C190" s="1" t="s">
        <v>74</v>
      </c>
      <c r="D190" s="1" t="s">
        <v>74</v>
      </c>
      <c r="E190" s="1" t="s">
        <v>74</v>
      </c>
      <c r="F190" s="1" t="s">
        <v>1991</v>
      </c>
      <c r="G190" s="1" t="s">
        <v>74</v>
      </c>
      <c r="H190" s="1" t="s">
        <v>74</v>
      </c>
      <c r="I190" s="1" t="s">
        <v>1992</v>
      </c>
      <c r="J190" s="1" t="s">
        <v>1993</v>
      </c>
      <c r="K190" s="1" t="s">
        <v>74</v>
      </c>
      <c r="L190" s="1" t="s">
        <v>74</v>
      </c>
      <c r="M190" s="1" t="s">
        <v>74</v>
      </c>
      <c r="N190" s="1" t="s">
        <v>74</v>
      </c>
      <c r="O190" s="1" t="s">
        <v>74</v>
      </c>
      <c r="P190" s="1" t="s">
        <v>74</v>
      </c>
      <c r="Q190" s="1" t="s">
        <v>74</v>
      </c>
      <c r="R190" s="1" t="s">
        <v>74</v>
      </c>
      <c r="S190" s="1" t="s">
        <v>74</v>
      </c>
      <c r="T190" s="1" t="s">
        <v>74</v>
      </c>
      <c r="U190" s="1" t="s">
        <v>74</v>
      </c>
      <c r="V190" s="1" t="s">
        <v>1994</v>
      </c>
      <c r="W190" s="1" t="s">
        <v>74</v>
      </c>
      <c r="X190" s="1" t="s">
        <v>74</v>
      </c>
      <c r="Y190" s="1" t="s">
        <v>74</v>
      </c>
      <c r="Z190" s="1" t="s">
        <v>74</v>
      </c>
      <c r="AA190" s="1" t="s">
        <v>1206</v>
      </c>
      <c r="AB190" s="1" t="s">
        <v>1995</v>
      </c>
      <c r="AC190" s="1" t="s">
        <v>74</v>
      </c>
      <c r="AD190" s="1" t="s">
        <v>74</v>
      </c>
      <c r="AE190" s="1" t="s">
        <v>74</v>
      </c>
      <c r="AF190" s="1" t="s">
        <v>74</v>
      </c>
      <c r="AG190" s="1" t="s">
        <v>74</v>
      </c>
      <c r="AH190" s="1" t="s">
        <v>74</v>
      </c>
      <c r="AI190" s="1" t="s">
        <v>74</v>
      </c>
      <c r="AJ190" s="1" t="s">
        <v>74</v>
      </c>
      <c r="AK190" s="1" t="s">
        <v>74</v>
      </c>
      <c r="AL190" s="1" t="s">
        <v>74</v>
      </c>
      <c r="AM190" s="1" t="s">
        <v>74</v>
      </c>
      <c r="AN190" s="1" t="s">
        <v>74</v>
      </c>
      <c r="AO190" s="1" t="s">
        <v>1996</v>
      </c>
      <c r="AP190" s="1" t="s">
        <v>1997</v>
      </c>
      <c r="AQ190" s="1" t="s">
        <v>74</v>
      </c>
      <c r="AR190" s="1" t="s">
        <v>74</v>
      </c>
      <c r="AS190" s="1" t="s">
        <v>74</v>
      </c>
      <c r="AT190" s="1" t="s">
        <v>459</v>
      </c>
      <c r="AU190" s="1">
        <v>2018.0</v>
      </c>
      <c r="AV190" s="1">
        <v>200.0</v>
      </c>
      <c r="AW190" s="1" t="s">
        <v>74</v>
      </c>
      <c r="AX190" s="1" t="s">
        <v>74</v>
      </c>
      <c r="AY190" s="1" t="s">
        <v>74</v>
      </c>
      <c r="AZ190" s="1" t="s">
        <v>74</v>
      </c>
      <c r="BA190" s="1" t="s">
        <v>74</v>
      </c>
      <c r="BB190" s="1">
        <v>375.0</v>
      </c>
      <c r="BC190" s="1">
        <v>386.0</v>
      </c>
      <c r="BD190" s="1" t="s">
        <v>74</v>
      </c>
      <c r="BE190" s="1" t="s">
        <v>1998</v>
      </c>
      <c r="BF190" s="2" t="str">
        <f>HYPERLINK("http://dx.doi.org/10.1016/j.engfracmech.2018.08.014","http://dx.doi.org/10.1016/j.engfracmech.2018.08.014")</f>
        <v>http://dx.doi.org/10.1016/j.engfracmech.2018.08.014</v>
      </c>
      <c r="BG190" s="1" t="s">
        <v>74</v>
      </c>
      <c r="BH190" s="1" t="s">
        <v>74</v>
      </c>
      <c r="BI190" s="1" t="s">
        <v>74</v>
      </c>
      <c r="BJ190" s="1" t="s">
        <v>74</v>
      </c>
      <c r="BK190" s="1" t="s">
        <v>74</v>
      </c>
      <c r="BL190" s="1" t="s">
        <v>74</v>
      </c>
      <c r="BM190" s="1" t="s">
        <v>74</v>
      </c>
      <c r="BN190" s="1" t="s">
        <v>74</v>
      </c>
      <c r="BO190" s="1" t="s">
        <v>74</v>
      </c>
      <c r="BP190" s="1" t="s">
        <v>74</v>
      </c>
      <c r="BQ190" s="1" t="s">
        <v>74</v>
      </c>
      <c r="BR190" s="1" t="s">
        <v>74</v>
      </c>
      <c r="BS190" s="1" t="s">
        <v>1999</v>
      </c>
      <c r="BT190" s="1" t="str">
        <f>HYPERLINK("https%3A%2F%2Fwww.webofscience.com%2Fwos%2Fwoscc%2Ffull-record%2FWOS:000444000400028","View Full Record in Web of Science")</f>
        <v>View Full Record in Web of Science</v>
      </c>
    </row>
    <row r="191" ht="12.75" customHeight="1">
      <c r="A191" s="1" t="s">
        <v>72</v>
      </c>
      <c r="B191" s="1" t="s">
        <v>2000</v>
      </c>
      <c r="C191" s="1" t="s">
        <v>74</v>
      </c>
      <c r="D191" s="1" t="s">
        <v>74</v>
      </c>
      <c r="E191" s="1" t="s">
        <v>74</v>
      </c>
      <c r="F191" s="1" t="s">
        <v>2001</v>
      </c>
      <c r="G191" s="1" t="s">
        <v>74</v>
      </c>
      <c r="H191" s="1" t="s">
        <v>74</v>
      </c>
      <c r="I191" s="1" t="s">
        <v>2002</v>
      </c>
      <c r="J191" s="1" t="s">
        <v>2003</v>
      </c>
      <c r="K191" s="1" t="s">
        <v>74</v>
      </c>
      <c r="L191" s="1" t="s">
        <v>74</v>
      </c>
      <c r="M191" s="1" t="s">
        <v>74</v>
      </c>
      <c r="N191" s="1" t="s">
        <v>74</v>
      </c>
      <c r="O191" s="1" t="s">
        <v>74</v>
      </c>
      <c r="P191" s="1" t="s">
        <v>74</v>
      </c>
      <c r="Q191" s="1" t="s">
        <v>74</v>
      </c>
      <c r="R191" s="1" t="s">
        <v>74</v>
      </c>
      <c r="S191" s="1" t="s">
        <v>74</v>
      </c>
      <c r="T191" s="1" t="s">
        <v>74</v>
      </c>
      <c r="U191" s="1" t="s">
        <v>74</v>
      </c>
      <c r="V191" s="1" t="s">
        <v>2004</v>
      </c>
      <c r="W191" s="1" t="s">
        <v>74</v>
      </c>
      <c r="X191" s="1" t="s">
        <v>74</v>
      </c>
      <c r="Y191" s="1" t="s">
        <v>74</v>
      </c>
      <c r="Z191" s="1" t="s">
        <v>74</v>
      </c>
      <c r="AA191" s="1" t="s">
        <v>2005</v>
      </c>
      <c r="AB191" s="1" t="s">
        <v>2006</v>
      </c>
      <c r="AC191" s="1" t="s">
        <v>74</v>
      </c>
      <c r="AD191" s="1" t="s">
        <v>74</v>
      </c>
      <c r="AE191" s="1" t="s">
        <v>74</v>
      </c>
      <c r="AF191" s="1" t="s">
        <v>74</v>
      </c>
      <c r="AG191" s="1" t="s">
        <v>74</v>
      </c>
      <c r="AH191" s="1" t="s">
        <v>74</v>
      </c>
      <c r="AI191" s="1" t="s">
        <v>74</v>
      </c>
      <c r="AJ191" s="1" t="s">
        <v>74</v>
      </c>
      <c r="AK191" s="1" t="s">
        <v>74</v>
      </c>
      <c r="AL191" s="1" t="s">
        <v>74</v>
      </c>
      <c r="AM191" s="1" t="s">
        <v>74</v>
      </c>
      <c r="AN191" s="1" t="s">
        <v>74</v>
      </c>
      <c r="AO191" s="1" t="s">
        <v>2007</v>
      </c>
      <c r="AP191" s="1" t="s">
        <v>2008</v>
      </c>
      <c r="AQ191" s="1" t="s">
        <v>74</v>
      </c>
      <c r="AR191" s="1" t="s">
        <v>74</v>
      </c>
      <c r="AS191" s="1" t="s">
        <v>74</v>
      </c>
      <c r="AT191" s="1" t="s">
        <v>2009</v>
      </c>
      <c r="AU191" s="1">
        <v>2018.0</v>
      </c>
      <c r="AV191" s="1">
        <v>22.0</v>
      </c>
      <c r="AW191" s="1">
        <v>3.0</v>
      </c>
      <c r="AX191" s="1" t="s">
        <v>74</v>
      </c>
      <c r="AY191" s="1" t="s">
        <v>74</v>
      </c>
      <c r="AZ191" s="1" t="s">
        <v>74</v>
      </c>
      <c r="BA191" s="1" t="s">
        <v>74</v>
      </c>
      <c r="BB191" s="1">
        <v>453.0</v>
      </c>
      <c r="BC191" s="1">
        <v>465.0</v>
      </c>
      <c r="BD191" s="1" t="s">
        <v>74</v>
      </c>
      <c r="BE191" s="1" t="s">
        <v>2010</v>
      </c>
      <c r="BF191" s="2" t="str">
        <f>HYPERLINK("http://dx.doi.org/10.4013/htu.2018.223.10","http://dx.doi.org/10.4013/htu.2018.223.10")</f>
        <v>http://dx.doi.org/10.4013/htu.2018.223.10</v>
      </c>
      <c r="BG191" s="1" t="s">
        <v>74</v>
      </c>
      <c r="BH191" s="1" t="s">
        <v>74</v>
      </c>
      <c r="BI191" s="1" t="s">
        <v>74</v>
      </c>
      <c r="BJ191" s="1" t="s">
        <v>74</v>
      </c>
      <c r="BK191" s="1" t="s">
        <v>74</v>
      </c>
      <c r="BL191" s="1" t="s">
        <v>74</v>
      </c>
      <c r="BM191" s="1" t="s">
        <v>74</v>
      </c>
      <c r="BN191" s="1" t="s">
        <v>74</v>
      </c>
      <c r="BO191" s="1" t="s">
        <v>74</v>
      </c>
      <c r="BP191" s="1" t="s">
        <v>74</v>
      </c>
      <c r="BQ191" s="1" t="s">
        <v>74</v>
      </c>
      <c r="BR191" s="1" t="s">
        <v>74</v>
      </c>
      <c r="BS191" s="1" t="s">
        <v>2011</v>
      </c>
      <c r="BT191" s="1" t="str">
        <f>HYPERLINK("https%3A%2F%2Fwww.webofscience.com%2Fwos%2Fwoscc%2Ffull-record%2FWOS:000450991700010","View Full Record in Web of Science")</f>
        <v>View Full Record in Web of Science</v>
      </c>
    </row>
    <row r="192" ht="12.75" customHeight="1">
      <c r="A192" s="1" t="s">
        <v>72</v>
      </c>
      <c r="B192" s="1" t="s">
        <v>2012</v>
      </c>
      <c r="C192" s="1" t="s">
        <v>74</v>
      </c>
      <c r="D192" s="1" t="s">
        <v>74</v>
      </c>
      <c r="E192" s="1" t="s">
        <v>74</v>
      </c>
      <c r="F192" s="1" t="s">
        <v>2013</v>
      </c>
      <c r="G192" s="1" t="s">
        <v>74</v>
      </c>
      <c r="H192" s="1" t="s">
        <v>74</v>
      </c>
      <c r="I192" s="1" t="s">
        <v>2014</v>
      </c>
      <c r="J192" s="1" t="s">
        <v>2015</v>
      </c>
      <c r="K192" s="1" t="s">
        <v>74</v>
      </c>
      <c r="L192" s="1" t="s">
        <v>74</v>
      </c>
      <c r="M192" s="1" t="s">
        <v>74</v>
      </c>
      <c r="N192" s="1" t="s">
        <v>74</v>
      </c>
      <c r="O192" s="1" t="s">
        <v>74</v>
      </c>
      <c r="P192" s="1" t="s">
        <v>74</v>
      </c>
      <c r="Q192" s="1" t="s">
        <v>74</v>
      </c>
      <c r="R192" s="1" t="s">
        <v>74</v>
      </c>
      <c r="S192" s="1" t="s">
        <v>74</v>
      </c>
      <c r="T192" s="1" t="s">
        <v>74</v>
      </c>
      <c r="U192" s="1" t="s">
        <v>74</v>
      </c>
      <c r="V192" s="1" t="s">
        <v>2016</v>
      </c>
      <c r="W192" s="1" t="s">
        <v>74</v>
      </c>
      <c r="X192" s="1" t="s">
        <v>74</v>
      </c>
      <c r="Y192" s="1" t="s">
        <v>74</v>
      </c>
      <c r="Z192" s="1" t="s">
        <v>74</v>
      </c>
      <c r="AA192" s="1" t="s">
        <v>2017</v>
      </c>
      <c r="AB192" s="1" t="s">
        <v>2018</v>
      </c>
      <c r="AC192" s="1" t="s">
        <v>74</v>
      </c>
      <c r="AD192" s="1" t="s">
        <v>74</v>
      </c>
      <c r="AE192" s="1" t="s">
        <v>74</v>
      </c>
      <c r="AF192" s="1" t="s">
        <v>74</v>
      </c>
      <c r="AG192" s="1" t="s">
        <v>74</v>
      </c>
      <c r="AH192" s="1" t="s">
        <v>74</v>
      </c>
      <c r="AI192" s="1" t="s">
        <v>74</v>
      </c>
      <c r="AJ192" s="1" t="s">
        <v>74</v>
      </c>
      <c r="AK192" s="1" t="s">
        <v>74</v>
      </c>
      <c r="AL192" s="1" t="s">
        <v>74</v>
      </c>
      <c r="AM192" s="1" t="s">
        <v>74</v>
      </c>
      <c r="AN192" s="1" t="s">
        <v>74</v>
      </c>
      <c r="AO192" s="1" t="s">
        <v>2019</v>
      </c>
      <c r="AP192" s="1" t="s">
        <v>74</v>
      </c>
      <c r="AQ192" s="1" t="s">
        <v>74</v>
      </c>
      <c r="AR192" s="1" t="s">
        <v>74</v>
      </c>
      <c r="AS192" s="1" t="s">
        <v>74</v>
      </c>
      <c r="AT192" s="1" t="s">
        <v>2020</v>
      </c>
      <c r="AU192" s="1">
        <v>2018.0</v>
      </c>
      <c r="AV192" s="1">
        <v>8.0</v>
      </c>
      <c r="AW192" s="1" t="s">
        <v>74</v>
      </c>
      <c r="AX192" s="1" t="s">
        <v>74</v>
      </c>
      <c r="AY192" s="1" t="s">
        <v>74</v>
      </c>
      <c r="AZ192" s="1" t="s">
        <v>74</v>
      </c>
      <c r="BA192" s="1" t="s">
        <v>74</v>
      </c>
      <c r="BB192" s="1" t="s">
        <v>74</v>
      </c>
      <c r="BC192" s="1" t="s">
        <v>74</v>
      </c>
      <c r="BD192" s="1">
        <v>12135.0</v>
      </c>
      <c r="BE192" s="1" t="s">
        <v>2021</v>
      </c>
      <c r="BF192" s="2" t="str">
        <f>HYPERLINK("http://dx.doi.org/10.1038/s41598-018-30635-y","http://dx.doi.org/10.1038/s41598-018-30635-y")</f>
        <v>http://dx.doi.org/10.1038/s41598-018-30635-y</v>
      </c>
      <c r="BG192" s="1" t="s">
        <v>74</v>
      </c>
      <c r="BH192" s="1" t="s">
        <v>74</v>
      </c>
      <c r="BI192" s="1" t="s">
        <v>74</v>
      </c>
      <c r="BJ192" s="1" t="s">
        <v>74</v>
      </c>
      <c r="BK192" s="1" t="s">
        <v>74</v>
      </c>
      <c r="BL192" s="1" t="s">
        <v>74</v>
      </c>
      <c r="BM192" s="1" t="s">
        <v>74</v>
      </c>
      <c r="BN192" s="1">
        <v>3.0108317E7</v>
      </c>
      <c r="BO192" s="1" t="s">
        <v>74</v>
      </c>
      <c r="BP192" s="1" t="s">
        <v>74</v>
      </c>
      <c r="BQ192" s="1" t="s">
        <v>74</v>
      </c>
      <c r="BR192" s="1" t="s">
        <v>74</v>
      </c>
      <c r="BS192" s="1" t="s">
        <v>2022</v>
      </c>
      <c r="BT192" s="1" t="str">
        <f>HYPERLINK("https%3A%2F%2Fwww.webofscience.com%2Fwos%2Fwoscc%2Ffull-record%2FWOS:000441538200028","View Full Record in Web of Science")</f>
        <v>View Full Record in Web of Science</v>
      </c>
    </row>
    <row r="193" ht="12.75" customHeight="1">
      <c r="A193" s="1" t="s">
        <v>72</v>
      </c>
      <c r="B193" s="1" t="s">
        <v>2023</v>
      </c>
      <c r="C193" s="1" t="s">
        <v>74</v>
      </c>
      <c r="D193" s="1" t="s">
        <v>74</v>
      </c>
      <c r="E193" s="1" t="s">
        <v>74</v>
      </c>
      <c r="F193" s="1" t="s">
        <v>2024</v>
      </c>
      <c r="G193" s="1" t="s">
        <v>74</v>
      </c>
      <c r="H193" s="1" t="s">
        <v>74</v>
      </c>
      <c r="I193" s="1" t="s">
        <v>2025</v>
      </c>
      <c r="J193" s="1" t="s">
        <v>612</v>
      </c>
      <c r="K193" s="1" t="s">
        <v>74</v>
      </c>
      <c r="L193" s="1" t="s">
        <v>74</v>
      </c>
      <c r="M193" s="1" t="s">
        <v>74</v>
      </c>
      <c r="N193" s="1" t="s">
        <v>74</v>
      </c>
      <c r="O193" s="1" t="s">
        <v>74</v>
      </c>
      <c r="P193" s="1" t="s">
        <v>74</v>
      </c>
      <c r="Q193" s="1" t="s">
        <v>74</v>
      </c>
      <c r="R193" s="1" t="s">
        <v>74</v>
      </c>
      <c r="S193" s="1" t="s">
        <v>74</v>
      </c>
      <c r="T193" s="1" t="s">
        <v>74</v>
      </c>
      <c r="U193" s="1" t="s">
        <v>74</v>
      </c>
      <c r="V193" s="1" t="s">
        <v>2026</v>
      </c>
      <c r="W193" s="1" t="s">
        <v>74</v>
      </c>
      <c r="X193" s="1" t="s">
        <v>74</v>
      </c>
      <c r="Y193" s="1" t="s">
        <v>74</v>
      </c>
      <c r="Z193" s="1" t="s">
        <v>74</v>
      </c>
      <c r="AA193" s="1" t="s">
        <v>74</v>
      </c>
      <c r="AB193" s="1" t="s">
        <v>2027</v>
      </c>
      <c r="AC193" s="1" t="s">
        <v>74</v>
      </c>
      <c r="AD193" s="1" t="s">
        <v>74</v>
      </c>
      <c r="AE193" s="1" t="s">
        <v>74</v>
      </c>
      <c r="AF193" s="1" t="s">
        <v>74</v>
      </c>
      <c r="AG193" s="1" t="s">
        <v>74</v>
      </c>
      <c r="AH193" s="1" t="s">
        <v>74</v>
      </c>
      <c r="AI193" s="1" t="s">
        <v>74</v>
      </c>
      <c r="AJ193" s="1" t="s">
        <v>74</v>
      </c>
      <c r="AK193" s="1" t="s">
        <v>74</v>
      </c>
      <c r="AL193" s="1" t="s">
        <v>74</v>
      </c>
      <c r="AM193" s="1" t="s">
        <v>74</v>
      </c>
      <c r="AN193" s="1" t="s">
        <v>74</v>
      </c>
      <c r="AO193" s="1" t="s">
        <v>615</v>
      </c>
      <c r="AP193" s="1" t="s">
        <v>616</v>
      </c>
      <c r="AQ193" s="1" t="s">
        <v>74</v>
      </c>
      <c r="AR193" s="1" t="s">
        <v>74</v>
      </c>
      <c r="AS193" s="1" t="s">
        <v>74</v>
      </c>
      <c r="AT193" s="1" t="s">
        <v>360</v>
      </c>
      <c r="AU193" s="1">
        <v>2018.0</v>
      </c>
      <c r="AV193" s="1">
        <v>38.0</v>
      </c>
      <c r="AW193" s="1" t="s">
        <v>74</v>
      </c>
      <c r="AX193" s="1">
        <v>1.0</v>
      </c>
      <c r="AY193" s="1" t="s">
        <v>74</v>
      </c>
      <c r="AZ193" s="1" t="s">
        <v>74</v>
      </c>
      <c r="BA193" s="1" t="s">
        <v>74</v>
      </c>
      <c r="BB193" s="1">
        <v>180.0</v>
      </c>
      <c r="BC193" s="1">
        <v>194.0</v>
      </c>
      <c r="BD193" s="1" t="s">
        <v>74</v>
      </c>
      <c r="BE193" s="1" t="s">
        <v>2028</v>
      </c>
      <c r="BF193" s="2" t="str">
        <f>HYPERLINK("http://dx.doi.org/10.1017/etds.2016.38","http://dx.doi.org/10.1017/etds.2016.38")</f>
        <v>http://dx.doi.org/10.1017/etds.2016.38</v>
      </c>
      <c r="BG193" s="1" t="s">
        <v>74</v>
      </c>
      <c r="BH193" s="1" t="s">
        <v>74</v>
      </c>
      <c r="BI193" s="1" t="s">
        <v>74</v>
      </c>
      <c r="BJ193" s="1" t="s">
        <v>74</v>
      </c>
      <c r="BK193" s="1" t="s">
        <v>74</v>
      </c>
      <c r="BL193" s="1" t="s">
        <v>74</v>
      </c>
      <c r="BM193" s="1" t="s">
        <v>74</v>
      </c>
      <c r="BN193" s="1" t="s">
        <v>74</v>
      </c>
      <c r="BO193" s="1" t="s">
        <v>74</v>
      </c>
      <c r="BP193" s="1" t="s">
        <v>74</v>
      </c>
      <c r="BQ193" s="1" t="s">
        <v>74</v>
      </c>
      <c r="BR193" s="1" t="s">
        <v>74</v>
      </c>
      <c r="BS193" s="1" t="s">
        <v>2029</v>
      </c>
      <c r="BT193" s="1" t="str">
        <f>HYPERLINK("https%3A%2F%2Fwww.webofscience.com%2Fwos%2Fwoscc%2Ffull-record%2FWOS:000419382400008","View Full Record in Web of Science")</f>
        <v>View Full Record in Web of Science</v>
      </c>
    </row>
    <row r="194" ht="12.75" customHeight="1">
      <c r="A194" s="1" t="s">
        <v>72</v>
      </c>
      <c r="B194" s="1" t="s">
        <v>2030</v>
      </c>
      <c r="C194" s="1" t="s">
        <v>74</v>
      </c>
      <c r="D194" s="1" t="s">
        <v>74</v>
      </c>
      <c r="E194" s="1" t="s">
        <v>74</v>
      </c>
      <c r="F194" s="1" t="s">
        <v>2031</v>
      </c>
      <c r="G194" s="1" t="s">
        <v>74</v>
      </c>
      <c r="H194" s="1" t="s">
        <v>74</v>
      </c>
      <c r="I194" s="1" t="s">
        <v>2032</v>
      </c>
      <c r="J194" s="1" t="s">
        <v>2033</v>
      </c>
      <c r="K194" s="1" t="s">
        <v>74</v>
      </c>
      <c r="L194" s="1" t="s">
        <v>74</v>
      </c>
      <c r="M194" s="1" t="s">
        <v>74</v>
      </c>
      <c r="N194" s="1" t="s">
        <v>74</v>
      </c>
      <c r="O194" s="1" t="s">
        <v>74</v>
      </c>
      <c r="P194" s="1" t="s">
        <v>74</v>
      </c>
      <c r="Q194" s="1" t="s">
        <v>74</v>
      </c>
      <c r="R194" s="1" t="s">
        <v>74</v>
      </c>
      <c r="S194" s="1" t="s">
        <v>74</v>
      </c>
      <c r="T194" s="1" t="s">
        <v>74</v>
      </c>
      <c r="U194" s="1" t="s">
        <v>74</v>
      </c>
      <c r="V194" s="1" t="s">
        <v>2034</v>
      </c>
      <c r="W194" s="1" t="s">
        <v>74</v>
      </c>
      <c r="X194" s="1" t="s">
        <v>74</v>
      </c>
      <c r="Y194" s="1" t="s">
        <v>74</v>
      </c>
      <c r="Z194" s="1" t="s">
        <v>74</v>
      </c>
      <c r="AA194" s="1" t="s">
        <v>74</v>
      </c>
      <c r="AB194" s="1" t="s">
        <v>2035</v>
      </c>
      <c r="AC194" s="1" t="s">
        <v>74</v>
      </c>
      <c r="AD194" s="1" t="s">
        <v>74</v>
      </c>
      <c r="AE194" s="1" t="s">
        <v>74</v>
      </c>
      <c r="AF194" s="1" t="s">
        <v>74</v>
      </c>
      <c r="AG194" s="1" t="s">
        <v>74</v>
      </c>
      <c r="AH194" s="1" t="s">
        <v>74</v>
      </c>
      <c r="AI194" s="1" t="s">
        <v>74</v>
      </c>
      <c r="AJ194" s="1" t="s">
        <v>74</v>
      </c>
      <c r="AK194" s="1" t="s">
        <v>74</v>
      </c>
      <c r="AL194" s="1" t="s">
        <v>74</v>
      </c>
      <c r="AM194" s="1" t="s">
        <v>74</v>
      </c>
      <c r="AN194" s="1" t="s">
        <v>74</v>
      </c>
      <c r="AO194" s="1" t="s">
        <v>2036</v>
      </c>
      <c r="AP194" s="1" t="s">
        <v>2037</v>
      </c>
      <c r="AQ194" s="1" t="s">
        <v>74</v>
      </c>
      <c r="AR194" s="1" t="s">
        <v>74</v>
      </c>
      <c r="AS194" s="1" t="s">
        <v>74</v>
      </c>
      <c r="AT194" s="1" t="s">
        <v>74</v>
      </c>
      <c r="AU194" s="1">
        <v>2018.0</v>
      </c>
      <c r="AV194" s="1">
        <v>18.0</v>
      </c>
      <c r="AW194" s="1">
        <v>2.0</v>
      </c>
      <c r="AX194" s="1" t="s">
        <v>74</v>
      </c>
      <c r="AY194" s="1" t="s">
        <v>74</v>
      </c>
      <c r="AZ194" s="1" t="s">
        <v>74</v>
      </c>
      <c r="BA194" s="1" t="s">
        <v>74</v>
      </c>
      <c r="BB194" s="1">
        <v>169.0</v>
      </c>
      <c r="BC194" s="1">
        <v>186.0</v>
      </c>
      <c r="BD194" s="1" t="s">
        <v>74</v>
      </c>
      <c r="BE194" s="1" t="s">
        <v>2038</v>
      </c>
      <c r="BF194" s="2" t="str">
        <f>HYPERLINK("http://dx.doi.org/10.1080/14682745.2017.1404988","http://dx.doi.org/10.1080/14682745.2017.1404988")</f>
        <v>http://dx.doi.org/10.1080/14682745.2017.1404988</v>
      </c>
      <c r="BG194" s="1" t="s">
        <v>74</v>
      </c>
      <c r="BH194" s="1" t="s">
        <v>74</v>
      </c>
      <c r="BI194" s="1" t="s">
        <v>74</v>
      </c>
      <c r="BJ194" s="1" t="s">
        <v>74</v>
      </c>
      <c r="BK194" s="1" t="s">
        <v>74</v>
      </c>
      <c r="BL194" s="1" t="s">
        <v>74</v>
      </c>
      <c r="BM194" s="1" t="s">
        <v>74</v>
      </c>
      <c r="BN194" s="1" t="s">
        <v>74</v>
      </c>
      <c r="BO194" s="1" t="s">
        <v>74</v>
      </c>
      <c r="BP194" s="1" t="s">
        <v>74</v>
      </c>
      <c r="BQ194" s="1" t="s">
        <v>74</v>
      </c>
      <c r="BR194" s="1" t="s">
        <v>74</v>
      </c>
      <c r="BS194" s="1" t="s">
        <v>2039</v>
      </c>
      <c r="BT194" s="1" t="str">
        <f>HYPERLINK("https%3A%2F%2Fwww.webofscience.com%2Fwos%2Fwoscc%2Ffull-record%2FWOS:000431690700004","View Full Record in Web of Science")</f>
        <v>View Full Record in Web of Science</v>
      </c>
    </row>
    <row r="195" ht="12.75" customHeight="1">
      <c r="A195" s="1" t="s">
        <v>72</v>
      </c>
      <c r="B195" s="1" t="s">
        <v>2040</v>
      </c>
      <c r="C195" s="1" t="s">
        <v>74</v>
      </c>
      <c r="D195" s="1" t="s">
        <v>74</v>
      </c>
      <c r="E195" s="1" t="s">
        <v>74</v>
      </c>
      <c r="F195" s="1" t="s">
        <v>2041</v>
      </c>
      <c r="G195" s="1" t="s">
        <v>74</v>
      </c>
      <c r="H195" s="1" t="s">
        <v>74</v>
      </c>
      <c r="I195" s="1" t="s">
        <v>2042</v>
      </c>
      <c r="J195" s="1" t="s">
        <v>2043</v>
      </c>
      <c r="K195" s="1" t="s">
        <v>74</v>
      </c>
      <c r="L195" s="1" t="s">
        <v>74</v>
      </c>
      <c r="M195" s="1" t="s">
        <v>74</v>
      </c>
      <c r="N195" s="1" t="s">
        <v>74</v>
      </c>
      <c r="O195" s="1" t="s">
        <v>74</v>
      </c>
      <c r="P195" s="1" t="s">
        <v>74</v>
      </c>
      <c r="Q195" s="1" t="s">
        <v>74</v>
      </c>
      <c r="R195" s="1" t="s">
        <v>74</v>
      </c>
      <c r="S195" s="1" t="s">
        <v>74</v>
      </c>
      <c r="T195" s="1" t="s">
        <v>74</v>
      </c>
      <c r="U195" s="1" t="s">
        <v>74</v>
      </c>
      <c r="V195" s="1" t="s">
        <v>2044</v>
      </c>
      <c r="W195" s="1" t="s">
        <v>74</v>
      </c>
      <c r="X195" s="1" t="s">
        <v>74</v>
      </c>
      <c r="Y195" s="1" t="s">
        <v>74</v>
      </c>
      <c r="Z195" s="1" t="s">
        <v>74</v>
      </c>
      <c r="AA195" s="1" t="s">
        <v>2045</v>
      </c>
      <c r="AB195" s="1" t="s">
        <v>2046</v>
      </c>
      <c r="AC195" s="1" t="s">
        <v>74</v>
      </c>
      <c r="AD195" s="1" t="s">
        <v>74</v>
      </c>
      <c r="AE195" s="1" t="s">
        <v>74</v>
      </c>
      <c r="AF195" s="1" t="s">
        <v>74</v>
      </c>
      <c r="AG195" s="1" t="s">
        <v>74</v>
      </c>
      <c r="AH195" s="1" t="s">
        <v>74</v>
      </c>
      <c r="AI195" s="1" t="s">
        <v>74</v>
      </c>
      <c r="AJ195" s="1" t="s">
        <v>74</v>
      </c>
      <c r="AK195" s="1" t="s">
        <v>74</v>
      </c>
      <c r="AL195" s="1" t="s">
        <v>74</v>
      </c>
      <c r="AM195" s="1" t="s">
        <v>74</v>
      </c>
      <c r="AN195" s="1" t="s">
        <v>74</v>
      </c>
      <c r="AO195" s="1" t="s">
        <v>2047</v>
      </c>
      <c r="AP195" s="1" t="s">
        <v>2048</v>
      </c>
      <c r="AQ195" s="1" t="s">
        <v>74</v>
      </c>
      <c r="AR195" s="1" t="s">
        <v>74</v>
      </c>
      <c r="AS195" s="1" t="s">
        <v>74</v>
      </c>
      <c r="AT195" s="1" t="s">
        <v>74</v>
      </c>
      <c r="AU195" s="1">
        <v>2018.0</v>
      </c>
      <c r="AV195" s="1">
        <v>26.0</v>
      </c>
      <c r="AW195" s="1">
        <v>2.0</v>
      </c>
      <c r="AX195" s="1" t="s">
        <v>74</v>
      </c>
      <c r="AY195" s="1" t="s">
        <v>74</v>
      </c>
      <c r="AZ195" s="1" t="s">
        <v>74</v>
      </c>
      <c r="BA195" s="1" t="s">
        <v>74</v>
      </c>
      <c r="BB195" s="1">
        <v>123.0</v>
      </c>
      <c r="BC195" s="1">
        <v>129.0</v>
      </c>
      <c r="BD195" s="1" t="s">
        <v>74</v>
      </c>
      <c r="BE195" s="1" t="s">
        <v>2049</v>
      </c>
      <c r="BF195" s="2" t="str">
        <f>HYPERLINK("http://dx.doi.org/10.1080/1536383X.2017.1413356","http://dx.doi.org/10.1080/1536383X.2017.1413356")</f>
        <v>http://dx.doi.org/10.1080/1536383X.2017.1413356</v>
      </c>
      <c r="BG195" s="1" t="s">
        <v>74</v>
      </c>
      <c r="BH195" s="1" t="s">
        <v>74</v>
      </c>
      <c r="BI195" s="1" t="s">
        <v>74</v>
      </c>
      <c r="BJ195" s="1" t="s">
        <v>74</v>
      </c>
      <c r="BK195" s="1" t="s">
        <v>74</v>
      </c>
      <c r="BL195" s="1" t="s">
        <v>74</v>
      </c>
      <c r="BM195" s="1" t="s">
        <v>74</v>
      </c>
      <c r="BN195" s="1" t="s">
        <v>74</v>
      </c>
      <c r="BO195" s="1" t="s">
        <v>74</v>
      </c>
      <c r="BP195" s="1" t="s">
        <v>74</v>
      </c>
      <c r="BQ195" s="1" t="s">
        <v>74</v>
      </c>
      <c r="BR195" s="1" t="s">
        <v>74</v>
      </c>
      <c r="BS195" s="1" t="s">
        <v>2050</v>
      </c>
      <c r="BT195" s="1" t="str">
        <f>HYPERLINK("https%3A%2F%2Fwww.webofscience.com%2Fwos%2Fwoscc%2Ffull-record%2FWOS:000424170600009","View Full Record in Web of Science")</f>
        <v>View Full Record in Web of Science</v>
      </c>
    </row>
    <row r="196" ht="12.75" customHeight="1">
      <c r="A196" s="1" t="s">
        <v>72</v>
      </c>
      <c r="B196" s="1" t="s">
        <v>2051</v>
      </c>
      <c r="C196" s="1" t="s">
        <v>74</v>
      </c>
      <c r="D196" s="1" t="s">
        <v>74</v>
      </c>
      <c r="E196" s="1" t="s">
        <v>74</v>
      </c>
      <c r="F196" s="1" t="s">
        <v>2052</v>
      </c>
      <c r="G196" s="1" t="s">
        <v>74</v>
      </c>
      <c r="H196" s="1" t="s">
        <v>74</v>
      </c>
      <c r="I196" s="1" t="s">
        <v>2053</v>
      </c>
      <c r="J196" s="1" t="s">
        <v>2054</v>
      </c>
      <c r="K196" s="1" t="s">
        <v>74</v>
      </c>
      <c r="L196" s="1" t="s">
        <v>74</v>
      </c>
      <c r="M196" s="1" t="s">
        <v>74</v>
      </c>
      <c r="N196" s="1" t="s">
        <v>74</v>
      </c>
      <c r="O196" s="1" t="s">
        <v>74</v>
      </c>
      <c r="P196" s="1" t="s">
        <v>74</v>
      </c>
      <c r="Q196" s="1" t="s">
        <v>74</v>
      </c>
      <c r="R196" s="1" t="s">
        <v>74</v>
      </c>
      <c r="S196" s="1" t="s">
        <v>74</v>
      </c>
      <c r="T196" s="1" t="s">
        <v>74</v>
      </c>
      <c r="U196" s="1" t="s">
        <v>74</v>
      </c>
      <c r="V196" s="1" t="s">
        <v>2055</v>
      </c>
      <c r="W196" s="1" t="s">
        <v>74</v>
      </c>
      <c r="X196" s="1" t="s">
        <v>74</v>
      </c>
      <c r="Y196" s="1" t="s">
        <v>74</v>
      </c>
      <c r="Z196" s="1" t="s">
        <v>74</v>
      </c>
      <c r="AA196" s="1" t="s">
        <v>2056</v>
      </c>
      <c r="AB196" s="1" t="s">
        <v>2057</v>
      </c>
      <c r="AC196" s="1" t="s">
        <v>74</v>
      </c>
      <c r="AD196" s="1" t="s">
        <v>74</v>
      </c>
      <c r="AE196" s="1" t="s">
        <v>74</v>
      </c>
      <c r="AF196" s="1" t="s">
        <v>74</v>
      </c>
      <c r="AG196" s="1" t="s">
        <v>74</v>
      </c>
      <c r="AH196" s="1" t="s">
        <v>74</v>
      </c>
      <c r="AI196" s="1" t="s">
        <v>74</v>
      </c>
      <c r="AJ196" s="1" t="s">
        <v>74</v>
      </c>
      <c r="AK196" s="1" t="s">
        <v>74</v>
      </c>
      <c r="AL196" s="1" t="s">
        <v>74</v>
      </c>
      <c r="AM196" s="1" t="s">
        <v>74</v>
      </c>
      <c r="AN196" s="1" t="s">
        <v>74</v>
      </c>
      <c r="AO196" s="1" t="s">
        <v>2058</v>
      </c>
      <c r="AP196" s="1" t="s">
        <v>2059</v>
      </c>
      <c r="AQ196" s="1" t="s">
        <v>74</v>
      </c>
      <c r="AR196" s="1" t="s">
        <v>74</v>
      </c>
      <c r="AS196" s="1" t="s">
        <v>74</v>
      </c>
      <c r="AT196" s="1" t="s">
        <v>2060</v>
      </c>
      <c r="AU196" s="1">
        <v>2017.0</v>
      </c>
      <c r="AV196" s="1">
        <v>152.0</v>
      </c>
      <c r="AW196" s="1" t="s">
        <v>74</v>
      </c>
      <c r="AX196" s="1" t="s">
        <v>74</v>
      </c>
      <c r="AY196" s="1" t="s">
        <v>74</v>
      </c>
      <c r="AZ196" s="1" t="s">
        <v>74</v>
      </c>
      <c r="BA196" s="1" t="s">
        <v>74</v>
      </c>
      <c r="BB196" s="1">
        <v>672.0</v>
      </c>
      <c r="BC196" s="1">
        <v>682.0</v>
      </c>
      <c r="BD196" s="1" t="s">
        <v>74</v>
      </c>
      <c r="BE196" s="1" t="s">
        <v>2061</v>
      </c>
      <c r="BF196" s="2" t="str">
        <f>HYPERLINK("http://dx.doi.org/10.1016/j.conbuildmat.2017.07.072","http://dx.doi.org/10.1016/j.conbuildmat.2017.07.072")</f>
        <v>http://dx.doi.org/10.1016/j.conbuildmat.2017.07.072</v>
      </c>
      <c r="BG196" s="1" t="s">
        <v>74</v>
      </c>
      <c r="BH196" s="1" t="s">
        <v>74</v>
      </c>
      <c r="BI196" s="1" t="s">
        <v>74</v>
      </c>
      <c r="BJ196" s="1" t="s">
        <v>74</v>
      </c>
      <c r="BK196" s="1" t="s">
        <v>74</v>
      </c>
      <c r="BL196" s="1" t="s">
        <v>74</v>
      </c>
      <c r="BM196" s="1" t="s">
        <v>74</v>
      </c>
      <c r="BN196" s="1" t="s">
        <v>74</v>
      </c>
      <c r="BO196" s="1" t="s">
        <v>74</v>
      </c>
      <c r="BP196" s="1" t="s">
        <v>74</v>
      </c>
      <c r="BQ196" s="1" t="s">
        <v>74</v>
      </c>
      <c r="BR196" s="1" t="s">
        <v>74</v>
      </c>
      <c r="BS196" s="1" t="s">
        <v>2062</v>
      </c>
      <c r="BT196" s="1" t="str">
        <f>HYPERLINK("https%3A%2F%2Fwww.webofscience.com%2Fwos%2Fwoscc%2Ffull-record%2FWOS:000411545600062","View Full Record in Web of Science")</f>
        <v>View Full Record in Web of Science</v>
      </c>
    </row>
    <row r="197" ht="12.75" customHeight="1">
      <c r="A197" s="1" t="s">
        <v>72</v>
      </c>
      <c r="B197" s="1" t="s">
        <v>2063</v>
      </c>
      <c r="C197" s="1" t="s">
        <v>74</v>
      </c>
      <c r="D197" s="1" t="s">
        <v>74</v>
      </c>
      <c r="E197" s="1" t="s">
        <v>74</v>
      </c>
      <c r="F197" s="1" t="s">
        <v>2064</v>
      </c>
      <c r="G197" s="1" t="s">
        <v>74</v>
      </c>
      <c r="H197" s="1" t="s">
        <v>74</v>
      </c>
      <c r="I197" s="1" t="s">
        <v>2065</v>
      </c>
      <c r="J197" s="1" t="s">
        <v>2066</v>
      </c>
      <c r="K197" s="1" t="s">
        <v>74</v>
      </c>
      <c r="L197" s="1" t="s">
        <v>74</v>
      </c>
      <c r="M197" s="1" t="s">
        <v>74</v>
      </c>
      <c r="N197" s="1" t="s">
        <v>74</v>
      </c>
      <c r="O197" s="1" t="s">
        <v>74</v>
      </c>
      <c r="P197" s="1" t="s">
        <v>74</v>
      </c>
      <c r="Q197" s="1" t="s">
        <v>74</v>
      </c>
      <c r="R197" s="1" t="s">
        <v>74</v>
      </c>
      <c r="S197" s="1" t="s">
        <v>74</v>
      </c>
      <c r="T197" s="1" t="s">
        <v>74</v>
      </c>
      <c r="U197" s="1" t="s">
        <v>74</v>
      </c>
      <c r="V197" s="1" t="s">
        <v>2067</v>
      </c>
      <c r="W197" s="1" t="s">
        <v>74</v>
      </c>
      <c r="X197" s="1" t="s">
        <v>74</v>
      </c>
      <c r="Y197" s="1" t="s">
        <v>74</v>
      </c>
      <c r="Z197" s="1" t="s">
        <v>74</v>
      </c>
      <c r="AA197" s="1" t="s">
        <v>2068</v>
      </c>
      <c r="AB197" s="1" t="s">
        <v>74</v>
      </c>
      <c r="AC197" s="1" t="s">
        <v>74</v>
      </c>
      <c r="AD197" s="1" t="s">
        <v>74</v>
      </c>
      <c r="AE197" s="1" t="s">
        <v>74</v>
      </c>
      <c r="AF197" s="1" t="s">
        <v>74</v>
      </c>
      <c r="AG197" s="1" t="s">
        <v>74</v>
      </c>
      <c r="AH197" s="1" t="s">
        <v>74</v>
      </c>
      <c r="AI197" s="1" t="s">
        <v>74</v>
      </c>
      <c r="AJ197" s="1" t="s">
        <v>74</v>
      </c>
      <c r="AK197" s="1" t="s">
        <v>74</v>
      </c>
      <c r="AL197" s="1" t="s">
        <v>74</v>
      </c>
      <c r="AM197" s="1" t="s">
        <v>74</v>
      </c>
      <c r="AN197" s="1" t="s">
        <v>74</v>
      </c>
      <c r="AO197" s="1" t="s">
        <v>2069</v>
      </c>
      <c r="AP197" s="1" t="s">
        <v>2070</v>
      </c>
      <c r="AQ197" s="1" t="s">
        <v>74</v>
      </c>
      <c r="AR197" s="1" t="s">
        <v>74</v>
      </c>
      <c r="AS197" s="1" t="s">
        <v>74</v>
      </c>
      <c r="AT197" s="1" t="s">
        <v>74</v>
      </c>
      <c r="AU197" s="1">
        <v>2017.0</v>
      </c>
      <c r="AV197" s="1">
        <v>12.0</v>
      </c>
      <c r="AW197" s="1">
        <v>2.0</v>
      </c>
      <c r="AX197" s="1" t="s">
        <v>74</v>
      </c>
      <c r="AY197" s="1" t="s">
        <v>74</v>
      </c>
      <c r="AZ197" s="1" t="s">
        <v>74</v>
      </c>
      <c r="BA197" s="1" t="s">
        <v>74</v>
      </c>
      <c r="BB197" s="1">
        <v>131.0</v>
      </c>
      <c r="BC197" s="1">
        <v>139.0</v>
      </c>
      <c r="BD197" s="1" t="s">
        <v>74</v>
      </c>
      <c r="BE197" s="1" t="s">
        <v>2071</v>
      </c>
      <c r="BF197" s="2" t="str">
        <f>HYPERLINK("http://dx.doi.org/10.2174/1574893610666150601210551","http://dx.doi.org/10.2174/1574893610666150601210551")</f>
        <v>http://dx.doi.org/10.2174/1574893610666150601210551</v>
      </c>
      <c r="BG197" s="1" t="s">
        <v>74</v>
      </c>
      <c r="BH197" s="1" t="s">
        <v>74</v>
      </c>
      <c r="BI197" s="1" t="s">
        <v>74</v>
      </c>
      <c r="BJ197" s="1" t="s">
        <v>74</v>
      </c>
      <c r="BK197" s="1" t="s">
        <v>74</v>
      </c>
      <c r="BL197" s="1" t="s">
        <v>74</v>
      </c>
      <c r="BM197" s="1" t="s">
        <v>74</v>
      </c>
      <c r="BN197" s="1" t="s">
        <v>74</v>
      </c>
      <c r="BO197" s="1" t="s">
        <v>74</v>
      </c>
      <c r="BP197" s="1" t="s">
        <v>74</v>
      </c>
      <c r="BQ197" s="1" t="s">
        <v>74</v>
      </c>
      <c r="BR197" s="1" t="s">
        <v>74</v>
      </c>
      <c r="BS197" s="1" t="s">
        <v>2072</v>
      </c>
      <c r="BT197" s="1" t="str">
        <f>HYPERLINK("https%3A%2F%2Fwww.webofscience.com%2Fwos%2Fwoscc%2Ffull-record%2FWOS:000396012200004","View Full Record in Web of Science")</f>
        <v>View Full Record in Web of Science</v>
      </c>
    </row>
    <row r="198" ht="12.75" customHeight="1">
      <c r="A198" s="1" t="s">
        <v>72</v>
      </c>
      <c r="B198" s="1" t="s">
        <v>2073</v>
      </c>
      <c r="C198" s="1" t="s">
        <v>74</v>
      </c>
      <c r="D198" s="1" t="s">
        <v>74</v>
      </c>
      <c r="E198" s="1" t="s">
        <v>74</v>
      </c>
      <c r="F198" s="1" t="s">
        <v>2074</v>
      </c>
      <c r="G198" s="1" t="s">
        <v>74</v>
      </c>
      <c r="H198" s="1" t="s">
        <v>74</v>
      </c>
      <c r="I198" s="1" t="s">
        <v>2075</v>
      </c>
      <c r="J198" s="1" t="s">
        <v>582</v>
      </c>
      <c r="K198" s="1" t="s">
        <v>74</v>
      </c>
      <c r="L198" s="1" t="s">
        <v>74</v>
      </c>
      <c r="M198" s="1" t="s">
        <v>74</v>
      </c>
      <c r="N198" s="1" t="s">
        <v>74</v>
      </c>
      <c r="O198" s="1" t="s">
        <v>74</v>
      </c>
      <c r="P198" s="1" t="s">
        <v>74</v>
      </c>
      <c r="Q198" s="1" t="s">
        <v>74</v>
      </c>
      <c r="R198" s="1" t="s">
        <v>74</v>
      </c>
      <c r="S198" s="1" t="s">
        <v>74</v>
      </c>
      <c r="T198" s="1" t="s">
        <v>74</v>
      </c>
      <c r="U198" s="1" t="s">
        <v>74</v>
      </c>
      <c r="V198" s="1" t="s">
        <v>2076</v>
      </c>
      <c r="W198" s="1" t="s">
        <v>74</v>
      </c>
      <c r="X198" s="1" t="s">
        <v>74</v>
      </c>
      <c r="Y198" s="1" t="s">
        <v>74</v>
      </c>
      <c r="Z198" s="1" t="s">
        <v>74</v>
      </c>
      <c r="AA198" s="1" t="s">
        <v>2077</v>
      </c>
      <c r="AB198" s="1" t="s">
        <v>2078</v>
      </c>
      <c r="AC198" s="1" t="s">
        <v>74</v>
      </c>
      <c r="AD198" s="1" t="s">
        <v>74</v>
      </c>
      <c r="AE198" s="1" t="s">
        <v>74</v>
      </c>
      <c r="AF198" s="1" t="s">
        <v>74</v>
      </c>
      <c r="AG198" s="1" t="s">
        <v>74</v>
      </c>
      <c r="AH198" s="1" t="s">
        <v>74</v>
      </c>
      <c r="AI198" s="1" t="s">
        <v>74</v>
      </c>
      <c r="AJ198" s="1" t="s">
        <v>74</v>
      </c>
      <c r="AK198" s="1" t="s">
        <v>74</v>
      </c>
      <c r="AL198" s="1" t="s">
        <v>74</v>
      </c>
      <c r="AM198" s="1" t="s">
        <v>74</v>
      </c>
      <c r="AN198" s="1" t="s">
        <v>74</v>
      </c>
      <c r="AO198" s="1" t="s">
        <v>585</v>
      </c>
      <c r="AP198" s="1" t="s">
        <v>74</v>
      </c>
      <c r="AQ198" s="1" t="s">
        <v>74</v>
      </c>
      <c r="AR198" s="1" t="s">
        <v>74</v>
      </c>
      <c r="AS198" s="1" t="s">
        <v>74</v>
      </c>
      <c r="AT198" s="1" t="s">
        <v>459</v>
      </c>
      <c r="AU198" s="1">
        <v>2016.0</v>
      </c>
      <c r="AV198" s="1">
        <v>61.0</v>
      </c>
      <c r="AW198" s="1">
        <v>3.0</v>
      </c>
      <c r="AX198" s="1" t="s">
        <v>74</v>
      </c>
      <c r="AY198" s="1" t="s">
        <v>74</v>
      </c>
      <c r="AZ198" s="1" t="s">
        <v>74</v>
      </c>
      <c r="BA198" s="1" t="s">
        <v>74</v>
      </c>
      <c r="BB198" s="1">
        <v>3052.0</v>
      </c>
      <c r="BC198" s="1">
        <v>3054.0</v>
      </c>
      <c r="BD198" s="1" t="s">
        <v>74</v>
      </c>
      <c r="BE198" s="1" t="s">
        <v>2079</v>
      </c>
      <c r="BF198" s="2" t="str">
        <f>HYPERLINK("http://dx.doi.org/10.4067/S0717-97072016000300009","http://dx.doi.org/10.4067/S0717-97072016000300009")</f>
        <v>http://dx.doi.org/10.4067/S0717-97072016000300009</v>
      </c>
      <c r="BG198" s="1" t="s">
        <v>74</v>
      </c>
      <c r="BH198" s="1" t="s">
        <v>74</v>
      </c>
      <c r="BI198" s="1" t="s">
        <v>74</v>
      </c>
      <c r="BJ198" s="1" t="s">
        <v>74</v>
      </c>
      <c r="BK198" s="1" t="s">
        <v>74</v>
      </c>
      <c r="BL198" s="1" t="s">
        <v>74</v>
      </c>
      <c r="BM198" s="1" t="s">
        <v>74</v>
      </c>
      <c r="BN198" s="1" t="s">
        <v>74</v>
      </c>
      <c r="BO198" s="1" t="s">
        <v>74</v>
      </c>
      <c r="BP198" s="1" t="s">
        <v>74</v>
      </c>
      <c r="BQ198" s="1" t="s">
        <v>74</v>
      </c>
      <c r="BR198" s="1" t="s">
        <v>74</v>
      </c>
      <c r="BS198" s="1" t="s">
        <v>2080</v>
      </c>
      <c r="BT198" s="1" t="str">
        <f>HYPERLINK("https%3A%2F%2Fwww.webofscience.com%2Fwos%2Fwoscc%2Ffull-record%2FWOS:000389063700009","View Full Record in Web of Science")</f>
        <v>View Full Record in Web of Science</v>
      </c>
    </row>
    <row r="199" ht="12.75" customHeight="1">
      <c r="A199" s="1" t="s">
        <v>72</v>
      </c>
      <c r="B199" s="1" t="s">
        <v>2081</v>
      </c>
      <c r="C199" s="1" t="s">
        <v>74</v>
      </c>
      <c r="D199" s="1" t="s">
        <v>74</v>
      </c>
      <c r="E199" s="1" t="s">
        <v>74</v>
      </c>
      <c r="F199" s="1" t="s">
        <v>2082</v>
      </c>
      <c r="G199" s="1" t="s">
        <v>74</v>
      </c>
      <c r="H199" s="1" t="s">
        <v>74</v>
      </c>
      <c r="I199" s="1" t="s">
        <v>2083</v>
      </c>
      <c r="J199" s="1" t="s">
        <v>791</v>
      </c>
      <c r="K199" s="1" t="s">
        <v>74</v>
      </c>
      <c r="L199" s="1" t="s">
        <v>74</v>
      </c>
      <c r="M199" s="1" t="s">
        <v>74</v>
      </c>
      <c r="N199" s="1" t="s">
        <v>74</v>
      </c>
      <c r="O199" s="1" t="s">
        <v>74</v>
      </c>
      <c r="P199" s="1" t="s">
        <v>74</v>
      </c>
      <c r="Q199" s="1" t="s">
        <v>74</v>
      </c>
      <c r="R199" s="1" t="s">
        <v>74</v>
      </c>
      <c r="S199" s="1" t="s">
        <v>74</v>
      </c>
      <c r="T199" s="1" t="s">
        <v>74</v>
      </c>
      <c r="U199" s="1" t="s">
        <v>74</v>
      </c>
      <c r="V199" s="1" t="s">
        <v>2084</v>
      </c>
      <c r="W199" s="1" t="s">
        <v>74</v>
      </c>
      <c r="X199" s="1" t="s">
        <v>74</v>
      </c>
      <c r="Y199" s="1" t="s">
        <v>74</v>
      </c>
      <c r="Z199" s="1" t="s">
        <v>74</v>
      </c>
      <c r="AA199" s="1" t="s">
        <v>2085</v>
      </c>
      <c r="AB199" s="1" t="s">
        <v>2086</v>
      </c>
      <c r="AC199" s="1" t="s">
        <v>74</v>
      </c>
      <c r="AD199" s="1" t="s">
        <v>74</v>
      </c>
      <c r="AE199" s="1" t="s">
        <v>74</v>
      </c>
      <c r="AF199" s="1" t="s">
        <v>74</v>
      </c>
      <c r="AG199" s="1" t="s">
        <v>74</v>
      </c>
      <c r="AH199" s="1" t="s">
        <v>74</v>
      </c>
      <c r="AI199" s="1" t="s">
        <v>74</v>
      </c>
      <c r="AJ199" s="1" t="s">
        <v>74</v>
      </c>
      <c r="AK199" s="1" t="s">
        <v>74</v>
      </c>
      <c r="AL199" s="1" t="s">
        <v>74</v>
      </c>
      <c r="AM199" s="1" t="s">
        <v>74</v>
      </c>
      <c r="AN199" s="1" t="s">
        <v>74</v>
      </c>
      <c r="AO199" s="1" t="s">
        <v>1420</v>
      </c>
      <c r="AP199" s="1" t="s">
        <v>1421</v>
      </c>
      <c r="AQ199" s="1" t="s">
        <v>74</v>
      </c>
      <c r="AR199" s="1" t="s">
        <v>74</v>
      </c>
      <c r="AS199" s="1" t="s">
        <v>74</v>
      </c>
      <c r="AT199" s="1" t="s">
        <v>2087</v>
      </c>
      <c r="AU199" s="1">
        <v>2016.0</v>
      </c>
      <c r="AV199" s="1">
        <v>93.0</v>
      </c>
      <c r="AW199" s="1">
        <v>1.0</v>
      </c>
      <c r="AX199" s="1" t="s">
        <v>74</v>
      </c>
      <c r="AY199" s="1" t="s">
        <v>74</v>
      </c>
      <c r="AZ199" s="1" t="s">
        <v>74</v>
      </c>
      <c r="BA199" s="1" t="s">
        <v>74</v>
      </c>
      <c r="BB199" s="1" t="s">
        <v>74</v>
      </c>
      <c r="BC199" s="1" t="s">
        <v>74</v>
      </c>
      <c r="BD199" s="1">
        <v>12908.0</v>
      </c>
      <c r="BE199" s="1" t="s">
        <v>2088</v>
      </c>
      <c r="BF199" s="2" t="str">
        <f>HYPERLINK("http://dx.doi.org/10.1103/PhysRevE.93.012908","http://dx.doi.org/10.1103/PhysRevE.93.012908")</f>
        <v>http://dx.doi.org/10.1103/PhysRevE.93.012908</v>
      </c>
      <c r="BG199" s="1" t="s">
        <v>74</v>
      </c>
      <c r="BH199" s="1" t="s">
        <v>74</v>
      </c>
      <c r="BI199" s="1" t="s">
        <v>74</v>
      </c>
      <c r="BJ199" s="1" t="s">
        <v>74</v>
      </c>
      <c r="BK199" s="1" t="s">
        <v>74</v>
      </c>
      <c r="BL199" s="1" t="s">
        <v>74</v>
      </c>
      <c r="BM199" s="1" t="s">
        <v>74</v>
      </c>
      <c r="BN199" s="1">
        <v>2.6871144E7</v>
      </c>
      <c r="BO199" s="1" t="s">
        <v>74</v>
      </c>
      <c r="BP199" s="1" t="s">
        <v>74</v>
      </c>
      <c r="BQ199" s="1" t="s">
        <v>74</v>
      </c>
      <c r="BR199" s="1" t="s">
        <v>74</v>
      </c>
      <c r="BS199" s="1" t="s">
        <v>2089</v>
      </c>
      <c r="BT199" s="1" t="str">
        <f>HYPERLINK("https%3A%2F%2Fwww.webofscience.com%2Fwos%2Fwoscc%2Ffull-record%2FWOS:000369331300015","View Full Record in Web of Science")</f>
        <v>View Full Record in Web of Science</v>
      </c>
    </row>
    <row r="200" ht="12.75" customHeight="1">
      <c r="A200" s="1" t="s">
        <v>72</v>
      </c>
      <c r="B200" s="1" t="s">
        <v>2090</v>
      </c>
      <c r="C200" s="1" t="s">
        <v>74</v>
      </c>
      <c r="D200" s="1" t="s">
        <v>74</v>
      </c>
      <c r="E200" s="1" t="s">
        <v>74</v>
      </c>
      <c r="F200" s="1" t="s">
        <v>2091</v>
      </c>
      <c r="G200" s="1" t="s">
        <v>74</v>
      </c>
      <c r="H200" s="1" t="s">
        <v>74</v>
      </c>
      <c r="I200" s="1" t="s">
        <v>2092</v>
      </c>
      <c r="J200" s="1" t="s">
        <v>2093</v>
      </c>
      <c r="K200" s="1" t="s">
        <v>74</v>
      </c>
      <c r="L200" s="1" t="s">
        <v>74</v>
      </c>
      <c r="M200" s="1" t="s">
        <v>74</v>
      </c>
      <c r="N200" s="1" t="s">
        <v>74</v>
      </c>
      <c r="O200" s="1" t="s">
        <v>74</v>
      </c>
      <c r="P200" s="1" t="s">
        <v>74</v>
      </c>
      <c r="Q200" s="1" t="s">
        <v>74</v>
      </c>
      <c r="R200" s="1" t="s">
        <v>74</v>
      </c>
      <c r="S200" s="1" t="s">
        <v>74</v>
      </c>
      <c r="T200" s="1" t="s">
        <v>74</v>
      </c>
      <c r="U200" s="1" t="s">
        <v>74</v>
      </c>
      <c r="V200" s="1" t="s">
        <v>2094</v>
      </c>
      <c r="W200" s="1" t="s">
        <v>74</v>
      </c>
      <c r="X200" s="1" t="s">
        <v>74</v>
      </c>
      <c r="Y200" s="1" t="s">
        <v>74</v>
      </c>
      <c r="Z200" s="1" t="s">
        <v>74</v>
      </c>
      <c r="AA200" s="1" t="s">
        <v>2095</v>
      </c>
      <c r="AB200" s="1" t="s">
        <v>2096</v>
      </c>
      <c r="AC200" s="1" t="s">
        <v>74</v>
      </c>
      <c r="AD200" s="1" t="s">
        <v>74</v>
      </c>
      <c r="AE200" s="1" t="s">
        <v>74</v>
      </c>
      <c r="AF200" s="1" t="s">
        <v>74</v>
      </c>
      <c r="AG200" s="1" t="s">
        <v>74</v>
      </c>
      <c r="AH200" s="1" t="s">
        <v>74</v>
      </c>
      <c r="AI200" s="1" t="s">
        <v>74</v>
      </c>
      <c r="AJ200" s="1" t="s">
        <v>74</v>
      </c>
      <c r="AK200" s="1" t="s">
        <v>74</v>
      </c>
      <c r="AL200" s="1" t="s">
        <v>74</v>
      </c>
      <c r="AM200" s="1" t="s">
        <v>74</v>
      </c>
      <c r="AN200" s="1" t="s">
        <v>74</v>
      </c>
      <c r="AO200" s="1" t="s">
        <v>2097</v>
      </c>
      <c r="AP200" s="1" t="s">
        <v>74</v>
      </c>
      <c r="AQ200" s="1" t="s">
        <v>74</v>
      </c>
      <c r="AR200" s="1" t="s">
        <v>74</v>
      </c>
      <c r="AS200" s="1" t="s">
        <v>74</v>
      </c>
      <c r="AT200" s="1" t="s">
        <v>169</v>
      </c>
      <c r="AU200" s="1">
        <v>2016.0</v>
      </c>
      <c r="AV200" s="1">
        <v>10.0</v>
      </c>
      <c r="AW200" s="1">
        <v>1.0</v>
      </c>
      <c r="AX200" s="1" t="s">
        <v>74</v>
      </c>
      <c r="AY200" s="1" t="s">
        <v>74</v>
      </c>
      <c r="AZ200" s="1" t="s">
        <v>74</v>
      </c>
      <c r="BA200" s="1" t="s">
        <v>74</v>
      </c>
      <c r="BB200" s="1">
        <v>169.0</v>
      </c>
      <c r="BC200" s="1">
        <v>208.0</v>
      </c>
      <c r="BD200" s="1" t="s">
        <v>74</v>
      </c>
      <c r="BE200" s="1" t="s">
        <v>2098</v>
      </c>
      <c r="BF200" s="2" t="str">
        <f>HYPERLINK("http://dx.doi.org/10.1215/17358787-3345137","http://dx.doi.org/10.1215/17358787-3345137")</f>
        <v>http://dx.doi.org/10.1215/17358787-3345137</v>
      </c>
      <c r="BG200" s="1" t="s">
        <v>74</v>
      </c>
      <c r="BH200" s="1" t="s">
        <v>74</v>
      </c>
      <c r="BI200" s="1" t="s">
        <v>74</v>
      </c>
      <c r="BJ200" s="1" t="s">
        <v>74</v>
      </c>
      <c r="BK200" s="1" t="s">
        <v>74</v>
      </c>
      <c r="BL200" s="1" t="s">
        <v>74</v>
      </c>
      <c r="BM200" s="1" t="s">
        <v>74</v>
      </c>
      <c r="BN200" s="1" t="s">
        <v>74</v>
      </c>
      <c r="BO200" s="1" t="s">
        <v>74</v>
      </c>
      <c r="BP200" s="1" t="s">
        <v>74</v>
      </c>
      <c r="BQ200" s="1" t="s">
        <v>74</v>
      </c>
      <c r="BR200" s="1" t="s">
        <v>74</v>
      </c>
      <c r="BS200" s="1" t="s">
        <v>2099</v>
      </c>
      <c r="BT200" s="1" t="str">
        <f>HYPERLINK("https%3A%2F%2Fwww.webofscience.com%2Fwos%2Fwoscc%2Ffull-record%2FWOS:000370814100011","View Full Record in Web of Science")</f>
        <v>View Full Record in Web of Science</v>
      </c>
    </row>
    <row r="201" ht="12.75" customHeight="1">
      <c r="A201" s="1" t="s">
        <v>72</v>
      </c>
      <c r="B201" s="1" t="s">
        <v>2100</v>
      </c>
      <c r="C201" s="1" t="s">
        <v>74</v>
      </c>
      <c r="D201" s="1" t="s">
        <v>74</v>
      </c>
      <c r="E201" s="1" t="s">
        <v>74</v>
      </c>
      <c r="F201" s="1" t="s">
        <v>2101</v>
      </c>
      <c r="G201" s="1" t="s">
        <v>74</v>
      </c>
      <c r="H201" s="1" t="s">
        <v>74</v>
      </c>
      <c r="I201" s="1" t="s">
        <v>2102</v>
      </c>
      <c r="J201" s="1" t="s">
        <v>2103</v>
      </c>
      <c r="K201" s="1" t="s">
        <v>74</v>
      </c>
      <c r="L201" s="1" t="s">
        <v>74</v>
      </c>
      <c r="M201" s="1" t="s">
        <v>74</v>
      </c>
      <c r="N201" s="1" t="s">
        <v>74</v>
      </c>
      <c r="O201" s="1" t="s">
        <v>74</v>
      </c>
      <c r="P201" s="1" t="s">
        <v>74</v>
      </c>
      <c r="Q201" s="1" t="s">
        <v>74</v>
      </c>
      <c r="R201" s="1" t="s">
        <v>74</v>
      </c>
      <c r="S201" s="1" t="s">
        <v>74</v>
      </c>
      <c r="T201" s="1" t="s">
        <v>74</v>
      </c>
      <c r="U201" s="1" t="s">
        <v>74</v>
      </c>
      <c r="V201" s="1" t="s">
        <v>2104</v>
      </c>
      <c r="W201" s="1" t="s">
        <v>74</v>
      </c>
      <c r="X201" s="1" t="s">
        <v>74</v>
      </c>
      <c r="Y201" s="1" t="s">
        <v>74</v>
      </c>
      <c r="Z201" s="1" t="s">
        <v>74</v>
      </c>
      <c r="AA201" s="1" t="s">
        <v>2105</v>
      </c>
      <c r="AB201" s="1" t="s">
        <v>2106</v>
      </c>
      <c r="AC201" s="1" t="s">
        <v>74</v>
      </c>
      <c r="AD201" s="1" t="s">
        <v>74</v>
      </c>
      <c r="AE201" s="1" t="s">
        <v>74</v>
      </c>
      <c r="AF201" s="1" t="s">
        <v>74</v>
      </c>
      <c r="AG201" s="1" t="s">
        <v>74</v>
      </c>
      <c r="AH201" s="1" t="s">
        <v>74</v>
      </c>
      <c r="AI201" s="1" t="s">
        <v>74</v>
      </c>
      <c r="AJ201" s="1" t="s">
        <v>74</v>
      </c>
      <c r="AK201" s="1" t="s">
        <v>74</v>
      </c>
      <c r="AL201" s="1" t="s">
        <v>74</v>
      </c>
      <c r="AM201" s="1" t="s">
        <v>74</v>
      </c>
      <c r="AN201" s="1" t="s">
        <v>74</v>
      </c>
      <c r="AO201" s="1" t="s">
        <v>2107</v>
      </c>
      <c r="AP201" s="1" t="s">
        <v>74</v>
      </c>
      <c r="AQ201" s="1" t="s">
        <v>74</v>
      </c>
      <c r="AR201" s="1" t="s">
        <v>74</v>
      </c>
      <c r="AS201" s="1" t="s">
        <v>74</v>
      </c>
      <c r="AT201" s="1" t="s">
        <v>2108</v>
      </c>
      <c r="AU201" s="1">
        <v>2015.0</v>
      </c>
      <c r="AV201" s="1">
        <v>220.0</v>
      </c>
      <c r="AW201" s="1" t="s">
        <v>74</v>
      </c>
      <c r="AX201" s="1" t="s">
        <v>74</v>
      </c>
      <c r="AY201" s="1" t="s">
        <v>74</v>
      </c>
      <c r="AZ201" s="1" t="s">
        <v>74</v>
      </c>
      <c r="BA201" s="1" t="s">
        <v>74</v>
      </c>
      <c r="BB201" s="1">
        <v>263.0</v>
      </c>
      <c r="BC201" s="1">
        <v>269.0</v>
      </c>
      <c r="BD201" s="1" t="s">
        <v>74</v>
      </c>
      <c r="BE201" s="1" t="s">
        <v>2109</v>
      </c>
      <c r="BF201" s="2" t="str">
        <f>HYPERLINK("http://dx.doi.org/10.1016/j.snb.2015.05.016","http://dx.doi.org/10.1016/j.snb.2015.05.016")</f>
        <v>http://dx.doi.org/10.1016/j.snb.2015.05.016</v>
      </c>
      <c r="BG201" s="1" t="s">
        <v>74</v>
      </c>
      <c r="BH201" s="1" t="s">
        <v>74</v>
      </c>
      <c r="BI201" s="1" t="s">
        <v>74</v>
      </c>
      <c r="BJ201" s="1" t="s">
        <v>74</v>
      </c>
      <c r="BK201" s="1" t="s">
        <v>74</v>
      </c>
      <c r="BL201" s="1" t="s">
        <v>74</v>
      </c>
      <c r="BM201" s="1" t="s">
        <v>74</v>
      </c>
      <c r="BN201" s="1" t="s">
        <v>74</v>
      </c>
      <c r="BO201" s="1" t="s">
        <v>74</v>
      </c>
      <c r="BP201" s="1" t="s">
        <v>74</v>
      </c>
      <c r="BQ201" s="1" t="s">
        <v>74</v>
      </c>
      <c r="BR201" s="1" t="s">
        <v>74</v>
      </c>
      <c r="BS201" s="1" t="s">
        <v>2110</v>
      </c>
      <c r="BT201" s="1" t="str">
        <f>HYPERLINK("https%3A%2F%2Fwww.webofscience.com%2Fwos%2Fwoscc%2Ffull-record%2FWOS:000361249100035","View Full Record in Web of Science")</f>
        <v>View Full Record in Web of Science</v>
      </c>
    </row>
    <row r="202" ht="12.75" customHeight="1">
      <c r="A202" s="1" t="s">
        <v>72</v>
      </c>
      <c r="B202" s="1" t="s">
        <v>2111</v>
      </c>
      <c r="C202" s="1" t="s">
        <v>74</v>
      </c>
      <c r="D202" s="1" t="s">
        <v>74</v>
      </c>
      <c r="E202" s="1" t="s">
        <v>74</v>
      </c>
      <c r="F202" s="1" t="s">
        <v>2112</v>
      </c>
      <c r="G202" s="1" t="s">
        <v>74</v>
      </c>
      <c r="H202" s="1" t="s">
        <v>74</v>
      </c>
      <c r="I202" s="1" t="s">
        <v>2113</v>
      </c>
      <c r="J202" s="1" t="s">
        <v>2114</v>
      </c>
      <c r="K202" s="1" t="s">
        <v>74</v>
      </c>
      <c r="L202" s="1" t="s">
        <v>74</v>
      </c>
      <c r="M202" s="1" t="s">
        <v>74</v>
      </c>
      <c r="N202" s="1" t="s">
        <v>74</v>
      </c>
      <c r="O202" s="1" t="s">
        <v>74</v>
      </c>
      <c r="P202" s="1" t="s">
        <v>74</v>
      </c>
      <c r="Q202" s="1" t="s">
        <v>74</v>
      </c>
      <c r="R202" s="1" t="s">
        <v>74</v>
      </c>
      <c r="S202" s="1" t="s">
        <v>74</v>
      </c>
      <c r="T202" s="1" t="s">
        <v>74</v>
      </c>
      <c r="U202" s="1" t="s">
        <v>74</v>
      </c>
      <c r="V202" s="1" t="s">
        <v>2115</v>
      </c>
      <c r="W202" s="1" t="s">
        <v>74</v>
      </c>
      <c r="X202" s="1" t="s">
        <v>74</v>
      </c>
      <c r="Y202" s="1" t="s">
        <v>74</v>
      </c>
      <c r="Z202" s="1" t="s">
        <v>74</v>
      </c>
      <c r="AA202" s="1" t="s">
        <v>2116</v>
      </c>
      <c r="AB202" s="1" t="s">
        <v>2117</v>
      </c>
      <c r="AC202" s="1" t="s">
        <v>74</v>
      </c>
      <c r="AD202" s="1" t="s">
        <v>74</v>
      </c>
      <c r="AE202" s="1" t="s">
        <v>74</v>
      </c>
      <c r="AF202" s="1" t="s">
        <v>74</v>
      </c>
      <c r="AG202" s="1" t="s">
        <v>74</v>
      </c>
      <c r="AH202" s="1" t="s">
        <v>74</v>
      </c>
      <c r="AI202" s="1" t="s">
        <v>74</v>
      </c>
      <c r="AJ202" s="1" t="s">
        <v>74</v>
      </c>
      <c r="AK202" s="1" t="s">
        <v>74</v>
      </c>
      <c r="AL202" s="1" t="s">
        <v>74</v>
      </c>
      <c r="AM202" s="1" t="s">
        <v>74</v>
      </c>
      <c r="AN202" s="1" t="s">
        <v>74</v>
      </c>
      <c r="AO202" s="1" t="s">
        <v>2118</v>
      </c>
      <c r="AP202" s="1" t="s">
        <v>2119</v>
      </c>
      <c r="AQ202" s="1" t="s">
        <v>74</v>
      </c>
      <c r="AR202" s="1" t="s">
        <v>74</v>
      </c>
      <c r="AS202" s="1" t="s">
        <v>74</v>
      </c>
      <c r="AT202" s="1" t="s">
        <v>74</v>
      </c>
      <c r="AU202" s="1">
        <v>2014.0</v>
      </c>
      <c r="AV202" s="1">
        <v>2014.0</v>
      </c>
      <c r="AW202" s="1" t="s">
        <v>74</v>
      </c>
      <c r="AX202" s="1" t="s">
        <v>74</v>
      </c>
      <c r="AY202" s="1" t="s">
        <v>74</v>
      </c>
      <c r="AZ202" s="1" t="s">
        <v>74</v>
      </c>
      <c r="BA202" s="1" t="s">
        <v>74</v>
      </c>
      <c r="BB202" s="1" t="s">
        <v>74</v>
      </c>
      <c r="BC202" s="1" t="s">
        <v>74</v>
      </c>
      <c r="BD202" s="1">
        <v>404738.0</v>
      </c>
      <c r="BE202" s="1" t="s">
        <v>2120</v>
      </c>
      <c r="BF202" s="2" t="str">
        <f>HYPERLINK("http://dx.doi.org/10.1155/2014/404738","http://dx.doi.org/10.1155/2014/404738")</f>
        <v>http://dx.doi.org/10.1155/2014/404738</v>
      </c>
      <c r="BG202" s="1" t="s">
        <v>74</v>
      </c>
      <c r="BH202" s="1" t="s">
        <v>74</v>
      </c>
      <c r="BI202" s="1" t="s">
        <v>74</v>
      </c>
      <c r="BJ202" s="1" t="s">
        <v>74</v>
      </c>
      <c r="BK202" s="1" t="s">
        <v>74</v>
      </c>
      <c r="BL202" s="1" t="s">
        <v>74</v>
      </c>
      <c r="BM202" s="1" t="s">
        <v>74</v>
      </c>
      <c r="BN202" s="1" t="s">
        <v>74</v>
      </c>
      <c r="BO202" s="1" t="s">
        <v>74</v>
      </c>
      <c r="BP202" s="1" t="s">
        <v>74</v>
      </c>
      <c r="BQ202" s="1" t="s">
        <v>74</v>
      </c>
      <c r="BR202" s="1" t="s">
        <v>74</v>
      </c>
      <c r="BS202" s="1" t="s">
        <v>2121</v>
      </c>
      <c r="BT202" s="1" t="str">
        <f>HYPERLINK("https%3A%2F%2Fwww.webofscience.com%2Fwos%2Fwoscc%2Ffull-record%2FWOS:000332296100001","View Full Record in Web of Science")</f>
        <v>View Full Record in Web of Science</v>
      </c>
    </row>
    <row r="203" ht="12.75" customHeight="1">
      <c r="A203" s="1" t="s">
        <v>72</v>
      </c>
      <c r="B203" s="1" t="s">
        <v>2122</v>
      </c>
      <c r="C203" s="1" t="s">
        <v>74</v>
      </c>
      <c r="D203" s="1" t="s">
        <v>74</v>
      </c>
      <c r="E203" s="1" t="s">
        <v>74</v>
      </c>
      <c r="F203" s="1" t="s">
        <v>2123</v>
      </c>
      <c r="G203" s="1" t="s">
        <v>74</v>
      </c>
      <c r="H203" s="1" t="s">
        <v>74</v>
      </c>
      <c r="I203" s="1" t="s">
        <v>2124</v>
      </c>
      <c r="J203" s="1" t="s">
        <v>2125</v>
      </c>
      <c r="K203" s="1" t="s">
        <v>74</v>
      </c>
      <c r="L203" s="1" t="s">
        <v>74</v>
      </c>
      <c r="M203" s="1" t="s">
        <v>74</v>
      </c>
      <c r="N203" s="1" t="s">
        <v>74</v>
      </c>
      <c r="O203" s="1" t="s">
        <v>74</v>
      </c>
      <c r="P203" s="1" t="s">
        <v>74</v>
      </c>
      <c r="Q203" s="1" t="s">
        <v>74</v>
      </c>
      <c r="R203" s="1" t="s">
        <v>74</v>
      </c>
      <c r="S203" s="1" t="s">
        <v>74</v>
      </c>
      <c r="T203" s="1" t="s">
        <v>74</v>
      </c>
      <c r="U203" s="1" t="s">
        <v>74</v>
      </c>
      <c r="V203" s="1" t="s">
        <v>2126</v>
      </c>
      <c r="W203" s="1" t="s">
        <v>74</v>
      </c>
      <c r="X203" s="1" t="s">
        <v>74</v>
      </c>
      <c r="Y203" s="1" t="s">
        <v>74</v>
      </c>
      <c r="Z203" s="1" t="s">
        <v>74</v>
      </c>
      <c r="AA203" s="1" t="s">
        <v>2127</v>
      </c>
      <c r="AB203" s="1" t="s">
        <v>2128</v>
      </c>
      <c r="AC203" s="1" t="s">
        <v>74</v>
      </c>
      <c r="AD203" s="1" t="s">
        <v>74</v>
      </c>
      <c r="AE203" s="1" t="s">
        <v>74</v>
      </c>
      <c r="AF203" s="1" t="s">
        <v>74</v>
      </c>
      <c r="AG203" s="1" t="s">
        <v>74</v>
      </c>
      <c r="AH203" s="1" t="s">
        <v>74</v>
      </c>
      <c r="AI203" s="1" t="s">
        <v>74</v>
      </c>
      <c r="AJ203" s="1" t="s">
        <v>74</v>
      </c>
      <c r="AK203" s="1" t="s">
        <v>74</v>
      </c>
      <c r="AL203" s="1" t="s">
        <v>74</v>
      </c>
      <c r="AM203" s="1" t="s">
        <v>74</v>
      </c>
      <c r="AN203" s="1" t="s">
        <v>74</v>
      </c>
      <c r="AO203" s="1" t="s">
        <v>2129</v>
      </c>
      <c r="AP203" s="1" t="s">
        <v>74</v>
      </c>
      <c r="AQ203" s="1" t="s">
        <v>74</v>
      </c>
      <c r="AR203" s="1" t="s">
        <v>74</v>
      </c>
      <c r="AS203" s="1" t="s">
        <v>74</v>
      </c>
      <c r="AT203" s="1" t="s">
        <v>74</v>
      </c>
      <c r="AU203" s="1">
        <v>2014.0</v>
      </c>
      <c r="AV203" s="1">
        <v>8.0</v>
      </c>
      <c r="AW203" s="1" t="s">
        <v>74</v>
      </c>
      <c r="AX203" s="1" t="s">
        <v>74</v>
      </c>
      <c r="AY203" s="1" t="s">
        <v>74</v>
      </c>
      <c r="AZ203" s="1" t="s">
        <v>74</v>
      </c>
      <c r="BA203" s="1" t="s">
        <v>74</v>
      </c>
      <c r="BB203" s="1">
        <v>2090.0</v>
      </c>
      <c r="BC203" s="1">
        <v>2112.0</v>
      </c>
      <c r="BD203" s="1" t="s">
        <v>74</v>
      </c>
      <c r="BE203" s="1" t="s">
        <v>74</v>
      </c>
      <c r="BF203" s="1" t="s">
        <v>74</v>
      </c>
      <c r="BG203" s="1" t="s">
        <v>74</v>
      </c>
      <c r="BH203" s="1" t="s">
        <v>74</v>
      </c>
      <c r="BI203" s="1" t="s">
        <v>74</v>
      </c>
      <c r="BJ203" s="1" t="s">
        <v>74</v>
      </c>
      <c r="BK203" s="1" t="s">
        <v>74</v>
      </c>
      <c r="BL203" s="1" t="s">
        <v>74</v>
      </c>
      <c r="BM203" s="1" t="s">
        <v>74</v>
      </c>
      <c r="BN203" s="1" t="s">
        <v>74</v>
      </c>
      <c r="BO203" s="1" t="s">
        <v>74</v>
      </c>
      <c r="BP203" s="1" t="s">
        <v>74</v>
      </c>
      <c r="BQ203" s="1" t="s">
        <v>74</v>
      </c>
      <c r="BR203" s="1" t="s">
        <v>74</v>
      </c>
      <c r="BS203" s="1" t="s">
        <v>2130</v>
      </c>
      <c r="BT203" s="1" t="str">
        <f>HYPERLINK("https%3A%2F%2Fwww.webofscience.com%2Fwos%2Fwoscc%2Ffull-record%2FWOS:000349010500048","View Full Record in Web of Science")</f>
        <v>View Full Record in Web of Science</v>
      </c>
    </row>
    <row r="204" ht="12.75" customHeight="1">
      <c r="A204" s="1" t="s">
        <v>72</v>
      </c>
      <c r="B204" s="1" t="s">
        <v>2131</v>
      </c>
      <c r="C204" s="1" t="s">
        <v>74</v>
      </c>
      <c r="D204" s="1" t="s">
        <v>74</v>
      </c>
      <c r="E204" s="1" t="s">
        <v>74</v>
      </c>
      <c r="F204" s="1" t="s">
        <v>2132</v>
      </c>
      <c r="G204" s="1" t="s">
        <v>74</v>
      </c>
      <c r="H204" s="1" t="s">
        <v>74</v>
      </c>
      <c r="I204" s="1" t="s">
        <v>2133</v>
      </c>
      <c r="J204" s="1" t="s">
        <v>2134</v>
      </c>
      <c r="K204" s="1" t="s">
        <v>74</v>
      </c>
      <c r="L204" s="1" t="s">
        <v>74</v>
      </c>
      <c r="M204" s="1" t="s">
        <v>74</v>
      </c>
      <c r="N204" s="1" t="s">
        <v>74</v>
      </c>
      <c r="O204" s="1" t="s">
        <v>74</v>
      </c>
      <c r="P204" s="1" t="s">
        <v>74</v>
      </c>
      <c r="Q204" s="1" t="s">
        <v>74</v>
      </c>
      <c r="R204" s="1" t="s">
        <v>74</v>
      </c>
      <c r="S204" s="1" t="s">
        <v>74</v>
      </c>
      <c r="T204" s="1" t="s">
        <v>74</v>
      </c>
      <c r="U204" s="1" t="s">
        <v>74</v>
      </c>
      <c r="V204" s="1" t="s">
        <v>2135</v>
      </c>
      <c r="W204" s="1" t="s">
        <v>74</v>
      </c>
      <c r="X204" s="1" t="s">
        <v>74</v>
      </c>
      <c r="Y204" s="1" t="s">
        <v>74</v>
      </c>
      <c r="Z204" s="1" t="s">
        <v>74</v>
      </c>
      <c r="AA204" s="1" t="s">
        <v>2136</v>
      </c>
      <c r="AB204" s="1" t="s">
        <v>2137</v>
      </c>
      <c r="AC204" s="1" t="s">
        <v>74</v>
      </c>
      <c r="AD204" s="1" t="s">
        <v>74</v>
      </c>
      <c r="AE204" s="1" t="s">
        <v>74</v>
      </c>
      <c r="AF204" s="1" t="s">
        <v>74</v>
      </c>
      <c r="AG204" s="1" t="s">
        <v>74</v>
      </c>
      <c r="AH204" s="1" t="s">
        <v>74</v>
      </c>
      <c r="AI204" s="1" t="s">
        <v>74</v>
      </c>
      <c r="AJ204" s="1" t="s">
        <v>74</v>
      </c>
      <c r="AK204" s="1" t="s">
        <v>74</v>
      </c>
      <c r="AL204" s="1" t="s">
        <v>74</v>
      </c>
      <c r="AM204" s="1" t="s">
        <v>74</v>
      </c>
      <c r="AN204" s="1" t="s">
        <v>74</v>
      </c>
      <c r="AO204" s="1" t="s">
        <v>2138</v>
      </c>
      <c r="AP204" s="1" t="s">
        <v>2139</v>
      </c>
      <c r="AQ204" s="1" t="s">
        <v>74</v>
      </c>
      <c r="AR204" s="1" t="s">
        <v>74</v>
      </c>
      <c r="AS204" s="1" t="s">
        <v>74</v>
      </c>
      <c r="AT204" s="1" t="s">
        <v>1049</v>
      </c>
      <c r="AU204" s="1">
        <v>2013.0</v>
      </c>
      <c r="AV204" s="1">
        <v>86.0</v>
      </c>
      <c r="AW204" s="1">
        <v>11.0</v>
      </c>
      <c r="AX204" s="1" t="s">
        <v>74</v>
      </c>
      <c r="AY204" s="1" t="s">
        <v>74</v>
      </c>
      <c r="AZ204" s="1" t="s">
        <v>74</v>
      </c>
      <c r="BA204" s="1" t="s">
        <v>74</v>
      </c>
      <c r="BB204" s="1">
        <v>1791.0</v>
      </c>
      <c r="BC204" s="1">
        <v>1797.0</v>
      </c>
      <c r="BD204" s="1" t="s">
        <v>74</v>
      </c>
      <c r="BE204" s="1" t="s">
        <v>2140</v>
      </c>
      <c r="BF204" s="2" t="str">
        <f>HYPERLINK("http://dx.doi.org/10.1134/S1070427213110268","http://dx.doi.org/10.1134/S1070427213110268")</f>
        <v>http://dx.doi.org/10.1134/S1070427213110268</v>
      </c>
      <c r="BG204" s="1" t="s">
        <v>74</v>
      </c>
      <c r="BH204" s="1" t="s">
        <v>74</v>
      </c>
      <c r="BI204" s="1" t="s">
        <v>74</v>
      </c>
      <c r="BJ204" s="1" t="s">
        <v>74</v>
      </c>
      <c r="BK204" s="1" t="s">
        <v>74</v>
      </c>
      <c r="BL204" s="1" t="s">
        <v>74</v>
      </c>
      <c r="BM204" s="1" t="s">
        <v>74</v>
      </c>
      <c r="BN204" s="1" t="s">
        <v>74</v>
      </c>
      <c r="BO204" s="1" t="s">
        <v>74</v>
      </c>
      <c r="BP204" s="1" t="s">
        <v>74</v>
      </c>
      <c r="BQ204" s="1" t="s">
        <v>74</v>
      </c>
      <c r="BR204" s="1" t="s">
        <v>74</v>
      </c>
      <c r="BS204" s="1" t="s">
        <v>2141</v>
      </c>
      <c r="BT204" s="1" t="str">
        <f>HYPERLINK("https%3A%2F%2Fwww.webofscience.com%2Fwos%2Fwoscc%2Ffull-record%2FWOS:000330996400026","View Full Record in Web of Science")</f>
        <v>View Full Record in Web of Science</v>
      </c>
    </row>
    <row r="205" ht="12.75" customHeight="1">
      <c r="A205" s="1" t="s">
        <v>72</v>
      </c>
      <c r="B205" s="1" t="s">
        <v>2142</v>
      </c>
      <c r="C205" s="1" t="s">
        <v>74</v>
      </c>
      <c r="D205" s="1" t="s">
        <v>74</v>
      </c>
      <c r="E205" s="1" t="s">
        <v>74</v>
      </c>
      <c r="F205" s="1" t="s">
        <v>2143</v>
      </c>
      <c r="G205" s="1" t="s">
        <v>74</v>
      </c>
      <c r="H205" s="1" t="s">
        <v>74</v>
      </c>
      <c r="I205" s="1" t="s">
        <v>2144</v>
      </c>
      <c r="J205" s="1" t="s">
        <v>2145</v>
      </c>
      <c r="K205" s="1" t="s">
        <v>74</v>
      </c>
      <c r="L205" s="1" t="s">
        <v>74</v>
      </c>
      <c r="M205" s="1" t="s">
        <v>74</v>
      </c>
      <c r="N205" s="1" t="s">
        <v>74</v>
      </c>
      <c r="O205" s="1" t="s">
        <v>74</v>
      </c>
      <c r="P205" s="1" t="s">
        <v>74</v>
      </c>
      <c r="Q205" s="1" t="s">
        <v>74</v>
      </c>
      <c r="R205" s="1" t="s">
        <v>74</v>
      </c>
      <c r="S205" s="1" t="s">
        <v>74</v>
      </c>
      <c r="T205" s="1" t="s">
        <v>74</v>
      </c>
      <c r="U205" s="1" t="s">
        <v>74</v>
      </c>
      <c r="V205" s="1" t="s">
        <v>74</v>
      </c>
      <c r="W205" s="1" t="s">
        <v>74</v>
      </c>
      <c r="X205" s="1" t="s">
        <v>74</v>
      </c>
      <c r="Y205" s="1" t="s">
        <v>74</v>
      </c>
      <c r="Z205" s="1" t="s">
        <v>74</v>
      </c>
      <c r="AA205" s="1" t="s">
        <v>2146</v>
      </c>
      <c r="AB205" s="1" t="s">
        <v>2147</v>
      </c>
      <c r="AC205" s="1" t="s">
        <v>74</v>
      </c>
      <c r="AD205" s="1" t="s">
        <v>74</v>
      </c>
      <c r="AE205" s="1" t="s">
        <v>74</v>
      </c>
      <c r="AF205" s="1" t="s">
        <v>74</v>
      </c>
      <c r="AG205" s="1" t="s">
        <v>74</v>
      </c>
      <c r="AH205" s="1" t="s">
        <v>74</v>
      </c>
      <c r="AI205" s="1" t="s">
        <v>74</v>
      </c>
      <c r="AJ205" s="1" t="s">
        <v>74</v>
      </c>
      <c r="AK205" s="1" t="s">
        <v>74</v>
      </c>
      <c r="AL205" s="1" t="s">
        <v>74</v>
      </c>
      <c r="AM205" s="1" t="s">
        <v>74</v>
      </c>
      <c r="AN205" s="1" t="s">
        <v>74</v>
      </c>
      <c r="AO205" s="1" t="s">
        <v>2148</v>
      </c>
      <c r="AP205" s="1" t="s">
        <v>2149</v>
      </c>
      <c r="AQ205" s="1" t="s">
        <v>74</v>
      </c>
      <c r="AR205" s="1" t="s">
        <v>74</v>
      </c>
      <c r="AS205" s="1" t="s">
        <v>74</v>
      </c>
      <c r="AT205" s="1" t="s">
        <v>215</v>
      </c>
      <c r="AU205" s="1">
        <v>2013.0</v>
      </c>
      <c r="AV205" s="1">
        <v>274.0</v>
      </c>
      <c r="AW205" s="1" t="s">
        <v>2150</v>
      </c>
      <c r="AX205" s="1" t="s">
        <v>74</v>
      </c>
      <c r="AY205" s="1" t="s">
        <v>74</v>
      </c>
      <c r="AZ205" s="1" t="s">
        <v>74</v>
      </c>
      <c r="BA205" s="1" t="s">
        <v>74</v>
      </c>
      <c r="BB205" s="1">
        <v>315.0</v>
      </c>
      <c r="BC205" s="1">
        <v>321.0</v>
      </c>
      <c r="BD205" s="1" t="s">
        <v>74</v>
      </c>
      <c r="BE205" s="1" t="s">
        <v>2151</v>
      </c>
      <c r="BF205" s="2" t="str">
        <f>HYPERLINK("http://dx.doi.org/10.1007/s00209-012-1071-3","http://dx.doi.org/10.1007/s00209-012-1071-3")</f>
        <v>http://dx.doi.org/10.1007/s00209-012-1071-3</v>
      </c>
      <c r="BG205" s="1" t="s">
        <v>74</v>
      </c>
      <c r="BH205" s="1" t="s">
        <v>74</v>
      </c>
      <c r="BI205" s="1" t="s">
        <v>74</v>
      </c>
      <c r="BJ205" s="1" t="s">
        <v>74</v>
      </c>
      <c r="BK205" s="1" t="s">
        <v>74</v>
      </c>
      <c r="BL205" s="1" t="s">
        <v>74</v>
      </c>
      <c r="BM205" s="1" t="s">
        <v>74</v>
      </c>
      <c r="BN205" s="1" t="s">
        <v>74</v>
      </c>
      <c r="BO205" s="1" t="s">
        <v>74</v>
      </c>
      <c r="BP205" s="1" t="s">
        <v>74</v>
      </c>
      <c r="BQ205" s="1" t="s">
        <v>74</v>
      </c>
      <c r="BR205" s="1" t="s">
        <v>74</v>
      </c>
      <c r="BS205" s="1" t="s">
        <v>2152</v>
      </c>
      <c r="BT205" s="1" t="str">
        <f>HYPERLINK("https%3A%2F%2Fwww.webofscience.com%2Fwos%2Fwoscc%2Ffull-record%2FWOS:000319004900017","View Full Record in Web of Science")</f>
        <v>View Full Record in Web of Science</v>
      </c>
    </row>
    <row r="206" ht="12.75" customHeight="1">
      <c r="A206" s="1" t="s">
        <v>72</v>
      </c>
      <c r="B206" s="1" t="s">
        <v>2153</v>
      </c>
      <c r="C206" s="1" t="s">
        <v>74</v>
      </c>
      <c r="D206" s="1" t="s">
        <v>74</v>
      </c>
      <c r="E206" s="1" t="s">
        <v>74</v>
      </c>
      <c r="F206" s="1" t="s">
        <v>2154</v>
      </c>
      <c r="G206" s="1" t="s">
        <v>74</v>
      </c>
      <c r="H206" s="1" t="s">
        <v>74</v>
      </c>
      <c r="I206" s="1" t="s">
        <v>2155</v>
      </c>
      <c r="J206" s="1" t="s">
        <v>2156</v>
      </c>
      <c r="K206" s="1" t="s">
        <v>74</v>
      </c>
      <c r="L206" s="1" t="s">
        <v>74</v>
      </c>
      <c r="M206" s="1" t="s">
        <v>74</v>
      </c>
      <c r="N206" s="1" t="s">
        <v>74</v>
      </c>
      <c r="O206" s="1" t="s">
        <v>74</v>
      </c>
      <c r="P206" s="1" t="s">
        <v>74</v>
      </c>
      <c r="Q206" s="1" t="s">
        <v>74</v>
      </c>
      <c r="R206" s="1" t="s">
        <v>74</v>
      </c>
      <c r="S206" s="1" t="s">
        <v>74</v>
      </c>
      <c r="T206" s="1" t="s">
        <v>74</v>
      </c>
      <c r="U206" s="1" t="s">
        <v>74</v>
      </c>
      <c r="V206" s="1" t="s">
        <v>2157</v>
      </c>
      <c r="W206" s="1" t="s">
        <v>74</v>
      </c>
      <c r="X206" s="1" t="s">
        <v>74</v>
      </c>
      <c r="Y206" s="1" t="s">
        <v>74</v>
      </c>
      <c r="Z206" s="1" t="s">
        <v>74</v>
      </c>
      <c r="AA206" s="1" t="s">
        <v>2158</v>
      </c>
      <c r="AB206" s="1" t="s">
        <v>2159</v>
      </c>
      <c r="AC206" s="1" t="s">
        <v>74</v>
      </c>
      <c r="AD206" s="1" t="s">
        <v>74</v>
      </c>
      <c r="AE206" s="1" t="s">
        <v>74</v>
      </c>
      <c r="AF206" s="1" t="s">
        <v>74</v>
      </c>
      <c r="AG206" s="1" t="s">
        <v>74</v>
      </c>
      <c r="AH206" s="1" t="s">
        <v>74</v>
      </c>
      <c r="AI206" s="1" t="s">
        <v>74</v>
      </c>
      <c r="AJ206" s="1" t="s">
        <v>74</v>
      </c>
      <c r="AK206" s="1" t="s">
        <v>74</v>
      </c>
      <c r="AL206" s="1" t="s">
        <v>74</v>
      </c>
      <c r="AM206" s="1" t="s">
        <v>74</v>
      </c>
      <c r="AN206" s="1" t="s">
        <v>74</v>
      </c>
      <c r="AO206" s="1" t="s">
        <v>2160</v>
      </c>
      <c r="AP206" s="1" t="s">
        <v>2161</v>
      </c>
      <c r="AQ206" s="1" t="s">
        <v>74</v>
      </c>
      <c r="AR206" s="1" t="s">
        <v>74</v>
      </c>
      <c r="AS206" s="1" t="s">
        <v>74</v>
      </c>
      <c r="AT206" s="1" t="s">
        <v>360</v>
      </c>
      <c r="AU206" s="1">
        <v>2013.0</v>
      </c>
      <c r="AV206" s="1">
        <v>82.0</v>
      </c>
      <c r="AW206" s="1">
        <v>2.0</v>
      </c>
      <c r="AX206" s="1" t="s">
        <v>74</v>
      </c>
      <c r="AY206" s="1" t="s">
        <v>74</v>
      </c>
      <c r="AZ206" s="1" t="s">
        <v>74</v>
      </c>
      <c r="BA206" s="1" t="s">
        <v>74</v>
      </c>
      <c r="BB206" s="1">
        <v>303.0</v>
      </c>
      <c r="BC206" s="1">
        <v>321.0</v>
      </c>
      <c r="BD206" s="1" t="s">
        <v>74</v>
      </c>
      <c r="BE206" s="1" t="s">
        <v>2162</v>
      </c>
      <c r="BF206" s="2" t="str">
        <f>HYPERLINK("http://dx.doi.org/10.1007/s10649-012-9427-5","http://dx.doi.org/10.1007/s10649-012-9427-5")</f>
        <v>http://dx.doi.org/10.1007/s10649-012-9427-5</v>
      </c>
      <c r="BG206" s="1" t="s">
        <v>74</v>
      </c>
      <c r="BH206" s="1" t="s">
        <v>74</v>
      </c>
      <c r="BI206" s="1" t="s">
        <v>74</v>
      </c>
      <c r="BJ206" s="1" t="s">
        <v>74</v>
      </c>
      <c r="BK206" s="1" t="s">
        <v>74</v>
      </c>
      <c r="BL206" s="1" t="s">
        <v>74</v>
      </c>
      <c r="BM206" s="1" t="s">
        <v>74</v>
      </c>
      <c r="BN206" s="1" t="s">
        <v>74</v>
      </c>
      <c r="BO206" s="1" t="s">
        <v>74</v>
      </c>
      <c r="BP206" s="1" t="s">
        <v>74</v>
      </c>
      <c r="BQ206" s="1" t="s">
        <v>74</v>
      </c>
      <c r="BR206" s="1" t="s">
        <v>74</v>
      </c>
      <c r="BS206" s="1" t="s">
        <v>2163</v>
      </c>
      <c r="BT206" s="1" t="str">
        <f>HYPERLINK("https%3A%2F%2Fwww.webofscience.com%2Fwos%2Fwoscc%2Ffull-record%2FWOS:000313652400008","View Full Record in Web of Science")</f>
        <v>View Full Record in Web of Science</v>
      </c>
    </row>
    <row r="207" ht="12.75" customHeight="1">
      <c r="A207" s="1" t="s">
        <v>72</v>
      </c>
      <c r="B207" s="1" t="s">
        <v>2164</v>
      </c>
      <c r="C207" s="1" t="s">
        <v>74</v>
      </c>
      <c r="D207" s="1" t="s">
        <v>74</v>
      </c>
      <c r="E207" s="1" t="s">
        <v>74</v>
      </c>
      <c r="F207" s="1" t="s">
        <v>2165</v>
      </c>
      <c r="G207" s="1" t="s">
        <v>74</v>
      </c>
      <c r="H207" s="1" t="s">
        <v>74</v>
      </c>
      <c r="I207" s="1" t="s">
        <v>2166</v>
      </c>
      <c r="J207" s="1" t="s">
        <v>2167</v>
      </c>
      <c r="K207" s="1" t="s">
        <v>74</v>
      </c>
      <c r="L207" s="1" t="s">
        <v>74</v>
      </c>
      <c r="M207" s="1" t="s">
        <v>74</v>
      </c>
      <c r="N207" s="1" t="s">
        <v>74</v>
      </c>
      <c r="O207" s="1" t="s">
        <v>74</v>
      </c>
      <c r="P207" s="1" t="s">
        <v>74</v>
      </c>
      <c r="Q207" s="1" t="s">
        <v>74</v>
      </c>
      <c r="R207" s="1" t="s">
        <v>74</v>
      </c>
      <c r="S207" s="1" t="s">
        <v>74</v>
      </c>
      <c r="T207" s="1" t="s">
        <v>74</v>
      </c>
      <c r="U207" s="1" t="s">
        <v>74</v>
      </c>
      <c r="V207" s="1" t="s">
        <v>2168</v>
      </c>
      <c r="W207" s="1" t="s">
        <v>74</v>
      </c>
      <c r="X207" s="1" t="s">
        <v>74</v>
      </c>
      <c r="Y207" s="1" t="s">
        <v>74</v>
      </c>
      <c r="Z207" s="1" t="s">
        <v>74</v>
      </c>
      <c r="AA207" s="1" t="s">
        <v>2169</v>
      </c>
      <c r="AB207" s="1" t="s">
        <v>604</v>
      </c>
      <c r="AC207" s="1" t="s">
        <v>74</v>
      </c>
      <c r="AD207" s="1" t="s">
        <v>74</v>
      </c>
      <c r="AE207" s="1" t="s">
        <v>74</v>
      </c>
      <c r="AF207" s="1" t="s">
        <v>74</v>
      </c>
      <c r="AG207" s="1" t="s">
        <v>74</v>
      </c>
      <c r="AH207" s="1" t="s">
        <v>74</v>
      </c>
      <c r="AI207" s="1" t="s">
        <v>74</v>
      </c>
      <c r="AJ207" s="1" t="s">
        <v>74</v>
      </c>
      <c r="AK207" s="1" t="s">
        <v>74</v>
      </c>
      <c r="AL207" s="1" t="s">
        <v>74</v>
      </c>
      <c r="AM207" s="1" t="s">
        <v>74</v>
      </c>
      <c r="AN207" s="1" t="s">
        <v>74</v>
      </c>
      <c r="AO207" s="1" t="s">
        <v>2170</v>
      </c>
      <c r="AP207" s="1" t="s">
        <v>2171</v>
      </c>
      <c r="AQ207" s="1" t="s">
        <v>74</v>
      </c>
      <c r="AR207" s="1" t="s">
        <v>74</v>
      </c>
      <c r="AS207" s="1" t="s">
        <v>74</v>
      </c>
      <c r="AT207" s="1" t="s">
        <v>1829</v>
      </c>
      <c r="AU207" s="1">
        <v>2013.0</v>
      </c>
      <c r="AV207" s="1">
        <v>39.0</v>
      </c>
      <c r="AW207" s="1">
        <v>1.0</v>
      </c>
      <c r="AX207" s="1" t="s">
        <v>74</v>
      </c>
      <c r="AY207" s="1" t="s">
        <v>74</v>
      </c>
      <c r="AZ207" s="1" t="s">
        <v>74</v>
      </c>
      <c r="BA207" s="1" t="s">
        <v>74</v>
      </c>
      <c r="BB207" s="1">
        <v>8.0</v>
      </c>
      <c r="BC207" s="1">
        <v>31.0</v>
      </c>
      <c r="BD207" s="1" t="s">
        <v>74</v>
      </c>
      <c r="BE207" s="1" t="s">
        <v>2172</v>
      </c>
      <c r="BF207" s="2" t="str">
        <f>HYPERLINK("http://dx.doi.org/10.15448/1980-864X.2013.1.15961","http://dx.doi.org/10.15448/1980-864X.2013.1.15961")</f>
        <v>http://dx.doi.org/10.15448/1980-864X.2013.1.15961</v>
      </c>
      <c r="BG207" s="1" t="s">
        <v>74</v>
      </c>
      <c r="BH207" s="1" t="s">
        <v>74</v>
      </c>
      <c r="BI207" s="1" t="s">
        <v>74</v>
      </c>
      <c r="BJ207" s="1" t="s">
        <v>74</v>
      </c>
      <c r="BK207" s="1" t="s">
        <v>74</v>
      </c>
      <c r="BL207" s="1" t="s">
        <v>74</v>
      </c>
      <c r="BM207" s="1" t="s">
        <v>74</v>
      </c>
      <c r="BN207" s="1" t="s">
        <v>74</v>
      </c>
      <c r="BO207" s="1" t="s">
        <v>74</v>
      </c>
      <c r="BP207" s="1" t="s">
        <v>74</v>
      </c>
      <c r="BQ207" s="1" t="s">
        <v>74</v>
      </c>
      <c r="BR207" s="1" t="s">
        <v>74</v>
      </c>
      <c r="BS207" s="1" t="s">
        <v>2173</v>
      </c>
      <c r="BT207" s="1" t="str">
        <f>HYPERLINK("https%3A%2F%2Fwww.webofscience.com%2Fwos%2Fwoscc%2Ffull-record%2FWOS:000343739300002","View Full Record in Web of Science")</f>
        <v>View Full Record in Web of Science</v>
      </c>
    </row>
    <row r="208" ht="12.75" customHeight="1">
      <c r="A208" s="1" t="s">
        <v>251</v>
      </c>
      <c r="B208" s="1" t="s">
        <v>2174</v>
      </c>
      <c r="C208" s="1" t="s">
        <v>74</v>
      </c>
      <c r="D208" s="1" t="s">
        <v>2175</v>
      </c>
      <c r="E208" s="1" t="s">
        <v>74</v>
      </c>
      <c r="F208" s="1" t="s">
        <v>2176</v>
      </c>
      <c r="G208" s="1" t="s">
        <v>74</v>
      </c>
      <c r="H208" s="1" t="s">
        <v>74</v>
      </c>
      <c r="I208" s="1" t="s">
        <v>2177</v>
      </c>
      <c r="J208" s="1" t="s">
        <v>2178</v>
      </c>
      <c r="K208" s="1" t="s">
        <v>467</v>
      </c>
      <c r="L208" s="1" t="s">
        <v>74</v>
      </c>
      <c r="M208" s="1" t="s">
        <v>74</v>
      </c>
      <c r="N208" s="1" t="s">
        <v>74</v>
      </c>
      <c r="O208" s="1" t="s">
        <v>2179</v>
      </c>
      <c r="P208" s="1" t="s">
        <v>2180</v>
      </c>
      <c r="Q208" s="1" t="s">
        <v>2181</v>
      </c>
      <c r="R208" s="1" t="s">
        <v>2182</v>
      </c>
      <c r="S208" s="1" t="s">
        <v>74</v>
      </c>
      <c r="T208" s="1" t="s">
        <v>74</v>
      </c>
      <c r="U208" s="1" t="s">
        <v>74</v>
      </c>
      <c r="V208" s="1" t="s">
        <v>2183</v>
      </c>
      <c r="W208" s="1" t="s">
        <v>74</v>
      </c>
      <c r="X208" s="1" t="s">
        <v>74</v>
      </c>
      <c r="Y208" s="1" t="s">
        <v>74</v>
      </c>
      <c r="Z208" s="1" t="s">
        <v>74</v>
      </c>
      <c r="AA208" s="1" t="s">
        <v>2184</v>
      </c>
      <c r="AB208" s="1" t="s">
        <v>74</v>
      </c>
      <c r="AC208" s="1" t="s">
        <v>74</v>
      </c>
      <c r="AD208" s="1" t="s">
        <v>74</v>
      </c>
      <c r="AE208" s="1" t="s">
        <v>74</v>
      </c>
      <c r="AF208" s="1" t="s">
        <v>74</v>
      </c>
      <c r="AG208" s="1" t="s">
        <v>74</v>
      </c>
      <c r="AH208" s="1" t="s">
        <v>74</v>
      </c>
      <c r="AI208" s="1" t="s">
        <v>74</v>
      </c>
      <c r="AJ208" s="1" t="s">
        <v>74</v>
      </c>
      <c r="AK208" s="1" t="s">
        <v>74</v>
      </c>
      <c r="AL208" s="1" t="s">
        <v>74</v>
      </c>
      <c r="AM208" s="1" t="s">
        <v>74</v>
      </c>
      <c r="AN208" s="1" t="s">
        <v>74</v>
      </c>
      <c r="AO208" s="1" t="s">
        <v>475</v>
      </c>
      <c r="AP208" s="1" t="s">
        <v>74</v>
      </c>
      <c r="AQ208" s="1" t="s">
        <v>74</v>
      </c>
      <c r="AR208" s="1" t="s">
        <v>74</v>
      </c>
      <c r="AS208" s="1" t="s">
        <v>74</v>
      </c>
      <c r="AT208" s="1" t="s">
        <v>74</v>
      </c>
      <c r="AU208" s="1">
        <v>2013.0</v>
      </c>
      <c r="AV208" s="1">
        <v>17.0</v>
      </c>
      <c r="AW208" s="1" t="s">
        <v>74</v>
      </c>
      <c r="AX208" s="1" t="s">
        <v>74</v>
      </c>
      <c r="AY208" s="1" t="s">
        <v>74</v>
      </c>
      <c r="AZ208" s="1" t="s">
        <v>74</v>
      </c>
      <c r="BA208" s="1" t="s">
        <v>74</v>
      </c>
      <c r="BB208" s="1">
        <v>420.0</v>
      </c>
      <c r="BC208" s="1">
        <v>425.0</v>
      </c>
      <c r="BD208" s="1" t="s">
        <v>74</v>
      </c>
      <c r="BE208" s="1" t="s">
        <v>2185</v>
      </c>
      <c r="BF208" s="2" t="str">
        <f>HYPERLINK("http://dx.doi.org/10.1016/j.procs.2013.05.054","http://dx.doi.org/10.1016/j.procs.2013.05.054")</f>
        <v>http://dx.doi.org/10.1016/j.procs.2013.05.054</v>
      </c>
      <c r="BG208" s="1" t="s">
        <v>74</v>
      </c>
      <c r="BH208" s="1" t="s">
        <v>74</v>
      </c>
      <c r="BI208" s="1" t="s">
        <v>74</v>
      </c>
      <c r="BJ208" s="1" t="s">
        <v>74</v>
      </c>
      <c r="BK208" s="1" t="s">
        <v>74</v>
      </c>
      <c r="BL208" s="1" t="s">
        <v>74</v>
      </c>
      <c r="BM208" s="1" t="s">
        <v>74</v>
      </c>
      <c r="BN208" s="1" t="s">
        <v>74</v>
      </c>
      <c r="BO208" s="1" t="s">
        <v>74</v>
      </c>
      <c r="BP208" s="1" t="s">
        <v>74</v>
      </c>
      <c r="BQ208" s="1" t="s">
        <v>74</v>
      </c>
      <c r="BR208" s="1" t="s">
        <v>74</v>
      </c>
      <c r="BS208" s="1" t="s">
        <v>2186</v>
      </c>
      <c r="BT208" s="1" t="str">
        <f>HYPERLINK("https%3A%2F%2Fwww.webofscience.com%2Fwos%2Fwoscc%2Ffull-record%2FWOS:000339094400054","View Full Record in Web of Science")</f>
        <v>View Full Record in Web of Science</v>
      </c>
    </row>
    <row r="209" ht="12.75" customHeight="1">
      <c r="A209" s="1" t="s">
        <v>72</v>
      </c>
      <c r="B209" s="1" t="s">
        <v>2187</v>
      </c>
      <c r="C209" s="1" t="s">
        <v>74</v>
      </c>
      <c r="D209" s="1" t="s">
        <v>74</v>
      </c>
      <c r="E209" s="1" t="s">
        <v>74</v>
      </c>
      <c r="F209" s="1" t="s">
        <v>2188</v>
      </c>
      <c r="G209" s="1" t="s">
        <v>74</v>
      </c>
      <c r="H209" s="1" t="s">
        <v>74</v>
      </c>
      <c r="I209" s="1" t="s">
        <v>2189</v>
      </c>
      <c r="J209" s="1" t="s">
        <v>2190</v>
      </c>
      <c r="K209" s="1" t="s">
        <v>74</v>
      </c>
      <c r="L209" s="1" t="s">
        <v>74</v>
      </c>
      <c r="M209" s="1" t="s">
        <v>74</v>
      </c>
      <c r="N209" s="1" t="s">
        <v>74</v>
      </c>
      <c r="O209" s="1" t="s">
        <v>74</v>
      </c>
      <c r="P209" s="1" t="s">
        <v>74</v>
      </c>
      <c r="Q209" s="1" t="s">
        <v>74</v>
      </c>
      <c r="R209" s="1" t="s">
        <v>74</v>
      </c>
      <c r="S209" s="1" t="s">
        <v>74</v>
      </c>
      <c r="T209" s="1" t="s">
        <v>74</v>
      </c>
      <c r="U209" s="1" t="s">
        <v>74</v>
      </c>
      <c r="V209" s="1" t="s">
        <v>2191</v>
      </c>
      <c r="W209" s="1" t="s">
        <v>74</v>
      </c>
      <c r="X209" s="1" t="s">
        <v>74</v>
      </c>
      <c r="Y209" s="1" t="s">
        <v>74</v>
      </c>
      <c r="Z209" s="1" t="s">
        <v>74</v>
      </c>
      <c r="AA209" s="1" t="s">
        <v>2095</v>
      </c>
      <c r="AB209" s="1" t="s">
        <v>2192</v>
      </c>
      <c r="AC209" s="1" t="s">
        <v>74</v>
      </c>
      <c r="AD209" s="1" t="s">
        <v>74</v>
      </c>
      <c r="AE209" s="1" t="s">
        <v>74</v>
      </c>
      <c r="AF209" s="1" t="s">
        <v>74</v>
      </c>
      <c r="AG209" s="1" t="s">
        <v>74</v>
      </c>
      <c r="AH209" s="1" t="s">
        <v>74</v>
      </c>
      <c r="AI209" s="1" t="s">
        <v>74</v>
      </c>
      <c r="AJ209" s="1" t="s">
        <v>74</v>
      </c>
      <c r="AK209" s="1" t="s">
        <v>74</v>
      </c>
      <c r="AL209" s="1" t="s">
        <v>74</v>
      </c>
      <c r="AM209" s="1" t="s">
        <v>74</v>
      </c>
      <c r="AN209" s="1" t="s">
        <v>74</v>
      </c>
      <c r="AO209" s="1" t="s">
        <v>2193</v>
      </c>
      <c r="AP209" s="1" t="s">
        <v>2194</v>
      </c>
      <c r="AQ209" s="1" t="s">
        <v>74</v>
      </c>
      <c r="AR209" s="1" t="s">
        <v>74</v>
      </c>
      <c r="AS209" s="1" t="s">
        <v>74</v>
      </c>
      <c r="AT209" s="1" t="s">
        <v>110</v>
      </c>
      <c r="AU209" s="1">
        <v>2012.0</v>
      </c>
      <c r="AV209" s="1">
        <v>74.0</v>
      </c>
      <c r="AW209" s="1">
        <v>4.0</v>
      </c>
      <c r="AX209" s="1" t="s">
        <v>74</v>
      </c>
      <c r="AY209" s="1" t="s">
        <v>74</v>
      </c>
      <c r="AZ209" s="1" t="s">
        <v>74</v>
      </c>
      <c r="BA209" s="1" t="s">
        <v>74</v>
      </c>
      <c r="BB209" s="1">
        <v>513.0</v>
      </c>
      <c r="BC209" s="1">
        <v>526.0</v>
      </c>
      <c r="BD209" s="1" t="s">
        <v>74</v>
      </c>
      <c r="BE209" s="1" t="s">
        <v>2195</v>
      </c>
      <c r="BF209" s="2" t="str">
        <f>HYPERLINK("http://dx.doi.org/10.1007/s00020-012-2010-8","http://dx.doi.org/10.1007/s00020-012-2010-8")</f>
        <v>http://dx.doi.org/10.1007/s00020-012-2010-8</v>
      </c>
      <c r="BG209" s="1" t="s">
        <v>74</v>
      </c>
      <c r="BH209" s="1" t="s">
        <v>74</v>
      </c>
      <c r="BI209" s="1" t="s">
        <v>74</v>
      </c>
      <c r="BJ209" s="1" t="s">
        <v>74</v>
      </c>
      <c r="BK209" s="1" t="s">
        <v>74</v>
      </c>
      <c r="BL209" s="1" t="s">
        <v>74</v>
      </c>
      <c r="BM209" s="1" t="s">
        <v>74</v>
      </c>
      <c r="BN209" s="1" t="s">
        <v>74</v>
      </c>
      <c r="BO209" s="1" t="s">
        <v>74</v>
      </c>
      <c r="BP209" s="1" t="s">
        <v>74</v>
      </c>
      <c r="BQ209" s="1" t="s">
        <v>74</v>
      </c>
      <c r="BR209" s="1" t="s">
        <v>74</v>
      </c>
      <c r="BS209" s="1" t="s">
        <v>2196</v>
      </c>
      <c r="BT209" s="1" t="str">
        <f>HYPERLINK("https%3A%2F%2Fwww.webofscience.com%2Fwos%2Fwoscc%2Ffull-record%2FWOS:000311672700004","View Full Record in Web of Science")</f>
        <v>View Full Record in Web of Science</v>
      </c>
    </row>
    <row r="210" ht="12.75" customHeight="1">
      <c r="A210" s="1" t="s">
        <v>72</v>
      </c>
      <c r="B210" s="1" t="s">
        <v>2197</v>
      </c>
      <c r="C210" s="1" t="s">
        <v>74</v>
      </c>
      <c r="D210" s="1" t="s">
        <v>74</v>
      </c>
      <c r="E210" s="1" t="s">
        <v>74</v>
      </c>
      <c r="F210" s="1" t="s">
        <v>2198</v>
      </c>
      <c r="G210" s="1" t="s">
        <v>74</v>
      </c>
      <c r="H210" s="1" t="s">
        <v>74</v>
      </c>
      <c r="I210" s="1" t="s">
        <v>2199</v>
      </c>
      <c r="J210" s="1" t="s">
        <v>1526</v>
      </c>
      <c r="K210" s="1" t="s">
        <v>74</v>
      </c>
      <c r="L210" s="1" t="s">
        <v>74</v>
      </c>
      <c r="M210" s="1" t="s">
        <v>74</v>
      </c>
      <c r="N210" s="1" t="s">
        <v>74</v>
      </c>
      <c r="O210" s="1" t="s">
        <v>74</v>
      </c>
      <c r="P210" s="1" t="s">
        <v>74</v>
      </c>
      <c r="Q210" s="1" t="s">
        <v>74</v>
      </c>
      <c r="R210" s="1" t="s">
        <v>74</v>
      </c>
      <c r="S210" s="1" t="s">
        <v>74</v>
      </c>
      <c r="T210" s="1" t="s">
        <v>74</v>
      </c>
      <c r="U210" s="1" t="s">
        <v>74</v>
      </c>
      <c r="V210" s="1" t="s">
        <v>2200</v>
      </c>
      <c r="W210" s="1" t="s">
        <v>74</v>
      </c>
      <c r="X210" s="1" t="s">
        <v>74</v>
      </c>
      <c r="Y210" s="1" t="s">
        <v>74</v>
      </c>
      <c r="Z210" s="1" t="s">
        <v>74</v>
      </c>
      <c r="AA210" s="1" t="s">
        <v>2201</v>
      </c>
      <c r="AB210" s="1" t="s">
        <v>2202</v>
      </c>
      <c r="AC210" s="1" t="s">
        <v>74</v>
      </c>
      <c r="AD210" s="1" t="s">
        <v>74</v>
      </c>
      <c r="AE210" s="1" t="s">
        <v>74</v>
      </c>
      <c r="AF210" s="1" t="s">
        <v>74</v>
      </c>
      <c r="AG210" s="1" t="s">
        <v>74</v>
      </c>
      <c r="AH210" s="1" t="s">
        <v>74</v>
      </c>
      <c r="AI210" s="1" t="s">
        <v>74</v>
      </c>
      <c r="AJ210" s="1" t="s">
        <v>74</v>
      </c>
      <c r="AK210" s="1" t="s">
        <v>74</v>
      </c>
      <c r="AL210" s="1" t="s">
        <v>74</v>
      </c>
      <c r="AM210" s="1" t="s">
        <v>74</v>
      </c>
      <c r="AN210" s="1" t="s">
        <v>74</v>
      </c>
      <c r="AO210" s="1" t="s">
        <v>1529</v>
      </c>
      <c r="AP210" s="1" t="s">
        <v>74</v>
      </c>
      <c r="AQ210" s="1" t="s">
        <v>74</v>
      </c>
      <c r="AR210" s="1" t="s">
        <v>74</v>
      </c>
      <c r="AS210" s="1" t="s">
        <v>74</v>
      </c>
      <c r="AT210" s="1" t="s">
        <v>110</v>
      </c>
      <c r="AU210" s="1">
        <v>2012.0</v>
      </c>
      <c r="AV210" s="1">
        <v>44.0</v>
      </c>
      <c r="AW210" s="1">
        <v>12.0</v>
      </c>
      <c r="AX210" s="1" t="s">
        <v>74</v>
      </c>
      <c r="AY210" s="1" t="s">
        <v>74</v>
      </c>
      <c r="AZ210" s="1" t="s">
        <v>74</v>
      </c>
      <c r="BA210" s="1" t="s">
        <v>74</v>
      </c>
      <c r="BB210" s="1">
        <v>810.0</v>
      </c>
      <c r="BC210" s="1">
        <v>820.0</v>
      </c>
      <c r="BD210" s="1" t="s">
        <v>74</v>
      </c>
      <c r="BE210" s="1" t="s">
        <v>2203</v>
      </c>
      <c r="BF210" s="2" t="str">
        <f>HYPERLINK("http://dx.doi.org/10.1002/kin.20733","http://dx.doi.org/10.1002/kin.20733")</f>
        <v>http://dx.doi.org/10.1002/kin.20733</v>
      </c>
      <c r="BG210" s="1" t="s">
        <v>74</v>
      </c>
      <c r="BH210" s="1" t="s">
        <v>74</v>
      </c>
      <c r="BI210" s="1" t="s">
        <v>74</v>
      </c>
      <c r="BJ210" s="1" t="s">
        <v>74</v>
      </c>
      <c r="BK210" s="1" t="s">
        <v>74</v>
      </c>
      <c r="BL210" s="1" t="s">
        <v>74</v>
      </c>
      <c r="BM210" s="1" t="s">
        <v>74</v>
      </c>
      <c r="BN210" s="1" t="s">
        <v>74</v>
      </c>
      <c r="BO210" s="1" t="s">
        <v>74</v>
      </c>
      <c r="BP210" s="1" t="s">
        <v>74</v>
      </c>
      <c r="BQ210" s="1" t="s">
        <v>74</v>
      </c>
      <c r="BR210" s="1" t="s">
        <v>74</v>
      </c>
      <c r="BS210" s="1" t="s">
        <v>2204</v>
      </c>
      <c r="BT210" s="1" t="str">
        <f>HYPERLINK("https%3A%2F%2Fwww.webofscience.com%2Fwos%2Fwoscc%2Ffull-record%2FWOS:000310241700005","View Full Record in Web of Science")</f>
        <v>View Full Record in Web of Science</v>
      </c>
    </row>
    <row r="211" ht="12.75" customHeight="1">
      <c r="A211" s="1" t="s">
        <v>72</v>
      </c>
      <c r="B211" s="1" t="s">
        <v>2205</v>
      </c>
      <c r="C211" s="1" t="s">
        <v>74</v>
      </c>
      <c r="D211" s="1" t="s">
        <v>74</v>
      </c>
      <c r="E211" s="1" t="s">
        <v>74</v>
      </c>
      <c r="F211" s="1" t="s">
        <v>2206</v>
      </c>
      <c r="G211" s="1" t="s">
        <v>74</v>
      </c>
      <c r="H211" s="1" t="s">
        <v>74</v>
      </c>
      <c r="I211" s="1" t="s">
        <v>2207</v>
      </c>
      <c r="J211" s="1" t="s">
        <v>2208</v>
      </c>
      <c r="K211" s="1" t="s">
        <v>74</v>
      </c>
      <c r="L211" s="1" t="s">
        <v>74</v>
      </c>
      <c r="M211" s="1" t="s">
        <v>74</v>
      </c>
      <c r="N211" s="1" t="s">
        <v>74</v>
      </c>
      <c r="O211" s="1" t="s">
        <v>74</v>
      </c>
      <c r="P211" s="1" t="s">
        <v>74</v>
      </c>
      <c r="Q211" s="1" t="s">
        <v>74</v>
      </c>
      <c r="R211" s="1" t="s">
        <v>74</v>
      </c>
      <c r="S211" s="1" t="s">
        <v>74</v>
      </c>
      <c r="T211" s="1" t="s">
        <v>74</v>
      </c>
      <c r="U211" s="1" t="s">
        <v>74</v>
      </c>
      <c r="V211" s="1" t="s">
        <v>2209</v>
      </c>
      <c r="W211" s="1" t="s">
        <v>74</v>
      </c>
      <c r="X211" s="1" t="s">
        <v>74</v>
      </c>
      <c r="Y211" s="1" t="s">
        <v>74</v>
      </c>
      <c r="Z211" s="1" t="s">
        <v>74</v>
      </c>
      <c r="AA211" s="1" t="s">
        <v>74</v>
      </c>
      <c r="AB211" s="1" t="s">
        <v>2210</v>
      </c>
      <c r="AC211" s="1" t="s">
        <v>74</v>
      </c>
      <c r="AD211" s="1" t="s">
        <v>74</v>
      </c>
      <c r="AE211" s="1" t="s">
        <v>74</v>
      </c>
      <c r="AF211" s="1" t="s">
        <v>74</v>
      </c>
      <c r="AG211" s="1" t="s">
        <v>74</v>
      </c>
      <c r="AH211" s="1" t="s">
        <v>74</v>
      </c>
      <c r="AI211" s="1" t="s">
        <v>74</v>
      </c>
      <c r="AJ211" s="1" t="s">
        <v>74</v>
      </c>
      <c r="AK211" s="1" t="s">
        <v>74</v>
      </c>
      <c r="AL211" s="1" t="s">
        <v>74</v>
      </c>
      <c r="AM211" s="1" t="s">
        <v>74</v>
      </c>
      <c r="AN211" s="1" t="s">
        <v>74</v>
      </c>
      <c r="AO211" s="1" t="s">
        <v>2211</v>
      </c>
      <c r="AP211" s="1" t="s">
        <v>2212</v>
      </c>
      <c r="AQ211" s="1" t="s">
        <v>74</v>
      </c>
      <c r="AR211" s="1" t="s">
        <v>74</v>
      </c>
      <c r="AS211" s="1" t="s">
        <v>74</v>
      </c>
      <c r="AT211" s="1" t="s">
        <v>459</v>
      </c>
      <c r="AU211" s="1">
        <v>2012.0</v>
      </c>
      <c r="AV211" s="1">
        <v>72.0</v>
      </c>
      <c r="AW211" s="1">
        <v>9.0</v>
      </c>
      <c r="AX211" s="1" t="s">
        <v>74</v>
      </c>
      <c r="AY211" s="1" t="s">
        <v>74</v>
      </c>
      <c r="AZ211" s="1" t="s">
        <v>74</v>
      </c>
      <c r="BA211" s="1" t="s">
        <v>74</v>
      </c>
      <c r="BB211" s="1" t="s">
        <v>74</v>
      </c>
      <c r="BC211" s="1" t="s">
        <v>74</v>
      </c>
      <c r="BD211" s="1">
        <v>2150.0</v>
      </c>
      <c r="BE211" s="1" t="s">
        <v>2213</v>
      </c>
      <c r="BF211" s="2" t="str">
        <f>HYPERLINK("http://dx.doi.org/10.1140/epjc/s10052-012-2150-7","http://dx.doi.org/10.1140/epjc/s10052-012-2150-7")</f>
        <v>http://dx.doi.org/10.1140/epjc/s10052-012-2150-7</v>
      </c>
      <c r="BG211" s="1" t="s">
        <v>74</v>
      </c>
      <c r="BH211" s="1" t="s">
        <v>74</v>
      </c>
      <c r="BI211" s="1" t="s">
        <v>74</v>
      </c>
      <c r="BJ211" s="1" t="s">
        <v>74</v>
      </c>
      <c r="BK211" s="1" t="s">
        <v>74</v>
      </c>
      <c r="BL211" s="1" t="s">
        <v>74</v>
      </c>
      <c r="BM211" s="1" t="s">
        <v>74</v>
      </c>
      <c r="BN211" s="1" t="s">
        <v>74</v>
      </c>
      <c r="BO211" s="1" t="s">
        <v>74</v>
      </c>
      <c r="BP211" s="1" t="s">
        <v>74</v>
      </c>
      <c r="BQ211" s="1" t="s">
        <v>74</v>
      </c>
      <c r="BR211" s="1" t="s">
        <v>74</v>
      </c>
      <c r="BS211" s="1" t="s">
        <v>2214</v>
      </c>
      <c r="BT211" s="1" t="str">
        <f>HYPERLINK("https%3A%2F%2Fwww.webofscience.com%2Fwos%2Fwoscc%2Ffull-record%2FWOS:000309707300017","View Full Record in Web of Science")</f>
        <v>View Full Record in Web of Science</v>
      </c>
    </row>
    <row r="212" ht="12.75" customHeight="1">
      <c r="A212" s="1" t="s">
        <v>72</v>
      </c>
      <c r="B212" s="1" t="s">
        <v>2215</v>
      </c>
      <c r="C212" s="1" t="s">
        <v>74</v>
      </c>
      <c r="D212" s="1" t="s">
        <v>74</v>
      </c>
      <c r="E212" s="1" t="s">
        <v>74</v>
      </c>
      <c r="F212" s="1" t="s">
        <v>2216</v>
      </c>
      <c r="G212" s="1" t="s">
        <v>74</v>
      </c>
      <c r="H212" s="1" t="s">
        <v>74</v>
      </c>
      <c r="I212" s="1" t="s">
        <v>2217</v>
      </c>
      <c r="J212" s="1" t="s">
        <v>2218</v>
      </c>
      <c r="K212" s="1" t="s">
        <v>74</v>
      </c>
      <c r="L212" s="1" t="s">
        <v>74</v>
      </c>
      <c r="M212" s="1" t="s">
        <v>74</v>
      </c>
      <c r="N212" s="1" t="s">
        <v>74</v>
      </c>
      <c r="O212" s="1" t="s">
        <v>74</v>
      </c>
      <c r="P212" s="1" t="s">
        <v>74</v>
      </c>
      <c r="Q212" s="1" t="s">
        <v>74</v>
      </c>
      <c r="R212" s="1" t="s">
        <v>74</v>
      </c>
      <c r="S212" s="1" t="s">
        <v>74</v>
      </c>
      <c r="T212" s="1" t="s">
        <v>74</v>
      </c>
      <c r="U212" s="1" t="s">
        <v>74</v>
      </c>
      <c r="V212" s="1" t="s">
        <v>2219</v>
      </c>
      <c r="W212" s="1" t="s">
        <v>74</v>
      </c>
      <c r="X212" s="1" t="s">
        <v>74</v>
      </c>
      <c r="Y212" s="1" t="s">
        <v>74</v>
      </c>
      <c r="Z212" s="1" t="s">
        <v>74</v>
      </c>
      <c r="AA212" s="1" t="s">
        <v>2220</v>
      </c>
      <c r="AB212" s="1" t="s">
        <v>2221</v>
      </c>
      <c r="AC212" s="1" t="s">
        <v>74</v>
      </c>
      <c r="AD212" s="1" t="s">
        <v>74</v>
      </c>
      <c r="AE212" s="1" t="s">
        <v>74</v>
      </c>
      <c r="AF212" s="1" t="s">
        <v>74</v>
      </c>
      <c r="AG212" s="1" t="s">
        <v>74</v>
      </c>
      <c r="AH212" s="1" t="s">
        <v>74</v>
      </c>
      <c r="AI212" s="1" t="s">
        <v>74</v>
      </c>
      <c r="AJ212" s="1" t="s">
        <v>74</v>
      </c>
      <c r="AK212" s="1" t="s">
        <v>74</v>
      </c>
      <c r="AL212" s="1" t="s">
        <v>74</v>
      </c>
      <c r="AM212" s="1" t="s">
        <v>74</v>
      </c>
      <c r="AN212" s="1" t="s">
        <v>74</v>
      </c>
      <c r="AO212" s="1" t="s">
        <v>2222</v>
      </c>
      <c r="AP212" s="1" t="s">
        <v>2223</v>
      </c>
      <c r="AQ212" s="1" t="s">
        <v>74</v>
      </c>
      <c r="AR212" s="1" t="s">
        <v>74</v>
      </c>
      <c r="AS212" s="1" t="s">
        <v>74</v>
      </c>
      <c r="AT212" s="1" t="s">
        <v>215</v>
      </c>
      <c r="AU212" s="1">
        <v>2012.0</v>
      </c>
      <c r="AV212" s="1">
        <v>35.0</v>
      </c>
      <c r="AW212" s="1">
        <v>6.0</v>
      </c>
      <c r="AX212" s="1" t="s">
        <v>74</v>
      </c>
      <c r="AY212" s="1" t="s">
        <v>74</v>
      </c>
      <c r="AZ212" s="1" t="s">
        <v>74</v>
      </c>
      <c r="BA212" s="1" t="s">
        <v>74</v>
      </c>
      <c r="BB212" s="1">
        <v>431.0</v>
      </c>
      <c r="BC212" s="1">
        <v>436.0</v>
      </c>
      <c r="BD212" s="1" t="s">
        <v>74</v>
      </c>
      <c r="BE212" s="1" t="s">
        <v>2224</v>
      </c>
      <c r="BF212" s="2" t="str">
        <f>HYPERLINK("http://dx.doi.org/10.1111/j.1365-2761.2012.01361.x","http://dx.doi.org/10.1111/j.1365-2761.2012.01361.x")</f>
        <v>http://dx.doi.org/10.1111/j.1365-2761.2012.01361.x</v>
      </c>
      <c r="BG212" s="1" t="s">
        <v>74</v>
      </c>
      <c r="BH212" s="1" t="s">
        <v>74</v>
      </c>
      <c r="BI212" s="1" t="s">
        <v>74</v>
      </c>
      <c r="BJ212" s="1" t="s">
        <v>74</v>
      </c>
      <c r="BK212" s="1" t="s">
        <v>74</v>
      </c>
      <c r="BL212" s="1" t="s">
        <v>74</v>
      </c>
      <c r="BM212" s="1" t="s">
        <v>74</v>
      </c>
      <c r="BN212" s="1">
        <v>2.2524521E7</v>
      </c>
      <c r="BO212" s="1" t="s">
        <v>74</v>
      </c>
      <c r="BP212" s="1" t="s">
        <v>74</v>
      </c>
      <c r="BQ212" s="1" t="s">
        <v>74</v>
      </c>
      <c r="BR212" s="1" t="s">
        <v>74</v>
      </c>
      <c r="BS212" s="1" t="s">
        <v>2225</v>
      </c>
      <c r="BT212" s="1" t="str">
        <f>HYPERLINK("https%3A%2F%2Fwww.webofscience.com%2Fwos%2Fwoscc%2Ffull-record%2FWOS:000303808300004","View Full Record in Web of Science")</f>
        <v>View Full Record in Web of Science</v>
      </c>
    </row>
    <row r="213" ht="12.75" customHeight="1">
      <c r="A213" s="1" t="s">
        <v>72</v>
      </c>
      <c r="B213" s="1" t="s">
        <v>2226</v>
      </c>
      <c r="C213" s="1" t="s">
        <v>74</v>
      </c>
      <c r="D213" s="1" t="s">
        <v>74</v>
      </c>
      <c r="E213" s="1" t="s">
        <v>74</v>
      </c>
      <c r="F213" s="1" t="s">
        <v>2227</v>
      </c>
      <c r="G213" s="1" t="s">
        <v>74</v>
      </c>
      <c r="H213" s="1" t="s">
        <v>74</v>
      </c>
      <c r="I213" s="1" t="s">
        <v>2228</v>
      </c>
      <c r="J213" s="1" t="s">
        <v>2229</v>
      </c>
      <c r="K213" s="1" t="s">
        <v>74</v>
      </c>
      <c r="L213" s="1" t="s">
        <v>74</v>
      </c>
      <c r="M213" s="1" t="s">
        <v>74</v>
      </c>
      <c r="N213" s="1" t="s">
        <v>74</v>
      </c>
      <c r="O213" s="1" t="s">
        <v>74</v>
      </c>
      <c r="P213" s="1" t="s">
        <v>74</v>
      </c>
      <c r="Q213" s="1" t="s">
        <v>74</v>
      </c>
      <c r="R213" s="1" t="s">
        <v>74</v>
      </c>
      <c r="S213" s="1" t="s">
        <v>74</v>
      </c>
      <c r="T213" s="1" t="s">
        <v>74</v>
      </c>
      <c r="U213" s="1" t="s">
        <v>74</v>
      </c>
      <c r="V213" s="1" t="s">
        <v>2230</v>
      </c>
      <c r="W213" s="1" t="s">
        <v>74</v>
      </c>
      <c r="X213" s="1" t="s">
        <v>74</v>
      </c>
      <c r="Y213" s="1" t="s">
        <v>74</v>
      </c>
      <c r="Z213" s="1" t="s">
        <v>74</v>
      </c>
      <c r="AA213" s="1" t="s">
        <v>2231</v>
      </c>
      <c r="AB213" s="1" t="s">
        <v>2232</v>
      </c>
      <c r="AC213" s="1" t="s">
        <v>74</v>
      </c>
      <c r="AD213" s="1" t="s">
        <v>74</v>
      </c>
      <c r="AE213" s="1" t="s">
        <v>74</v>
      </c>
      <c r="AF213" s="1" t="s">
        <v>74</v>
      </c>
      <c r="AG213" s="1" t="s">
        <v>74</v>
      </c>
      <c r="AH213" s="1" t="s">
        <v>74</v>
      </c>
      <c r="AI213" s="1" t="s">
        <v>74</v>
      </c>
      <c r="AJ213" s="1" t="s">
        <v>74</v>
      </c>
      <c r="AK213" s="1" t="s">
        <v>74</v>
      </c>
      <c r="AL213" s="1" t="s">
        <v>74</v>
      </c>
      <c r="AM213" s="1" t="s">
        <v>74</v>
      </c>
      <c r="AN213" s="1" t="s">
        <v>74</v>
      </c>
      <c r="AO213" s="1" t="s">
        <v>2233</v>
      </c>
      <c r="AP213" s="1" t="s">
        <v>2234</v>
      </c>
      <c r="AQ213" s="1" t="s">
        <v>74</v>
      </c>
      <c r="AR213" s="1" t="s">
        <v>74</v>
      </c>
      <c r="AS213" s="1" t="s">
        <v>74</v>
      </c>
      <c r="AT213" s="1" t="s">
        <v>74</v>
      </c>
      <c r="AU213" s="1">
        <v>2012.0</v>
      </c>
      <c r="AV213" s="1">
        <v>2012.0</v>
      </c>
      <c r="AW213" s="1">
        <v>13.0</v>
      </c>
      <c r="AX213" s="1" t="s">
        <v>74</v>
      </c>
      <c r="AY213" s="1" t="s">
        <v>74</v>
      </c>
      <c r="AZ213" s="1" t="s">
        <v>74</v>
      </c>
      <c r="BA213" s="1" t="s">
        <v>74</v>
      </c>
      <c r="BB213" s="1">
        <v>3089.0</v>
      </c>
      <c r="BC213" s="1">
        <v>3125.0</v>
      </c>
      <c r="BD213" s="1" t="s">
        <v>74</v>
      </c>
      <c r="BE213" s="1" t="s">
        <v>2235</v>
      </c>
      <c r="BF213" s="2" t="str">
        <f>HYPERLINK("http://dx.doi.org/10.1093/imrn/rnr120","http://dx.doi.org/10.1093/imrn/rnr120")</f>
        <v>http://dx.doi.org/10.1093/imrn/rnr120</v>
      </c>
      <c r="BG213" s="1" t="s">
        <v>74</v>
      </c>
      <c r="BH213" s="1" t="s">
        <v>74</v>
      </c>
      <c r="BI213" s="1" t="s">
        <v>74</v>
      </c>
      <c r="BJ213" s="1" t="s">
        <v>74</v>
      </c>
      <c r="BK213" s="1" t="s">
        <v>74</v>
      </c>
      <c r="BL213" s="1" t="s">
        <v>74</v>
      </c>
      <c r="BM213" s="1" t="s">
        <v>74</v>
      </c>
      <c r="BN213" s="1" t="s">
        <v>74</v>
      </c>
      <c r="BO213" s="1" t="s">
        <v>74</v>
      </c>
      <c r="BP213" s="1" t="s">
        <v>74</v>
      </c>
      <c r="BQ213" s="1" t="s">
        <v>74</v>
      </c>
      <c r="BR213" s="1" t="s">
        <v>74</v>
      </c>
      <c r="BS213" s="1" t="s">
        <v>2236</v>
      </c>
      <c r="BT213" s="1" t="str">
        <f>HYPERLINK("https%3A%2F%2Fwww.webofscience.com%2Fwos%2Fwoscc%2Ffull-record%2FWOS:000305826600006","View Full Record in Web of Science")</f>
        <v>View Full Record in Web of Science</v>
      </c>
    </row>
    <row r="214" ht="12.75" customHeight="1">
      <c r="A214" s="1" t="s">
        <v>72</v>
      </c>
      <c r="B214" s="1" t="s">
        <v>2237</v>
      </c>
      <c r="C214" s="1" t="s">
        <v>74</v>
      </c>
      <c r="D214" s="1" t="s">
        <v>74</v>
      </c>
      <c r="E214" s="1" t="s">
        <v>74</v>
      </c>
      <c r="F214" s="1" t="s">
        <v>2238</v>
      </c>
      <c r="G214" s="1" t="s">
        <v>74</v>
      </c>
      <c r="H214" s="1" t="s">
        <v>74</v>
      </c>
      <c r="I214" s="1" t="s">
        <v>2239</v>
      </c>
      <c r="J214" s="1" t="s">
        <v>801</v>
      </c>
      <c r="K214" s="1" t="s">
        <v>74</v>
      </c>
      <c r="L214" s="1" t="s">
        <v>74</v>
      </c>
      <c r="M214" s="1" t="s">
        <v>74</v>
      </c>
      <c r="N214" s="1" t="s">
        <v>74</v>
      </c>
      <c r="O214" s="1" t="s">
        <v>74</v>
      </c>
      <c r="P214" s="1" t="s">
        <v>74</v>
      </c>
      <c r="Q214" s="1" t="s">
        <v>74</v>
      </c>
      <c r="R214" s="1" t="s">
        <v>74</v>
      </c>
      <c r="S214" s="1" t="s">
        <v>74</v>
      </c>
      <c r="T214" s="1" t="s">
        <v>74</v>
      </c>
      <c r="U214" s="1" t="s">
        <v>74</v>
      </c>
      <c r="V214" s="1" t="s">
        <v>2240</v>
      </c>
      <c r="W214" s="1" t="s">
        <v>74</v>
      </c>
      <c r="X214" s="1" t="s">
        <v>74</v>
      </c>
      <c r="Y214" s="1" t="s">
        <v>74</v>
      </c>
      <c r="Z214" s="1" t="s">
        <v>74</v>
      </c>
      <c r="AA214" s="1" t="s">
        <v>635</v>
      </c>
      <c r="AB214" s="1" t="s">
        <v>636</v>
      </c>
      <c r="AC214" s="1" t="s">
        <v>74</v>
      </c>
      <c r="AD214" s="1" t="s">
        <v>74</v>
      </c>
      <c r="AE214" s="1" t="s">
        <v>74</v>
      </c>
      <c r="AF214" s="1" t="s">
        <v>74</v>
      </c>
      <c r="AG214" s="1" t="s">
        <v>74</v>
      </c>
      <c r="AH214" s="1" t="s">
        <v>74</v>
      </c>
      <c r="AI214" s="1" t="s">
        <v>74</v>
      </c>
      <c r="AJ214" s="1" t="s">
        <v>74</v>
      </c>
      <c r="AK214" s="1" t="s">
        <v>74</v>
      </c>
      <c r="AL214" s="1" t="s">
        <v>74</v>
      </c>
      <c r="AM214" s="1" t="s">
        <v>74</v>
      </c>
      <c r="AN214" s="1" t="s">
        <v>74</v>
      </c>
      <c r="AO214" s="1" t="s">
        <v>803</v>
      </c>
      <c r="AP214" s="1" t="s">
        <v>804</v>
      </c>
      <c r="AQ214" s="1" t="s">
        <v>74</v>
      </c>
      <c r="AR214" s="1" t="s">
        <v>74</v>
      </c>
      <c r="AS214" s="1" t="s">
        <v>74</v>
      </c>
      <c r="AT214" s="1" t="s">
        <v>1049</v>
      </c>
      <c r="AU214" s="1">
        <v>2011.0</v>
      </c>
      <c r="AV214" s="1">
        <v>44.0</v>
      </c>
      <c r="AW214" s="1">
        <v>9.0</v>
      </c>
      <c r="AX214" s="1" t="s">
        <v>74</v>
      </c>
      <c r="AY214" s="1" t="s">
        <v>74</v>
      </c>
      <c r="AZ214" s="1" t="s">
        <v>74</v>
      </c>
      <c r="BA214" s="1" t="s">
        <v>74</v>
      </c>
      <c r="BB214" s="1">
        <v>3072.0</v>
      </c>
      <c r="BC214" s="1">
        <v>3078.0</v>
      </c>
      <c r="BD214" s="1" t="s">
        <v>74</v>
      </c>
      <c r="BE214" s="1" t="s">
        <v>2241</v>
      </c>
      <c r="BF214" s="2" t="str">
        <f>HYPERLINK("http://dx.doi.org/10.1016/j.foodres.2011.07.028","http://dx.doi.org/10.1016/j.foodres.2011.07.028")</f>
        <v>http://dx.doi.org/10.1016/j.foodres.2011.07.028</v>
      </c>
      <c r="BG214" s="1" t="s">
        <v>74</v>
      </c>
      <c r="BH214" s="1" t="s">
        <v>74</v>
      </c>
      <c r="BI214" s="1" t="s">
        <v>74</v>
      </c>
      <c r="BJ214" s="1" t="s">
        <v>74</v>
      </c>
      <c r="BK214" s="1" t="s">
        <v>74</v>
      </c>
      <c r="BL214" s="1" t="s">
        <v>74</v>
      </c>
      <c r="BM214" s="1" t="s">
        <v>74</v>
      </c>
      <c r="BN214" s="1" t="s">
        <v>74</v>
      </c>
      <c r="BO214" s="1" t="s">
        <v>74</v>
      </c>
      <c r="BP214" s="1" t="s">
        <v>74</v>
      </c>
      <c r="BQ214" s="1" t="s">
        <v>74</v>
      </c>
      <c r="BR214" s="1" t="s">
        <v>74</v>
      </c>
      <c r="BS214" s="1" t="s">
        <v>2242</v>
      </c>
      <c r="BT214" s="1" t="str">
        <f>HYPERLINK("https%3A%2F%2Fwww.webofscience.com%2Fwos%2Fwoscc%2Ffull-record%2FWOS:000296798300066","View Full Record in Web of Science")</f>
        <v>View Full Record in Web of Science</v>
      </c>
    </row>
    <row r="215" ht="12.75" customHeight="1">
      <c r="A215" s="1" t="s">
        <v>72</v>
      </c>
      <c r="B215" s="1" t="s">
        <v>2243</v>
      </c>
      <c r="C215" s="1" t="s">
        <v>74</v>
      </c>
      <c r="D215" s="1" t="s">
        <v>74</v>
      </c>
      <c r="E215" s="1" t="s">
        <v>74</v>
      </c>
      <c r="F215" s="1" t="s">
        <v>2244</v>
      </c>
      <c r="G215" s="1" t="s">
        <v>74</v>
      </c>
      <c r="H215" s="1" t="s">
        <v>74</v>
      </c>
      <c r="I215" s="1" t="s">
        <v>2245</v>
      </c>
      <c r="J215" s="1" t="s">
        <v>682</v>
      </c>
      <c r="K215" s="1" t="s">
        <v>74</v>
      </c>
      <c r="L215" s="1" t="s">
        <v>74</v>
      </c>
      <c r="M215" s="1" t="s">
        <v>74</v>
      </c>
      <c r="N215" s="1" t="s">
        <v>74</v>
      </c>
      <c r="O215" s="1" t="s">
        <v>74</v>
      </c>
      <c r="P215" s="1" t="s">
        <v>74</v>
      </c>
      <c r="Q215" s="1" t="s">
        <v>74</v>
      </c>
      <c r="R215" s="1" t="s">
        <v>74</v>
      </c>
      <c r="S215" s="1" t="s">
        <v>74</v>
      </c>
      <c r="T215" s="1" t="s">
        <v>74</v>
      </c>
      <c r="U215" s="1" t="s">
        <v>74</v>
      </c>
      <c r="V215" s="1" t="s">
        <v>2246</v>
      </c>
      <c r="W215" s="1" t="s">
        <v>74</v>
      </c>
      <c r="X215" s="1" t="s">
        <v>74</v>
      </c>
      <c r="Y215" s="1" t="s">
        <v>74</v>
      </c>
      <c r="Z215" s="1" t="s">
        <v>74</v>
      </c>
      <c r="AA215" s="1" t="s">
        <v>2247</v>
      </c>
      <c r="AB215" s="1" t="s">
        <v>2248</v>
      </c>
      <c r="AC215" s="1" t="s">
        <v>74</v>
      </c>
      <c r="AD215" s="1" t="s">
        <v>74</v>
      </c>
      <c r="AE215" s="1" t="s">
        <v>74</v>
      </c>
      <c r="AF215" s="1" t="s">
        <v>74</v>
      </c>
      <c r="AG215" s="1" t="s">
        <v>74</v>
      </c>
      <c r="AH215" s="1" t="s">
        <v>74</v>
      </c>
      <c r="AI215" s="1" t="s">
        <v>74</v>
      </c>
      <c r="AJ215" s="1" t="s">
        <v>74</v>
      </c>
      <c r="AK215" s="1" t="s">
        <v>74</v>
      </c>
      <c r="AL215" s="1" t="s">
        <v>74</v>
      </c>
      <c r="AM215" s="1" t="s">
        <v>74</v>
      </c>
      <c r="AN215" s="1" t="s">
        <v>74</v>
      </c>
      <c r="AO215" s="1" t="s">
        <v>684</v>
      </c>
      <c r="AP215" s="1" t="s">
        <v>74</v>
      </c>
      <c r="AQ215" s="1" t="s">
        <v>74</v>
      </c>
      <c r="AR215" s="1" t="s">
        <v>74</v>
      </c>
      <c r="AS215" s="1" t="s">
        <v>74</v>
      </c>
      <c r="AT215" s="1" t="s">
        <v>110</v>
      </c>
      <c r="AU215" s="1">
        <v>2010.0</v>
      </c>
      <c r="AV215" s="1">
        <v>28.0</v>
      </c>
      <c r="AW215" s="1">
        <v>2.0</v>
      </c>
      <c r="AX215" s="1" t="s">
        <v>74</v>
      </c>
      <c r="AY215" s="1" t="s">
        <v>74</v>
      </c>
      <c r="AZ215" s="1" t="s">
        <v>411</v>
      </c>
      <c r="BA215" s="1" t="s">
        <v>74</v>
      </c>
      <c r="BB215" s="1">
        <v>143.0</v>
      </c>
      <c r="BC215" s="1">
        <v>145.0</v>
      </c>
      <c r="BD215" s="1" t="s">
        <v>74</v>
      </c>
      <c r="BE215" s="1" t="s">
        <v>74</v>
      </c>
      <c r="BF215" s="1" t="s">
        <v>74</v>
      </c>
      <c r="BG215" s="1" t="s">
        <v>74</v>
      </c>
      <c r="BH215" s="1" t="s">
        <v>74</v>
      </c>
      <c r="BI215" s="1" t="s">
        <v>74</v>
      </c>
      <c r="BJ215" s="1" t="s">
        <v>74</v>
      </c>
      <c r="BK215" s="1" t="s">
        <v>74</v>
      </c>
      <c r="BL215" s="1" t="s">
        <v>74</v>
      </c>
      <c r="BM215" s="1" t="s">
        <v>74</v>
      </c>
      <c r="BN215" s="1" t="s">
        <v>74</v>
      </c>
      <c r="BO215" s="1" t="s">
        <v>74</v>
      </c>
      <c r="BP215" s="1" t="s">
        <v>74</v>
      </c>
      <c r="BQ215" s="1" t="s">
        <v>74</v>
      </c>
      <c r="BR215" s="1" t="s">
        <v>74</v>
      </c>
      <c r="BS215" s="1" t="s">
        <v>2249</v>
      </c>
      <c r="BT215" s="1" t="str">
        <f>HYPERLINK("https%3A%2F%2Fwww.webofscience.com%2Fwos%2Fwoscc%2Ffull-record%2FWOS:000293210700001","View Full Record in Web of Science")</f>
        <v>View Full Record in Web of Science</v>
      </c>
    </row>
    <row r="216" ht="12.75" customHeight="1">
      <c r="A216" s="1" t="s">
        <v>72</v>
      </c>
      <c r="B216" s="1" t="s">
        <v>2250</v>
      </c>
      <c r="C216" s="1" t="s">
        <v>74</v>
      </c>
      <c r="D216" s="1" t="s">
        <v>74</v>
      </c>
      <c r="E216" s="1" t="s">
        <v>74</v>
      </c>
      <c r="F216" s="1" t="s">
        <v>2251</v>
      </c>
      <c r="G216" s="1" t="s">
        <v>74</v>
      </c>
      <c r="H216" s="1" t="s">
        <v>74</v>
      </c>
      <c r="I216" s="1" t="s">
        <v>2252</v>
      </c>
      <c r="J216" s="1" t="s">
        <v>2253</v>
      </c>
      <c r="K216" s="1" t="s">
        <v>74</v>
      </c>
      <c r="L216" s="1" t="s">
        <v>74</v>
      </c>
      <c r="M216" s="1" t="s">
        <v>74</v>
      </c>
      <c r="N216" s="1" t="s">
        <v>74</v>
      </c>
      <c r="O216" s="1" t="s">
        <v>74</v>
      </c>
      <c r="P216" s="1" t="s">
        <v>74</v>
      </c>
      <c r="Q216" s="1" t="s">
        <v>74</v>
      </c>
      <c r="R216" s="1" t="s">
        <v>74</v>
      </c>
      <c r="S216" s="1" t="s">
        <v>74</v>
      </c>
      <c r="T216" s="1" t="s">
        <v>74</v>
      </c>
      <c r="U216" s="1" t="s">
        <v>74</v>
      </c>
      <c r="V216" s="1" t="s">
        <v>2254</v>
      </c>
      <c r="W216" s="1" t="s">
        <v>74</v>
      </c>
      <c r="X216" s="1" t="s">
        <v>74</v>
      </c>
      <c r="Y216" s="1" t="s">
        <v>74</v>
      </c>
      <c r="Z216" s="1" t="s">
        <v>74</v>
      </c>
      <c r="AA216" s="1" t="s">
        <v>2255</v>
      </c>
      <c r="AB216" s="1" t="s">
        <v>2256</v>
      </c>
      <c r="AC216" s="1" t="s">
        <v>74</v>
      </c>
      <c r="AD216" s="1" t="s">
        <v>74</v>
      </c>
      <c r="AE216" s="1" t="s">
        <v>74</v>
      </c>
      <c r="AF216" s="1" t="s">
        <v>74</v>
      </c>
      <c r="AG216" s="1" t="s">
        <v>74</v>
      </c>
      <c r="AH216" s="1" t="s">
        <v>74</v>
      </c>
      <c r="AI216" s="1" t="s">
        <v>74</v>
      </c>
      <c r="AJ216" s="1" t="s">
        <v>74</v>
      </c>
      <c r="AK216" s="1" t="s">
        <v>74</v>
      </c>
      <c r="AL216" s="1" t="s">
        <v>74</v>
      </c>
      <c r="AM216" s="1" t="s">
        <v>74</v>
      </c>
      <c r="AN216" s="1" t="s">
        <v>74</v>
      </c>
      <c r="AO216" s="1" t="s">
        <v>2257</v>
      </c>
      <c r="AP216" s="1" t="s">
        <v>74</v>
      </c>
      <c r="AQ216" s="1" t="s">
        <v>74</v>
      </c>
      <c r="AR216" s="1" t="s">
        <v>74</v>
      </c>
      <c r="AS216" s="1" t="s">
        <v>74</v>
      </c>
      <c r="AT216" s="1" t="s">
        <v>74</v>
      </c>
      <c r="AU216" s="1">
        <v>2010.0</v>
      </c>
      <c r="AV216" s="1">
        <v>28.0</v>
      </c>
      <c r="AW216" s="1">
        <v>12.0</v>
      </c>
      <c r="AX216" s="1" t="s">
        <v>74</v>
      </c>
      <c r="AY216" s="1" t="s">
        <v>74</v>
      </c>
      <c r="AZ216" s="1" t="s">
        <v>74</v>
      </c>
      <c r="BA216" s="1" t="s">
        <v>74</v>
      </c>
      <c r="BB216" s="1">
        <v>1416.0</v>
      </c>
      <c r="BC216" s="1">
        <v>1425.0</v>
      </c>
      <c r="BD216" s="1" t="s">
        <v>2258</v>
      </c>
      <c r="BE216" s="1" t="s">
        <v>2259</v>
      </c>
      <c r="BF216" s="2" t="str">
        <f>HYPERLINK("http://dx.doi.org/10.1080/07373937.2010.482687","http://dx.doi.org/10.1080/07373937.2010.482687")</f>
        <v>http://dx.doi.org/10.1080/07373937.2010.482687</v>
      </c>
      <c r="BG216" s="1" t="s">
        <v>74</v>
      </c>
      <c r="BH216" s="1" t="s">
        <v>74</v>
      </c>
      <c r="BI216" s="1" t="s">
        <v>74</v>
      </c>
      <c r="BJ216" s="1" t="s">
        <v>74</v>
      </c>
      <c r="BK216" s="1" t="s">
        <v>74</v>
      </c>
      <c r="BL216" s="1" t="s">
        <v>74</v>
      </c>
      <c r="BM216" s="1" t="s">
        <v>74</v>
      </c>
      <c r="BN216" s="1" t="s">
        <v>74</v>
      </c>
      <c r="BO216" s="1" t="s">
        <v>74</v>
      </c>
      <c r="BP216" s="1" t="s">
        <v>74</v>
      </c>
      <c r="BQ216" s="1" t="s">
        <v>74</v>
      </c>
      <c r="BR216" s="1" t="s">
        <v>74</v>
      </c>
      <c r="BS216" s="1" t="s">
        <v>2260</v>
      </c>
      <c r="BT216" s="1" t="str">
        <f>HYPERLINK("https%3A%2F%2Fwww.webofscience.com%2Fwos%2Fwoscc%2Ffull-record%2FWOS:000284612300011","View Full Record in Web of Science")</f>
        <v>View Full Record in Web of Science</v>
      </c>
    </row>
    <row r="217" ht="12.75" customHeight="1">
      <c r="A217" s="1" t="s">
        <v>72</v>
      </c>
      <c r="B217" s="1" t="s">
        <v>2261</v>
      </c>
      <c r="C217" s="1" t="s">
        <v>74</v>
      </c>
      <c r="D217" s="1" t="s">
        <v>74</v>
      </c>
      <c r="E217" s="1" t="s">
        <v>74</v>
      </c>
      <c r="F217" s="1" t="s">
        <v>2262</v>
      </c>
      <c r="G217" s="1" t="s">
        <v>74</v>
      </c>
      <c r="H217" s="1" t="s">
        <v>74</v>
      </c>
      <c r="I217" s="1" t="s">
        <v>2263</v>
      </c>
      <c r="J217" s="1" t="s">
        <v>1629</v>
      </c>
      <c r="K217" s="1" t="s">
        <v>74</v>
      </c>
      <c r="L217" s="1" t="s">
        <v>74</v>
      </c>
      <c r="M217" s="1" t="s">
        <v>74</v>
      </c>
      <c r="N217" s="1" t="s">
        <v>74</v>
      </c>
      <c r="O217" s="1" t="s">
        <v>74</v>
      </c>
      <c r="P217" s="1" t="s">
        <v>74</v>
      </c>
      <c r="Q217" s="1" t="s">
        <v>74</v>
      </c>
      <c r="R217" s="1" t="s">
        <v>74</v>
      </c>
      <c r="S217" s="1" t="s">
        <v>74</v>
      </c>
      <c r="T217" s="1" t="s">
        <v>74</v>
      </c>
      <c r="U217" s="1" t="s">
        <v>74</v>
      </c>
      <c r="V217" s="1" t="s">
        <v>2264</v>
      </c>
      <c r="W217" s="1" t="s">
        <v>74</v>
      </c>
      <c r="X217" s="1" t="s">
        <v>74</v>
      </c>
      <c r="Y217" s="1" t="s">
        <v>74</v>
      </c>
      <c r="Z217" s="1" t="s">
        <v>74</v>
      </c>
      <c r="AA217" s="1" t="s">
        <v>2265</v>
      </c>
      <c r="AB217" s="1" t="s">
        <v>2266</v>
      </c>
      <c r="AC217" s="1" t="s">
        <v>74</v>
      </c>
      <c r="AD217" s="1" t="s">
        <v>74</v>
      </c>
      <c r="AE217" s="1" t="s">
        <v>74</v>
      </c>
      <c r="AF217" s="1" t="s">
        <v>74</v>
      </c>
      <c r="AG217" s="1" t="s">
        <v>74</v>
      </c>
      <c r="AH217" s="1" t="s">
        <v>74</v>
      </c>
      <c r="AI217" s="1" t="s">
        <v>74</v>
      </c>
      <c r="AJ217" s="1" t="s">
        <v>74</v>
      </c>
      <c r="AK217" s="1" t="s">
        <v>74</v>
      </c>
      <c r="AL217" s="1" t="s">
        <v>74</v>
      </c>
      <c r="AM217" s="1" t="s">
        <v>74</v>
      </c>
      <c r="AN217" s="1" t="s">
        <v>74</v>
      </c>
      <c r="AO217" s="1" t="s">
        <v>1631</v>
      </c>
      <c r="AP217" s="1" t="s">
        <v>1632</v>
      </c>
      <c r="AQ217" s="1" t="s">
        <v>74</v>
      </c>
      <c r="AR217" s="1" t="s">
        <v>74</v>
      </c>
      <c r="AS217" s="1" t="s">
        <v>74</v>
      </c>
      <c r="AT217" s="1" t="s">
        <v>110</v>
      </c>
      <c r="AU217" s="1">
        <v>2009.0</v>
      </c>
      <c r="AV217" s="1">
        <v>43.0</v>
      </c>
      <c r="AW217" s="1">
        <v>38.0</v>
      </c>
      <c r="AX217" s="1" t="s">
        <v>74</v>
      </c>
      <c r="AY217" s="1" t="s">
        <v>74</v>
      </c>
      <c r="AZ217" s="1" t="s">
        <v>74</v>
      </c>
      <c r="BA217" s="1" t="s">
        <v>74</v>
      </c>
      <c r="BB217" s="1">
        <v>6106.0</v>
      </c>
      <c r="BC217" s="1">
        <v>6109.0</v>
      </c>
      <c r="BD217" s="1" t="s">
        <v>74</v>
      </c>
      <c r="BE217" s="1" t="s">
        <v>2267</v>
      </c>
      <c r="BF217" s="2" t="str">
        <f>HYPERLINK("http://dx.doi.org/10.1016/j.atmosenv.2009.09.017","http://dx.doi.org/10.1016/j.atmosenv.2009.09.017")</f>
        <v>http://dx.doi.org/10.1016/j.atmosenv.2009.09.017</v>
      </c>
      <c r="BG217" s="1" t="s">
        <v>74</v>
      </c>
      <c r="BH217" s="1" t="s">
        <v>74</v>
      </c>
      <c r="BI217" s="1" t="s">
        <v>74</v>
      </c>
      <c r="BJ217" s="1" t="s">
        <v>74</v>
      </c>
      <c r="BK217" s="1" t="s">
        <v>74</v>
      </c>
      <c r="BL217" s="1" t="s">
        <v>74</v>
      </c>
      <c r="BM217" s="1" t="s">
        <v>74</v>
      </c>
      <c r="BN217" s="1" t="s">
        <v>74</v>
      </c>
      <c r="BO217" s="1" t="s">
        <v>74</v>
      </c>
      <c r="BP217" s="1" t="s">
        <v>74</v>
      </c>
      <c r="BQ217" s="1" t="s">
        <v>74</v>
      </c>
      <c r="BR217" s="1" t="s">
        <v>74</v>
      </c>
      <c r="BS217" s="1" t="s">
        <v>2268</v>
      </c>
      <c r="BT217" s="1" t="str">
        <f>HYPERLINK("https%3A%2F%2Fwww.webofscience.com%2Fwos%2Fwoscc%2Ffull-record%2FWOS:000272276000014","View Full Record in Web of Science")</f>
        <v>View Full Record in Web of Science</v>
      </c>
    </row>
    <row r="218" ht="12.75" customHeight="1">
      <c r="A218" s="1" t="s">
        <v>72</v>
      </c>
      <c r="B218" s="1" t="s">
        <v>2269</v>
      </c>
      <c r="C218" s="1" t="s">
        <v>74</v>
      </c>
      <c r="D218" s="1" t="s">
        <v>74</v>
      </c>
      <c r="E218" s="1" t="s">
        <v>74</v>
      </c>
      <c r="F218" s="1" t="s">
        <v>2270</v>
      </c>
      <c r="G218" s="1" t="s">
        <v>74</v>
      </c>
      <c r="H218" s="1" t="s">
        <v>74</v>
      </c>
      <c r="I218" s="1" t="s">
        <v>2271</v>
      </c>
      <c r="J218" s="1" t="s">
        <v>2272</v>
      </c>
      <c r="K218" s="1" t="s">
        <v>74</v>
      </c>
      <c r="L218" s="1" t="s">
        <v>74</v>
      </c>
      <c r="M218" s="1" t="s">
        <v>74</v>
      </c>
      <c r="N218" s="1" t="s">
        <v>74</v>
      </c>
      <c r="O218" s="1" t="s">
        <v>74</v>
      </c>
      <c r="P218" s="1" t="s">
        <v>74</v>
      </c>
      <c r="Q218" s="1" t="s">
        <v>74</v>
      </c>
      <c r="R218" s="1" t="s">
        <v>74</v>
      </c>
      <c r="S218" s="1" t="s">
        <v>74</v>
      </c>
      <c r="T218" s="1" t="s">
        <v>74</v>
      </c>
      <c r="U218" s="1" t="s">
        <v>74</v>
      </c>
      <c r="V218" s="1" t="s">
        <v>2273</v>
      </c>
      <c r="W218" s="1" t="s">
        <v>74</v>
      </c>
      <c r="X218" s="1" t="s">
        <v>74</v>
      </c>
      <c r="Y218" s="1" t="s">
        <v>74</v>
      </c>
      <c r="Z218" s="1" t="s">
        <v>74</v>
      </c>
      <c r="AA218" s="1" t="s">
        <v>2274</v>
      </c>
      <c r="AB218" s="1" t="s">
        <v>74</v>
      </c>
      <c r="AC218" s="1" t="s">
        <v>74</v>
      </c>
      <c r="AD218" s="1" t="s">
        <v>74</v>
      </c>
      <c r="AE218" s="1" t="s">
        <v>74</v>
      </c>
      <c r="AF218" s="1" t="s">
        <v>74</v>
      </c>
      <c r="AG218" s="1" t="s">
        <v>74</v>
      </c>
      <c r="AH218" s="1" t="s">
        <v>74</v>
      </c>
      <c r="AI218" s="1" t="s">
        <v>74</v>
      </c>
      <c r="AJ218" s="1" t="s">
        <v>74</v>
      </c>
      <c r="AK218" s="1" t="s">
        <v>74</v>
      </c>
      <c r="AL218" s="1" t="s">
        <v>74</v>
      </c>
      <c r="AM218" s="1" t="s">
        <v>74</v>
      </c>
      <c r="AN218" s="1" t="s">
        <v>74</v>
      </c>
      <c r="AO218" s="1" t="s">
        <v>2275</v>
      </c>
      <c r="AP218" s="1" t="s">
        <v>2276</v>
      </c>
      <c r="AQ218" s="1" t="s">
        <v>74</v>
      </c>
      <c r="AR218" s="1" t="s">
        <v>74</v>
      </c>
      <c r="AS218" s="1" t="s">
        <v>74</v>
      </c>
      <c r="AT218" s="1" t="s">
        <v>180</v>
      </c>
      <c r="AU218" s="1">
        <v>2009.0</v>
      </c>
      <c r="AV218" s="1">
        <v>92.0</v>
      </c>
      <c r="AW218" s="1">
        <v>2.0</v>
      </c>
      <c r="AX218" s="1" t="s">
        <v>74</v>
      </c>
      <c r="AY218" s="1" t="s">
        <v>74</v>
      </c>
      <c r="AZ218" s="1" t="s">
        <v>74</v>
      </c>
      <c r="BA218" s="1" t="s">
        <v>74</v>
      </c>
      <c r="BB218" s="1">
        <v>233.0</v>
      </c>
      <c r="BC218" s="1">
        <v>239.0</v>
      </c>
      <c r="BD218" s="1" t="s">
        <v>74</v>
      </c>
      <c r="BE218" s="1" t="s">
        <v>2277</v>
      </c>
      <c r="BF218" s="2" t="str">
        <f>HYPERLINK("http://dx.doi.org/10.1016/j.jfoodeng.2008.10.035","http://dx.doi.org/10.1016/j.jfoodeng.2008.10.035")</f>
        <v>http://dx.doi.org/10.1016/j.jfoodeng.2008.10.035</v>
      </c>
      <c r="BG218" s="1" t="s">
        <v>74</v>
      </c>
      <c r="BH218" s="1" t="s">
        <v>74</v>
      </c>
      <c r="BI218" s="1" t="s">
        <v>74</v>
      </c>
      <c r="BJ218" s="1" t="s">
        <v>74</v>
      </c>
      <c r="BK218" s="1" t="s">
        <v>74</v>
      </c>
      <c r="BL218" s="1" t="s">
        <v>74</v>
      </c>
      <c r="BM218" s="1" t="s">
        <v>74</v>
      </c>
      <c r="BN218" s="1" t="s">
        <v>74</v>
      </c>
      <c r="BO218" s="1" t="s">
        <v>74</v>
      </c>
      <c r="BP218" s="1" t="s">
        <v>74</v>
      </c>
      <c r="BQ218" s="1" t="s">
        <v>74</v>
      </c>
      <c r="BR218" s="1" t="s">
        <v>74</v>
      </c>
      <c r="BS218" s="1" t="s">
        <v>2278</v>
      </c>
      <c r="BT218" s="1" t="str">
        <f>HYPERLINK("https%3A%2F%2Fwww.webofscience.com%2Fwos%2Fwoscc%2Ffull-record%2FWOS:000263940100015","View Full Record in Web of Science")</f>
        <v>View Full Record in Web of Science</v>
      </c>
    </row>
    <row r="219" ht="12.75" customHeight="1">
      <c r="A219" s="1" t="s">
        <v>72</v>
      </c>
      <c r="B219" s="1" t="s">
        <v>1483</v>
      </c>
      <c r="C219" s="1" t="s">
        <v>74</v>
      </c>
      <c r="D219" s="1" t="s">
        <v>74</v>
      </c>
      <c r="E219" s="1" t="s">
        <v>74</v>
      </c>
      <c r="F219" s="1" t="s">
        <v>1484</v>
      </c>
      <c r="G219" s="1" t="s">
        <v>74</v>
      </c>
      <c r="H219" s="1" t="s">
        <v>74</v>
      </c>
      <c r="I219" s="1" t="s">
        <v>2279</v>
      </c>
      <c r="J219" s="1" t="s">
        <v>689</v>
      </c>
      <c r="K219" s="1" t="s">
        <v>74</v>
      </c>
      <c r="L219" s="1" t="s">
        <v>74</v>
      </c>
      <c r="M219" s="1" t="s">
        <v>74</v>
      </c>
      <c r="N219" s="1" t="s">
        <v>74</v>
      </c>
      <c r="O219" s="1" t="s">
        <v>74</v>
      </c>
      <c r="P219" s="1" t="s">
        <v>74</v>
      </c>
      <c r="Q219" s="1" t="s">
        <v>74</v>
      </c>
      <c r="R219" s="1" t="s">
        <v>74</v>
      </c>
      <c r="S219" s="1" t="s">
        <v>74</v>
      </c>
      <c r="T219" s="1" t="s">
        <v>74</v>
      </c>
      <c r="U219" s="1" t="s">
        <v>74</v>
      </c>
      <c r="V219" s="1" t="s">
        <v>2280</v>
      </c>
      <c r="W219" s="1" t="s">
        <v>74</v>
      </c>
      <c r="X219" s="1" t="s">
        <v>74</v>
      </c>
      <c r="Y219" s="1" t="s">
        <v>74</v>
      </c>
      <c r="Z219" s="1" t="s">
        <v>74</v>
      </c>
      <c r="AA219" s="1" t="s">
        <v>2095</v>
      </c>
      <c r="AB219" s="1" t="s">
        <v>2281</v>
      </c>
      <c r="AC219" s="1" t="s">
        <v>74</v>
      </c>
      <c r="AD219" s="1" t="s">
        <v>74</v>
      </c>
      <c r="AE219" s="1" t="s">
        <v>74</v>
      </c>
      <c r="AF219" s="1" t="s">
        <v>74</v>
      </c>
      <c r="AG219" s="1" t="s">
        <v>74</v>
      </c>
      <c r="AH219" s="1" t="s">
        <v>74</v>
      </c>
      <c r="AI219" s="1" t="s">
        <v>74</v>
      </c>
      <c r="AJ219" s="1" t="s">
        <v>74</v>
      </c>
      <c r="AK219" s="1" t="s">
        <v>74</v>
      </c>
      <c r="AL219" s="1" t="s">
        <v>74</v>
      </c>
      <c r="AM219" s="1" t="s">
        <v>74</v>
      </c>
      <c r="AN219" s="1" t="s">
        <v>74</v>
      </c>
      <c r="AO219" s="1" t="s">
        <v>692</v>
      </c>
      <c r="AP219" s="1" t="s">
        <v>74</v>
      </c>
      <c r="AQ219" s="1" t="s">
        <v>74</v>
      </c>
      <c r="AR219" s="1" t="s">
        <v>74</v>
      </c>
      <c r="AS219" s="1" t="s">
        <v>74</v>
      </c>
      <c r="AT219" s="1" t="s">
        <v>2282</v>
      </c>
      <c r="AU219" s="1">
        <v>2009.0</v>
      </c>
      <c r="AV219" s="1">
        <v>349.0</v>
      </c>
      <c r="AW219" s="1">
        <v>2.0</v>
      </c>
      <c r="AX219" s="1" t="s">
        <v>74</v>
      </c>
      <c r="AY219" s="1" t="s">
        <v>74</v>
      </c>
      <c r="AZ219" s="1" t="s">
        <v>74</v>
      </c>
      <c r="BA219" s="1" t="s">
        <v>74</v>
      </c>
      <c r="BB219" s="1">
        <v>301.0</v>
      </c>
      <c r="BC219" s="1">
        <v>310.0</v>
      </c>
      <c r="BD219" s="1" t="s">
        <v>74</v>
      </c>
      <c r="BE219" s="1" t="s">
        <v>2283</v>
      </c>
      <c r="BF219" s="2" t="str">
        <f>HYPERLINK("http://dx.doi.org/10.1016/j.jmaa.2008.09.005","http://dx.doi.org/10.1016/j.jmaa.2008.09.005")</f>
        <v>http://dx.doi.org/10.1016/j.jmaa.2008.09.005</v>
      </c>
      <c r="BG219" s="1" t="s">
        <v>74</v>
      </c>
      <c r="BH219" s="1" t="s">
        <v>74</v>
      </c>
      <c r="BI219" s="1" t="s">
        <v>74</v>
      </c>
      <c r="BJ219" s="1" t="s">
        <v>74</v>
      </c>
      <c r="BK219" s="1" t="s">
        <v>74</v>
      </c>
      <c r="BL219" s="1" t="s">
        <v>74</v>
      </c>
      <c r="BM219" s="1" t="s">
        <v>74</v>
      </c>
      <c r="BN219" s="1" t="s">
        <v>74</v>
      </c>
      <c r="BO219" s="1" t="s">
        <v>74</v>
      </c>
      <c r="BP219" s="1" t="s">
        <v>74</v>
      </c>
      <c r="BQ219" s="1" t="s">
        <v>74</v>
      </c>
      <c r="BR219" s="1" t="s">
        <v>74</v>
      </c>
      <c r="BS219" s="1" t="s">
        <v>2284</v>
      </c>
      <c r="BT219" s="1" t="str">
        <f>HYPERLINK("https%3A%2F%2Fwww.webofscience.com%2Fwos%2Fwoscc%2Ffull-record%2FWOS:000260266500001","View Full Record in Web of Science")</f>
        <v>View Full Record in Web of Science</v>
      </c>
    </row>
    <row r="220" ht="12.75" customHeight="1">
      <c r="A220" s="1" t="s">
        <v>72</v>
      </c>
      <c r="B220" s="1" t="s">
        <v>2285</v>
      </c>
      <c r="C220" s="1" t="s">
        <v>74</v>
      </c>
      <c r="D220" s="1" t="s">
        <v>74</v>
      </c>
      <c r="E220" s="1" t="s">
        <v>74</v>
      </c>
      <c r="F220" s="1" t="s">
        <v>2286</v>
      </c>
      <c r="G220" s="1" t="s">
        <v>74</v>
      </c>
      <c r="H220" s="1" t="s">
        <v>74</v>
      </c>
      <c r="I220" s="1" t="s">
        <v>2287</v>
      </c>
      <c r="J220" s="1" t="s">
        <v>2288</v>
      </c>
      <c r="K220" s="1" t="s">
        <v>74</v>
      </c>
      <c r="L220" s="1" t="s">
        <v>74</v>
      </c>
      <c r="M220" s="1" t="s">
        <v>74</v>
      </c>
      <c r="N220" s="1" t="s">
        <v>74</v>
      </c>
      <c r="O220" s="1" t="s">
        <v>2289</v>
      </c>
      <c r="P220" s="1" t="s">
        <v>2290</v>
      </c>
      <c r="Q220" s="1" t="s">
        <v>2291</v>
      </c>
      <c r="R220" s="1" t="s">
        <v>2292</v>
      </c>
      <c r="S220" s="1" t="s">
        <v>74</v>
      </c>
      <c r="T220" s="1" t="s">
        <v>74</v>
      </c>
      <c r="U220" s="1" t="s">
        <v>74</v>
      </c>
      <c r="V220" s="1" t="s">
        <v>2293</v>
      </c>
      <c r="W220" s="1" t="s">
        <v>74</v>
      </c>
      <c r="X220" s="1" t="s">
        <v>74</v>
      </c>
      <c r="Y220" s="1" t="s">
        <v>74</v>
      </c>
      <c r="Z220" s="1" t="s">
        <v>74</v>
      </c>
      <c r="AA220" s="1" t="s">
        <v>74</v>
      </c>
      <c r="AB220" s="1" t="s">
        <v>2294</v>
      </c>
      <c r="AC220" s="1" t="s">
        <v>74</v>
      </c>
      <c r="AD220" s="1" t="s">
        <v>74</v>
      </c>
      <c r="AE220" s="1" t="s">
        <v>74</v>
      </c>
      <c r="AF220" s="1" t="s">
        <v>74</v>
      </c>
      <c r="AG220" s="1" t="s">
        <v>74</v>
      </c>
      <c r="AH220" s="1" t="s">
        <v>74</v>
      </c>
      <c r="AI220" s="1" t="s">
        <v>74</v>
      </c>
      <c r="AJ220" s="1" t="s">
        <v>74</v>
      </c>
      <c r="AK220" s="1" t="s">
        <v>74</v>
      </c>
      <c r="AL220" s="1" t="s">
        <v>74</v>
      </c>
      <c r="AM220" s="1" t="s">
        <v>74</v>
      </c>
      <c r="AN220" s="1" t="s">
        <v>74</v>
      </c>
      <c r="AO220" s="1" t="s">
        <v>2295</v>
      </c>
      <c r="AP220" s="1" t="s">
        <v>74</v>
      </c>
      <c r="AQ220" s="1" t="s">
        <v>74</v>
      </c>
      <c r="AR220" s="1" t="s">
        <v>74</v>
      </c>
      <c r="AS220" s="1" t="s">
        <v>74</v>
      </c>
      <c r="AT220" s="1" t="s">
        <v>2296</v>
      </c>
      <c r="AU220" s="1">
        <v>2006.0</v>
      </c>
      <c r="AV220" s="1">
        <v>384.0</v>
      </c>
      <c r="AW220" s="1" t="s">
        <v>2150</v>
      </c>
      <c r="AX220" s="1" t="s">
        <v>74</v>
      </c>
      <c r="AY220" s="1" t="s">
        <v>74</v>
      </c>
      <c r="AZ220" s="1" t="s">
        <v>74</v>
      </c>
      <c r="BA220" s="1" t="s">
        <v>74</v>
      </c>
      <c r="BB220" s="1">
        <v>310.0</v>
      </c>
      <c r="BC220" s="1">
        <v>312.0</v>
      </c>
      <c r="BD220" s="1" t="s">
        <v>74</v>
      </c>
      <c r="BE220" s="1" t="s">
        <v>2297</v>
      </c>
      <c r="BF220" s="2" t="str">
        <f>HYPERLINK("http://dx.doi.org/10.1016/j.physb.2006.06.019","http://dx.doi.org/10.1016/j.physb.2006.06.019")</f>
        <v>http://dx.doi.org/10.1016/j.physb.2006.06.019</v>
      </c>
      <c r="BG220" s="1" t="s">
        <v>74</v>
      </c>
      <c r="BH220" s="1" t="s">
        <v>74</v>
      </c>
      <c r="BI220" s="1" t="s">
        <v>74</v>
      </c>
      <c r="BJ220" s="1" t="s">
        <v>74</v>
      </c>
      <c r="BK220" s="1" t="s">
        <v>74</v>
      </c>
      <c r="BL220" s="1" t="s">
        <v>74</v>
      </c>
      <c r="BM220" s="1" t="s">
        <v>74</v>
      </c>
      <c r="BN220" s="1" t="s">
        <v>74</v>
      </c>
      <c r="BO220" s="1" t="s">
        <v>74</v>
      </c>
      <c r="BP220" s="1" t="s">
        <v>74</v>
      </c>
      <c r="BQ220" s="1" t="s">
        <v>74</v>
      </c>
      <c r="BR220" s="1" t="s">
        <v>74</v>
      </c>
      <c r="BS220" s="1" t="s">
        <v>2298</v>
      </c>
      <c r="BT220" s="1" t="str">
        <f>HYPERLINK("https%3A%2F%2Fwww.webofscience.com%2Fwos%2Fwoscc%2Ffull-record%2FWOS:000241020700094","View Full Record in Web of Science")</f>
        <v>View Full Record in Web of Science</v>
      </c>
    </row>
    <row r="221" ht="12.75" customHeight="1">
      <c r="A221" s="1" t="s">
        <v>72</v>
      </c>
      <c r="B221" s="1" t="s">
        <v>2299</v>
      </c>
      <c r="C221" s="1" t="s">
        <v>74</v>
      </c>
      <c r="D221" s="1" t="s">
        <v>74</v>
      </c>
      <c r="E221" s="1" t="s">
        <v>74</v>
      </c>
      <c r="F221" s="1" t="s">
        <v>2299</v>
      </c>
      <c r="G221" s="1" t="s">
        <v>74</v>
      </c>
      <c r="H221" s="1" t="s">
        <v>74</v>
      </c>
      <c r="I221" s="1" t="s">
        <v>2300</v>
      </c>
      <c r="J221" s="1" t="s">
        <v>1309</v>
      </c>
      <c r="K221" s="1" t="s">
        <v>74</v>
      </c>
      <c r="L221" s="1" t="s">
        <v>74</v>
      </c>
      <c r="M221" s="1" t="s">
        <v>74</v>
      </c>
      <c r="N221" s="1" t="s">
        <v>74</v>
      </c>
      <c r="O221" s="1" t="s">
        <v>74</v>
      </c>
      <c r="P221" s="1" t="s">
        <v>74</v>
      </c>
      <c r="Q221" s="1" t="s">
        <v>74</v>
      </c>
      <c r="R221" s="1" t="s">
        <v>74</v>
      </c>
      <c r="S221" s="1" t="s">
        <v>74</v>
      </c>
      <c r="T221" s="1" t="s">
        <v>74</v>
      </c>
      <c r="U221" s="1" t="s">
        <v>74</v>
      </c>
      <c r="V221" s="1" t="s">
        <v>2301</v>
      </c>
      <c r="W221" s="1" t="s">
        <v>74</v>
      </c>
      <c r="X221" s="1" t="s">
        <v>74</v>
      </c>
      <c r="Y221" s="1" t="s">
        <v>74</v>
      </c>
      <c r="Z221" s="1" t="s">
        <v>74</v>
      </c>
      <c r="AA221" s="1" t="s">
        <v>2302</v>
      </c>
      <c r="AB221" s="1" t="s">
        <v>2303</v>
      </c>
      <c r="AC221" s="1" t="s">
        <v>74</v>
      </c>
      <c r="AD221" s="1" t="s">
        <v>74</v>
      </c>
      <c r="AE221" s="1" t="s">
        <v>74</v>
      </c>
      <c r="AF221" s="1" t="s">
        <v>74</v>
      </c>
      <c r="AG221" s="1" t="s">
        <v>74</v>
      </c>
      <c r="AH221" s="1" t="s">
        <v>74</v>
      </c>
      <c r="AI221" s="1" t="s">
        <v>74</v>
      </c>
      <c r="AJ221" s="1" t="s">
        <v>74</v>
      </c>
      <c r="AK221" s="1" t="s">
        <v>74</v>
      </c>
      <c r="AL221" s="1" t="s">
        <v>74</v>
      </c>
      <c r="AM221" s="1" t="s">
        <v>74</v>
      </c>
      <c r="AN221" s="1" t="s">
        <v>74</v>
      </c>
      <c r="AO221" s="1" t="s">
        <v>1312</v>
      </c>
      <c r="AP221" s="1" t="s">
        <v>74</v>
      </c>
      <c r="AQ221" s="1" t="s">
        <v>74</v>
      </c>
      <c r="AR221" s="1" t="s">
        <v>74</v>
      </c>
      <c r="AS221" s="1" t="s">
        <v>74</v>
      </c>
      <c r="AT221" s="1" t="s">
        <v>650</v>
      </c>
      <c r="AU221" s="1">
        <v>2006.0</v>
      </c>
      <c r="AV221" s="1">
        <v>19.0</v>
      </c>
      <c r="AW221" s="1">
        <v>3.0</v>
      </c>
      <c r="AX221" s="1" t="s">
        <v>74</v>
      </c>
      <c r="AY221" s="1" t="s">
        <v>74</v>
      </c>
      <c r="AZ221" s="1" t="s">
        <v>74</v>
      </c>
      <c r="BA221" s="1" t="s">
        <v>74</v>
      </c>
      <c r="BB221" s="1">
        <v>215.0</v>
      </c>
      <c r="BC221" s="1">
        <v>222.0</v>
      </c>
      <c r="BD221" s="1" t="s">
        <v>74</v>
      </c>
      <c r="BE221" s="1" t="s">
        <v>2304</v>
      </c>
      <c r="BF221" s="2" t="str">
        <f>HYPERLINK("http://dx.doi.org/10.1016/j.aml.2005.04.005","http://dx.doi.org/10.1016/j.aml.2005.04.005")</f>
        <v>http://dx.doi.org/10.1016/j.aml.2005.04.005</v>
      </c>
      <c r="BG221" s="1" t="s">
        <v>74</v>
      </c>
      <c r="BH221" s="1" t="s">
        <v>74</v>
      </c>
      <c r="BI221" s="1" t="s">
        <v>74</v>
      </c>
      <c r="BJ221" s="1" t="s">
        <v>74</v>
      </c>
      <c r="BK221" s="1" t="s">
        <v>74</v>
      </c>
      <c r="BL221" s="1" t="s">
        <v>74</v>
      </c>
      <c r="BM221" s="1" t="s">
        <v>74</v>
      </c>
      <c r="BN221" s="1" t="s">
        <v>74</v>
      </c>
      <c r="BO221" s="1" t="s">
        <v>74</v>
      </c>
      <c r="BP221" s="1" t="s">
        <v>74</v>
      </c>
      <c r="BQ221" s="1" t="s">
        <v>74</v>
      </c>
      <c r="BR221" s="1" t="s">
        <v>74</v>
      </c>
      <c r="BS221" s="1" t="s">
        <v>2305</v>
      </c>
      <c r="BT221" s="1" t="str">
        <f>HYPERLINK("https%3A%2F%2Fwww.webofscience.com%2Fwos%2Fwoscc%2Ffull-record%2FWOS:000235509700001","View Full Record in Web of Science")</f>
        <v>View Full Record in Web of Science</v>
      </c>
    </row>
    <row r="222" ht="12.75" customHeight="1">
      <c r="A222" s="1" t="s">
        <v>72</v>
      </c>
      <c r="B222" s="1" t="s">
        <v>2306</v>
      </c>
      <c r="C222" s="1" t="s">
        <v>74</v>
      </c>
      <c r="D222" s="1" t="s">
        <v>74</v>
      </c>
      <c r="E222" s="1" t="s">
        <v>74</v>
      </c>
      <c r="F222" s="1" t="s">
        <v>2306</v>
      </c>
      <c r="G222" s="1" t="s">
        <v>74</v>
      </c>
      <c r="H222" s="1" t="s">
        <v>74</v>
      </c>
      <c r="I222" s="1" t="s">
        <v>2307</v>
      </c>
      <c r="J222" s="1" t="s">
        <v>582</v>
      </c>
      <c r="K222" s="1" t="s">
        <v>74</v>
      </c>
      <c r="L222" s="1" t="s">
        <v>74</v>
      </c>
      <c r="M222" s="1" t="s">
        <v>74</v>
      </c>
      <c r="N222" s="1" t="s">
        <v>74</v>
      </c>
      <c r="O222" s="1" t="s">
        <v>74</v>
      </c>
      <c r="P222" s="1" t="s">
        <v>74</v>
      </c>
      <c r="Q222" s="1" t="s">
        <v>74</v>
      </c>
      <c r="R222" s="1" t="s">
        <v>74</v>
      </c>
      <c r="S222" s="1" t="s">
        <v>74</v>
      </c>
      <c r="T222" s="1" t="s">
        <v>74</v>
      </c>
      <c r="U222" s="1" t="s">
        <v>74</v>
      </c>
      <c r="V222" s="1" t="s">
        <v>2308</v>
      </c>
      <c r="W222" s="1" t="s">
        <v>74</v>
      </c>
      <c r="X222" s="1" t="s">
        <v>74</v>
      </c>
      <c r="Y222" s="1" t="s">
        <v>74</v>
      </c>
      <c r="Z222" s="1" t="s">
        <v>74</v>
      </c>
      <c r="AA222" s="1" t="s">
        <v>2309</v>
      </c>
      <c r="AB222" s="1" t="s">
        <v>74</v>
      </c>
      <c r="AC222" s="1" t="s">
        <v>74</v>
      </c>
      <c r="AD222" s="1" t="s">
        <v>74</v>
      </c>
      <c r="AE222" s="1" t="s">
        <v>74</v>
      </c>
      <c r="AF222" s="1" t="s">
        <v>74</v>
      </c>
      <c r="AG222" s="1" t="s">
        <v>74</v>
      </c>
      <c r="AH222" s="1" t="s">
        <v>74</v>
      </c>
      <c r="AI222" s="1" t="s">
        <v>74</v>
      </c>
      <c r="AJ222" s="1" t="s">
        <v>74</v>
      </c>
      <c r="AK222" s="1" t="s">
        <v>74</v>
      </c>
      <c r="AL222" s="1" t="s">
        <v>74</v>
      </c>
      <c r="AM222" s="1" t="s">
        <v>74</v>
      </c>
      <c r="AN222" s="1" t="s">
        <v>74</v>
      </c>
      <c r="AO222" s="1" t="s">
        <v>585</v>
      </c>
      <c r="AP222" s="1" t="s">
        <v>74</v>
      </c>
      <c r="AQ222" s="1" t="s">
        <v>74</v>
      </c>
      <c r="AR222" s="1" t="s">
        <v>74</v>
      </c>
      <c r="AS222" s="1" t="s">
        <v>74</v>
      </c>
      <c r="AT222" s="1" t="s">
        <v>650</v>
      </c>
      <c r="AU222" s="1">
        <v>2006.0</v>
      </c>
      <c r="AV222" s="1">
        <v>51.0</v>
      </c>
      <c r="AW222" s="1">
        <v>1.0</v>
      </c>
      <c r="AX222" s="1" t="s">
        <v>74</v>
      </c>
      <c r="AY222" s="1" t="s">
        <v>74</v>
      </c>
      <c r="AZ222" s="1" t="s">
        <v>74</v>
      </c>
      <c r="BA222" s="1" t="s">
        <v>74</v>
      </c>
      <c r="BB222" s="1">
        <v>809.0</v>
      </c>
      <c r="BC222" s="1">
        <v>813.0</v>
      </c>
      <c r="BD222" s="1" t="s">
        <v>74</v>
      </c>
      <c r="BE222" s="1" t="s">
        <v>74</v>
      </c>
      <c r="BF222" s="1" t="s">
        <v>74</v>
      </c>
      <c r="BG222" s="1" t="s">
        <v>74</v>
      </c>
      <c r="BH222" s="1" t="s">
        <v>74</v>
      </c>
      <c r="BI222" s="1" t="s">
        <v>74</v>
      </c>
      <c r="BJ222" s="1" t="s">
        <v>74</v>
      </c>
      <c r="BK222" s="1" t="s">
        <v>74</v>
      </c>
      <c r="BL222" s="1" t="s">
        <v>74</v>
      </c>
      <c r="BM222" s="1" t="s">
        <v>74</v>
      </c>
      <c r="BN222" s="1" t="s">
        <v>74</v>
      </c>
      <c r="BO222" s="1" t="s">
        <v>74</v>
      </c>
      <c r="BP222" s="1" t="s">
        <v>74</v>
      </c>
      <c r="BQ222" s="1" t="s">
        <v>74</v>
      </c>
      <c r="BR222" s="1" t="s">
        <v>74</v>
      </c>
      <c r="BS222" s="1" t="s">
        <v>2310</v>
      </c>
      <c r="BT222" s="1" t="str">
        <f>HYPERLINK("https%3A%2F%2Fwww.webofscience.com%2Fwos%2Fwoscc%2Ffull-record%2FWOS:000236260500010","View Full Record in Web of Science")</f>
        <v>View Full Record in Web of Science</v>
      </c>
    </row>
    <row r="223" ht="12.75" customHeight="1">
      <c r="A223" s="1" t="s">
        <v>72</v>
      </c>
      <c r="B223" s="1" t="s">
        <v>2311</v>
      </c>
      <c r="C223" s="1" t="s">
        <v>74</v>
      </c>
      <c r="D223" s="1" t="s">
        <v>74</v>
      </c>
      <c r="E223" s="1" t="s">
        <v>74</v>
      </c>
      <c r="F223" s="1" t="s">
        <v>2311</v>
      </c>
      <c r="G223" s="1" t="s">
        <v>74</v>
      </c>
      <c r="H223" s="1" t="s">
        <v>74</v>
      </c>
      <c r="I223" s="1" t="s">
        <v>2312</v>
      </c>
      <c r="J223" s="1" t="s">
        <v>2313</v>
      </c>
      <c r="K223" s="1" t="s">
        <v>74</v>
      </c>
      <c r="L223" s="1" t="s">
        <v>74</v>
      </c>
      <c r="M223" s="1" t="s">
        <v>74</v>
      </c>
      <c r="N223" s="1" t="s">
        <v>74</v>
      </c>
      <c r="O223" s="1" t="s">
        <v>74</v>
      </c>
      <c r="P223" s="1" t="s">
        <v>74</v>
      </c>
      <c r="Q223" s="1" t="s">
        <v>74</v>
      </c>
      <c r="R223" s="1" t="s">
        <v>74</v>
      </c>
      <c r="S223" s="1" t="s">
        <v>74</v>
      </c>
      <c r="T223" s="1" t="s">
        <v>74</v>
      </c>
      <c r="U223" s="1" t="s">
        <v>74</v>
      </c>
      <c r="V223" s="1" t="s">
        <v>2314</v>
      </c>
      <c r="W223" s="1" t="s">
        <v>74</v>
      </c>
      <c r="X223" s="1" t="s">
        <v>74</v>
      </c>
      <c r="Y223" s="1" t="s">
        <v>74</v>
      </c>
      <c r="Z223" s="1" t="s">
        <v>74</v>
      </c>
      <c r="AA223" s="1" t="s">
        <v>2315</v>
      </c>
      <c r="AB223" s="1" t="s">
        <v>2316</v>
      </c>
      <c r="AC223" s="1" t="s">
        <v>74</v>
      </c>
      <c r="AD223" s="1" t="s">
        <v>74</v>
      </c>
      <c r="AE223" s="1" t="s">
        <v>74</v>
      </c>
      <c r="AF223" s="1" t="s">
        <v>74</v>
      </c>
      <c r="AG223" s="1" t="s">
        <v>74</v>
      </c>
      <c r="AH223" s="1" t="s">
        <v>74</v>
      </c>
      <c r="AI223" s="1" t="s">
        <v>74</v>
      </c>
      <c r="AJ223" s="1" t="s">
        <v>74</v>
      </c>
      <c r="AK223" s="1" t="s">
        <v>74</v>
      </c>
      <c r="AL223" s="1" t="s">
        <v>74</v>
      </c>
      <c r="AM223" s="1" t="s">
        <v>74</v>
      </c>
      <c r="AN223" s="1" t="s">
        <v>74</v>
      </c>
      <c r="AO223" s="1" t="s">
        <v>2317</v>
      </c>
      <c r="AP223" s="1" t="s">
        <v>2318</v>
      </c>
      <c r="AQ223" s="1" t="s">
        <v>74</v>
      </c>
      <c r="AR223" s="1" t="s">
        <v>74</v>
      </c>
      <c r="AS223" s="1" t="s">
        <v>74</v>
      </c>
      <c r="AT223" s="1" t="s">
        <v>2319</v>
      </c>
      <c r="AU223" s="1">
        <v>2004.0</v>
      </c>
      <c r="AV223" s="1">
        <v>581.0</v>
      </c>
      <c r="AW223" s="1" t="s">
        <v>2320</v>
      </c>
      <c r="AX223" s="1" t="s">
        <v>74</v>
      </c>
      <c r="AY223" s="1" t="s">
        <v>74</v>
      </c>
      <c r="AZ223" s="1" t="s">
        <v>74</v>
      </c>
      <c r="BA223" s="1" t="s">
        <v>74</v>
      </c>
      <c r="BB223" s="1">
        <v>263.0</v>
      </c>
      <c r="BC223" s="1">
        <v>269.0</v>
      </c>
      <c r="BD223" s="1" t="s">
        <v>74</v>
      </c>
      <c r="BE223" s="1" t="s">
        <v>2321</v>
      </c>
      <c r="BF223" s="2" t="str">
        <f>HYPERLINK("http://dx.doi.org/10.1016/j.physletb.2003.11.047","http://dx.doi.org/10.1016/j.physletb.2003.11.047")</f>
        <v>http://dx.doi.org/10.1016/j.physletb.2003.11.047</v>
      </c>
      <c r="BG223" s="1" t="s">
        <v>74</v>
      </c>
      <c r="BH223" s="1" t="s">
        <v>74</v>
      </c>
      <c r="BI223" s="1" t="s">
        <v>74</v>
      </c>
      <c r="BJ223" s="1" t="s">
        <v>74</v>
      </c>
      <c r="BK223" s="1" t="s">
        <v>74</v>
      </c>
      <c r="BL223" s="1" t="s">
        <v>74</v>
      </c>
      <c r="BM223" s="1" t="s">
        <v>74</v>
      </c>
      <c r="BN223" s="1" t="s">
        <v>74</v>
      </c>
      <c r="BO223" s="1" t="s">
        <v>74</v>
      </c>
      <c r="BP223" s="1" t="s">
        <v>74</v>
      </c>
      <c r="BQ223" s="1" t="s">
        <v>74</v>
      </c>
      <c r="BR223" s="1" t="s">
        <v>74</v>
      </c>
      <c r="BS223" s="1" t="s">
        <v>2322</v>
      </c>
      <c r="BT223" s="1" t="str">
        <f>HYPERLINK("https%3A%2F%2Fwww.webofscience.com%2Fwos%2Fwoscc%2Ffull-record%2FWOS:000188698300017","View Full Record in Web of Science")</f>
        <v>View Full Record in Web of Science</v>
      </c>
    </row>
    <row r="224" ht="12.75" customHeight="1">
      <c r="A224" s="1" t="s">
        <v>72</v>
      </c>
      <c r="B224" s="1" t="s">
        <v>2323</v>
      </c>
      <c r="C224" s="1" t="s">
        <v>74</v>
      </c>
      <c r="D224" s="1" t="s">
        <v>74</v>
      </c>
      <c r="E224" s="1" t="s">
        <v>74</v>
      </c>
      <c r="F224" s="1" t="s">
        <v>2323</v>
      </c>
      <c r="G224" s="1" t="s">
        <v>74</v>
      </c>
      <c r="H224" s="1" t="s">
        <v>74</v>
      </c>
      <c r="I224" s="1" t="s">
        <v>2324</v>
      </c>
      <c r="J224" s="1" t="s">
        <v>2325</v>
      </c>
      <c r="K224" s="1" t="s">
        <v>74</v>
      </c>
      <c r="L224" s="1" t="s">
        <v>74</v>
      </c>
      <c r="M224" s="1" t="s">
        <v>74</v>
      </c>
      <c r="N224" s="1" t="s">
        <v>74</v>
      </c>
      <c r="O224" s="1" t="s">
        <v>74</v>
      </c>
      <c r="P224" s="1" t="s">
        <v>74</v>
      </c>
      <c r="Q224" s="1" t="s">
        <v>74</v>
      </c>
      <c r="R224" s="1" t="s">
        <v>74</v>
      </c>
      <c r="S224" s="1" t="s">
        <v>74</v>
      </c>
      <c r="T224" s="1" t="s">
        <v>74</v>
      </c>
      <c r="U224" s="1" t="s">
        <v>74</v>
      </c>
      <c r="V224" s="1" t="s">
        <v>74</v>
      </c>
      <c r="W224" s="1" t="s">
        <v>74</v>
      </c>
      <c r="X224" s="1" t="s">
        <v>74</v>
      </c>
      <c r="Y224" s="1" t="s">
        <v>74</v>
      </c>
      <c r="Z224" s="1" t="s">
        <v>74</v>
      </c>
      <c r="AA224" s="1" t="s">
        <v>2326</v>
      </c>
      <c r="AB224" s="1" t="s">
        <v>74</v>
      </c>
      <c r="AC224" s="1" t="s">
        <v>74</v>
      </c>
      <c r="AD224" s="1" t="s">
        <v>74</v>
      </c>
      <c r="AE224" s="1" t="s">
        <v>74</v>
      </c>
      <c r="AF224" s="1" t="s">
        <v>74</v>
      </c>
      <c r="AG224" s="1" t="s">
        <v>74</v>
      </c>
      <c r="AH224" s="1" t="s">
        <v>74</v>
      </c>
      <c r="AI224" s="1" t="s">
        <v>74</v>
      </c>
      <c r="AJ224" s="1" t="s">
        <v>74</v>
      </c>
      <c r="AK224" s="1" t="s">
        <v>74</v>
      </c>
      <c r="AL224" s="1" t="s">
        <v>74</v>
      </c>
      <c r="AM224" s="1" t="s">
        <v>74</v>
      </c>
      <c r="AN224" s="1" t="s">
        <v>74</v>
      </c>
      <c r="AO224" s="1" t="s">
        <v>2327</v>
      </c>
      <c r="AP224" s="1" t="s">
        <v>74</v>
      </c>
      <c r="AQ224" s="1" t="s">
        <v>74</v>
      </c>
      <c r="AR224" s="1" t="s">
        <v>74</v>
      </c>
      <c r="AS224" s="1" t="s">
        <v>74</v>
      </c>
      <c r="AT224" s="1" t="s">
        <v>2328</v>
      </c>
      <c r="AU224" s="1">
        <v>2002.0</v>
      </c>
      <c r="AV224" s="1">
        <v>41.0</v>
      </c>
      <c r="AW224" s="1">
        <v>28.0</v>
      </c>
      <c r="AX224" s="1" t="s">
        <v>74</v>
      </c>
      <c r="AY224" s="1" t="s">
        <v>74</v>
      </c>
      <c r="AZ224" s="1" t="s">
        <v>74</v>
      </c>
      <c r="BA224" s="1">
        <v>64.0</v>
      </c>
      <c r="BB224" s="1">
        <v>8975.0</v>
      </c>
      <c r="BC224" s="1">
        <v>8975.0</v>
      </c>
      <c r="BD224" s="1" t="s">
        <v>74</v>
      </c>
      <c r="BE224" s="1" t="s">
        <v>74</v>
      </c>
      <c r="BF224" s="1" t="s">
        <v>74</v>
      </c>
      <c r="BG224" s="1" t="s">
        <v>74</v>
      </c>
      <c r="BH224" s="1" t="s">
        <v>74</v>
      </c>
      <c r="BI224" s="1" t="s">
        <v>74</v>
      </c>
      <c r="BJ224" s="1" t="s">
        <v>74</v>
      </c>
      <c r="BK224" s="1" t="s">
        <v>74</v>
      </c>
      <c r="BL224" s="1" t="s">
        <v>74</v>
      </c>
      <c r="BM224" s="1" t="s">
        <v>74</v>
      </c>
      <c r="BN224" s="1" t="s">
        <v>74</v>
      </c>
      <c r="BO224" s="1" t="s">
        <v>74</v>
      </c>
      <c r="BP224" s="1" t="s">
        <v>74</v>
      </c>
      <c r="BQ224" s="1" t="s">
        <v>74</v>
      </c>
      <c r="BR224" s="1" t="s">
        <v>74</v>
      </c>
      <c r="BS224" s="1" t="s">
        <v>2329</v>
      </c>
      <c r="BT224" s="1" t="str">
        <f>HYPERLINK("https%3A%2F%2Fwww.webofscience.com%2Fwos%2Fwoscc%2Ffull-record%2FWOS:000176777000083","View Full Record in Web of Science")</f>
        <v>View Full Record in Web of Science</v>
      </c>
    </row>
    <row r="225" ht="12.75" customHeight="1">
      <c r="A225" s="1" t="s">
        <v>72</v>
      </c>
      <c r="B225" s="1" t="s">
        <v>2330</v>
      </c>
      <c r="C225" s="1" t="s">
        <v>74</v>
      </c>
      <c r="D225" s="1" t="s">
        <v>74</v>
      </c>
      <c r="E225" s="1" t="s">
        <v>74</v>
      </c>
      <c r="F225" s="1" t="s">
        <v>2330</v>
      </c>
      <c r="G225" s="1" t="s">
        <v>74</v>
      </c>
      <c r="H225" s="1" t="s">
        <v>74</v>
      </c>
      <c r="I225" s="1" t="s">
        <v>2331</v>
      </c>
      <c r="J225" s="1" t="s">
        <v>2332</v>
      </c>
      <c r="K225" s="1" t="s">
        <v>74</v>
      </c>
      <c r="L225" s="1" t="s">
        <v>74</v>
      </c>
      <c r="M225" s="1" t="s">
        <v>74</v>
      </c>
      <c r="N225" s="1" t="s">
        <v>74</v>
      </c>
      <c r="O225" s="1" t="s">
        <v>74</v>
      </c>
      <c r="P225" s="1" t="s">
        <v>74</v>
      </c>
      <c r="Q225" s="1" t="s">
        <v>74</v>
      </c>
      <c r="R225" s="1" t="s">
        <v>74</v>
      </c>
      <c r="S225" s="1" t="s">
        <v>74</v>
      </c>
      <c r="T225" s="1" t="s">
        <v>74</v>
      </c>
      <c r="U225" s="1" t="s">
        <v>74</v>
      </c>
      <c r="V225" s="1" t="s">
        <v>2333</v>
      </c>
      <c r="W225" s="1" t="s">
        <v>74</v>
      </c>
      <c r="X225" s="1" t="s">
        <v>74</v>
      </c>
      <c r="Y225" s="1" t="s">
        <v>74</v>
      </c>
      <c r="Z225" s="1" t="s">
        <v>74</v>
      </c>
      <c r="AA225" s="1" t="s">
        <v>2334</v>
      </c>
      <c r="AB225" s="1" t="s">
        <v>2335</v>
      </c>
      <c r="AC225" s="1" t="s">
        <v>74</v>
      </c>
      <c r="AD225" s="1" t="s">
        <v>74</v>
      </c>
      <c r="AE225" s="1" t="s">
        <v>74</v>
      </c>
      <c r="AF225" s="1" t="s">
        <v>74</v>
      </c>
      <c r="AG225" s="1" t="s">
        <v>74</v>
      </c>
      <c r="AH225" s="1" t="s">
        <v>74</v>
      </c>
      <c r="AI225" s="1" t="s">
        <v>74</v>
      </c>
      <c r="AJ225" s="1" t="s">
        <v>74</v>
      </c>
      <c r="AK225" s="1" t="s">
        <v>74</v>
      </c>
      <c r="AL225" s="1" t="s">
        <v>74</v>
      </c>
      <c r="AM225" s="1" t="s">
        <v>74</v>
      </c>
      <c r="AN225" s="1" t="s">
        <v>74</v>
      </c>
      <c r="AO225" s="1" t="s">
        <v>2336</v>
      </c>
      <c r="AP225" s="1" t="s">
        <v>2337</v>
      </c>
      <c r="AQ225" s="1" t="s">
        <v>74</v>
      </c>
      <c r="AR225" s="1" t="s">
        <v>74</v>
      </c>
      <c r="AS225" s="1" t="s">
        <v>74</v>
      </c>
      <c r="AT225" s="1" t="s">
        <v>2338</v>
      </c>
      <c r="AU225" s="1">
        <v>2002.0</v>
      </c>
      <c r="AV225" s="1">
        <v>47.0</v>
      </c>
      <c r="AW225" s="1">
        <v>15.0</v>
      </c>
      <c r="AX225" s="1" t="s">
        <v>74</v>
      </c>
      <c r="AY225" s="1" t="s">
        <v>74</v>
      </c>
      <c r="AZ225" s="1" t="s">
        <v>74</v>
      </c>
      <c r="BA225" s="1" t="s">
        <v>74</v>
      </c>
      <c r="BB225" s="1">
        <v>2399.0</v>
      </c>
      <c r="BC225" s="1">
        <v>2406.0</v>
      </c>
      <c r="BD225" s="1" t="s">
        <v>2339</v>
      </c>
      <c r="BE225" s="1" t="s">
        <v>2340</v>
      </c>
      <c r="BF225" s="2" t="str">
        <f>HYPERLINK("http://dx.doi.org/10.1016/S0013-4686(02)00043-9","http://dx.doi.org/10.1016/S0013-4686(02)00043-9")</f>
        <v>http://dx.doi.org/10.1016/S0013-4686(02)00043-9</v>
      </c>
      <c r="BG225" s="1" t="s">
        <v>74</v>
      </c>
      <c r="BH225" s="1" t="s">
        <v>74</v>
      </c>
      <c r="BI225" s="1" t="s">
        <v>74</v>
      </c>
      <c r="BJ225" s="1" t="s">
        <v>74</v>
      </c>
      <c r="BK225" s="1" t="s">
        <v>74</v>
      </c>
      <c r="BL225" s="1" t="s">
        <v>74</v>
      </c>
      <c r="BM225" s="1" t="s">
        <v>74</v>
      </c>
      <c r="BN225" s="1" t="s">
        <v>74</v>
      </c>
      <c r="BO225" s="1" t="s">
        <v>74</v>
      </c>
      <c r="BP225" s="1" t="s">
        <v>74</v>
      </c>
      <c r="BQ225" s="1" t="s">
        <v>74</v>
      </c>
      <c r="BR225" s="1" t="s">
        <v>74</v>
      </c>
      <c r="BS225" s="1" t="s">
        <v>2341</v>
      </c>
      <c r="BT225" s="1" t="str">
        <f>HYPERLINK("https%3A%2F%2Fwww.webofscience.com%2Fwos%2Fwoscc%2Ffull-record%2FWOS:000176301900006","View Full Record in Web of Science")</f>
        <v>View Full Record in Web of Science</v>
      </c>
    </row>
    <row r="226" ht="12.75" customHeight="1">
      <c r="A226" s="1" t="s">
        <v>72</v>
      </c>
      <c r="B226" s="1" t="s">
        <v>2342</v>
      </c>
      <c r="C226" s="1" t="s">
        <v>74</v>
      </c>
      <c r="D226" s="1" t="s">
        <v>74</v>
      </c>
      <c r="E226" s="1" t="s">
        <v>74</v>
      </c>
      <c r="F226" s="1" t="s">
        <v>2342</v>
      </c>
      <c r="G226" s="1" t="s">
        <v>74</v>
      </c>
      <c r="H226" s="1" t="s">
        <v>74</v>
      </c>
      <c r="I226" s="1" t="s">
        <v>2343</v>
      </c>
      <c r="J226" s="1" t="s">
        <v>2332</v>
      </c>
      <c r="K226" s="1" t="s">
        <v>74</v>
      </c>
      <c r="L226" s="1" t="s">
        <v>74</v>
      </c>
      <c r="M226" s="1" t="s">
        <v>74</v>
      </c>
      <c r="N226" s="1" t="s">
        <v>74</v>
      </c>
      <c r="O226" s="1" t="s">
        <v>74</v>
      </c>
      <c r="P226" s="1" t="s">
        <v>74</v>
      </c>
      <c r="Q226" s="1" t="s">
        <v>74</v>
      </c>
      <c r="R226" s="1" t="s">
        <v>74</v>
      </c>
      <c r="S226" s="1" t="s">
        <v>74</v>
      </c>
      <c r="T226" s="1" t="s">
        <v>74</v>
      </c>
      <c r="U226" s="1" t="s">
        <v>74</v>
      </c>
      <c r="V226" s="1" t="s">
        <v>2344</v>
      </c>
      <c r="W226" s="1" t="s">
        <v>74</v>
      </c>
      <c r="X226" s="1" t="s">
        <v>74</v>
      </c>
      <c r="Y226" s="1" t="s">
        <v>74</v>
      </c>
      <c r="Z226" s="1" t="s">
        <v>74</v>
      </c>
      <c r="AA226" s="1" t="s">
        <v>74</v>
      </c>
      <c r="AB226" s="1" t="s">
        <v>74</v>
      </c>
      <c r="AC226" s="1" t="s">
        <v>74</v>
      </c>
      <c r="AD226" s="1" t="s">
        <v>74</v>
      </c>
      <c r="AE226" s="1" t="s">
        <v>74</v>
      </c>
      <c r="AF226" s="1" t="s">
        <v>74</v>
      </c>
      <c r="AG226" s="1" t="s">
        <v>74</v>
      </c>
      <c r="AH226" s="1" t="s">
        <v>74</v>
      </c>
      <c r="AI226" s="1" t="s">
        <v>74</v>
      </c>
      <c r="AJ226" s="1" t="s">
        <v>74</v>
      </c>
      <c r="AK226" s="1" t="s">
        <v>74</v>
      </c>
      <c r="AL226" s="1" t="s">
        <v>74</v>
      </c>
      <c r="AM226" s="1" t="s">
        <v>74</v>
      </c>
      <c r="AN226" s="1" t="s">
        <v>74</v>
      </c>
      <c r="AO226" s="1" t="s">
        <v>2336</v>
      </c>
      <c r="AP226" s="1" t="s">
        <v>2337</v>
      </c>
      <c r="AQ226" s="1" t="s">
        <v>74</v>
      </c>
      <c r="AR226" s="1" t="s">
        <v>74</v>
      </c>
      <c r="AS226" s="1" t="s">
        <v>74</v>
      </c>
      <c r="AT226" s="1" t="s">
        <v>2345</v>
      </c>
      <c r="AU226" s="1">
        <v>2001.0</v>
      </c>
      <c r="AV226" s="1">
        <v>46.0</v>
      </c>
      <c r="AW226" s="1">
        <v>18.0</v>
      </c>
      <c r="AX226" s="1" t="s">
        <v>74</v>
      </c>
      <c r="AY226" s="1" t="s">
        <v>74</v>
      </c>
      <c r="AZ226" s="1" t="s">
        <v>74</v>
      </c>
      <c r="BA226" s="1" t="s">
        <v>74</v>
      </c>
      <c r="BB226" s="1">
        <v>2767.0</v>
      </c>
      <c r="BC226" s="1">
        <v>2776.0</v>
      </c>
      <c r="BD226" s="1" t="s">
        <v>74</v>
      </c>
      <c r="BE226" s="1" t="s">
        <v>2346</v>
      </c>
      <c r="BF226" s="2" t="str">
        <f>HYPERLINK("http://dx.doi.org/10.1016/S0013-4686(01)00506-0","http://dx.doi.org/10.1016/S0013-4686(01)00506-0")</f>
        <v>http://dx.doi.org/10.1016/S0013-4686(01)00506-0</v>
      </c>
      <c r="BG226" s="1" t="s">
        <v>74</v>
      </c>
      <c r="BH226" s="1" t="s">
        <v>74</v>
      </c>
      <c r="BI226" s="1" t="s">
        <v>74</v>
      </c>
      <c r="BJ226" s="1" t="s">
        <v>74</v>
      </c>
      <c r="BK226" s="1" t="s">
        <v>74</v>
      </c>
      <c r="BL226" s="1" t="s">
        <v>74</v>
      </c>
      <c r="BM226" s="1" t="s">
        <v>74</v>
      </c>
      <c r="BN226" s="1" t="s">
        <v>74</v>
      </c>
      <c r="BO226" s="1" t="s">
        <v>74</v>
      </c>
      <c r="BP226" s="1" t="s">
        <v>74</v>
      </c>
      <c r="BQ226" s="1" t="s">
        <v>74</v>
      </c>
      <c r="BR226" s="1" t="s">
        <v>74</v>
      </c>
      <c r="BS226" s="1" t="s">
        <v>2347</v>
      </c>
      <c r="BT226" s="1" t="str">
        <f>HYPERLINK("https%3A%2F%2Fwww.webofscience.com%2Fwos%2Fwoscc%2Ffull-record%2FWOS:000169297600004","View Full Record in Web of Science")</f>
        <v>View Full Record in Web of Science</v>
      </c>
    </row>
    <row r="227" ht="12.75" customHeight="1">
      <c r="A227" s="1" t="s">
        <v>72</v>
      </c>
      <c r="B227" s="1" t="s">
        <v>2348</v>
      </c>
      <c r="C227" s="1" t="s">
        <v>74</v>
      </c>
      <c r="D227" s="1" t="s">
        <v>74</v>
      </c>
      <c r="E227" s="1" t="s">
        <v>74</v>
      </c>
      <c r="F227" s="1" t="s">
        <v>2348</v>
      </c>
      <c r="G227" s="1" t="s">
        <v>74</v>
      </c>
      <c r="H227" s="1" t="s">
        <v>74</v>
      </c>
      <c r="I227" s="1" t="s">
        <v>2349</v>
      </c>
      <c r="J227" s="1" t="s">
        <v>2350</v>
      </c>
      <c r="K227" s="1" t="s">
        <v>74</v>
      </c>
      <c r="L227" s="1" t="s">
        <v>74</v>
      </c>
      <c r="M227" s="1" t="s">
        <v>74</v>
      </c>
      <c r="N227" s="1" t="s">
        <v>74</v>
      </c>
      <c r="O227" s="1" t="s">
        <v>74</v>
      </c>
      <c r="P227" s="1" t="s">
        <v>74</v>
      </c>
      <c r="Q227" s="1" t="s">
        <v>74</v>
      </c>
      <c r="R227" s="1" t="s">
        <v>74</v>
      </c>
      <c r="S227" s="1" t="s">
        <v>74</v>
      </c>
      <c r="T227" s="1" t="s">
        <v>74</v>
      </c>
      <c r="U227" s="1" t="s">
        <v>74</v>
      </c>
      <c r="V227" s="1" t="s">
        <v>2351</v>
      </c>
      <c r="W227" s="1" t="s">
        <v>74</v>
      </c>
      <c r="X227" s="1" t="s">
        <v>74</v>
      </c>
      <c r="Y227" s="1" t="s">
        <v>74</v>
      </c>
      <c r="Z227" s="1" t="s">
        <v>74</v>
      </c>
      <c r="AA227" s="1" t="s">
        <v>2352</v>
      </c>
      <c r="AB227" s="1" t="s">
        <v>2353</v>
      </c>
      <c r="AC227" s="1" t="s">
        <v>74</v>
      </c>
      <c r="AD227" s="1" t="s">
        <v>74</v>
      </c>
      <c r="AE227" s="1" t="s">
        <v>74</v>
      </c>
      <c r="AF227" s="1" t="s">
        <v>74</v>
      </c>
      <c r="AG227" s="1" t="s">
        <v>74</v>
      </c>
      <c r="AH227" s="1" t="s">
        <v>74</v>
      </c>
      <c r="AI227" s="1" t="s">
        <v>74</v>
      </c>
      <c r="AJ227" s="1" t="s">
        <v>74</v>
      </c>
      <c r="AK227" s="1" t="s">
        <v>74</v>
      </c>
      <c r="AL227" s="1" t="s">
        <v>74</v>
      </c>
      <c r="AM227" s="1" t="s">
        <v>74</v>
      </c>
      <c r="AN227" s="1" t="s">
        <v>74</v>
      </c>
      <c r="AO227" s="1" t="s">
        <v>2354</v>
      </c>
      <c r="AP227" s="1" t="s">
        <v>2355</v>
      </c>
      <c r="AQ227" s="1" t="s">
        <v>74</v>
      </c>
      <c r="AR227" s="1" t="s">
        <v>74</v>
      </c>
      <c r="AS227" s="1" t="s">
        <v>74</v>
      </c>
      <c r="AT227" s="1" t="s">
        <v>2356</v>
      </c>
      <c r="AU227" s="1">
        <v>1999.0</v>
      </c>
      <c r="AV227" s="1">
        <v>103.0</v>
      </c>
      <c r="AW227" s="1">
        <v>40.0</v>
      </c>
      <c r="AX227" s="1" t="s">
        <v>74</v>
      </c>
      <c r="AY227" s="1" t="s">
        <v>74</v>
      </c>
      <c r="AZ227" s="1" t="s">
        <v>74</v>
      </c>
      <c r="BA227" s="1" t="s">
        <v>74</v>
      </c>
      <c r="BB227" s="1">
        <v>8056.0</v>
      </c>
      <c r="BC227" s="1">
        <v>8061.0</v>
      </c>
      <c r="BD227" s="1" t="s">
        <v>74</v>
      </c>
      <c r="BE227" s="1" t="s">
        <v>2357</v>
      </c>
      <c r="BF227" s="2" t="str">
        <f>HYPERLINK("http://dx.doi.org/10.1021/jp991152n","http://dx.doi.org/10.1021/jp991152n")</f>
        <v>http://dx.doi.org/10.1021/jp991152n</v>
      </c>
      <c r="BG227" s="1" t="s">
        <v>74</v>
      </c>
      <c r="BH227" s="1" t="s">
        <v>74</v>
      </c>
      <c r="BI227" s="1" t="s">
        <v>74</v>
      </c>
      <c r="BJ227" s="1" t="s">
        <v>74</v>
      </c>
      <c r="BK227" s="1" t="s">
        <v>74</v>
      </c>
      <c r="BL227" s="1" t="s">
        <v>74</v>
      </c>
      <c r="BM227" s="1" t="s">
        <v>74</v>
      </c>
      <c r="BN227" s="1" t="s">
        <v>74</v>
      </c>
      <c r="BO227" s="1" t="s">
        <v>74</v>
      </c>
      <c r="BP227" s="1" t="s">
        <v>74</v>
      </c>
      <c r="BQ227" s="1" t="s">
        <v>74</v>
      </c>
      <c r="BR227" s="1" t="s">
        <v>74</v>
      </c>
      <c r="BS227" s="1" t="s">
        <v>2358</v>
      </c>
      <c r="BT227" s="1" t="str">
        <f>HYPERLINK("https%3A%2F%2Fwww.webofscience.com%2Fwos%2Fwoscc%2Ffull-record%2FWOS:000083151200015","View Full Record in Web of Science")</f>
        <v>View Full Record in Web of Science</v>
      </c>
    </row>
    <row r="228" ht="12.75" customHeight="1">
      <c r="A228" s="1" t="s">
        <v>72</v>
      </c>
      <c r="B228" s="1" t="s">
        <v>2359</v>
      </c>
      <c r="C228" s="1" t="s">
        <v>74</v>
      </c>
      <c r="D228" s="1" t="s">
        <v>74</v>
      </c>
      <c r="E228" s="1" t="s">
        <v>74</v>
      </c>
      <c r="F228" s="1" t="s">
        <v>2359</v>
      </c>
      <c r="G228" s="1" t="s">
        <v>74</v>
      </c>
      <c r="H228" s="1" t="s">
        <v>74</v>
      </c>
      <c r="I228" s="1" t="s">
        <v>2360</v>
      </c>
      <c r="J228" s="1" t="s">
        <v>2361</v>
      </c>
      <c r="K228" s="1" t="s">
        <v>74</v>
      </c>
      <c r="L228" s="1" t="s">
        <v>74</v>
      </c>
      <c r="M228" s="1" t="s">
        <v>74</v>
      </c>
      <c r="N228" s="1" t="s">
        <v>74</v>
      </c>
      <c r="O228" s="1" t="s">
        <v>74</v>
      </c>
      <c r="P228" s="1" t="s">
        <v>74</v>
      </c>
      <c r="Q228" s="1" t="s">
        <v>74</v>
      </c>
      <c r="R228" s="1" t="s">
        <v>74</v>
      </c>
      <c r="S228" s="1" t="s">
        <v>74</v>
      </c>
      <c r="T228" s="1" t="s">
        <v>74</v>
      </c>
      <c r="U228" s="1" t="s">
        <v>74</v>
      </c>
      <c r="V228" s="1" t="s">
        <v>2362</v>
      </c>
      <c r="W228" s="1" t="s">
        <v>74</v>
      </c>
      <c r="X228" s="1" t="s">
        <v>74</v>
      </c>
      <c r="Y228" s="1" t="s">
        <v>74</v>
      </c>
      <c r="Z228" s="1" t="s">
        <v>74</v>
      </c>
      <c r="AA228" s="1" t="s">
        <v>2363</v>
      </c>
      <c r="AB228" s="1" t="s">
        <v>2364</v>
      </c>
      <c r="AC228" s="1" t="s">
        <v>74</v>
      </c>
      <c r="AD228" s="1" t="s">
        <v>74</v>
      </c>
      <c r="AE228" s="1" t="s">
        <v>74</v>
      </c>
      <c r="AF228" s="1" t="s">
        <v>74</v>
      </c>
      <c r="AG228" s="1" t="s">
        <v>74</v>
      </c>
      <c r="AH228" s="1" t="s">
        <v>74</v>
      </c>
      <c r="AI228" s="1" t="s">
        <v>74</v>
      </c>
      <c r="AJ228" s="1" t="s">
        <v>74</v>
      </c>
      <c r="AK228" s="1" t="s">
        <v>74</v>
      </c>
      <c r="AL228" s="1" t="s">
        <v>74</v>
      </c>
      <c r="AM228" s="1" t="s">
        <v>74</v>
      </c>
      <c r="AN228" s="1" t="s">
        <v>74</v>
      </c>
      <c r="AO228" s="1" t="s">
        <v>2365</v>
      </c>
      <c r="AP228" s="1" t="s">
        <v>2366</v>
      </c>
      <c r="AQ228" s="1" t="s">
        <v>74</v>
      </c>
      <c r="AR228" s="1" t="s">
        <v>74</v>
      </c>
      <c r="AS228" s="1" t="s">
        <v>74</v>
      </c>
      <c r="AT228" s="1" t="s">
        <v>1049</v>
      </c>
      <c r="AU228" s="1">
        <v>1997.0</v>
      </c>
      <c r="AV228" s="1">
        <v>14.0</v>
      </c>
      <c r="AW228" s="1">
        <v>4.0</v>
      </c>
      <c r="AX228" s="1" t="s">
        <v>74</v>
      </c>
      <c r="AY228" s="1" t="s">
        <v>74</v>
      </c>
      <c r="AZ228" s="1" t="s">
        <v>74</v>
      </c>
      <c r="BA228" s="1" t="s">
        <v>74</v>
      </c>
      <c r="BB228" s="1">
        <v>190.0</v>
      </c>
      <c r="BC228" s="1">
        <v>198.0</v>
      </c>
      <c r="BD228" s="1" t="s">
        <v>74</v>
      </c>
      <c r="BE228" s="1" t="s">
        <v>2367</v>
      </c>
      <c r="BF228" s="2" t="str">
        <f>HYPERLINK("http://dx.doi.org/10.1111/1468-0394.00056","http://dx.doi.org/10.1111/1468-0394.00056")</f>
        <v>http://dx.doi.org/10.1111/1468-0394.00056</v>
      </c>
      <c r="BG228" s="1" t="s">
        <v>74</v>
      </c>
      <c r="BH228" s="1" t="s">
        <v>74</v>
      </c>
      <c r="BI228" s="1" t="s">
        <v>74</v>
      </c>
      <c r="BJ228" s="1" t="s">
        <v>74</v>
      </c>
      <c r="BK228" s="1" t="s">
        <v>74</v>
      </c>
      <c r="BL228" s="1" t="s">
        <v>74</v>
      </c>
      <c r="BM228" s="1" t="s">
        <v>74</v>
      </c>
      <c r="BN228" s="1" t="s">
        <v>74</v>
      </c>
      <c r="BO228" s="1" t="s">
        <v>74</v>
      </c>
      <c r="BP228" s="1" t="s">
        <v>74</v>
      </c>
      <c r="BQ228" s="1" t="s">
        <v>74</v>
      </c>
      <c r="BR228" s="1" t="s">
        <v>74</v>
      </c>
      <c r="BS228" s="1" t="s">
        <v>2368</v>
      </c>
      <c r="BT228" s="1" t="str">
        <f>HYPERLINK("https%3A%2F%2Fwww.webofscience.com%2Fwos%2Fwoscc%2Ffull-record%2FWOS:A1997YF61800003","View Full Record in Web of Science")</f>
        <v>View Full Record in Web of Science</v>
      </c>
    </row>
    <row r="229" ht="12.75" customHeight="1">
      <c r="A229" s="1" t="s">
        <v>72</v>
      </c>
      <c r="B229" s="1" t="s">
        <v>2369</v>
      </c>
      <c r="C229" s="1" t="s">
        <v>74</v>
      </c>
      <c r="D229" s="1" t="s">
        <v>74</v>
      </c>
      <c r="E229" s="1" t="s">
        <v>74</v>
      </c>
      <c r="F229" s="1" t="s">
        <v>2369</v>
      </c>
      <c r="G229" s="1" t="s">
        <v>74</v>
      </c>
      <c r="H229" s="1" t="s">
        <v>74</v>
      </c>
      <c r="I229" s="1" t="s">
        <v>2370</v>
      </c>
      <c r="J229" s="1" t="s">
        <v>2371</v>
      </c>
      <c r="K229" s="1" t="s">
        <v>74</v>
      </c>
      <c r="L229" s="1" t="s">
        <v>74</v>
      </c>
      <c r="M229" s="1" t="s">
        <v>74</v>
      </c>
      <c r="N229" s="1" t="s">
        <v>74</v>
      </c>
      <c r="O229" s="1" t="s">
        <v>74</v>
      </c>
      <c r="P229" s="1" t="s">
        <v>74</v>
      </c>
      <c r="Q229" s="1" t="s">
        <v>74</v>
      </c>
      <c r="R229" s="1" t="s">
        <v>74</v>
      </c>
      <c r="S229" s="1" t="s">
        <v>74</v>
      </c>
      <c r="T229" s="1" t="s">
        <v>74</v>
      </c>
      <c r="U229" s="1" t="s">
        <v>74</v>
      </c>
      <c r="V229" s="1" t="s">
        <v>74</v>
      </c>
      <c r="W229" s="1" t="s">
        <v>74</v>
      </c>
      <c r="X229" s="1" t="s">
        <v>74</v>
      </c>
      <c r="Y229" s="1" t="s">
        <v>74</v>
      </c>
      <c r="Z229" s="1" t="s">
        <v>74</v>
      </c>
      <c r="AA229" s="1" t="s">
        <v>1341</v>
      </c>
      <c r="AB229" s="1" t="s">
        <v>74</v>
      </c>
      <c r="AC229" s="1" t="s">
        <v>74</v>
      </c>
      <c r="AD229" s="1" t="s">
        <v>74</v>
      </c>
      <c r="AE229" s="1" t="s">
        <v>74</v>
      </c>
      <c r="AF229" s="1" t="s">
        <v>74</v>
      </c>
      <c r="AG229" s="1" t="s">
        <v>74</v>
      </c>
      <c r="AH229" s="1" t="s">
        <v>74</v>
      </c>
      <c r="AI229" s="1" t="s">
        <v>74</v>
      </c>
      <c r="AJ229" s="1" t="s">
        <v>74</v>
      </c>
      <c r="AK229" s="1" t="s">
        <v>74</v>
      </c>
      <c r="AL229" s="1" t="s">
        <v>74</v>
      </c>
      <c r="AM229" s="1" t="s">
        <v>74</v>
      </c>
      <c r="AN229" s="1" t="s">
        <v>74</v>
      </c>
      <c r="AO229" s="1" t="s">
        <v>2372</v>
      </c>
      <c r="AP229" s="1" t="s">
        <v>74</v>
      </c>
      <c r="AQ229" s="1" t="s">
        <v>74</v>
      </c>
      <c r="AR229" s="1" t="s">
        <v>74</v>
      </c>
      <c r="AS229" s="1" t="s">
        <v>74</v>
      </c>
      <c r="AT229" s="1" t="s">
        <v>180</v>
      </c>
      <c r="AU229" s="1">
        <v>1997.0</v>
      </c>
      <c r="AV229" s="1">
        <v>28.0</v>
      </c>
      <c r="AW229" s="1">
        <v>9.0</v>
      </c>
      <c r="AX229" s="1" t="s">
        <v>74</v>
      </c>
      <c r="AY229" s="1" t="s">
        <v>74</v>
      </c>
      <c r="AZ229" s="1" t="s">
        <v>74</v>
      </c>
      <c r="BA229" s="1" t="s">
        <v>74</v>
      </c>
      <c r="BB229" s="1">
        <v>1509.0</v>
      </c>
      <c r="BC229" s="1">
        <v>1520.0</v>
      </c>
      <c r="BD229" s="1" t="s">
        <v>74</v>
      </c>
      <c r="BE229" s="1" t="s">
        <v>2373</v>
      </c>
      <c r="BF229" s="2" t="str">
        <f>HYPERLINK("http://dx.doi.org/10.1016/S0362-546X(96)00014-4","http://dx.doi.org/10.1016/S0362-546X(96)00014-4")</f>
        <v>http://dx.doi.org/10.1016/S0362-546X(96)00014-4</v>
      </c>
      <c r="BG229" s="1" t="s">
        <v>74</v>
      </c>
      <c r="BH229" s="1" t="s">
        <v>74</v>
      </c>
      <c r="BI229" s="1" t="s">
        <v>74</v>
      </c>
      <c r="BJ229" s="1" t="s">
        <v>74</v>
      </c>
      <c r="BK229" s="1" t="s">
        <v>74</v>
      </c>
      <c r="BL229" s="1" t="s">
        <v>74</v>
      </c>
      <c r="BM229" s="1" t="s">
        <v>74</v>
      </c>
      <c r="BN229" s="1" t="s">
        <v>74</v>
      </c>
      <c r="BO229" s="1" t="s">
        <v>74</v>
      </c>
      <c r="BP229" s="1" t="s">
        <v>74</v>
      </c>
      <c r="BQ229" s="1" t="s">
        <v>74</v>
      </c>
      <c r="BR229" s="1" t="s">
        <v>74</v>
      </c>
      <c r="BS229" s="1" t="s">
        <v>2374</v>
      </c>
      <c r="BT229" s="1" t="str">
        <f>HYPERLINK("https%3A%2F%2Fwww.webofscience.com%2Fwos%2Fwoscc%2Ffull-record%2FWOS:A1997WH03500005","View Full Record in Web of Science")</f>
        <v>View Full Record in Web of Science</v>
      </c>
    </row>
    <row r="230" ht="12.75" customHeight="1">
      <c r="A230" s="1" t="s">
        <v>72</v>
      </c>
      <c r="B230" s="1" t="s">
        <v>2375</v>
      </c>
      <c r="C230" s="1" t="s">
        <v>74</v>
      </c>
      <c r="D230" s="1" t="s">
        <v>74</v>
      </c>
      <c r="E230" s="1" t="s">
        <v>74</v>
      </c>
      <c r="F230" s="1" t="s">
        <v>2375</v>
      </c>
      <c r="G230" s="1" t="s">
        <v>74</v>
      </c>
      <c r="H230" s="1" t="s">
        <v>74</v>
      </c>
      <c r="I230" s="1" t="s">
        <v>2376</v>
      </c>
      <c r="J230" s="1" t="s">
        <v>2377</v>
      </c>
      <c r="K230" s="1" t="s">
        <v>74</v>
      </c>
      <c r="L230" s="1" t="s">
        <v>74</v>
      </c>
      <c r="M230" s="1" t="s">
        <v>74</v>
      </c>
      <c r="N230" s="1" t="s">
        <v>74</v>
      </c>
      <c r="O230" s="1" t="s">
        <v>74</v>
      </c>
      <c r="P230" s="1" t="s">
        <v>74</v>
      </c>
      <c r="Q230" s="1" t="s">
        <v>74</v>
      </c>
      <c r="R230" s="1" t="s">
        <v>74</v>
      </c>
      <c r="S230" s="1" t="s">
        <v>74</v>
      </c>
      <c r="T230" s="1" t="s">
        <v>74</v>
      </c>
      <c r="U230" s="1" t="s">
        <v>74</v>
      </c>
      <c r="V230" s="1" t="s">
        <v>74</v>
      </c>
      <c r="W230" s="1" t="s">
        <v>74</v>
      </c>
      <c r="X230" s="1" t="s">
        <v>74</v>
      </c>
      <c r="Y230" s="1" t="s">
        <v>74</v>
      </c>
      <c r="Z230" s="1" t="s">
        <v>74</v>
      </c>
      <c r="AA230" s="1" t="s">
        <v>74</v>
      </c>
      <c r="AB230" s="1" t="s">
        <v>74</v>
      </c>
      <c r="AC230" s="1" t="s">
        <v>74</v>
      </c>
      <c r="AD230" s="1" t="s">
        <v>74</v>
      </c>
      <c r="AE230" s="1" t="s">
        <v>74</v>
      </c>
      <c r="AF230" s="1" t="s">
        <v>74</v>
      </c>
      <c r="AG230" s="1" t="s">
        <v>74</v>
      </c>
      <c r="AH230" s="1" t="s">
        <v>74</v>
      </c>
      <c r="AI230" s="1" t="s">
        <v>74</v>
      </c>
      <c r="AJ230" s="1" t="s">
        <v>74</v>
      </c>
      <c r="AK230" s="1" t="s">
        <v>74</v>
      </c>
      <c r="AL230" s="1" t="s">
        <v>74</v>
      </c>
      <c r="AM230" s="1" t="s">
        <v>74</v>
      </c>
      <c r="AN230" s="1" t="s">
        <v>74</v>
      </c>
      <c r="AO230" s="1" t="s">
        <v>2378</v>
      </c>
      <c r="AP230" s="1" t="s">
        <v>74</v>
      </c>
      <c r="AQ230" s="1" t="s">
        <v>74</v>
      </c>
      <c r="AR230" s="1" t="s">
        <v>74</v>
      </c>
      <c r="AS230" s="1" t="s">
        <v>74</v>
      </c>
      <c r="AT230" s="1" t="s">
        <v>135</v>
      </c>
      <c r="AU230" s="1">
        <v>1993.0</v>
      </c>
      <c r="AV230" s="1">
        <v>39.0</v>
      </c>
      <c r="AW230" s="1">
        <v>3.0</v>
      </c>
      <c r="AX230" s="1" t="s">
        <v>74</v>
      </c>
      <c r="AY230" s="1" t="s">
        <v>74</v>
      </c>
      <c r="AZ230" s="1" t="s">
        <v>74</v>
      </c>
      <c r="BA230" s="1" t="s">
        <v>74</v>
      </c>
      <c r="BB230" s="1">
        <v>221.0</v>
      </c>
      <c r="BC230" s="1">
        <v>222.0</v>
      </c>
      <c r="BD230" s="1" t="s">
        <v>74</v>
      </c>
      <c r="BE230" s="1" t="s">
        <v>2379</v>
      </c>
      <c r="BF230" s="2" t="str">
        <f>HYPERLINK("http://dx.doi.org/10.1016/0378-8741(93)90041-3","http://dx.doi.org/10.1016/0378-8741(93)90041-3")</f>
        <v>http://dx.doi.org/10.1016/0378-8741(93)90041-3</v>
      </c>
      <c r="BG230" s="1" t="s">
        <v>74</v>
      </c>
      <c r="BH230" s="1" t="s">
        <v>74</v>
      </c>
      <c r="BI230" s="1" t="s">
        <v>74</v>
      </c>
      <c r="BJ230" s="1" t="s">
        <v>74</v>
      </c>
      <c r="BK230" s="1" t="s">
        <v>74</v>
      </c>
      <c r="BL230" s="1" t="s">
        <v>74</v>
      </c>
      <c r="BM230" s="1" t="s">
        <v>74</v>
      </c>
      <c r="BN230" s="1">
        <v>8258981.0</v>
      </c>
      <c r="BO230" s="1" t="s">
        <v>74</v>
      </c>
      <c r="BP230" s="1" t="s">
        <v>74</v>
      </c>
      <c r="BQ230" s="1" t="s">
        <v>74</v>
      </c>
      <c r="BR230" s="1" t="s">
        <v>74</v>
      </c>
      <c r="BS230" s="1" t="s">
        <v>2380</v>
      </c>
      <c r="BT230" s="1" t="str">
        <f>HYPERLINK("https%3A%2F%2Fwww.webofscience.com%2Fwos%2Fwoscc%2Ffull-record%2FWOS:A1993LY83900011","View Full Record in Web of Science")</f>
        <v>View Full Record in Web of Science</v>
      </c>
    </row>
    <row r="231" ht="12.75" customHeight="1">
      <c r="A231" s="1" t="s">
        <v>72</v>
      </c>
      <c r="B231" s="1" t="s">
        <v>2381</v>
      </c>
      <c r="C231" s="1" t="s">
        <v>74</v>
      </c>
      <c r="D231" s="1" t="s">
        <v>74</v>
      </c>
      <c r="E231" s="1" t="s">
        <v>74</v>
      </c>
      <c r="F231" s="1" t="s">
        <v>2381</v>
      </c>
      <c r="G231" s="1" t="s">
        <v>74</v>
      </c>
      <c r="H231" s="1" t="s">
        <v>74</v>
      </c>
      <c r="I231" s="1" t="s">
        <v>2382</v>
      </c>
      <c r="J231" s="1" t="s">
        <v>2383</v>
      </c>
      <c r="K231" s="1" t="s">
        <v>74</v>
      </c>
      <c r="L231" s="1" t="s">
        <v>74</v>
      </c>
      <c r="M231" s="1" t="s">
        <v>74</v>
      </c>
      <c r="N231" s="1" t="s">
        <v>74</v>
      </c>
      <c r="O231" s="1" t="s">
        <v>74</v>
      </c>
      <c r="P231" s="1" t="s">
        <v>74</v>
      </c>
      <c r="Q231" s="1" t="s">
        <v>74</v>
      </c>
      <c r="R231" s="1" t="s">
        <v>74</v>
      </c>
      <c r="S231" s="1" t="s">
        <v>74</v>
      </c>
      <c r="T231" s="1" t="s">
        <v>74</v>
      </c>
      <c r="U231" s="1" t="s">
        <v>74</v>
      </c>
      <c r="V231" s="1" t="s">
        <v>2384</v>
      </c>
      <c r="W231" s="1" t="s">
        <v>74</v>
      </c>
      <c r="X231" s="1" t="s">
        <v>74</v>
      </c>
      <c r="Y231" s="1" t="s">
        <v>74</v>
      </c>
      <c r="Z231" s="1" t="s">
        <v>74</v>
      </c>
      <c r="AA231" s="1" t="s">
        <v>74</v>
      </c>
      <c r="AB231" s="1" t="s">
        <v>74</v>
      </c>
      <c r="AC231" s="1" t="s">
        <v>74</v>
      </c>
      <c r="AD231" s="1" t="s">
        <v>74</v>
      </c>
      <c r="AE231" s="1" t="s">
        <v>74</v>
      </c>
      <c r="AF231" s="1" t="s">
        <v>74</v>
      </c>
      <c r="AG231" s="1" t="s">
        <v>74</v>
      </c>
      <c r="AH231" s="1" t="s">
        <v>74</v>
      </c>
      <c r="AI231" s="1" t="s">
        <v>74</v>
      </c>
      <c r="AJ231" s="1" t="s">
        <v>74</v>
      </c>
      <c r="AK231" s="1" t="s">
        <v>74</v>
      </c>
      <c r="AL231" s="1" t="s">
        <v>74</v>
      </c>
      <c r="AM231" s="1" t="s">
        <v>74</v>
      </c>
      <c r="AN231" s="1" t="s">
        <v>74</v>
      </c>
      <c r="AO231" s="1" t="s">
        <v>2385</v>
      </c>
      <c r="AP231" s="1" t="s">
        <v>74</v>
      </c>
      <c r="AQ231" s="1" t="s">
        <v>74</v>
      </c>
      <c r="AR231" s="1" t="s">
        <v>74</v>
      </c>
      <c r="AS231" s="1" t="s">
        <v>74</v>
      </c>
      <c r="AT231" s="1" t="s">
        <v>360</v>
      </c>
      <c r="AU231" s="1">
        <v>1993.0</v>
      </c>
      <c r="AV231" s="1">
        <v>27.0</v>
      </c>
      <c r="AW231" s="1">
        <v>3.0</v>
      </c>
      <c r="AX231" s="1" t="s">
        <v>74</v>
      </c>
      <c r="AY231" s="1" t="s">
        <v>74</v>
      </c>
      <c r="AZ231" s="1" t="s">
        <v>74</v>
      </c>
      <c r="BA231" s="1" t="s">
        <v>74</v>
      </c>
      <c r="BB231" s="1">
        <v>385.0</v>
      </c>
      <c r="BC231" s="1">
        <v>395.0</v>
      </c>
      <c r="BD231" s="1" t="s">
        <v>74</v>
      </c>
      <c r="BE231" s="1" t="s">
        <v>2386</v>
      </c>
      <c r="BF231" s="2" t="str">
        <f>HYPERLINK("http://dx.doi.org/10.1016/0960-1686(93)90112-C","http://dx.doi.org/10.1016/0960-1686(93)90112-C")</f>
        <v>http://dx.doi.org/10.1016/0960-1686(93)90112-C</v>
      </c>
      <c r="BG231" s="1" t="s">
        <v>74</v>
      </c>
      <c r="BH231" s="1" t="s">
        <v>74</v>
      </c>
      <c r="BI231" s="1" t="s">
        <v>74</v>
      </c>
      <c r="BJ231" s="1" t="s">
        <v>74</v>
      </c>
      <c r="BK231" s="1" t="s">
        <v>74</v>
      </c>
      <c r="BL231" s="1" t="s">
        <v>74</v>
      </c>
      <c r="BM231" s="1" t="s">
        <v>74</v>
      </c>
      <c r="BN231" s="1" t="s">
        <v>74</v>
      </c>
      <c r="BO231" s="1" t="s">
        <v>74</v>
      </c>
      <c r="BP231" s="1" t="s">
        <v>74</v>
      </c>
      <c r="BQ231" s="1" t="s">
        <v>74</v>
      </c>
      <c r="BR231" s="1" t="s">
        <v>74</v>
      </c>
      <c r="BS231" s="1" t="s">
        <v>2387</v>
      </c>
      <c r="BT231" s="1" t="str">
        <f>HYPERLINK("https%3A%2F%2Fwww.webofscience.com%2Fwos%2Fwoscc%2Ffull-record%2FWOS:A1993KQ75200010","View Full Record in Web of Science")</f>
        <v>View Full Record in Web of Science</v>
      </c>
    </row>
    <row r="232" ht="12.75" customHeight="1">
      <c r="A232" s="1" t="s">
        <v>72</v>
      </c>
      <c r="B232" s="1" t="s">
        <v>2388</v>
      </c>
      <c r="C232" s="1" t="s">
        <v>74</v>
      </c>
      <c r="D232" s="1" t="s">
        <v>74</v>
      </c>
      <c r="E232" s="1" t="s">
        <v>74</v>
      </c>
      <c r="F232" s="1" t="s">
        <v>2388</v>
      </c>
      <c r="G232" s="1" t="s">
        <v>74</v>
      </c>
      <c r="H232" s="1" t="s">
        <v>74</v>
      </c>
      <c r="I232" s="1" t="s">
        <v>2389</v>
      </c>
      <c r="J232" s="1" t="s">
        <v>345</v>
      </c>
      <c r="K232" s="1" t="s">
        <v>74</v>
      </c>
      <c r="L232" s="1" t="s">
        <v>74</v>
      </c>
      <c r="M232" s="1" t="s">
        <v>74</v>
      </c>
      <c r="N232" s="1" t="s">
        <v>74</v>
      </c>
      <c r="O232" s="1" t="s">
        <v>74</v>
      </c>
      <c r="P232" s="1" t="s">
        <v>74</v>
      </c>
      <c r="Q232" s="1" t="s">
        <v>74</v>
      </c>
      <c r="R232" s="1" t="s">
        <v>74</v>
      </c>
      <c r="S232" s="1" t="s">
        <v>74</v>
      </c>
      <c r="T232" s="1" t="s">
        <v>74</v>
      </c>
      <c r="U232" s="1" t="s">
        <v>74</v>
      </c>
      <c r="V232" s="1" t="s">
        <v>2390</v>
      </c>
      <c r="W232" s="1" t="s">
        <v>74</v>
      </c>
      <c r="X232" s="1" t="s">
        <v>74</v>
      </c>
      <c r="Y232" s="1" t="s">
        <v>74</v>
      </c>
      <c r="Z232" s="1" t="s">
        <v>74</v>
      </c>
      <c r="AA232" s="1" t="s">
        <v>74</v>
      </c>
      <c r="AB232" s="1" t="s">
        <v>74</v>
      </c>
      <c r="AC232" s="1" t="s">
        <v>74</v>
      </c>
      <c r="AD232" s="1" t="s">
        <v>74</v>
      </c>
      <c r="AE232" s="1" t="s">
        <v>74</v>
      </c>
      <c r="AF232" s="1" t="s">
        <v>74</v>
      </c>
      <c r="AG232" s="1" t="s">
        <v>74</v>
      </c>
      <c r="AH232" s="1" t="s">
        <v>74</v>
      </c>
      <c r="AI232" s="1" t="s">
        <v>74</v>
      </c>
      <c r="AJ232" s="1" t="s">
        <v>74</v>
      </c>
      <c r="AK232" s="1" t="s">
        <v>74</v>
      </c>
      <c r="AL232" s="1" t="s">
        <v>74</v>
      </c>
      <c r="AM232" s="1" t="s">
        <v>74</v>
      </c>
      <c r="AN232" s="1" t="s">
        <v>74</v>
      </c>
      <c r="AO232" s="1" t="s">
        <v>349</v>
      </c>
      <c r="AP232" s="1" t="s">
        <v>74</v>
      </c>
      <c r="AQ232" s="1" t="s">
        <v>74</v>
      </c>
      <c r="AR232" s="1" t="s">
        <v>74</v>
      </c>
      <c r="AS232" s="1" t="s">
        <v>74</v>
      </c>
      <c r="AT232" s="1" t="s">
        <v>169</v>
      </c>
      <c r="AU232" s="1">
        <v>1993.0</v>
      </c>
      <c r="AV232" s="1">
        <v>17.0</v>
      </c>
      <c r="AW232" s="1">
        <v>1.0</v>
      </c>
      <c r="AX232" s="1" t="s">
        <v>74</v>
      </c>
      <c r="AY232" s="1" t="s">
        <v>74</v>
      </c>
      <c r="AZ232" s="1" t="s">
        <v>74</v>
      </c>
      <c r="BA232" s="1" t="s">
        <v>74</v>
      </c>
      <c r="BB232" s="1">
        <v>33.0</v>
      </c>
      <c r="BC232" s="1">
        <v>40.0</v>
      </c>
      <c r="BD232" s="1" t="s">
        <v>74</v>
      </c>
      <c r="BE232" s="1" t="s">
        <v>2391</v>
      </c>
      <c r="BF232" s="2" t="str">
        <f>HYPERLINK("http://dx.doi.org/10.1016/1011-1344(93)85004-R","http://dx.doi.org/10.1016/1011-1344(93)85004-R")</f>
        <v>http://dx.doi.org/10.1016/1011-1344(93)85004-R</v>
      </c>
      <c r="BG232" s="1" t="s">
        <v>74</v>
      </c>
      <c r="BH232" s="1" t="s">
        <v>74</v>
      </c>
      <c r="BI232" s="1" t="s">
        <v>74</v>
      </c>
      <c r="BJ232" s="1" t="s">
        <v>74</v>
      </c>
      <c r="BK232" s="1" t="s">
        <v>74</v>
      </c>
      <c r="BL232" s="1" t="s">
        <v>74</v>
      </c>
      <c r="BM232" s="1" t="s">
        <v>74</v>
      </c>
      <c r="BN232" s="1">
        <v>8433221.0</v>
      </c>
      <c r="BO232" s="1" t="s">
        <v>74</v>
      </c>
      <c r="BP232" s="1" t="s">
        <v>74</v>
      </c>
      <c r="BQ232" s="1" t="s">
        <v>74</v>
      </c>
      <c r="BR232" s="1" t="s">
        <v>74</v>
      </c>
      <c r="BS232" s="1" t="s">
        <v>2392</v>
      </c>
      <c r="BT232" s="1" t="str">
        <f>HYPERLINK("https%3A%2F%2Fwww.webofscience.com%2Fwos%2Fwoscc%2Ffull-record%2FWOS:A1993KJ27800003","View Full Record in Web of Science")</f>
        <v>View Full Record in Web of Science</v>
      </c>
    </row>
    <row r="233" ht="12.75" customHeight="1">
      <c r="A233" s="1" t="s">
        <v>72</v>
      </c>
      <c r="B233" s="1" t="s">
        <v>2393</v>
      </c>
      <c r="C233" s="1" t="s">
        <v>74</v>
      </c>
      <c r="D233" s="1" t="s">
        <v>74</v>
      </c>
      <c r="E233" s="1" t="s">
        <v>74</v>
      </c>
      <c r="F233" s="1" t="s">
        <v>2393</v>
      </c>
      <c r="G233" s="1" t="s">
        <v>74</v>
      </c>
      <c r="H233" s="1" t="s">
        <v>74</v>
      </c>
      <c r="I233" s="1" t="s">
        <v>2394</v>
      </c>
      <c r="J233" s="1" t="s">
        <v>2395</v>
      </c>
      <c r="K233" s="1" t="s">
        <v>74</v>
      </c>
      <c r="L233" s="1" t="s">
        <v>74</v>
      </c>
      <c r="M233" s="1" t="s">
        <v>74</v>
      </c>
      <c r="N233" s="1" t="s">
        <v>74</v>
      </c>
      <c r="O233" s="1" t="s">
        <v>74</v>
      </c>
      <c r="P233" s="1" t="s">
        <v>74</v>
      </c>
      <c r="Q233" s="1" t="s">
        <v>74</v>
      </c>
      <c r="R233" s="1" t="s">
        <v>74</v>
      </c>
      <c r="S233" s="1" t="s">
        <v>74</v>
      </c>
      <c r="T233" s="1" t="s">
        <v>74</v>
      </c>
      <c r="U233" s="1" t="s">
        <v>74</v>
      </c>
      <c r="V233" s="1" t="s">
        <v>2396</v>
      </c>
      <c r="W233" s="1" t="s">
        <v>74</v>
      </c>
      <c r="X233" s="1" t="s">
        <v>74</v>
      </c>
      <c r="Y233" s="1" t="s">
        <v>74</v>
      </c>
      <c r="Z233" s="1" t="s">
        <v>74</v>
      </c>
      <c r="AA233" s="1" t="s">
        <v>74</v>
      </c>
      <c r="AB233" s="1" t="s">
        <v>74</v>
      </c>
      <c r="AC233" s="1" t="s">
        <v>74</v>
      </c>
      <c r="AD233" s="1" t="s">
        <v>74</v>
      </c>
      <c r="AE233" s="1" t="s">
        <v>74</v>
      </c>
      <c r="AF233" s="1" t="s">
        <v>74</v>
      </c>
      <c r="AG233" s="1" t="s">
        <v>74</v>
      </c>
      <c r="AH233" s="1" t="s">
        <v>74</v>
      </c>
      <c r="AI233" s="1" t="s">
        <v>74</v>
      </c>
      <c r="AJ233" s="1" t="s">
        <v>74</v>
      </c>
      <c r="AK233" s="1" t="s">
        <v>74</v>
      </c>
      <c r="AL233" s="1" t="s">
        <v>74</v>
      </c>
      <c r="AM233" s="1" t="s">
        <v>74</v>
      </c>
      <c r="AN233" s="1" t="s">
        <v>74</v>
      </c>
      <c r="AO233" s="1" t="s">
        <v>2397</v>
      </c>
      <c r="AP233" s="1" t="s">
        <v>74</v>
      </c>
      <c r="AQ233" s="1" t="s">
        <v>74</v>
      </c>
      <c r="AR233" s="1" t="s">
        <v>74</v>
      </c>
      <c r="AS233" s="1" t="s">
        <v>74</v>
      </c>
      <c r="AT233" s="1" t="s">
        <v>2398</v>
      </c>
      <c r="AU233" s="1">
        <v>1991.0</v>
      </c>
      <c r="AV233" s="1">
        <v>57.0</v>
      </c>
      <c r="AW233" s="1" t="s">
        <v>1614</v>
      </c>
      <c r="AX233" s="1" t="s">
        <v>74</v>
      </c>
      <c r="AY233" s="1" t="s">
        <v>74</v>
      </c>
      <c r="AZ233" s="1" t="s">
        <v>74</v>
      </c>
      <c r="BA233" s="1" t="s">
        <v>74</v>
      </c>
      <c r="BB233" s="1">
        <v>343.0</v>
      </c>
      <c r="BC233" s="1">
        <v>350.0</v>
      </c>
      <c r="BD233" s="1" t="s">
        <v>74</v>
      </c>
      <c r="BE233" s="1" t="s">
        <v>2399</v>
      </c>
      <c r="BF233" s="2" t="str">
        <f>HYPERLINK("http://dx.doi.org/10.1016/1010-6030(91)85028-F","http://dx.doi.org/10.1016/1010-6030(91)85028-F")</f>
        <v>http://dx.doi.org/10.1016/1010-6030(91)85028-F</v>
      </c>
      <c r="BG233" s="1" t="s">
        <v>74</v>
      </c>
      <c r="BH233" s="1" t="s">
        <v>74</v>
      </c>
      <c r="BI233" s="1" t="s">
        <v>74</v>
      </c>
      <c r="BJ233" s="1" t="s">
        <v>74</v>
      </c>
      <c r="BK233" s="1" t="s">
        <v>74</v>
      </c>
      <c r="BL233" s="1" t="s">
        <v>74</v>
      </c>
      <c r="BM233" s="1" t="s">
        <v>74</v>
      </c>
      <c r="BN233" s="1" t="s">
        <v>74</v>
      </c>
      <c r="BO233" s="1" t="s">
        <v>74</v>
      </c>
      <c r="BP233" s="1" t="s">
        <v>74</v>
      </c>
      <c r="BQ233" s="1" t="s">
        <v>74</v>
      </c>
      <c r="BR233" s="1" t="s">
        <v>74</v>
      </c>
      <c r="BS233" s="1" t="s">
        <v>2400</v>
      </c>
      <c r="BT233" s="1" t="str">
        <f>HYPERLINK("https%3A%2F%2Fwww.webofscience.com%2Fwos%2Fwoscc%2Ffull-record%2FWOS:A1991FJ78100028","View Full Record in Web of Science")</f>
        <v>View Full Record in Web of Science</v>
      </c>
    </row>
    <row r="234" ht="12.75" customHeight="1">
      <c r="A234" s="1" t="s">
        <v>72</v>
      </c>
      <c r="B234" s="1" t="s">
        <v>2401</v>
      </c>
      <c r="C234" s="1" t="s">
        <v>74</v>
      </c>
      <c r="D234" s="1" t="s">
        <v>74</v>
      </c>
      <c r="E234" s="1" t="s">
        <v>74</v>
      </c>
      <c r="F234" s="1" t="s">
        <v>2401</v>
      </c>
      <c r="G234" s="1" t="s">
        <v>74</v>
      </c>
      <c r="H234" s="1" t="s">
        <v>74</v>
      </c>
      <c r="I234" s="1" t="s">
        <v>2402</v>
      </c>
      <c r="J234" s="1" t="s">
        <v>1651</v>
      </c>
      <c r="K234" s="1" t="s">
        <v>74</v>
      </c>
      <c r="L234" s="1" t="s">
        <v>74</v>
      </c>
      <c r="M234" s="1" t="s">
        <v>74</v>
      </c>
      <c r="N234" s="1" t="s">
        <v>74</v>
      </c>
      <c r="O234" s="1" t="s">
        <v>74</v>
      </c>
      <c r="P234" s="1" t="s">
        <v>74</v>
      </c>
      <c r="Q234" s="1" t="s">
        <v>74</v>
      </c>
      <c r="R234" s="1" t="s">
        <v>74</v>
      </c>
      <c r="S234" s="1" t="s">
        <v>74</v>
      </c>
      <c r="T234" s="1" t="s">
        <v>74</v>
      </c>
      <c r="U234" s="1" t="s">
        <v>74</v>
      </c>
      <c r="V234" s="1" t="s">
        <v>74</v>
      </c>
      <c r="W234" s="1" t="s">
        <v>74</v>
      </c>
      <c r="X234" s="1" t="s">
        <v>74</v>
      </c>
      <c r="Y234" s="1" t="s">
        <v>74</v>
      </c>
      <c r="Z234" s="1" t="s">
        <v>74</v>
      </c>
      <c r="AA234" s="1" t="s">
        <v>2403</v>
      </c>
      <c r="AB234" s="1" t="s">
        <v>74</v>
      </c>
      <c r="AC234" s="1" t="s">
        <v>74</v>
      </c>
      <c r="AD234" s="1" t="s">
        <v>74</v>
      </c>
      <c r="AE234" s="1" t="s">
        <v>74</v>
      </c>
      <c r="AF234" s="1" t="s">
        <v>74</v>
      </c>
      <c r="AG234" s="1" t="s">
        <v>74</v>
      </c>
      <c r="AH234" s="1" t="s">
        <v>74</v>
      </c>
      <c r="AI234" s="1" t="s">
        <v>74</v>
      </c>
      <c r="AJ234" s="1" t="s">
        <v>74</v>
      </c>
      <c r="AK234" s="1" t="s">
        <v>74</v>
      </c>
      <c r="AL234" s="1" t="s">
        <v>74</v>
      </c>
      <c r="AM234" s="1" t="s">
        <v>74</v>
      </c>
      <c r="AN234" s="1" t="s">
        <v>74</v>
      </c>
      <c r="AO234" s="1" t="s">
        <v>1653</v>
      </c>
      <c r="AP234" s="1" t="s">
        <v>74</v>
      </c>
      <c r="AQ234" s="1" t="s">
        <v>74</v>
      </c>
      <c r="AR234" s="1" t="s">
        <v>74</v>
      </c>
      <c r="AS234" s="1" t="s">
        <v>74</v>
      </c>
      <c r="AT234" s="1" t="s">
        <v>459</v>
      </c>
      <c r="AU234" s="1">
        <v>1990.0</v>
      </c>
      <c r="AV234" s="1">
        <v>35.0</v>
      </c>
      <c r="AW234" s="1">
        <v>3.0</v>
      </c>
      <c r="AX234" s="1" t="s">
        <v>74</v>
      </c>
      <c r="AY234" s="1" t="s">
        <v>74</v>
      </c>
      <c r="AZ234" s="1" t="s">
        <v>74</v>
      </c>
      <c r="BA234" s="1" t="s">
        <v>74</v>
      </c>
      <c r="BB234" s="1">
        <v>287.0</v>
      </c>
      <c r="BC234" s="1">
        <v>297.0</v>
      </c>
      <c r="BD234" s="1" t="s">
        <v>74</v>
      </c>
      <c r="BE234" s="1" t="s">
        <v>74</v>
      </c>
      <c r="BF234" s="1" t="s">
        <v>74</v>
      </c>
      <c r="BG234" s="1" t="s">
        <v>74</v>
      </c>
      <c r="BH234" s="1" t="s">
        <v>74</v>
      </c>
      <c r="BI234" s="1" t="s">
        <v>74</v>
      </c>
      <c r="BJ234" s="1" t="s">
        <v>74</v>
      </c>
      <c r="BK234" s="1" t="s">
        <v>74</v>
      </c>
      <c r="BL234" s="1" t="s">
        <v>74</v>
      </c>
      <c r="BM234" s="1" t="s">
        <v>74</v>
      </c>
      <c r="BN234" s="1" t="s">
        <v>74</v>
      </c>
      <c r="BO234" s="1" t="s">
        <v>74</v>
      </c>
      <c r="BP234" s="1" t="s">
        <v>74</v>
      </c>
      <c r="BQ234" s="1" t="s">
        <v>74</v>
      </c>
      <c r="BR234" s="1" t="s">
        <v>74</v>
      </c>
      <c r="BS234" s="1" t="s">
        <v>2404</v>
      </c>
      <c r="BT234" s="1" t="str">
        <f>HYPERLINK("https%3A%2F%2Fwww.webofscience.com%2Fwos%2Fwoscc%2Ffull-record%2FWOS:A1990DZ69900008","View Full Record in Web of Science")</f>
        <v>View Full Record in Web of Science</v>
      </c>
    </row>
    <row r="235" ht="12.75" customHeight="1">
      <c r="A235" s="1" t="s">
        <v>72</v>
      </c>
      <c r="B235" s="1" t="s">
        <v>2405</v>
      </c>
      <c r="C235" s="1" t="s">
        <v>74</v>
      </c>
      <c r="D235" s="1" t="s">
        <v>74</v>
      </c>
      <c r="E235" s="1" t="s">
        <v>74</v>
      </c>
      <c r="F235" s="1" t="s">
        <v>2405</v>
      </c>
      <c r="G235" s="1" t="s">
        <v>74</v>
      </c>
      <c r="H235" s="1" t="s">
        <v>74</v>
      </c>
      <c r="I235" s="1" t="s">
        <v>2406</v>
      </c>
      <c r="J235" s="1" t="s">
        <v>2407</v>
      </c>
      <c r="K235" s="1" t="s">
        <v>74</v>
      </c>
      <c r="L235" s="1" t="s">
        <v>74</v>
      </c>
      <c r="M235" s="1" t="s">
        <v>74</v>
      </c>
      <c r="N235" s="1" t="s">
        <v>74</v>
      </c>
      <c r="O235" s="1" t="s">
        <v>74</v>
      </c>
      <c r="P235" s="1" t="s">
        <v>74</v>
      </c>
      <c r="Q235" s="1" t="s">
        <v>74</v>
      </c>
      <c r="R235" s="1" t="s">
        <v>74</v>
      </c>
      <c r="S235" s="1" t="s">
        <v>74</v>
      </c>
      <c r="T235" s="1" t="s">
        <v>74</v>
      </c>
      <c r="U235" s="1" t="s">
        <v>74</v>
      </c>
      <c r="V235" s="1" t="s">
        <v>2408</v>
      </c>
      <c r="W235" s="1" t="s">
        <v>74</v>
      </c>
      <c r="X235" s="1" t="s">
        <v>74</v>
      </c>
      <c r="Y235" s="1" t="s">
        <v>74</v>
      </c>
      <c r="Z235" s="1" t="s">
        <v>74</v>
      </c>
      <c r="AA235" s="1" t="s">
        <v>74</v>
      </c>
      <c r="AB235" s="1" t="s">
        <v>74</v>
      </c>
      <c r="AC235" s="1" t="s">
        <v>74</v>
      </c>
      <c r="AD235" s="1" t="s">
        <v>74</v>
      </c>
      <c r="AE235" s="1" t="s">
        <v>74</v>
      </c>
      <c r="AF235" s="1" t="s">
        <v>74</v>
      </c>
      <c r="AG235" s="1" t="s">
        <v>74</v>
      </c>
      <c r="AH235" s="1" t="s">
        <v>74</v>
      </c>
      <c r="AI235" s="1" t="s">
        <v>74</v>
      </c>
      <c r="AJ235" s="1" t="s">
        <v>74</v>
      </c>
      <c r="AK235" s="1" t="s">
        <v>74</v>
      </c>
      <c r="AL235" s="1" t="s">
        <v>74</v>
      </c>
      <c r="AM235" s="1" t="s">
        <v>74</v>
      </c>
      <c r="AN235" s="1" t="s">
        <v>74</v>
      </c>
      <c r="AO235" s="1" t="s">
        <v>2409</v>
      </c>
      <c r="AP235" s="1" t="s">
        <v>74</v>
      </c>
      <c r="AQ235" s="1" t="s">
        <v>74</v>
      </c>
      <c r="AR235" s="1" t="s">
        <v>74</v>
      </c>
      <c r="AS235" s="1" t="s">
        <v>74</v>
      </c>
      <c r="AT235" s="1" t="s">
        <v>1049</v>
      </c>
      <c r="AU235" s="1">
        <v>1989.0</v>
      </c>
      <c r="AV235" s="1">
        <v>215.0</v>
      </c>
      <c r="AW235" s="1">
        <v>1.0</v>
      </c>
      <c r="AX235" s="1" t="s">
        <v>74</v>
      </c>
      <c r="AY235" s="1" t="s">
        <v>74</v>
      </c>
      <c r="AZ235" s="1" t="s">
        <v>74</v>
      </c>
      <c r="BA235" s="1" t="s">
        <v>74</v>
      </c>
      <c r="BB235" s="1">
        <v>55.0</v>
      </c>
      <c r="BC235" s="1">
        <v>60.0</v>
      </c>
      <c r="BD235" s="1" t="s">
        <v>74</v>
      </c>
      <c r="BE235" s="1" t="s">
        <v>2410</v>
      </c>
      <c r="BF235" s="2" t="str">
        <f>HYPERLINK("http://dx.doi.org/10.1016/0027-5107(89)90217-0","http://dx.doi.org/10.1016/0027-5107(89)90217-0")</f>
        <v>http://dx.doi.org/10.1016/0027-5107(89)90217-0</v>
      </c>
      <c r="BG235" s="1" t="s">
        <v>74</v>
      </c>
      <c r="BH235" s="1" t="s">
        <v>74</v>
      </c>
      <c r="BI235" s="1" t="s">
        <v>74</v>
      </c>
      <c r="BJ235" s="1" t="s">
        <v>74</v>
      </c>
      <c r="BK235" s="1" t="s">
        <v>74</v>
      </c>
      <c r="BL235" s="1" t="s">
        <v>74</v>
      </c>
      <c r="BM235" s="1" t="s">
        <v>74</v>
      </c>
      <c r="BN235" s="1">
        <v>2811914.0</v>
      </c>
      <c r="BO235" s="1" t="s">
        <v>74</v>
      </c>
      <c r="BP235" s="1" t="s">
        <v>74</v>
      </c>
      <c r="BQ235" s="1" t="s">
        <v>74</v>
      </c>
      <c r="BR235" s="1" t="s">
        <v>74</v>
      </c>
      <c r="BS235" s="1" t="s">
        <v>2411</v>
      </c>
      <c r="BT235" s="1" t="str">
        <f>HYPERLINK("https%3A%2F%2Fwww.webofscience.com%2Fwos%2Fwoscc%2Ffull-record%2FWOS:A1989AZ13100006","View Full Record in Web of Science")</f>
        <v>View Full Record in Web of Science</v>
      </c>
    </row>
    <row r="236" ht="12.75" customHeight="1">
      <c r="A236" s="1" t="s">
        <v>72</v>
      </c>
      <c r="B236" s="1" t="s">
        <v>2381</v>
      </c>
      <c r="C236" s="1" t="s">
        <v>74</v>
      </c>
      <c r="D236" s="1" t="s">
        <v>74</v>
      </c>
      <c r="E236" s="1" t="s">
        <v>74</v>
      </c>
      <c r="F236" s="1" t="s">
        <v>2381</v>
      </c>
      <c r="G236" s="1" t="s">
        <v>74</v>
      </c>
      <c r="H236" s="1" t="s">
        <v>74</v>
      </c>
      <c r="I236" s="1" t="s">
        <v>2412</v>
      </c>
      <c r="J236" s="1" t="s">
        <v>2413</v>
      </c>
      <c r="K236" s="1" t="s">
        <v>74</v>
      </c>
      <c r="L236" s="1" t="s">
        <v>74</v>
      </c>
      <c r="M236" s="1" t="s">
        <v>74</v>
      </c>
      <c r="N236" s="1" t="s">
        <v>74</v>
      </c>
      <c r="O236" s="1" t="s">
        <v>2414</v>
      </c>
      <c r="P236" s="1" t="s">
        <v>2415</v>
      </c>
      <c r="Q236" s="1" t="s">
        <v>2416</v>
      </c>
      <c r="R236" s="1" t="s">
        <v>2417</v>
      </c>
      <c r="S236" s="1" t="s">
        <v>2418</v>
      </c>
      <c r="T236" s="1" t="s">
        <v>74</v>
      </c>
      <c r="U236" s="1" t="s">
        <v>74</v>
      </c>
      <c r="V236" s="1" t="s">
        <v>74</v>
      </c>
      <c r="W236" s="1" t="s">
        <v>74</v>
      </c>
      <c r="X236" s="1" t="s">
        <v>74</v>
      </c>
      <c r="Y236" s="1" t="s">
        <v>74</v>
      </c>
      <c r="Z236" s="1" t="s">
        <v>74</v>
      </c>
      <c r="AA236" s="1" t="s">
        <v>74</v>
      </c>
      <c r="AB236" s="1" t="s">
        <v>74</v>
      </c>
      <c r="AC236" s="1" t="s">
        <v>74</v>
      </c>
      <c r="AD236" s="1" t="s">
        <v>74</v>
      </c>
      <c r="AE236" s="1" t="s">
        <v>74</v>
      </c>
      <c r="AF236" s="1" t="s">
        <v>74</v>
      </c>
      <c r="AG236" s="1" t="s">
        <v>74</v>
      </c>
      <c r="AH236" s="1" t="s">
        <v>74</v>
      </c>
      <c r="AI236" s="1" t="s">
        <v>74</v>
      </c>
      <c r="AJ236" s="1" t="s">
        <v>74</v>
      </c>
      <c r="AK236" s="1" t="s">
        <v>74</v>
      </c>
      <c r="AL236" s="1" t="s">
        <v>74</v>
      </c>
      <c r="AM236" s="1" t="s">
        <v>74</v>
      </c>
      <c r="AN236" s="1" t="s">
        <v>74</v>
      </c>
      <c r="AO236" s="1" t="s">
        <v>2419</v>
      </c>
      <c r="AP236" s="1" t="s">
        <v>74</v>
      </c>
      <c r="AQ236" s="1" t="s">
        <v>74</v>
      </c>
      <c r="AR236" s="1" t="s">
        <v>74</v>
      </c>
      <c r="AS236" s="1" t="s">
        <v>74</v>
      </c>
      <c r="AT236" s="1" t="s">
        <v>74</v>
      </c>
      <c r="AU236" s="1">
        <v>1989.0</v>
      </c>
      <c r="AV236" s="1">
        <v>20.0</v>
      </c>
      <c r="AW236" s="1">
        <v>8.0</v>
      </c>
      <c r="AX236" s="1" t="s">
        <v>74</v>
      </c>
      <c r="AY236" s="1" t="s">
        <v>74</v>
      </c>
      <c r="AZ236" s="1" t="s">
        <v>74</v>
      </c>
      <c r="BA236" s="1" t="s">
        <v>74</v>
      </c>
      <c r="BB236" s="1">
        <v>1197.0</v>
      </c>
      <c r="BC236" s="1">
        <v>1200.0</v>
      </c>
      <c r="BD236" s="1" t="s">
        <v>74</v>
      </c>
      <c r="BE236" s="1" t="s">
        <v>2420</v>
      </c>
      <c r="BF236" s="2" t="str">
        <f>HYPERLINK("http://dx.doi.org/10.1016/0021-8502(89)90796-9","http://dx.doi.org/10.1016/0021-8502(89)90796-9")</f>
        <v>http://dx.doi.org/10.1016/0021-8502(89)90796-9</v>
      </c>
      <c r="BG236" s="1" t="s">
        <v>74</v>
      </c>
      <c r="BH236" s="1" t="s">
        <v>74</v>
      </c>
      <c r="BI236" s="1" t="s">
        <v>74</v>
      </c>
      <c r="BJ236" s="1" t="s">
        <v>74</v>
      </c>
      <c r="BK236" s="1" t="s">
        <v>74</v>
      </c>
      <c r="BL236" s="1" t="s">
        <v>74</v>
      </c>
      <c r="BM236" s="1" t="s">
        <v>74</v>
      </c>
      <c r="BN236" s="1" t="s">
        <v>74</v>
      </c>
      <c r="BO236" s="1" t="s">
        <v>74</v>
      </c>
      <c r="BP236" s="1" t="s">
        <v>74</v>
      </c>
      <c r="BQ236" s="1" t="s">
        <v>74</v>
      </c>
      <c r="BR236" s="1" t="s">
        <v>74</v>
      </c>
      <c r="BS236" s="1" t="s">
        <v>2421</v>
      </c>
      <c r="BT236" s="1" t="str">
        <f>HYPERLINK("https%3A%2F%2Fwww.webofscience.com%2Fwos%2Fwoscc%2Ffull-record%2FWOS:A1989CN23100086","View Full Record in Web of Science")</f>
        <v>View Full Record in Web of Science</v>
      </c>
    </row>
    <row r="237" ht="12.75" customHeight="1">
      <c r="A237" s="1" t="s">
        <v>72</v>
      </c>
      <c r="B237" s="1" t="s">
        <v>2422</v>
      </c>
      <c r="C237" s="1" t="s">
        <v>74</v>
      </c>
      <c r="D237" s="1" t="s">
        <v>74</v>
      </c>
      <c r="E237" s="1" t="s">
        <v>74</v>
      </c>
      <c r="F237" s="1" t="s">
        <v>2422</v>
      </c>
      <c r="G237" s="1" t="s">
        <v>74</v>
      </c>
      <c r="H237" s="1" t="s">
        <v>74</v>
      </c>
      <c r="I237" s="1" t="s">
        <v>2423</v>
      </c>
      <c r="J237" s="1" t="s">
        <v>2424</v>
      </c>
      <c r="K237" s="1" t="s">
        <v>74</v>
      </c>
      <c r="L237" s="1" t="s">
        <v>74</v>
      </c>
      <c r="M237" s="1" t="s">
        <v>74</v>
      </c>
      <c r="N237" s="1" t="s">
        <v>74</v>
      </c>
      <c r="O237" s="1" t="s">
        <v>74</v>
      </c>
      <c r="P237" s="1" t="s">
        <v>74</v>
      </c>
      <c r="Q237" s="1" t="s">
        <v>74</v>
      </c>
      <c r="R237" s="1" t="s">
        <v>74</v>
      </c>
      <c r="S237" s="1" t="s">
        <v>74</v>
      </c>
      <c r="T237" s="1" t="s">
        <v>74</v>
      </c>
      <c r="U237" s="1" t="s">
        <v>74</v>
      </c>
      <c r="V237" s="1" t="s">
        <v>74</v>
      </c>
      <c r="W237" s="1" t="s">
        <v>74</v>
      </c>
      <c r="X237" s="1" t="s">
        <v>74</v>
      </c>
      <c r="Y237" s="1" t="s">
        <v>74</v>
      </c>
      <c r="Z237" s="1" t="s">
        <v>74</v>
      </c>
      <c r="AA237" s="1" t="s">
        <v>74</v>
      </c>
      <c r="AB237" s="1" t="s">
        <v>74</v>
      </c>
      <c r="AC237" s="1" t="s">
        <v>74</v>
      </c>
      <c r="AD237" s="1" t="s">
        <v>74</v>
      </c>
      <c r="AE237" s="1" t="s">
        <v>74</v>
      </c>
      <c r="AF237" s="1" t="s">
        <v>74</v>
      </c>
      <c r="AG237" s="1" t="s">
        <v>74</v>
      </c>
      <c r="AH237" s="1" t="s">
        <v>74</v>
      </c>
      <c r="AI237" s="1" t="s">
        <v>74</v>
      </c>
      <c r="AJ237" s="1" t="s">
        <v>74</v>
      </c>
      <c r="AK237" s="1" t="s">
        <v>74</v>
      </c>
      <c r="AL237" s="1" t="s">
        <v>74</v>
      </c>
      <c r="AM237" s="1" t="s">
        <v>74</v>
      </c>
      <c r="AN237" s="1" t="s">
        <v>74</v>
      </c>
      <c r="AO237" s="1" t="s">
        <v>2425</v>
      </c>
      <c r="AP237" s="1" t="s">
        <v>74</v>
      </c>
      <c r="AQ237" s="1" t="s">
        <v>74</v>
      </c>
      <c r="AR237" s="1" t="s">
        <v>74</v>
      </c>
      <c r="AS237" s="1" t="s">
        <v>74</v>
      </c>
      <c r="AT237" s="1" t="s">
        <v>74</v>
      </c>
      <c r="AU237" s="1">
        <v>1985.0</v>
      </c>
      <c r="AV237" s="1">
        <v>111.0</v>
      </c>
      <c r="AW237" s="1">
        <v>7.0</v>
      </c>
      <c r="AX237" s="1" t="s">
        <v>74</v>
      </c>
      <c r="AY237" s="1" t="s">
        <v>74</v>
      </c>
      <c r="AZ237" s="1" t="s">
        <v>74</v>
      </c>
      <c r="BA237" s="1" t="s">
        <v>74</v>
      </c>
      <c r="BB237" s="1">
        <v>1573.0</v>
      </c>
      <c r="BC237" s="1">
        <v>1589.0</v>
      </c>
      <c r="BD237" s="1" t="s">
        <v>74</v>
      </c>
      <c r="BE237" s="1" t="s">
        <v>2426</v>
      </c>
      <c r="BF237" s="2" t="str">
        <f>HYPERLINK("http://dx.doi.org/10.1061/(ASCE)0733-9445(1985)111:7(1573)","http://dx.doi.org/10.1061/(ASCE)0733-9445(1985)111:7(1573)")</f>
        <v>http://dx.doi.org/10.1061/(ASCE)0733-9445(1985)111:7(1573)</v>
      </c>
      <c r="BG237" s="1" t="s">
        <v>74</v>
      </c>
      <c r="BH237" s="1" t="s">
        <v>74</v>
      </c>
      <c r="BI237" s="1" t="s">
        <v>74</v>
      </c>
      <c r="BJ237" s="1" t="s">
        <v>74</v>
      </c>
      <c r="BK237" s="1" t="s">
        <v>74</v>
      </c>
      <c r="BL237" s="1" t="s">
        <v>74</v>
      </c>
      <c r="BM237" s="1" t="s">
        <v>74</v>
      </c>
      <c r="BN237" s="1" t="s">
        <v>74</v>
      </c>
      <c r="BO237" s="1" t="s">
        <v>74</v>
      </c>
      <c r="BP237" s="1" t="s">
        <v>74</v>
      </c>
      <c r="BQ237" s="1" t="s">
        <v>74</v>
      </c>
      <c r="BR237" s="1" t="s">
        <v>74</v>
      </c>
      <c r="BS237" s="1" t="s">
        <v>2427</v>
      </c>
      <c r="BT237" s="1" t="str">
        <f>HYPERLINK("https%3A%2F%2Fwww.webofscience.com%2Fwos%2Fwoscc%2Ffull-record%2FWOS:A1985ALB2500011","View Full Record in Web of Science")</f>
        <v>View Full Record in Web of Science</v>
      </c>
    </row>
    <row r="238" ht="12.75" customHeight="1">
      <c r="A238" s="1" t="s">
        <v>72</v>
      </c>
      <c r="B238" s="1" t="s">
        <v>2428</v>
      </c>
      <c r="C238" s="1" t="s">
        <v>74</v>
      </c>
      <c r="D238" s="1" t="s">
        <v>74</v>
      </c>
      <c r="E238" s="1" t="s">
        <v>74</v>
      </c>
      <c r="F238" s="1" t="s">
        <v>2429</v>
      </c>
      <c r="G238" s="1" t="s">
        <v>74</v>
      </c>
      <c r="H238" s="1" t="s">
        <v>74</v>
      </c>
      <c r="I238" s="1" t="s">
        <v>2430</v>
      </c>
      <c r="J238" s="1" t="s">
        <v>2208</v>
      </c>
      <c r="K238" s="1" t="s">
        <v>74</v>
      </c>
      <c r="L238" s="1" t="s">
        <v>74</v>
      </c>
      <c r="M238" s="1" t="s">
        <v>74</v>
      </c>
      <c r="N238" s="1" t="s">
        <v>74</v>
      </c>
      <c r="O238" s="1" t="s">
        <v>74</v>
      </c>
      <c r="P238" s="1" t="s">
        <v>74</v>
      </c>
      <c r="Q238" s="1" t="s">
        <v>74</v>
      </c>
      <c r="R238" s="1" t="s">
        <v>74</v>
      </c>
      <c r="S238" s="1" t="s">
        <v>74</v>
      </c>
      <c r="T238" s="1" t="s">
        <v>74</v>
      </c>
      <c r="U238" s="1" t="s">
        <v>74</v>
      </c>
      <c r="V238" s="1" t="s">
        <v>2431</v>
      </c>
      <c r="W238" s="1" t="s">
        <v>74</v>
      </c>
      <c r="X238" s="1" t="s">
        <v>74</v>
      </c>
      <c r="Y238" s="1" t="s">
        <v>74</v>
      </c>
      <c r="Z238" s="1" t="s">
        <v>74</v>
      </c>
      <c r="AA238" s="1" t="s">
        <v>74</v>
      </c>
      <c r="AB238" s="1" t="s">
        <v>2432</v>
      </c>
      <c r="AC238" s="1" t="s">
        <v>74</v>
      </c>
      <c r="AD238" s="1" t="s">
        <v>74</v>
      </c>
      <c r="AE238" s="1" t="s">
        <v>74</v>
      </c>
      <c r="AF238" s="1" t="s">
        <v>74</v>
      </c>
      <c r="AG238" s="1" t="s">
        <v>74</v>
      </c>
      <c r="AH238" s="1" t="s">
        <v>74</v>
      </c>
      <c r="AI238" s="1" t="s">
        <v>74</v>
      </c>
      <c r="AJ238" s="1" t="s">
        <v>74</v>
      </c>
      <c r="AK238" s="1" t="s">
        <v>74</v>
      </c>
      <c r="AL238" s="1" t="s">
        <v>74</v>
      </c>
      <c r="AM238" s="1" t="s">
        <v>74</v>
      </c>
      <c r="AN238" s="1" t="s">
        <v>74</v>
      </c>
      <c r="AO238" s="1" t="s">
        <v>2211</v>
      </c>
      <c r="AP238" s="1" t="s">
        <v>2212</v>
      </c>
      <c r="AQ238" s="1" t="s">
        <v>74</v>
      </c>
      <c r="AR238" s="1" t="s">
        <v>74</v>
      </c>
      <c r="AS238" s="1" t="s">
        <v>74</v>
      </c>
      <c r="AT238" s="1" t="s">
        <v>2433</v>
      </c>
      <c r="AU238" s="1">
        <v>2024.0</v>
      </c>
      <c r="AV238" s="1">
        <v>84.0</v>
      </c>
      <c r="AW238" s="1">
        <v>6.0</v>
      </c>
      <c r="AX238" s="1" t="s">
        <v>74</v>
      </c>
      <c r="AY238" s="1" t="s">
        <v>74</v>
      </c>
      <c r="AZ238" s="1" t="s">
        <v>74</v>
      </c>
      <c r="BA238" s="1" t="s">
        <v>74</v>
      </c>
      <c r="BB238" s="1" t="s">
        <v>74</v>
      </c>
      <c r="BC238" s="1" t="s">
        <v>74</v>
      </c>
      <c r="BD238" s="1">
        <v>558.0</v>
      </c>
      <c r="BE238" s="1" t="s">
        <v>2434</v>
      </c>
      <c r="BF238" s="2" t="str">
        <f>HYPERLINK("http://dx.doi.org/10.1140/epjc/s10052-024-12871-x","http://dx.doi.org/10.1140/epjc/s10052-024-12871-x")</f>
        <v>http://dx.doi.org/10.1140/epjc/s10052-024-12871-x</v>
      </c>
      <c r="BG238" s="1" t="s">
        <v>74</v>
      </c>
      <c r="BH238" s="1" t="s">
        <v>74</v>
      </c>
      <c r="BI238" s="1" t="s">
        <v>74</v>
      </c>
      <c r="BJ238" s="1" t="s">
        <v>74</v>
      </c>
      <c r="BK238" s="1" t="s">
        <v>74</v>
      </c>
      <c r="BL238" s="1" t="s">
        <v>74</v>
      </c>
      <c r="BM238" s="1" t="s">
        <v>74</v>
      </c>
      <c r="BN238" s="1" t="s">
        <v>74</v>
      </c>
      <c r="BO238" s="1" t="s">
        <v>74</v>
      </c>
      <c r="BP238" s="1" t="s">
        <v>74</v>
      </c>
      <c r="BQ238" s="1" t="s">
        <v>74</v>
      </c>
      <c r="BR238" s="1" t="s">
        <v>74</v>
      </c>
      <c r="BS238" s="1" t="s">
        <v>2435</v>
      </c>
      <c r="BT238" s="1" t="str">
        <f>HYPERLINK("https%3A%2F%2Fwww.webofscience.com%2Fwos%2Fwoscc%2Ffull-record%2FWOS:001239390500004","View Full Record in Web of Science")</f>
        <v>View Full Record in Web of Science</v>
      </c>
    </row>
    <row r="239" ht="12.75" customHeight="1">
      <c r="A239" s="1" t="s">
        <v>72</v>
      </c>
      <c r="B239" s="1" t="s">
        <v>2436</v>
      </c>
      <c r="C239" s="1" t="s">
        <v>74</v>
      </c>
      <c r="D239" s="1" t="s">
        <v>74</v>
      </c>
      <c r="E239" s="1" t="s">
        <v>74</v>
      </c>
      <c r="F239" s="1" t="s">
        <v>2437</v>
      </c>
      <c r="G239" s="1" t="s">
        <v>74</v>
      </c>
      <c r="H239" s="1" t="s">
        <v>74</v>
      </c>
      <c r="I239" s="1" t="s">
        <v>2438</v>
      </c>
      <c r="J239" s="1" t="s">
        <v>130</v>
      </c>
      <c r="K239" s="1" t="s">
        <v>74</v>
      </c>
      <c r="L239" s="1" t="s">
        <v>74</v>
      </c>
      <c r="M239" s="1" t="s">
        <v>74</v>
      </c>
      <c r="N239" s="1" t="s">
        <v>74</v>
      </c>
      <c r="O239" s="1" t="s">
        <v>74</v>
      </c>
      <c r="P239" s="1" t="s">
        <v>74</v>
      </c>
      <c r="Q239" s="1" t="s">
        <v>74</v>
      </c>
      <c r="R239" s="1" t="s">
        <v>74</v>
      </c>
      <c r="S239" s="1" t="s">
        <v>74</v>
      </c>
      <c r="T239" s="1" t="s">
        <v>74</v>
      </c>
      <c r="U239" s="1" t="s">
        <v>74</v>
      </c>
      <c r="V239" s="1" t="s">
        <v>2439</v>
      </c>
      <c r="W239" s="1" t="s">
        <v>74</v>
      </c>
      <c r="X239" s="1" t="s">
        <v>74</v>
      </c>
      <c r="Y239" s="1" t="s">
        <v>74</v>
      </c>
      <c r="Z239" s="1" t="s">
        <v>74</v>
      </c>
      <c r="AA239" s="1" t="s">
        <v>74</v>
      </c>
      <c r="AB239" s="1" t="s">
        <v>2440</v>
      </c>
      <c r="AC239" s="1" t="s">
        <v>74</v>
      </c>
      <c r="AD239" s="1" t="s">
        <v>74</v>
      </c>
      <c r="AE239" s="1" t="s">
        <v>74</v>
      </c>
      <c r="AF239" s="1" t="s">
        <v>74</v>
      </c>
      <c r="AG239" s="1" t="s">
        <v>74</v>
      </c>
      <c r="AH239" s="1" t="s">
        <v>74</v>
      </c>
      <c r="AI239" s="1" t="s">
        <v>74</v>
      </c>
      <c r="AJ239" s="1" t="s">
        <v>74</v>
      </c>
      <c r="AK239" s="1" t="s">
        <v>74</v>
      </c>
      <c r="AL239" s="1" t="s">
        <v>74</v>
      </c>
      <c r="AM239" s="1" t="s">
        <v>74</v>
      </c>
      <c r="AN239" s="1" t="s">
        <v>74</v>
      </c>
      <c r="AO239" s="1" t="s">
        <v>133</v>
      </c>
      <c r="AP239" s="1" t="s">
        <v>134</v>
      </c>
      <c r="AQ239" s="1" t="s">
        <v>74</v>
      </c>
      <c r="AR239" s="1" t="s">
        <v>74</v>
      </c>
      <c r="AS239" s="1" t="s">
        <v>74</v>
      </c>
      <c r="AT239" s="1" t="s">
        <v>215</v>
      </c>
      <c r="AU239" s="1">
        <v>2024.0</v>
      </c>
      <c r="AV239" s="1">
        <v>25.0</v>
      </c>
      <c r="AW239" s="1">
        <v>11.0</v>
      </c>
      <c r="AX239" s="1" t="s">
        <v>74</v>
      </c>
      <c r="AY239" s="1" t="s">
        <v>74</v>
      </c>
      <c r="AZ239" s="1" t="s">
        <v>74</v>
      </c>
      <c r="BA239" s="1" t="s">
        <v>74</v>
      </c>
      <c r="BB239" s="1" t="s">
        <v>74</v>
      </c>
      <c r="BC239" s="1" t="s">
        <v>74</v>
      </c>
      <c r="BD239" s="1">
        <v>5999.0</v>
      </c>
      <c r="BE239" s="1" t="s">
        <v>2441</v>
      </c>
      <c r="BF239" s="2" t="str">
        <f>HYPERLINK("http://dx.doi.org/10.3390/ijms25115999","http://dx.doi.org/10.3390/ijms25115999")</f>
        <v>http://dx.doi.org/10.3390/ijms25115999</v>
      </c>
      <c r="BG239" s="1" t="s">
        <v>74</v>
      </c>
      <c r="BH239" s="1" t="s">
        <v>74</v>
      </c>
      <c r="BI239" s="1" t="s">
        <v>74</v>
      </c>
      <c r="BJ239" s="1" t="s">
        <v>74</v>
      </c>
      <c r="BK239" s="1" t="s">
        <v>74</v>
      </c>
      <c r="BL239" s="1" t="s">
        <v>74</v>
      </c>
      <c r="BM239" s="1" t="s">
        <v>74</v>
      </c>
      <c r="BN239" s="1">
        <v>3.8892186E7</v>
      </c>
      <c r="BO239" s="1" t="s">
        <v>74</v>
      </c>
      <c r="BP239" s="1" t="s">
        <v>74</v>
      </c>
      <c r="BQ239" s="1" t="s">
        <v>74</v>
      </c>
      <c r="BR239" s="1" t="s">
        <v>74</v>
      </c>
      <c r="BS239" s="1" t="s">
        <v>2442</v>
      </c>
      <c r="BT239" s="1" t="str">
        <f>HYPERLINK("https%3A%2F%2Fwww.webofscience.com%2Fwos%2Fwoscc%2Ffull-record%2FWOS:001245407500001","View Full Record in Web of Science")</f>
        <v>View Full Record in Web of Science</v>
      </c>
    </row>
    <row r="240" ht="12.75" customHeight="1">
      <c r="A240" s="1" t="s">
        <v>72</v>
      </c>
      <c r="B240" s="1" t="s">
        <v>2443</v>
      </c>
      <c r="C240" s="1" t="s">
        <v>74</v>
      </c>
      <c r="D240" s="1" t="s">
        <v>74</v>
      </c>
      <c r="E240" s="1" t="s">
        <v>74</v>
      </c>
      <c r="F240" s="1" t="s">
        <v>2444</v>
      </c>
      <c r="G240" s="1" t="s">
        <v>74</v>
      </c>
      <c r="H240" s="1" t="s">
        <v>74</v>
      </c>
      <c r="I240" s="1" t="s">
        <v>2445</v>
      </c>
      <c r="J240" s="1" t="s">
        <v>1033</v>
      </c>
      <c r="K240" s="1" t="s">
        <v>74</v>
      </c>
      <c r="L240" s="1" t="s">
        <v>74</v>
      </c>
      <c r="M240" s="1" t="s">
        <v>74</v>
      </c>
      <c r="N240" s="1" t="s">
        <v>74</v>
      </c>
      <c r="O240" s="1" t="s">
        <v>74</v>
      </c>
      <c r="P240" s="1" t="s">
        <v>74</v>
      </c>
      <c r="Q240" s="1" t="s">
        <v>74</v>
      </c>
      <c r="R240" s="1" t="s">
        <v>74</v>
      </c>
      <c r="S240" s="1" t="s">
        <v>74</v>
      </c>
      <c r="T240" s="1" t="s">
        <v>74</v>
      </c>
      <c r="U240" s="1" t="s">
        <v>74</v>
      </c>
      <c r="V240" s="1" t="s">
        <v>2446</v>
      </c>
      <c r="W240" s="1" t="s">
        <v>74</v>
      </c>
      <c r="X240" s="1" t="s">
        <v>74</v>
      </c>
      <c r="Y240" s="1" t="s">
        <v>74</v>
      </c>
      <c r="Z240" s="1" t="s">
        <v>74</v>
      </c>
      <c r="AA240" s="1" t="s">
        <v>2447</v>
      </c>
      <c r="AB240" s="1" t="s">
        <v>74</v>
      </c>
      <c r="AC240" s="1" t="s">
        <v>74</v>
      </c>
      <c r="AD240" s="1" t="s">
        <v>74</v>
      </c>
      <c r="AE240" s="1" t="s">
        <v>74</v>
      </c>
      <c r="AF240" s="1" t="s">
        <v>74</v>
      </c>
      <c r="AG240" s="1" t="s">
        <v>74</v>
      </c>
      <c r="AH240" s="1" t="s">
        <v>74</v>
      </c>
      <c r="AI240" s="1" t="s">
        <v>74</v>
      </c>
      <c r="AJ240" s="1" t="s">
        <v>74</v>
      </c>
      <c r="AK240" s="1" t="s">
        <v>74</v>
      </c>
      <c r="AL240" s="1" t="s">
        <v>74</v>
      </c>
      <c r="AM240" s="1" t="s">
        <v>74</v>
      </c>
      <c r="AN240" s="1" t="s">
        <v>74</v>
      </c>
      <c r="AO240" s="1" t="s">
        <v>1035</v>
      </c>
      <c r="AP240" s="1" t="s">
        <v>1036</v>
      </c>
      <c r="AQ240" s="1" t="s">
        <v>74</v>
      </c>
      <c r="AR240" s="1" t="s">
        <v>74</v>
      </c>
      <c r="AS240" s="1" t="s">
        <v>74</v>
      </c>
      <c r="AT240" s="1" t="s">
        <v>135</v>
      </c>
      <c r="AU240" s="1">
        <v>2024.0</v>
      </c>
      <c r="AV240" s="1">
        <v>44.0</v>
      </c>
      <c r="AW240" s="1">
        <v>8.0</v>
      </c>
      <c r="AX240" s="1" t="s">
        <v>74</v>
      </c>
      <c r="AY240" s="1" t="s">
        <v>74</v>
      </c>
      <c r="AZ240" s="1" t="s">
        <v>74</v>
      </c>
      <c r="BA240" s="1" t="s">
        <v>74</v>
      </c>
      <c r="BB240" s="1">
        <v>2368.0</v>
      </c>
      <c r="BC240" s="1">
        <v>2386.0</v>
      </c>
      <c r="BD240" s="1" t="s">
        <v>74</v>
      </c>
      <c r="BE240" s="1" t="s">
        <v>2448</v>
      </c>
      <c r="BF240" s="2" t="str">
        <f>HYPERLINK("http://dx.doi.org/10.3934/dcds.2024031","http://dx.doi.org/10.3934/dcds.2024031")</f>
        <v>http://dx.doi.org/10.3934/dcds.2024031</v>
      </c>
      <c r="BG240" s="1" t="s">
        <v>74</v>
      </c>
      <c r="BH240" s="1" t="s">
        <v>2449</v>
      </c>
      <c r="BI240" s="1" t="s">
        <v>74</v>
      </c>
      <c r="BJ240" s="1" t="s">
        <v>74</v>
      </c>
      <c r="BK240" s="1" t="s">
        <v>74</v>
      </c>
      <c r="BL240" s="1" t="s">
        <v>74</v>
      </c>
      <c r="BM240" s="1" t="s">
        <v>74</v>
      </c>
      <c r="BN240" s="1" t="s">
        <v>74</v>
      </c>
      <c r="BO240" s="1" t="s">
        <v>74</v>
      </c>
      <c r="BP240" s="1" t="s">
        <v>74</v>
      </c>
      <c r="BQ240" s="1" t="s">
        <v>74</v>
      </c>
      <c r="BR240" s="1" t="s">
        <v>74</v>
      </c>
      <c r="BS240" s="1" t="s">
        <v>2450</v>
      </c>
      <c r="BT240" s="1" t="str">
        <f>HYPERLINK("https%3A%2F%2Fwww.webofscience.com%2Fwos%2Fwoscc%2Ffull-record%2FWOS:001189655800001","View Full Record in Web of Science")</f>
        <v>View Full Record in Web of Science</v>
      </c>
    </row>
    <row r="241" ht="12.75" customHeight="1">
      <c r="A241" s="1" t="s">
        <v>72</v>
      </c>
      <c r="B241" s="1" t="s">
        <v>2451</v>
      </c>
      <c r="C241" s="1" t="s">
        <v>74</v>
      </c>
      <c r="D241" s="1" t="s">
        <v>74</v>
      </c>
      <c r="E241" s="1" t="s">
        <v>74</v>
      </c>
      <c r="F241" s="1" t="s">
        <v>2452</v>
      </c>
      <c r="G241" s="1" t="s">
        <v>74</v>
      </c>
      <c r="H241" s="1" t="s">
        <v>74</v>
      </c>
      <c r="I241" s="1" t="s">
        <v>2453</v>
      </c>
      <c r="J241" s="1" t="s">
        <v>2454</v>
      </c>
      <c r="K241" s="1" t="s">
        <v>74</v>
      </c>
      <c r="L241" s="1" t="s">
        <v>74</v>
      </c>
      <c r="M241" s="1" t="s">
        <v>74</v>
      </c>
      <c r="N241" s="1" t="s">
        <v>74</v>
      </c>
      <c r="O241" s="1" t="s">
        <v>74</v>
      </c>
      <c r="P241" s="1" t="s">
        <v>74</v>
      </c>
      <c r="Q241" s="1" t="s">
        <v>74</v>
      </c>
      <c r="R241" s="1" t="s">
        <v>74</v>
      </c>
      <c r="S241" s="1" t="s">
        <v>74</v>
      </c>
      <c r="T241" s="1" t="s">
        <v>74</v>
      </c>
      <c r="U241" s="1" t="s">
        <v>74</v>
      </c>
      <c r="V241" s="1" t="s">
        <v>2455</v>
      </c>
      <c r="W241" s="1" t="s">
        <v>74</v>
      </c>
      <c r="X241" s="1" t="s">
        <v>74</v>
      </c>
      <c r="Y241" s="1" t="s">
        <v>74</v>
      </c>
      <c r="Z241" s="1" t="s">
        <v>74</v>
      </c>
      <c r="AA241" s="1" t="s">
        <v>1797</v>
      </c>
      <c r="AB241" s="1" t="s">
        <v>2456</v>
      </c>
      <c r="AC241" s="1" t="s">
        <v>74</v>
      </c>
      <c r="AD241" s="1" t="s">
        <v>74</v>
      </c>
      <c r="AE241" s="1" t="s">
        <v>74</v>
      </c>
      <c r="AF241" s="1" t="s">
        <v>74</v>
      </c>
      <c r="AG241" s="1" t="s">
        <v>74</v>
      </c>
      <c r="AH241" s="1" t="s">
        <v>74</v>
      </c>
      <c r="AI241" s="1" t="s">
        <v>74</v>
      </c>
      <c r="AJ241" s="1" t="s">
        <v>74</v>
      </c>
      <c r="AK241" s="1" t="s">
        <v>74</v>
      </c>
      <c r="AL241" s="1" t="s">
        <v>74</v>
      </c>
      <c r="AM241" s="1" t="s">
        <v>74</v>
      </c>
      <c r="AN241" s="1" t="s">
        <v>74</v>
      </c>
      <c r="AO241" s="1" t="s">
        <v>2457</v>
      </c>
      <c r="AP241" s="1" t="s">
        <v>74</v>
      </c>
      <c r="AQ241" s="1" t="s">
        <v>74</v>
      </c>
      <c r="AR241" s="1" t="s">
        <v>74</v>
      </c>
      <c r="AS241" s="1" t="s">
        <v>74</v>
      </c>
      <c r="AT241" s="1" t="s">
        <v>2458</v>
      </c>
      <c r="AU241" s="1">
        <v>2024.0</v>
      </c>
      <c r="AV241" s="1">
        <v>12.0</v>
      </c>
      <c r="AW241" s="1">
        <v>3.0</v>
      </c>
      <c r="AX241" s="1" t="s">
        <v>74</v>
      </c>
      <c r="AY241" s="1" t="s">
        <v>74</v>
      </c>
      <c r="AZ241" s="1" t="s">
        <v>74</v>
      </c>
      <c r="BA241" s="1" t="s">
        <v>74</v>
      </c>
      <c r="BB241" s="1">
        <v>1297.0</v>
      </c>
      <c r="BC241" s="1">
        <v>1308.0</v>
      </c>
      <c r="BD241" s="1" t="s">
        <v>74</v>
      </c>
      <c r="BE241" s="1" t="s">
        <v>2459</v>
      </c>
      <c r="BF241" s="2" t="str">
        <f>HYPERLINK("http://dx.doi.org/10.1021/acssuschemeng.3c06676","http://dx.doi.org/10.1021/acssuschemeng.3c06676")</f>
        <v>http://dx.doi.org/10.1021/acssuschemeng.3c06676</v>
      </c>
      <c r="BG241" s="1" t="s">
        <v>74</v>
      </c>
      <c r="BH241" s="1" t="s">
        <v>74</v>
      </c>
      <c r="BI241" s="1" t="s">
        <v>74</v>
      </c>
      <c r="BJ241" s="1" t="s">
        <v>74</v>
      </c>
      <c r="BK241" s="1" t="s">
        <v>74</v>
      </c>
      <c r="BL241" s="1" t="s">
        <v>74</v>
      </c>
      <c r="BM241" s="1" t="s">
        <v>74</v>
      </c>
      <c r="BN241" s="1" t="s">
        <v>74</v>
      </c>
      <c r="BO241" s="1" t="s">
        <v>74</v>
      </c>
      <c r="BP241" s="1" t="s">
        <v>74</v>
      </c>
      <c r="BQ241" s="1" t="s">
        <v>74</v>
      </c>
      <c r="BR241" s="1" t="s">
        <v>74</v>
      </c>
      <c r="BS241" s="1" t="s">
        <v>2460</v>
      </c>
      <c r="BT241" s="1" t="str">
        <f>HYPERLINK("https%3A%2F%2Fwww.webofscience.com%2Fwos%2Fwoscc%2Ffull-record%2FWOS:001146723400001","View Full Record in Web of Science")</f>
        <v>View Full Record in Web of Science</v>
      </c>
    </row>
    <row r="242" ht="12.75" customHeight="1">
      <c r="A242" s="1" t="s">
        <v>72</v>
      </c>
      <c r="B242" s="1" t="s">
        <v>2461</v>
      </c>
      <c r="C242" s="1" t="s">
        <v>74</v>
      </c>
      <c r="D242" s="1" t="s">
        <v>74</v>
      </c>
      <c r="E242" s="1" t="s">
        <v>74</v>
      </c>
      <c r="F242" s="1" t="s">
        <v>2462</v>
      </c>
      <c r="G242" s="1" t="s">
        <v>74</v>
      </c>
      <c r="H242" s="1" t="s">
        <v>74</v>
      </c>
      <c r="I242" s="1" t="s">
        <v>2463</v>
      </c>
      <c r="J242" s="1" t="s">
        <v>2464</v>
      </c>
      <c r="K242" s="1" t="s">
        <v>74</v>
      </c>
      <c r="L242" s="1" t="s">
        <v>74</v>
      </c>
      <c r="M242" s="1" t="s">
        <v>74</v>
      </c>
      <c r="N242" s="1" t="s">
        <v>74</v>
      </c>
      <c r="O242" s="1" t="s">
        <v>74</v>
      </c>
      <c r="P242" s="1" t="s">
        <v>74</v>
      </c>
      <c r="Q242" s="1" t="s">
        <v>74</v>
      </c>
      <c r="R242" s="1" t="s">
        <v>74</v>
      </c>
      <c r="S242" s="1" t="s">
        <v>74</v>
      </c>
      <c r="T242" s="1" t="s">
        <v>74</v>
      </c>
      <c r="U242" s="1" t="s">
        <v>74</v>
      </c>
      <c r="V242" s="1" t="s">
        <v>2465</v>
      </c>
      <c r="W242" s="1" t="s">
        <v>74</v>
      </c>
      <c r="X242" s="1" t="s">
        <v>74</v>
      </c>
      <c r="Y242" s="1" t="s">
        <v>74</v>
      </c>
      <c r="Z242" s="1" t="s">
        <v>74</v>
      </c>
      <c r="AA242" s="1" t="s">
        <v>2466</v>
      </c>
      <c r="AB242" s="1" t="s">
        <v>2467</v>
      </c>
      <c r="AC242" s="1" t="s">
        <v>74</v>
      </c>
      <c r="AD242" s="1" t="s">
        <v>74</v>
      </c>
      <c r="AE242" s="1" t="s">
        <v>74</v>
      </c>
      <c r="AF242" s="1" t="s">
        <v>74</v>
      </c>
      <c r="AG242" s="1" t="s">
        <v>74</v>
      </c>
      <c r="AH242" s="1" t="s">
        <v>74</v>
      </c>
      <c r="AI242" s="1" t="s">
        <v>74</v>
      </c>
      <c r="AJ242" s="1" t="s">
        <v>74</v>
      </c>
      <c r="AK242" s="1" t="s">
        <v>74</v>
      </c>
      <c r="AL242" s="1" t="s">
        <v>74</v>
      </c>
      <c r="AM242" s="1" t="s">
        <v>74</v>
      </c>
      <c r="AN242" s="1" t="s">
        <v>74</v>
      </c>
      <c r="AO242" s="1" t="s">
        <v>74</v>
      </c>
      <c r="AP242" s="1" t="s">
        <v>2468</v>
      </c>
      <c r="AQ242" s="1" t="s">
        <v>74</v>
      </c>
      <c r="AR242" s="1" t="s">
        <v>74</v>
      </c>
      <c r="AS242" s="1" t="s">
        <v>74</v>
      </c>
      <c r="AT242" s="1" t="s">
        <v>169</v>
      </c>
      <c r="AU242" s="1">
        <v>2024.0</v>
      </c>
      <c r="AV242" s="1">
        <v>16.0</v>
      </c>
      <c r="AW242" s="1">
        <v>2.0</v>
      </c>
      <c r="AX242" s="1" t="s">
        <v>74</v>
      </c>
      <c r="AY242" s="1" t="s">
        <v>74</v>
      </c>
      <c r="AZ242" s="1" t="s">
        <v>74</v>
      </c>
      <c r="BA242" s="1" t="s">
        <v>74</v>
      </c>
      <c r="BB242" s="1" t="s">
        <v>74</v>
      </c>
      <c r="BC242" s="1" t="s">
        <v>74</v>
      </c>
      <c r="BD242" s="1">
        <v>197.0</v>
      </c>
      <c r="BE242" s="1" t="s">
        <v>2469</v>
      </c>
      <c r="BF242" s="2" t="str">
        <f>HYPERLINK("http://dx.doi.org/10.3390/w16020197","http://dx.doi.org/10.3390/w16020197")</f>
        <v>http://dx.doi.org/10.3390/w16020197</v>
      </c>
      <c r="BG242" s="1" t="s">
        <v>74</v>
      </c>
      <c r="BH242" s="1" t="s">
        <v>74</v>
      </c>
      <c r="BI242" s="1" t="s">
        <v>74</v>
      </c>
      <c r="BJ242" s="1" t="s">
        <v>74</v>
      </c>
      <c r="BK242" s="1" t="s">
        <v>74</v>
      </c>
      <c r="BL242" s="1" t="s">
        <v>74</v>
      </c>
      <c r="BM242" s="1" t="s">
        <v>74</v>
      </c>
      <c r="BN242" s="1" t="s">
        <v>74</v>
      </c>
      <c r="BO242" s="1" t="s">
        <v>74</v>
      </c>
      <c r="BP242" s="1" t="s">
        <v>74</v>
      </c>
      <c r="BQ242" s="1" t="s">
        <v>74</v>
      </c>
      <c r="BR242" s="1" t="s">
        <v>74</v>
      </c>
      <c r="BS242" s="1" t="s">
        <v>2470</v>
      </c>
      <c r="BT242" s="1" t="str">
        <f>HYPERLINK("https%3A%2F%2Fwww.webofscience.com%2Fwos%2Fwoscc%2Ffull-record%2FWOS:001151448000001","View Full Record in Web of Science")</f>
        <v>View Full Record in Web of Science</v>
      </c>
    </row>
    <row r="243" ht="12.75" customHeight="1">
      <c r="A243" s="1" t="s">
        <v>72</v>
      </c>
      <c r="B243" s="1" t="s">
        <v>2471</v>
      </c>
      <c r="C243" s="1" t="s">
        <v>74</v>
      </c>
      <c r="D243" s="1" t="s">
        <v>74</v>
      </c>
      <c r="E243" s="1" t="s">
        <v>74</v>
      </c>
      <c r="F243" s="1" t="s">
        <v>2472</v>
      </c>
      <c r="G243" s="1" t="s">
        <v>74</v>
      </c>
      <c r="H243" s="1" t="s">
        <v>74</v>
      </c>
      <c r="I243" s="1" t="s">
        <v>2473</v>
      </c>
      <c r="J243" s="1" t="s">
        <v>1012</v>
      </c>
      <c r="K243" s="1" t="s">
        <v>74</v>
      </c>
      <c r="L243" s="1" t="s">
        <v>74</v>
      </c>
      <c r="M243" s="1" t="s">
        <v>74</v>
      </c>
      <c r="N243" s="1" t="s">
        <v>74</v>
      </c>
      <c r="O243" s="1" t="s">
        <v>74</v>
      </c>
      <c r="P243" s="1" t="s">
        <v>74</v>
      </c>
      <c r="Q243" s="1" t="s">
        <v>74</v>
      </c>
      <c r="R243" s="1" t="s">
        <v>74</v>
      </c>
      <c r="S243" s="1" t="s">
        <v>74</v>
      </c>
      <c r="T243" s="1" t="s">
        <v>74</v>
      </c>
      <c r="U243" s="1" t="s">
        <v>74</v>
      </c>
      <c r="V243" s="1" t="s">
        <v>74</v>
      </c>
      <c r="W243" s="1" t="s">
        <v>74</v>
      </c>
      <c r="X243" s="1" t="s">
        <v>74</v>
      </c>
      <c r="Y243" s="1" t="s">
        <v>74</v>
      </c>
      <c r="Z243" s="1" t="s">
        <v>74</v>
      </c>
      <c r="AA243" s="1" t="s">
        <v>74</v>
      </c>
      <c r="AB243" s="1" t="s">
        <v>74</v>
      </c>
      <c r="AC243" s="1" t="s">
        <v>74</v>
      </c>
      <c r="AD243" s="1" t="s">
        <v>74</v>
      </c>
      <c r="AE243" s="1" t="s">
        <v>74</v>
      </c>
      <c r="AF243" s="1" t="s">
        <v>74</v>
      </c>
      <c r="AG243" s="1" t="s">
        <v>74</v>
      </c>
      <c r="AH243" s="1" t="s">
        <v>74</v>
      </c>
      <c r="AI243" s="1" t="s">
        <v>74</v>
      </c>
      <c r="AJ243" s="1" t="s">
        <v>74</v>
      </c>
      <c r="AK243" s="1" t="s">
        <v>74</v>
      </c>
      <c r="AL243" s="1" t="s">
        <v>74</v>
      </c>
      <c r="AM243" s="1" t="s">
        <v>74</v>
      </c>
      <c r="AN243" s="1" t="s">
        <v>74</v>
      </c>
      <c r="AO243" s="1" t="s">
        <v>1015</v>
      </c>
      <c r="AP243" s="1" t="s">
        <v>1016</v>
      </c>
      <c r="AQ243" s="1" t="s">
        <v>74</v>
      </c>
      <c r="AR243" s="1" t="s">
        <v>74</v>
      </c>
      <c r="AS243" s="1" t="s">
        <v>74</v>
      </c>
      <c r="AT243" s="1" t="s">
        <v>74</v>
      </c>
      <c r="AU243" s="1">
        <v>2024.0</v>
      </c>
      <c r="AV243" s="1" t="s">
        <v>74</v>
      </c>
      <c r="AW243" s="1">
        <v>41.0</v>
      </c>
      <c r="AX243" s="1" t="s">
        <v>74</v>
      </c>
      <c r="AY243" s="1" t="s">
        <v>74</v>
      </c>
      <c r="AZ243" s="1" t="s">
        <v>74</v>
      </c>
      <c r="BA243" s="1" t="s">
        <v>74</v>
      </c>
      <c r="BB243" s="1" t="s">
        <v>74</v>
      </c>
      <c r="BC243" s="1" t="s">
        <v>74</v>
      </c>
      <c r="BD243" s="1" t="s">
        <v>74</v>
      </c>
      <c r="BE243" s="1" t="s">
        <v>74</v>
      </c>
      <c r="BF243" s="1" t="s">
        <v>74</v>
      </c>
      <c r="BG243" s="1" t="s">
        <v>74</v>
      </c>
      <c r="BH243" s="1" t="s">
        <v>74</v>
      </c>
      <c r="BI243" s="1" t="s">
        <v>74</v>
      </c>
      <c r="BJ243" s="1" t="s">
        <v>74</v>
      </c>
      <c r="BK243" s="1" t="s">
        <v>74</v>
      </c>
      <c r="BL243" s="1" t="s">
        <v>74</v>
      </c>
      <c r="BM243" s="1" t="s">
        <v>74</v>
      </c>
      <c r="BN243" s="1" t="s">
        <v>74</v>
      </c>
      <c r="BO243" s="1" t="s">
        <v>74</v>
      </c>
      <c r="BP243" s="1" t="s">
        <v>74</v>
      </c>
      <c r="BQ243" s="1" t="s">
        <v>74</v>
      </c>
      <c r="BR243" s="1" t="s">
        <v>74</v>
      </c>
      <c r="BS243" s="1" t="s">
        <v>2474</v>
      </c>
      <c r="BT243" s="1" t="str">
        <f>HYPERLINK("https%3A%2F%2Fwww.webofscience.com%2Fwos%2Fwoscc%2Ffull-record%2FWOS:001415846000001","View Full Record in Web of Science")</f>
        <v>View Full Record in Web of Science</v>
      </c>
    </row>
    <row r="244" ht="12.75" customHeight="1">
      <c r="A244" s="1" t="s">
        <v>72</v>
      </c>
      <c r="B244" s="1" t="s">
        <v>2475</v>
      </c>
      <c r="C244" s="1" t="s">
        <v>74</v>
      </c>
      <c r="D244" s="1" t="s">
        <v>74</v>
      </c>
      <c r="E244" s="1" t="s">
        <v>74</v>
      </c>
      <c r="F244" s="1" t="s">
        <v>2476</v>
      </c>
      <c r="G244" s="1" t="s">
        <v>74</v>
      </c>
      <c r="H244" s="1" t="s">
        <v>74</v>
      </c>
      <c r="I244" s="1" t="s">
        <v>2477</v>
      </c>
      <c r="J244" s="1" t="s">
        <v>2478</v>
      </c>
      <c r="K244" s="1" t="s">
        <v>74</v>
      </c>
      <c r="L244" s="1" t="s">
        <v>74</v>
      </c>
      <c r="M244" s="1" t="s">
        <v>74</v>
      </c>
      <c r="N244" s="1" t="s">
        <v>74</v>
      </c>
      <c r="O244" s="1" t="s">
        <v>74</v>
      </c>
      <c r="P244" s="1" t="s">
        <v>74</v>
      </c>
      <c r="Q244" s="1" t="s">
        <v>74</v>
      </c>
      <c r="R244" s="1" t="s">
        <v>74</v>
      </c>
      <c r="S244" s="1" t="s">
        <v>74</v>
      </c>
      <c r="T244" s="1" t="s">
        <v>74</v>
      </c>
      <c r="U244" s="1" t="s">
        <v>74</v>
      </c>
      <c r="V244" s="1" t="s">
        <v>2479</v>
      </c>
      <c r="W244" s="1" t="s">
        <v>74</v>
      </c>
      <c r="X244" s="1" t="s">
        <v>74</v>
      </c>
      <c r="Y244" s="1" t="s">
        <v>74</v>
      </c>
      <c r="Z244" s="1" t="s">
        <v>74</v>
      </c>
      <c r="AA244" s="1" t="s">
        <v>2480</v>
      </c>
      <c r="AB244" s="1" t="s">
        <v>2481</v>
      </c>
      <c r="AC244" s="1" t="s">
        <v>74</v>
      </c>
      <c r="AD244" s="1" t="s">
        <v>74</v>
      </c>
      <c r="AE244" s="1" t="s">
        <v>74</v>
      </c>
      <c r="AF244" s="1" t="s">
        <v>74</v>
      </c>
      <c r="AG244" s="1" t="s">
        <v>74</v>
      </c>
      <c r="AH244" s="1" t="s">
        <v>74</v>
      </c>
      <c r="AI244" s="1" t="s">
        <v>74</v>
      </c>
      <c r="AJ244" s="1" t="s">
        <v>74</v>
      </c>
      <c r="AK244" s="1" t="s">
        <v>74</v>
      </c>
      <c r="AL244" s="1" t="s">
        <v>74</v>
      </c>
      <c r="AM244" s="1" t="s">
        <v>74</v>
      </c>
      <c r="AN244" s="1" t="s">
        <v>74</v>
      </c>
      <c r="AO244" s="1" t="s">
        <v>2482</v>
      </c>
      <c r="AP244" s="1" t="s">
        <v>2483</v>
      </c>
      <c r="AQ244" s="1" t="s">
        <v>74</v>
      </c>
      <c r="AR244" s="1" t="s">
        <v>74</v>
      </c>
      <c r="AS244" s="1" t="s">
        <v>74</v>
      </c>
      <c r="AT244" s="1" t="s">
        <v>74</v>
      </c>
      <c r="AU244" s="1">
        <v>2024.0</v>
      </c>
      <c r="AV244" s="1">
        <v>48.0</v>
      </c>
      <c r="AW244" s="1" t="s">
        <v>74</v>
      </c>
      <c r="AX244" s="1" t="s">
        <v>74</v>
      </c>
      <c r="AY244" s="1" t="s">
        <v>74</v>
      </c>
      <c r="AZ244" s="1" t="s">
        <v>74</v>
      </c>
      <c r="BA244" s="1" t="s">
        <v>74</v>
      </c>
      <c r="BB244" s="1" t="s">
        <v>74</v>
      </c>
      <c r="BC244" s="1" t="s">
        <v>74</v>
      </c>
      <c r="BD244" s="1" t="s">
        <v>2484</v>
      </c>
      <c r="BE244" s="1" t="s">
        <v>2485</v>
      </c>
      <c r="BF244" s="2" t="str">
        <f>HYPERLINK("http://dx.doi.org/10.26633/RPSP.2024.10","http://dx.doi.org/10.26633/RPSP.2024.10")</f>
        <v>http://dx.doi.org/10.26633/RPSP.2024.10</v>
      </c>
      <c r="BG244" s="1" t="s">
        <v>74</v>
      </c>
      <c r="BH244" s="1" t="s">
        <v>74</v>
      </c>
      <c r="BI244" s="1" t="s">
        <v>74</v>
      </c>
      <c r="BJ244" s="1" t="s">
        <v>74</v>
      </c>
      <c r="BK244" s="1" t="s">
        <v>74</v>
      </c>
      <c r="BL244" s="1" t="s">
        <v>74</v>
      </c>
      <c r="BM244" s="1" t="s">
        <v>74</v>
      </c>
      <c r="BN244" s="1">
        <v>3.8410358E7</v>
      </c>
      <c r="BO244" s="1" t="s">
        <v>74</v>
      </c>
      <c r="BP244" s="1" t="s">
        <v>74</v>
      </c>
      <c r="BQ244" s="1" t="s">
        <v>74</v>
      </c>
      <c r="BR244" s="1" t="s">
        <v>74</v>
      </c>
      <c r="BS244" s="1" t="s">
        <v>2486</v>
      </c>
      <c r="BT244" s="1" t="str">
        <f>HYPERLINK("https%3A%2F%2Fwww.webofscience.com%2Fwos%2Fwoscc%2Ffull-record%2FWOS:001175864400001","View Full Record in Web of Science")</f>
        <v>View Full Record in Web of Science</v>
      </c>
    </row>
    <row r="245" ht="12.75" customHeight="1">
      <c r="A245" s="1" t="s">
        <v>72</v>
      </c>
      <c r="B245" s="1" t="s">
        <v>2487</v>
      </c>
      <c r="C245" s="1" t="s">
        <v>74</v>
      </c>
      <c r="D245" s="1" t="s">
        <v>74</v>
      </c>
      <c r="E245" s="1" t="s">
        <v>74</v>
      </c>
      <c r="F245" s="1" t="s">
        <v>2488</v>
      </c>
      <c r="G245" s="1" t="s">
        <v>74</v>
      </c>
      <c r="H245" s="1" t="s">
        <v>74</v>
      </c>
      <c r="I245" s="1" t="s">
        <v>2489</v>
      </c>
      <c r="J245" s="1" t="s">
        <v>2490</v>
      </c>
      <c r="K245" s="1" t="s">
        <v>74</v>
      </c>
      <c r="L245" s="1" t="s">
        <v>74</v>
      </c>
      <c r="M245" s="1" t="s">
        <v>74</v>
      </c>
      <c r="N245" s="1" t="s">
        <v>74</v>
      </c>
      <c r="O245" s="1" t="s">
        <v>74</v>
      </c>
      <c r="P245" s="1" t="s">
        <v>74</v>
      </c>
      <c r="Q245" s="1" t="s">
        <v>74</v>
      </c>
      <c r="R245" s="1" t="s">
        <v>74</v>
      </c>
      <c r="S245" s="1" t="s">
        <v>74</v>
      </c>
      <c r="T245" s="1" t="s">
        <v>74</v>
      </c>
      <c r="U245" s="1" t="s">
        <v>74</v>
      </c>
      <c r="V245" s="1" t="s">
        <v>2491</v>
      </c>
      <c r="W245" s="1" t="s">
        <v>74</v>
      </c>
      <c r="X245" s="1" t="s">
        <v>74</v>
      </c>
      <c r="Y245" s="1" t="s">
        <v>74</v>
      </c>
      <c r="Z245" s="1" t="s">
        <v>74</v>
      </c>
      <c r="AA245" s="1" t="s">
        <v>2492</v>
      </c>
      <c r="AB245" s="1" t="s">
        <v>2493</v>
      </c>
      <c r="AC245" s="1" t="s">
        <v>74</v>
      </c>
      <c r="AD245" s="1" t="s">
        <v>74</v>
      </c>
      <c r="AE245" s="1" t="s">
        <v>74</v>
      </c>
      <c r="AF245" s="1" t="s">
        <v>74</v>
      </c>
      <c r="AG245" s="1" t="s">
        <v>74</v>
      </c>
      <c r="AH245" s="1" t="s">
        <v>74</v>
      </c>
      <c r="AI245" s="1" t="s">
        <v>74</v>
      </c>
      <c r="AJ245" s="1" t="s">
        <v>74</v>
      </c>
      <c r="AK245" s="1" t="s">
        <v>74</v>
      </c>
      <c r="AL245" s="1" t="s">
        <v>74</v>
      </c>
      <c r="AM245" s="1" t="s">
        <v>74</v>
      </c>
      <c r="AN245" s="1" t="s">
        <v>74</v>
      </c>
      <c r="AO245" s="1" t="s">
        <v>74</v>
      </c>
      <c r="AP245" s="1" t="s">
        <v>2494</v>
      </c>
      <c r="AQ245" s="1" t="s">
        <v>74</v>
      </c>
      <c r="AR245" s="1" t="s">
        <v>74</v>
      </c>
      <c r="AS245" s="1" t="s">
        <v>74</v>
      </c>
      <c r="AT245" s="1" t="s">
        <v>123</v>
      </c>
      <c r="AU245" s="1">
        <v>2023.0</v>
      </c>
      <c r="AV245" s="1">
        <v>11.0</v>
      </c>
      <c r="AW245" s="1">
        <v>10.0</v>
      </c>
      <c r="AX245" s="1" t="s">
        <v>74</v>
      </c>
      <c r="AY245" s="1" t="s">
        <v>74</v>
      </c>
      <c r="AZ245" s="1" t="s">
        <v>74</v>
      </c>
      <c r="BA245" s="1" t="s">
        <v>74</v>
      </c>
      <c r="BB245" s="1" t="s">
        <v>74</v>
      </c>
      <c r="BC245" s="1" t="s">
        <v>74</v>
      </c>
      <c r="BD245" s="1">
        <v>2905.0</v>
      </c>
      <c r="BE245" s="1" t="s">
        <v>2495</v>
      </c>
      <c r="BF245" s="2" t="str">
        <f>HYPERLINK("http://dx.doi.org/10.3390/pr11102905","http://dx.doi.org/10.3390/pr11102905")</f>
        <v>http://dx.doi.org/10.3390/pr11102905</v>
      </c>
      <c r="BG245" s="1" t="s">
        <v>74</v>
      </c>
      <c r="BH245" s="1" t="s">
        <v>74</v>
      </c>
      <c r="BI245" s="1" t="s">
        <v>74</v>
      </c>
      <c r="BJ245" s="1" t="s">
        <v>74</v>
      </c>
      <c r="BK245" s="1" t="s">
        <v>74</v>
      </c>
      <c r="BL245" s="1" t="s">
        <v>74</v>
      </c>
      <c r="BM245" s="1" t="s">
        <v>74</v>
      </c>
      <c r="BN245" s="1" t="s">
        <v>74</v>
      </c>
      <c r="BO245" s="1" t="s">
        <v>74</v>
      </c>
      <c r="BP245" s="1" t="s">
        <v>74</v>
      </c>
      <c r="BQ245" s="1" t="s">
        <v>74</v>
      </c>
      <c r="BR245" s="1" t="s">
        <v>74</v>
      </c>
      <c r="BS245" s="1" t="s">
        <v>2496</v>
      </c>
      <c r="BT245" s="1" t="str">
        <f>HYPERLINK("https%3A%2F%2Fwww.webofscience.com%2Fwos%2Fwoscc%2Ffull-record%2FWOS:001095275600001","View Full Record in Web of Science")</f>
        <v>View Full Record in Web of Science</v>
      </c>
    </row>
    <row r="246" ht="12.75" customHeight="1">
      <c r="A246" s="1" t="s">
        <v>72</v>
      </c>
      <c r="B246" s="1" t="s">
        <v>2497</v>
      </c>
      <c r="C246" s="1" t="s">
        <v>74</v>
      </c>
      <c r="D246" s="1" t="s">
        <v>74</v>
      </c>
      <c r="E246" s="1" t="s">
        <v>74</v>
      </c>
      <c r="F246" s="1" t="s">
        <v>2498</v>
      </c>
      <c r="G246" s="1" t="s">
        <v>74</v>
      </c>
      <c r="H246" s="1" t="s">
        <v>74</v>
      </c>
      <c r="I246" s="1" t="s">
        <v>2499</v>
      </c>
      <c r="J246" s="1" t="s">
        <v>1105</v>
      </c>
      <c r="K246" s="1" t="s">
        <v>74</v>
      </c>
      <c r="L246" s="1" t="s">
        <v>74</v>
      </c>
      <c r="M246" s="1" t="s">
        <v>74</v>
      </c>
      <c r="N246" s="1" t="s">
        <v>74</v>
      </c>
      <c r="O246" s="1" t="s">
        <v>74</v>
      </c>
      <c r="P246" s="1" t="s">
        <v>74</v>
      </c>
      <c r="Q246" s="1" t="s">
        <v>74</v>
      </c>
      <c r="R246" s="1" t="s">
        <v>74</v>
      </c>
      <c r="S246" s="1" t="s">
        <v>74</v>
      </c>
      <c r="T246" s="1" t="s">
        <v>74</v>
      </c>
      <c r="U246" s="1" t="s">
        <v>74</v>
      </c>
      <c r="V246" s="1" t="s">
        <v>2500</v>
      </c>
      <c r="W246" s="1" t="s">
        <v>74</v>
      </c>
      <c r="X246" s="1" t="s">
        <v>74</v>
      </c>
      <c r="Y246" s="1" t="s">
        <v>74</v>
      </c>
      <c r="Z246" s="1" t="s">
        <v>74</v>
      </c>
      <c r="AA246" s="1" t="s">
        <v>74</v>
      </c>
      <c r="AB246" s="1" t="s">
        <v>74</v>
      </c>
      <c r="AC246" s="1" t="s">
        <v>74</v>
      </c>
      <c r="AD246" s="1" t="s">
        <v>74</v>
      </c>
      <c r="AE246" s="1" t="s">
        <v>74</v>
      </c>
      <c r="AF246" s="1" t="s">
        <v>74</v>
      </c>
      <c r="AG246" s="1" t="s">
        <v>74</v>
      </c>
      <c r="AH246" s="1" t="s">
        <v>74</v>
      </c>
      <c r="AI246" s="1" t="s">
        <v>74</v>
      </c>
      <c r="AJ246" s="1" t="s">
        <v>74</v>
      </c>
      <c r="AK246" s="1" t="s">
        <v>74</v>
      </c>
      <c r="AL246" s="1" t="s">
        <v>74</v>
      </c>
      <c r="AM246" s="1" t="s">
        <v>74</v>
      </c>
      <c r="AN246" s="1" t="s">
        <v>74</v>
      </c>
      <c r="AO246" s="1" t="s">
        <v>1109</v>
      </c>
      <c r="AP246" s="1" t="s">
        <v>1110</v>
      </c>
      <c r="AQ246" s="1" t="s">
        <v>74</v>
      </c>
      <c r="AR246" s="1" t="s">
        <v>74</v>
      </c>
      <c r="AS246" s="1" t="s">
        <v>74</v>
      </c>
      <c r="AT246" s="1" t="s">
        <v>459</v>
      </c>
      <c r="AU246" s="1">
        <v>2023.0</v>
      </c>
      <c r="AV246" s="1" t="s">
        <v>74</v>
      </c>
      <c r="AW246" s="1">
        <v>68.0</v>
      </c>
      <c r="AX246" s="1" t="s">
        <v>74</v>
      </c>
      <c r="AY246" s="1" t="s">
        <v>74</v>
      </c>
      <c r="AZ246" s="1" t="s">
        <v>74</v>
      </c>
      <c r="BA246" s="1" t="s">
        <v>74</v>
      </c>
      <c r="BB246" s="1">
        <v>155.0</v>
      </c>
      <c r="BC246" s="1">
        <v>182.0</v>
      </c>
      <c r="BD246" s="1" t="s">
        <v>74</v>
      </c>
      <c r="BE246" s="1" t="s">
        <v>2501</v>
      </c>
      <c r="BF246" s="2" t="str">
        <f>HYPERLINK("http://dx.doi.org/10.12795/pixelbit.101081","http://dx.doi.org/10.12795/pixelbit.101081")</f>
        <v>http://dx.doi.org/10.12795/pixelbit.101081</v>
      </c>
      <c r="BG246" s="1" t="s">
        <v>74</v>
      </c>
      <c r="BH246" s="1" t="s">
        <v>74</v>
      </c>
      <c r="BI246" s="1" t="s">
        <v>74</v>
      </c>
      <c r="BJ246" s="1" t="s">
        <v>74</v>
      </c>
      <c r="BK246" s="1" t="s">
        <v>74</v>
      </c>
      <c r="BL246" s="1" t="s">
        <v>74</v>
      </c>
      <c r="BM246" s="1" t="s">
        <v>74</v>
      </c>
      <c r="BN246" s="1" t="s">
        <v>74</v>
      </c>
      <c r="BO246" s="1" t="s">
        <v>74</v>
      </c>
      <c r="BP246" s="1" t="s">
        <v>74</v>
      </c>
      <c r="BQ246" s="1" t="s">
        <v>74</v>
      </c>
      <c r="BR246" s="1" t="s">
        <v>74</v>
      </c>
      <c r="BS246" s="1" t="s">
        <v>2502</v>
      </c>
      <c r="BT246" s="1" t="str">
        <f>HYPERLINK("https%3A%2F%2Fwww.webofscience.com%2Fwos%2Fwoscc%2Ffull-record%2FWOS:001156417800005","View Full Record in Web of Science")</f>
        <v>View Full Record in Web of Science</v>
      </c>
    </row>
    <row r="247" ht="12.75" customHeight="1">
      <c r="A247" s="1" t="s">
        <v>72</v>
      </c>
      <c r="B247" s="1" t="s">
        <v>2503</v>
      </c>
      <c r="C247" s="1" t="s">
        <v>74</v>
      </c>
      <c r="D247" s="1" t="s">
        <v>74</v>
      </c>
      <c r="E247" s="1" t="s">
        <v>74</v>
      </c>
      <c r="F247" s="1" t="s">
        <v>2504</v>
      </c>
      <c r="G247" s="1" t="s">
        <v>74</v>
      </c>
      <c r="H247" s="1" t="s">
        <v>74</v>
      </c>
      <c r="I247" s="1" t="s">
        <v>2505</v>
      </c>
      <c r="J247" s="1" t="s">
        <v>2490</v>
      </c>
      <c r="K247" s="1" t="s">
        <v>74</v>
      </c>
      <c r="L247" s="1" t="s">
        <v>74</v>
      </c>
      <c r="M247" s="1" t="s">
        <v>74</v>
      </c>
      <c r="N247" s="1" t="s">
        <v>74</v>
      </c>
      <c r="O247" s="1" t="s">
        <v>74</v>
      </c>
      <c r="P247" s="1" t="s">
        <v>74</v>
      </c>
      <c r="Q247" s="1" t="s">
        <v>74</v>
      </c>
      <c r="R247" s="1" t="s">
        <v>74</v>
      </c>
      <c r="S247" s="1" t="s">
        <v>74</v>
      </c>
      <c r="T247" s="1" t="s">
        <v>74</v>
      </c>
      <c r="U247" s="1" t="s">
        <v>74</v>
      </c>
      <c r="V247" s="1" t="s">
        <v>2506</v>
      </c>
      <c r="W247" s="1" t="s">
        <v>74</v>
      </c>
      <c r="X247" s="1" t="s">
        <v>74</v>
      </c>
      <c r="Y247" s="1" t="s">
        <v>74</v>
      </c>
      <c r="Z247" s="1" t="s">
        <v>74</v>
      </c>
      <c r="AA247" s="1" t="s">
        <v>2507</v>
      </c>
      <c r="AB247" s="1" t="s">
        <v>2508</v>
      </c>
      <c r="AC247" s="1" t="s">
        <v>74</v>
      </c>
      <c r="AD247" s="1" t="s">
        <v>74</v>
      </c>
      <c r="AE247" s="1" t="s">
        <v>74</v>
      </c>
      <c r="AF247" s="1" t="s">
        <v>74</v>
      </c>
      <c r="AG247" s="1" t="s">
        <v>74</v>
      </c>
      <c r="AH247" s="1" t="s">
        <v>74</v>
      </c>
      <c r="AI247" s="1" t="s">
        <v>74</v>
      </c>
      <c r="AJ247" s="1" t="s">
        <v>74</v>
      </c>
      <c r="AK247" s="1" t="s">
        <v>74</v>
      </c>
      <c r="AL247" s="1" t="s">
        <v>74</v>
      </c>
      <c r="AM247" s="1" t="s">
        <v>74</v>
      </c>
      <c r="AN247" s="1" t="s">
        <v>74</v>
      </c>
      <c r="AO247" s="1" t="s">
        <v>74</v>
      </c>
      <c r="AP247" s="1" t="s">
        <v>2494</v>
      </c>
      <c r="AQ247" s="1" t="s">
        <v>74</v>
      </c>
      <c r="AR247" s="1" t="s">
        <v>74</v>
      </c>
      <c r="AS247" s="1" t="s">
        <v>74</v>
      </c>
      <c r="AT247" s="1" t="s">
        <v>215</v>
      </c>
      <c r="AU247" s="1">
        <v>2023.0</v>
      </c>
      <c r="AV247" s="1">
        <v>11.0</v>
      </c>
      <c r="AW247" s="1">
        <v>6.0</v>
      </c>
      <c r="AX247" s="1" t="s">
        <v>74</v>
      </c>
      <c r="AY247" s="1" t="s">
        <v>74</v>
      </c>
      <c r="AZ247" s="1" t="s">
        <v>74</v>
      </c>
      <c r="BA247" s="1" t="s">
        <v>74</v>
      </c>
      <c r="BB247" s="1" t="s">
        <v>74</v>
      </c>
      <c r="BC247" s="1" t="s">
        <v>74</v>
      </c>
      <c r="BD247" s="1">
        <v>1774.0</v>
      </c>
      <c r="BE247" s="1" t="s">
        <v>2509</v>
      </c>
      <c r="BF247" s="2" t="str">
        <f>HYPERLINK("http://dx.doi.org/10.3390/pr11061774","http://dx.doi.org/10.3390/pr11061774")</f>
        <v>http://dx.doi.org/10.3390/pr11061774</v>
      </c>
      <c r="BG247" s="1" t="s">
        <v>74</v>
      </c>
      <c r="BH247" s="1" t="s">
        <v>74</v>
      </c>
      <c r="BI247" s="1" t="s">
        <v>74</v>
      </c>
      <c r="BJ247" s="1" t="s">
        <v>74</v>
      </c>
      <c r="BK247" s="1" t="s">
        <v>74</v>
      </c>
      <c r="BL247" s="1" t="s">
        <v>74</v>
      </c>
      <c r="BM247" s="1" t="s">
        <v>74</v>
      </c>
      <c r="BN247" s="1" t="s">
        <v>74</v>
      </c>
      <c r="BO247" s="1" t="s">
        <v>74</v>
      </c>
      <c r="BP247" s="1" t="s">
        <v>74</v>
      </c>
      <c r="BQ247" s="1" t="s">
        <v>74</v>
      </c>
      <c r="BR247" s="1" t="s">
        <v>74</v>
      </c>
      <c r="BS247" s="1" t="s">
        <v>2510</v>
      </c>
      <c r="BT247" s="1" t="str">
        <f>HYPERLINK("https%3A%2F%2Fwww.webofscience.com%2Fwos%2Fwoscc%2Ffull-record%2FWOS:001021159100001","View Full Record in Web of Science")</f>
        <v>View Full Record in Web of Science</v>
      </c>
    </row>
    <row r="248" ht="12.75" customHeight="1">
      <c r="A248" s="1" t="s">
        <v>72</v>
      </c>
      <c r="B248" s="1" t="s">
        <v>2511</v>
      </c>
      <c r="C248" s="1" t="s">
        <v>74</v>
      </c>
      <c r="D248" s="1" t="s">
        <v>74</v>
      </c>
      <c r="E248" s="1" t="s">
        <v>74</v>
      </c>
      <c r="F248" s="1" t="s">
        <v>2512</v>
      </c>
      <c r="G248" s="1" t="s">
        <v>74</v>
      </c>
      <c r="H248" s="1" t="s">
        <v>74</v>
      </c>
      <c r="I248" s="1" t="s">
        <v>2513</v>
      </c>
      <c r="J248" s="1" t="s">
        <v>2514</v>
      </c>
      <c r="K248" s="1" t="s">
        <v>74</v>
      </c>
      <c r="L248" s="1" t="s">
        <v>74</v>
      </c>
      <c r="M248" s="1" t="s">
        <v>74</v>
      </c>
      <c r="N248" s="1" t="s">
        <v>74</v>
      </c>
      <c r="O248" s="1" t="s">
        <v>74</v>
      </c>
      <c r="P248" s="1" t="s">
        <v>74</v>
      </c>
      <c r="Q248" s="1" t="s">
        <v>74</v>
      </c>
      <c r="R248" s="1" t="s">
        <v>74</v>
      </c>
      <c r="S248" s="1" t="s">
        <v>74</v>
      </c>
      <c r="T248" s="1" t="s">
        <v>74</v>
      </c>
      <c r="U248" s="1" t="s">
        <v>74</v>
      </c>
      <c r="V248" s="1" t="s">
        <v>2515</v>
      </c>
      <c r="W248" s="1" t="s">
        <v>74</v>
      </c>
      <c r="X248" s="1" t="s">
        <v>74</v>
      </c>
      <c r="Y248" s="1" t="s">
        <v>74</v>
      </c>
      <c r="Z248" s="1" t="s">
        <v>74</v>
      </c>
      <c r="AA248" s="1" t="s">
        <v>1836</v>
      </c>
      <c r="AB248" s="1" t="s">
        <v>2516</v>
      </c>
      <c r="AC248" s="1" t="s">
        <v>74</v>
      </c>
      <c r="AD248" s="1" t="s">
        <v>74</v>
      </c>
      <c r="AE248" s="1" t="s">
        <v>74</v>
      </c>
      <c r="AF248" s="1" t="s">
        <v>74</v>
      </c>
      <c r="AG248" s="1" t="s">
        <v>74</v>
      </c>
      <c r="AH248" s="1" t="s">
        <v>74</v>
      </c>
      <c r="AI248" s="1" t="s">
        <v>74</v>
      </c>
      <c r="AJ248" s="1" t="s">
        <v>74</v>
      </c>
      <c r="AK248" s="1" t="s">
        <v>74</v>
      </c>
      <c r="AL248" s="1" t="s">
        <v>74</v>
      </c>
      <c r="AM248" s="1" t="s">
        <v>74</v>
      </c>
      <c r="AN248" s="1" t="s">
        <v>74</v>
      </c>
      <c r="AO248" s="1" t="s">
        <v>2517</v>
      </c>
      <c r="AP248" s="1" t="s">
        <v>2518</v>
      </c>
      <c r="AQ248" s="1" t="s">
        <v>74</v>
      </c>
      <c r="AR248" s="1" t="s">
        <v>74</v>
      </c>
      <c r="AS248" s="1" t="s">
        <v>74</v>
      </c>
      <c r="AT248" s="1" t="s">
        <v>310</v>
      </c>
      <c r="AU248" s="1">
        <v>2023.0</v>
      </c>
      <c r="AV248" s="1">
        <v>115.0</v>
      </c>
      <c r="AW248" s="1" t="s">
        <v>74</v>
      </c>
      <c r="AX248" s="1" t="s">
        <v>74</v>
      </c>
      <c r="AY248" s="1" t="s">
        <v>74</v>
      </c>
      <c r="AZ248" s="1" t="s">
        <v>74</v>
      </c>
      <c r="BA248" s="1" t="s">
        <v>74</v>
      </c>
      <c r="BB248" s="1" t="s">
        <v>74</v>
      </c>
      <c r="BC248" s="1" t="s">
        <v>74</v>
      </c>
      <c r="BD248" s="1">
        <v>154821.0</v>
      </c>
      <c r="BE248" s="1" t="s">
        <v>2519</v>
      </c>
      <c r="BF248" s="2" t="str">
        <f>HYPERLINK("http://dx.doi.org/10.1016/j.phymed.2023.154821","http://dx.doi.org/10.1016/j.phymed.2023.154821")</f>
        <v>http://dx.doi.org/10.1016/j.phymed.2023.154821</v>
      </c>
      <c r="BG248" s="1" t="s">
        <v>74</v>
      </c>
      <c r="BH248" s="1" t="s">
        <v>1007</v>
      </c>
      <c r="BI248" s="1" t="s">
        <v>74</v>
      </c>
      <c r="BJ248" s="1" t="s">
        <v>74</v>
      </c>
      <c r="BK248" s="1" t="s">
        <v>74</v>
      </c>
      <c r="BL248" s="1" t="s">
        <v>74</v>
      </c>
      <c r="BM248" s="1" t="s">
        <v>74</v>
      </c>
      <c r="BN248" s="1">
        <v>3.7119761E7</v>
      </c>
      <c r="BO248" s="1" t="s">
        <v>74</v>
      </c>
      <c r="BP248" s="1" t="s">
        <v>74</v>
      </c>
      <c r="BQ248" s="1" t="s">
        <v>74</v>
      </c>
      <c r="BR248" s="1" t="s">
        <v>74</v>
      </c>
      <c r="BS248" s="1" t="s">
        <v>2520</v>
      </c>
      <c r="BT248" s="1" t="str">
        <f>HYPERLINK("https%3A%2F%2Fwww.webofscience.com%2Fwos%2Fwoscc%2Ffull-record%2FWOS:000990048500001","View Full Record in Web of Science")</f>
        <v>View Full Record in Web of Science</v>
      </c>
    </row>
    <row r="249" ht="12.75" customHeight="1">
      <c r="A249" s="1" t="s">
        <v>72</v>
      </c>
      <c r="B249" s="1" t="s">
        <v>2521</v>
      </c>
      <c r="C249" s="1" t="s">
        <v>74</v>
      </c>
      <c r="D249" s="1" t="s">
        <v>74</v>
      </c>
      <c r="E249" s="1" t="s">
        <v>74</v>
      </c>
      <c r="F249" s="1" t="s">
        <v>2522</v>
      </c>
      <c r="G249" s="1" t="s">
        <v>74</v>
      </c>
      <c r="H249" s="1" t="s">
        <v>74</v>
      </c>
      <c r="I249" s="1" t="s">
        <v>2523</v>
      </c>
      <c r="J249" s="1" t="s">
        <v>2524</v>
      </c>
      <c r="K249" s="1" t="s">
        <v>74</v>
      </c>
      <c r="L249" s="1" t="s">
        <v>74</v>
      </c>
      <c r="M249" s="1" t="s">
        <v>74</v>
      </c>
      <c r="N249" s="1" t="s">
        <v>74</v>
      </c>
      <c r="O249" s="1" t="s">
        <v>74</v>
      </c>
      <c r="P249" s="1" t="s">
        <v>74</v>
      </c>
      <c r="Q249" s="1" t="s">
        <v>74</v>
      </c>
      <c r="R249" s="1" t="s">
        <v>74</v>
      </c>
      <c r="S249" s="1" t="s">
        <v>74</v>
      </c>
      <c r="T249" s="1" t="s">
        <v>74</v>
      </c>
      <c r="U249" s="1" t="s">
        <v>74</v>
      </c>
      <c r="V249" s="1" t="s">
        <v>2525</v>
      </c>
      <c r="W249" s="1" t="s">
        <v>74</v>
      </c>
      <c r="X249" s="1" t="s">
        <v>74</v>
      </c>
      <c r="Y249" s="1" t="s">
        <v>74</v>
      </c>
      <c r="Z249" s="1" t="s">
        <v>74</v>
      </c>
      <c r="AA249" s="1" t="s">
        <v>2526</v>
      </c>
      <c r="AB249" s="1" t="s">
        <v>2527</v>
      </c>
      <c r="AC249" s="1" t="s">
        <v>74</v>
      </c>
      <c r="AD249" s="1" t="s">
        <v>74</v>
      </c>
      <c r="AE249" s="1" t="s">
        <v>74</v>
      </c>
      <c r="AF249" s="1" t="s">
        <v>74</v>
      </c>
      <c r="AG249" s="1" t="s">
        <v>74</v>
      </c>
      <c r="AH249" s="1" t="s">
        <v>74</v>
      </c>
      <c r="AI249" s="1" t="s">
        <v>74</v>
      </c>
      <c r="AJ249" s="1" t="s">
        <v>74</v>
      </c>
      <c r="AK249" s="1" t="s">
        <v>74</v>
      </c>
      <c r="AL249" s="1" t="s">
        <v>74</v>
      </c>
      <c r="AM249" s="1" t="s">
        <v>74</v>
      </c>
      <c r="AN249" s="1" t="s">
        <v>74</v>
      </c>
      <c r="AO249" s="1" t="s">
        <v>74</v>
      </c>
      <c r="AP249" s="1" t="s">
        <v>2528</v>
      </c>
      <c r="AQ249" s="1" t="s">
        <v>74</v>
      </c>
      <c r="AR249" s="1" t="s">
        <v>74</v>
      </c>
      <c r="AS249" s="1" t="s">
        <v>74</v>
      </c>
      <c r="AT249" s="1" t="s">
        <v>1049</v>
      </c>
      <c r="AU249" s="1">
        <v>2022.0</v>
      </c>
      <c r="AV249" s="1">
        <v>12.0</v>
      </c>
      <c r="AW249" s="1">
        <v>11.0</v>
      </c>
      <c r="AX249" s="1" t="s">
        <v>74</v>
      </c>
      <c r="AY249" s="1" t="s">
        <v>74</v>
      </c>
      <c r="AZ249" s="1" t="s">
        <v>74</v>
      </c>
      <c r="BA249" s="1" t="s">
        <v>74</v>
      </c>
      <c r="BB249" s="1" t="s">
        <v>74</v>
      </c>
      <c r="BC249" s="1" t="s">
        <v>74</v>
      </c>
      <c r="BD249" s="1">
        <v>1351.0</v>
      </c>
      <c r="BE249" s="1" t="s">
        <v>2529</v>
      </c>
      <c r="BF249" s="2" t="str">
        <f>HYPERLINK("http://dx.doi.org/10.3390/min12111351","http://dx.doi.org/10.3390/min12111351")</f>
        <v>http://dx.doi.org/10.3390/min12111351</v>
      </c>
      <c r="BG249" s="1" t="s">
        <v>74</v>
      </c>
      <c r="BH249" s="1" t="s">
        <v>74</v>
      </c>
      <c r="BI249" s="1" t="s">
        <v>74</v>
      </c>
      <c r="BJ249" s="1" t="s">
        <v>74</v>
      </c>
      <c r="BK249" s="1" t="s">
        <v>74</v>
      </c>
      <c r="BL249" s="1" t="s">
        <v>74</v>
      </c>
      <c r="BM249" s="1" t="s">
        <v>74</v>
      </c>
      <c r="BN249" s="1" t="s">
        <v>74</v>
      </c>
      <c r="BO249" s="1" t="s">
        <v>74</v>
      </c>
      <c r="BP249" s="1" t="s">
        <v>74</v>
      </c>
      <c r="BQ249" s="1" t="s">
        <v>74</v>
      </c>
      <c r="BR249" s="1" t="s">
        <v>74</v>
      </c>
      <c r="BS249" s="1" t="s">
        <v>2530</v>
      </c>
      <c r="BT249" s="1" t="str">
        <f>HYPERLINK("https%3A%2F%2Fwww.webofscience.com%2Fwos%2Fwoscc%2Ffull-record%2FWOS:000881409700001","View Full Record in Web of Science")</f>
        <v>View Full Record in Web of Science</v>
      </c>
    </row>
    <row r="250" ht="12.75" customHeight="1">
      <c r="A250" s="1" t="s">
        <v>72</v>
      </c>
      <c r="B250" s="1" t="s">
        <v>2531</v>
      </c>
      <c r="C250" s="1" t="s">
        <v>74</v>
      </c>
      <c r="D250" s="1" t="s">
        <v>74</v>
      </c>
      <c r="E250" s="1" t="s">
        <v>74</v>
      </c>
      <c r="F250" s="1" t="s">
        <v>2532</v>
      </c>
      <c r="G250" s="1" t="s">
        <v>74</v>
      </c>
      <c r="H250" s="1" t="s">
        <v>74</v>
      </c>
      <c r="I250" s="1" t="s">
        <v>2533</v>
      </c>
      <c r="J250" s="1" t="s">
        <v>2534</v>
      </c>
      <c r="K250" s="1" t="s">
        <v>74</v>
      </c>
      <c r="L250" s="1" t="s">
        <v>74</v>
      </c>
      <c r="M250" s="1" t="s">
        <v>74</v>
      </c>
      <c r="N250" s="1" t="s">
        <v>74</v>
      </c>
      <c r="O250" s="1" t="s">
        <v>74</v>
      </c>
      <c r="P250" s="1" t="s">
        <v>74</v>
      </c>
      <c r="Q250" s="1" t="s">
        <v>74</v>
      </c>
      <c r="R250" s="1" t="s">
        <v>74</v>
      </c>
      <c r="S250" s="1" t="s">
        <v>74</v>
      </c>
      <c r="T250" s="1" t="s">
        <v>74</v>
      </c>
      <c r="U250" s="1" t="s">
        <v>74</v>
      </c>
      <c r="V250" s="1" t="s">
        <v>2535</v>
      </c>
      <c r="W250" s="1" t="s">
        <v>74</v>
      </c>
      <c r="X250" s="1" t="s">
        <v>74</v>
      </c>
      <c r="Y250" s="1" t="s">
        <v>74</v>
      </c>
      <c r="Z250" s="1" t="s">
        <v>74</v>
      </c>
      <c r="AA250" s="1" t="s">
        <v>2536</v>
      </c>
      <c r="AB250" s="1" t="s">
        <v>74</v>
      </c>
      <c r="AC250" s="1" t="s">
        <v>74</v>
      </c>
      <c r="AD250" s="1" t="s">
        <v>74</v>
      </c>
      <c r="AE250" s="1" t="s">
        <v>74</v>
      </c>
      <c r="AF250" s="1" t="s">
        <v>74</v>
      </c>
      <c r="AG250" s="1" t="s">
        <v>74</v>
      </c>
      <c r="AH250" s="1" t="s">
        <v>74</v>
      </c>
      <c r="AI250" s="1" t="s">
        <v>74</v>
      </c>
      <c r="AJ250" s="1" t="s">
        <v>74</v>
      </c>
      <c r="AK250" s="1" t="s">
        <v>74</v>
      </c>
      <c r="AL250" s="1" t="s">
        <v>74</v>
      </c>
      <c r="AM250" s="1" t="s">
        <v>74</v>
      </c>
      <c r="AN250" s="1" t="s">
        <v>74</v>
      </c>
      <c r="AO250" s="1" t="s">
        <v>2537</v>
      </c>
      <c r="AP250" s="1" t="s">
        <v>2538</v>
      </c>
      <c r="AQ250" s="1" t="s">
        <v>74</v>
      </c>
      <c r="AR250" s="1" t="s">
        <v>74</v>
      </c>
      <c r="AS250" s="1" t="s">
        <v>74</v>
      </c>
      <c r="AT250" s="1" t="s">
        <v>1820</v>
      </c>
      <c r="AU250" s="1">
        <v>2022.0</v>
      </c>
      <c r="AV250" s="1">
        <v>45.0</v>
      </c>
      <c r="AW250" s="1">
        <v>2.0</v>
      </c>
      <c r="AX250" s="1" t="s">
        <v>74</v>
      </c>
      <c r="AY250" s="1" t="s">
        <v>74</v>
      </c>
      <c r="AZ250" s="1" t="s">
        <v>74</v>
      </c>
      <c r="BA250" s="1" t="s">
        <v>74</v>
      </c>
      <c r="BB250" s="1">
        <v>169.0</v>
      </c>
      <c r="BC250" s="1">
        <v>189.0</v>
      </c>
      <c r="BD250" s="1" t="s">
        <v>74</v>
      </c>
      <c r="BE250" s="1" t="s">
        <v>2539</v>
      </c>
      <c r="BF250" s="2" t="str">
        <f>HYPERLINK("http://dx.doi.org/10.1590/0101-3173.2022.v45n2.p169","http://dx.doi.org/10.1590/0101-3173.2022.v45n2.p169")</f>
        <v>http://dx.doi.org/10.1590/0101-3173.2022.v45n2.p169</v>
      </c>
      <c r="BG250" s="1" t="s">
        <v>74</v>
      </c>
      <c r="BH250" s="1" t="s">
        <v>74</v>
      </c>
      <c r="BI250" s="1" t="s">
        <v>74</v>
      </c>
      <c r="BJ250" s="1" t="s">
        <v>74</v>
      </c>
      <c r="BK250" s="1" t="s">
        <v>74</v>
      </c>
      <c r="BL250" s="1" t="s">
        <v>74</v>
      </c>
      <c r="BM250" s="1" t="s">
        <v>74</v>
      </c>
      <c r="BN250" s="1" t="s">
        <v>74</v>
      </c>
      <c r="BO250" s="1" t="s">
        <v>74</v>
      </c>
      <c r="BP250" s="1" t="s">
        <v>74</v>
      </c>
      <c r="BQ250" s="1" t="s">
        <v>74</v>
      </c>
      <c r="BR250" s="1" t="s">
        <v>74</v>
      </c>
      <c r="BS250" s="1" t="s">
        <v>2540</v>
      </c>
      <c r="BT250" s="1" t="str">
        <f>HYPERLINK("https%3A%2F%2Fwww.webofscience.com%2Fwos%2Fwoscc%2Ffull-record%2FWOS:000819953100013","View Full Record in Web of Science")</f>
        <v>View Full Record in Web of Science</v>
      </c>
    </row>
    <row r="251" ht="12.75" customHeight="1">
      <c r="A251" s="1" t="s">
        <v>251</v>
      </c>
      <c r="B251" s="1" t="s">
        <v>2541</v>
      </c>
      <c r="C251" s="1" t="s">
        <v>74</v>
      </c>
      <c r="D251" s="1" t="s">
        <v>74</v>
      </c>
      <c r="E251" s="1" t="s">
        <v>253</v>
      </c>
      <c r="F251" s="1" t="s">
        <v>2542</v>
      </c>
      <c r="G251" s="1" t="s">
        <v>74</v>
      </c>
      <c r="H251" s="1" t="s">
        <v>74</v>
      </c>
      <c r="I251" s="1" t="s">
        <v>2543</v>
      </c>
      <c r="J251" s="1" t="s">
        <v>2544</v>
      </c>
      <c r="K251" s="1" t="s">
        <v>2545</v>
      </c>
      <c r="L251" s="1" t="s">
        <v>74</v>
      </c>
      <c r="M251" s="1" t="s">
        <v>74</v>
      </c>
      <c r="N251" s="1" t="s">
        <v>74</v>
      </c>
      <c r="O251" s="1" t="s">
        <v>2546</v>
      </c>
      <c r="P251" s="1" t="s">
        <v>2547</v>
      </c>
      <c r="Q251" s="1" t="s">
        <v>2548</v>
      </c>
      <c r="R251" s="1" t="s">
        <v>2549</v>
      </c>
      <c r="S251" s="1" t="s">
        <v>74</v>
      </c>
      <c r="T251" s="1" t="s">
        <v>74</v>
      </c>
      <c r="U251" s="1" t="s">
        <v>74</v>
      </c>
      <c r="V251" s="1" t="s">
        <v>2550</v>
      </c>
      <c r="W251" s="1" t="s">
        <v>74</v>
      </c>
      <c r="X251" s="1" t="s">
        <v>74</v>
      </c>
      <c r="Y251" s="1" t="s">
        <v>74</v>
      </c>
      <c r="Z251" s="1" t="s">
        <v>74</v>
      </c>
      <c r="AA251" s="1" t="s">
        <v>2551</v>
      </c>
      <c r="AB251" s="1" t="s">
        <v>2552</v>
      </c>
      <c r="AC251" s="1" t="s">
        <v>74</v>
      </c>
      <c r="AD251" s="1" t="s">
        <v>74</v>
      </c>
      <c r="AE251" s="1" t="s">
        <v>74</v>
      </c>
      <c r="AF251" s="1" t="s">
        <v>74</v>
      </c>
      <c r="AG251" s="1" t="s">
        <v>74</v>
      </c>
      <c r="AH251" s="1" t="s">
        <v>74</v>
      </c>
      <c r="AI251" s="1" t="s">
        <v>74</v>
      </c>
      <c r="AJ251" s="1" t="s">
        <v>74</v>
      </c>
      <c r="AK251" s="1" t="s">
        <v>74</v>
      </c>
      <c r="AL251" s="1" t="s">
        <v>74</v>
      </c>
      <c r="AM251" s="1" t="s">
        <v>74</v>
      </c>
      <c r="AN251" s="1" t="s">
        <v>74</v>
      </c>
      <c r="AO251" s="1" t="s">
        <v>2553</v>
      </c>
      <c r="AP251" s="1" t="s">
        <v>74</v>
      </c>
      <c r="AQ251" s="1" t="s">
        <v>2554</v>
      </c>
      <c r="AR251" s="1" t="s">
        <v>74</v>
      </c>
      <c r="AS251" s="1" t="s">
        <v>74</v>
      </c>
      <c r="AT251" s="1" t="s">
        <v>74</v>
      </c>
      <c r="AU251" s="1">
        <v>2022.0</v>
      </c>
      <c r="AV251" s="1" t="s">
        <v>74</v>
      </c>
      <c r="AW251" s="1" t="s">
        <v>74</v>
      </c>
      <c r="AX251" s="1" t="s">
        <v>74</v>
      </c>
      <c r="AY251" s="1" t="s">
        <v>74</v>
      </c>
      <c r="AZ251" s="1" t="s">
        <v>74</v>
      </c>
      <c r="BA251" s="1" t="s">
        <v>74</v>
      </c>
      <c r="BB251" s="1" t="s">
        <v>74</v>
      </c>
      <c r="BC251" s="1" t="s">
        <v>74</v>
      </c>
      <c r="BD251" s="1" t="s">
        <v>74</v>
      </c>
      <c r="BE251" s="1" t="s">
        <v>2555</v>
      </c>
      <c r="BF251" s="2" t="str">
        <f>HYPERLINK("http://dx.doi.org/10.1109/ICE/ITMC-IAMOT55089.2022.10033214","http://dx.doi.org/10.1109/ICE/ITMC-IAMOT55089.2022.10033214")</f>
        <v>http://dx.doi.org/10.1109/ICE/ITMC-IAMOT55089.2022.10033214</v>
      </c>
      <c r="BG251" s="1" t="s">
        <v>74</v>
      </c>
      <c r="BH251" s="1" t="s">
        <v>74</v>
      </c>
      <c r="BI251" s="1" t="s">
        <v>74</v>
      </c>
      <c r="BJ251" s="1" t="s">
        <v>74</v>
      </c>
      <c r="BK251" s="1" t="s">
        <v>74</v>
      </c>
      <c r="BL251" s="1" t="s">
        <v>74</v>
      </c>
      <c r="BM251" s="1" t="s">
        <v>74</v>
      </c>
      <c r="BN251" s="1" t="s">
        <v>74</v>
      </c>
      <c r="BO251" s="1" t="s">
        <v>74</v>
      </c>
      <c r="BP251" s="1" t="s">
        <v>74</v>
      </c>
      <c r="BQ251" s="1" t="s">
        <v>74</v>
      </c>
      <c r="BR251" s="1" t="s">
        <v>74</v>
      </c>
      <c r="BS251" s="1" t="s">
        <v>2556</v>
      </c>
      <c r="BT251" s="1" t="str">
        <f>HYPERLINK("https%3A%2F%2Fwww.webofscience.com%2Fwos%2Fwoscc%2Ffull-record%2FWOS:000972671500081","View Full Record in Web of Science")</f>
        <v>View Full Record in Web of Science</v>
      </c>
    </row>
    <row r="252" ht="12.75" customHeight="1">
      <c r="A252" s="1" t="s">
        <v>72</v>
      </c>
      <c r="B252" s="1" t="s">
        <v>2557</v>
      </c>
      <c r="C252" s="1" t="s">
        <v>74</v>
      </c>
      <c r="D252" s="1" t="s">
        <v>74</v>
      </c>
      <c r="E252" s="1" t="s">
        <v>74</v>
      </c>
      <c r="F252" s="1" t="s">
        <v>2558</v>
      </c>
      <c r="G252" s="1" t="s">
        <v>74</v>
      </c>
      <c r="H252" s="1" t="s">
        <v>74</v>
      </c>
      <c r="I252" s="1" t="s">
        <v>2559</v>
      </c>
      <c r="J252" s="1" t="s">
        <v>2560</v>
      </c>
      <c r="K252" s="1" t="s">
        <v>74</v>
      </c>
      <c r="L252" s="1" t="s">
        <v>74</v>
      </c>
      <c r="M252" s="1" t="s">
        <v>74</v>
      </c>
      <c r="N252" s="1" t="s">
        <v>74</v>
      </c>
      <c r="O252" s="1" t="s">
        <v>74</v>
      </c>
      <c r="P252" s="1" t="s">
        <v>74</v>
      </c>
      <c r="Q252" s="1" t="s">
        <v>74</v>
      </c>
      <c r="R252" s="1" t="s">
        <v>74</v>
      </c>
      <c r="S252" s="1" t="s">
        <v>74</v>
      </c>
      <c r="T252" s="1" t="s">
        <v>74</v>
      </c>
      <c r="U252" s="1" t="s">
        <v>74</v>
      </c>
      <c r="V252" s="1" t="s">
        <v>2561</v>
      </c>
      <c r="W252" s="1" t="s">
        <v>74</v>
      </c>
      <c r="X252" s="1" t="s">
        <v>74</v>
      </c>
      <c r="Y252" s="1" t="s">
        <v>74</v>
      </c>
      <c r="Z252" s="1" t="s">
        <v>74</v>
      </c>
      <c r="AA252" s="1" t="s">
        <v>74</v>
      </c>
      <c r="AB252" s="1" t="s">
        <v>74</v>
      </c>
      <c r="AC252" s="1" t="s">
        <v>74</v>
      </c>
      <c r="AD252" s="1" t="s">
        <v>74</v>
      </c>
      <c r="AE252" s="1" t="s">
        <v>74</v>
      </c>
      <c r="AF252" s="1" t="s">
        <v>74</v>
      </c>
      <c r="AG252" s="1" t="s">
        <v>74</v>
      </c>
      <c r="AH252" s="1" t="s">
        <v>74</v>
      </c>
      <c r="AI252" s="1" t="s">
        <v>74</v>
      </c>
      <c r="AJ252" s="1" t="s">
        <v>74</v>
      </c>
      <c r="AK252" s="1" t="s">
        <v>74</v>
      </c>
      <c r="AL252" s="1" t="s">
        <v>74</v>
      </c>
      <c r="AM252" s="1" t="s">
        <v>74</v>
      </c>
      <c r="AN252" s="1" t="s">
        <v>74</v>
      </c>
      <c r="AO252" s="1" t="s">
        <v>2562</v>
      </c>
      <c r="AP252" s="1" t="s">
        <v>2563</v>
      </c>
      <c r="AQ252" s="1" t="s">
        <v>74</v>
      </c>
      <c r="AR252" s="1" t="s">
        <v>74</v>
      </c>
      <c r="AS252" s="1" t="s">
        <v>74</v>
      </c>
      <c r="AT252" s="1" t="s">
        <v>2108</v>
      </c>
      <c r="AU252" s="1">
        <v>2021.0</v>
      </c>
      <c r="AV252" s="1">
        <v>386.0</v>
      </c>
      <c r="AW252" s="1" t="s">
        <v>74</v>
      </c>
      <c r="AX252" s="1" t="s">
        <v>74</v>
      </c>
      <c r="AY252" s="1" t="s">
        <v>74</v>
      </c>
      <c r="AZ252" s="1" t="s">
        <v>74</v>
      </c>
      <c r="BA252" s="1" t="s">
        <v>74</v>
      </c>
      <c r="BB252" s="1" t="s">
        <v>74</v>
      </c>
      <c r="BC252" s="1" t="s">
        <v>74</v>
      </c>
      <c r="BD252" s="1">
        <v>114099.0</v>
      </c>
      <c r="BE252" s="1" t="s">
        <v>2564</v>
      </c>
      <c r="BF252" s="2" t="str">
        <f>HYPERLINK("http://dx.doi.org/10.1016/j.cma.2021.114099","http://dx.doi.org/10.1016/j.cma.2021.114099")</f>
        <v>http://dx.doi.org/10.1016/j.cma.2021.114099</v>
      </c>
      <c r="BG252" s="1" t="s">
        <v>74</v>
      </c>
      <c r="BH252" s="1" t="s">
        <v>205</v>
      </c>
      <c r="BI252" s="1" t="s">
        <v>74</v>
      </c>
      <c r="BJ252" s="1" t="s">
        <v>74</v>
      </c>
      <c r="BK252" s="1" t="s">
        <v>74</v>
      </c>
      <c r="BL252" s="1" t="s">
        <v>74</v>
      </c>
      <c r="BM252" s="1" t="s">
        <v>74</v>
      </c>
      <c r="BN252" s="1" t="s">
        <v>74</v>
      </c>
      <c r="BO252" s="1" t="s">
        <v>74</v>
      </c>
      <c r="BP252" s="1" t="s">
        <v>74</v>
      </c>
      <c r="BQ252" s="1" t="s">
        <v>74</v>
      </c>
      <c r="BR252" s="1" t="s">
        <v>74</v>
      </c>
      <c r="BS252" s="1" t="s">
        <v>2565</v>
      </c>
      <c r="BT252" s="1" t="str">
        <f>HYPERLINK("https%3A%2F%2Fwww.webofscience.com%2Fwos%2Fwoscc%2Ffull-record%2FWOS:000702634800005","View Full Record in Web of Science")</f>
        <v>View Full Record in Web of Science</v>
      </c>
    </row>
    <row r="253" ht="12.75" customHeight="1">
      <c r="A253" s="1" t="s">
        <v>72</v>
      </c>
      <c r="B253" s="1" t="s">
        <v>2566</v>
      </c>
      <c r="C253" s="1" t="s">
        <v>74</v>
      </c>
      <c r="D253" s="1" t="s">
        <v>74</v>
      </c>
      <c r="E253" s="1" t="s">
        <v>74</v>
      </c>
      <c r="F253" s="1" t="s">
        <v>2567</v>
      </c>
      <c r="G253" s="1" t="s">
        <v>74</v>
      </c>
      <c r="H253" s="1" t="s">
        <v>74</v>
      </c>
      <c r="I253" s="1" t="s">
        <v>2568</v>
      </c>
      <c r="J253" s="1" t="s">
        <v>2569</v>
      </c>
      <c r="K253" s="1" t="s">
        <v>74</v>
      </c>
      <c r="L253" s="1" t="s">
        <v>74</v>
      </c>
      <c r="M253" s="1" t="s">
        <v>74</v>
      </c>
      <c r="N253" s="1" t="s">
        <v>74</v>
      </c>
      <c r="O253" s="1" t="s">
        <v>74</v>
      </c>
      <c r="P253" s="1" t="s">
        <v>74</v>
      </c>
      <c r="Q253" s="1" t="s">
        <v>74</v>
      </c>
      <c r="R253" s="1" t="s">
        <v>74</v>
      </c>
      <c r="S253" s="1" t="s">
        <v>74</v>
      </c>
      <c r="T253" s="1" t="s">
        <v>74</v>
      </c>
      <c r="U253" s="1" t="s">
        <v>74</v>
      </c>
      <c r="V253" s="1" t="s">
        <v>2570</v>
      </c>
      <c r="W253" s="1" t="s">
        <v>74</v>
      </c>
      <c r="X253" s="1" t="s">
        <v>74</v>
      </c>
      <c r="Y253" s="1" t="s">
        <v>74</v>
      </c>
      <c r="Z253" s="1" t="s">
        <v>74</v>
      </c>
      <c r="AA253" s="1" t="s">
        <v>74</v>
      </c>
      <c r="AB253" s="1" t="s">
        <v>74</v>
      </c>
      <c r="AC253" s="1" t="s">
        <v>74</v>
      </c>
      <c r="AD253" s="1" t="s">
        <v>74</v>
      </c>
      <c r="AE253" s="1" t="s">
        <v>74</v>
      </c>
      <c r="AF253" s="1" t="s">
        <v>74</v>
      </c>
      <c r="AG253" s="1" t="s">
        <v>74</v>
      </c>
      <c r="AH253" s="1" t="s">
        <v>74</v>
      </c>
      <c r="AI253" s="1" t="s">
        <v>74</v>
      </c>
      <c r="AJ253" s="1" t="s">
        <v>74</v>
      </c>
      <c r="AK253" s="1" t="s">
        <v>74</v>
      </c>
      <c r="AL253" s="1" t="s">
        <v>74</v>
      </c>
      <c r="AM253" s="1" t="s">
        <v>74</v>
      </c>
      <c r="AN253" s="1" t="s">
        <v>74</v>
      </c>
      <c r="AO253" s="1" t="s">
        <v>2571</v>
      </c>
      <c r="AP253" s="1" t="s">
        <v>2572</v>
      </c>
      <c r="AQ253" s="1" t="s">
        <v>74</v>
      </c>
      <c r="AR253" s="1" t="s">
        <v>74</v>
      </c>
      <c r="AS253" s="1" t="s">
        <v>74</v>
      </c>
      <c r="AT253" s="1" t="s">
        <v>135</v>
      </c>
      <c r="AU253" s="1">
        <v>2021.0</v>
      </c>
      <c r="AV253" s="1">
        <v>23.0</v>
      </c>
      <c r="AW253" s="1">
        <v>4.0</v>
      </c>
      <c r="AX253" s="1" t="s">
        <v>74</v>
      </c>
      <c r="AY253" s="1" t="s">
        <v>74</v>
      </c>
      <c r="AZ253" s="1" t="s">
        <v>74</v>
      </c>
      <c r="BA253" s="1" t="s">
        <v>74</v>
      </c>
      <c r="BB253" s="1">
        <v>602.0</v>
      </c>
      <c r="BC253" s="1">
        <v>614.0</v>
      </c>
      <c r="BD253" s="1" t="s">
        <v>74</v>
      </c>
      <c r="BE253" s="1" t="s">
        <v>2573</v>
      </c>
      <c r="BF253" s="2" t="str">
        <f>HYPERLINK("http://dx.doi.org/10.1007/s10126-021-10049-0","http://dx.doi.org/10.1007/s10126-021-10049-0")</f>
        <v>http://dx.doi.org/10.1007/s10126-021-10049-0</v>
      </c>
      <c r="BG253" s="1" t="s">
        <v>74</v>
      </c>
      <c r="BH253" s="1" t="s">
        <v>205</v>
      </c>
      <c r="BI253" s="1" t="s">
        <v>74</v>
      </c>
      <c r="BJ253" s="1" t="s">
        <v>74</v>
      </c>
      <c r="BK253" s="1" t="s">
        <v>74</v>
      </c>
      <c r="BL253" s="1" t="s">
        <v>74</v>
      </c>
      <c r="BM253" s="1" t="s">
        <v>74</v>
      </c>
      <c r="BN253" s="1">
        <v>3.4390423E7</v>
      </c>
      <c r="BO253" s="1" t="s">
        <v>74</v>
      </c>
      <c r="BP253" s="1" t="s">
        <v>74</v>
      </c>
      <c r="BQ253" s="1" t="s">
        <v>74</v>
      </c>
      <c r="BR253" s="1" t="s">
        <v>74</v>
      </c>
      <c r="BS253" s="1" t="s">
        <v>2574</v>
      </c>
      <c r="BT253" s="1" t="str">
        <f>HYPERLINK("https%3A%2F%2Fwww.webofscience.com%2Fwos%2Fwoscc%2Ffull-record%2FWOS:000684911700001","View Full Record in Web of Science")</f>
        <v>View Full Record in Web of Science</v>
      </c>
    </row>
    <row r="254" ht="12.75" customHeight="1">
      <c r="A254" s="1" t="s">
        <v>72</v>
      </c>
      <c r="B254" s="1" t="s">
        <v>2575</v>
      </c>
      <c r="C254" s="1" t="s">
        <v>74</v>
      </c>
      <c r="D254" s="1" t="s">
        <v>74</v>
      </c>
      <c r="E254" s="1" t="s">
        <v>74</v>
      </c>
      <c r="F254" s="1" t="s">
        <v>2576</v>
      </c>
      <c r="G254" s="1" t="s">
        <v>74</v>
      </c>
      <c r="H254" s="1" t="s">
        <v>74</v>
      </c>
      <c r="I254" s="1" t="s">
        <v>2577</v>
      </c>
      <c r="J254" s="1" t="s">
        <v>2578</v>
      </c>
      <c r="K254" s="1" t="s">
        <v>74</v>
      </c>
      <c r="L254" s="1" t="s">
        <v>74</v>
      </c>
      <c r="M254" s="1" t="s">
        <v>74</v>
      </c>
      <c r="N254" s="1" t="s">
        <v>74</v>
      </c>
      <c r="O254" s="1" t="s">
        <v>74</v>
      </c>
      <c r="P254" s="1" t="s">
        <v>74</v>
      </c>
      <c r="Q254" s="1" t="s">
        <v>74</v>
      </c>
      <c r="R254" s="1" t="s">
        <v>74</v>
      </c>
      <c r="S254" s="1" t="s">
        <v>74</v>
      </c>
      <c r="T254" s="1" t="s">
        <v>74</v>
      </c>
      <c r="U254" s="1" t="s">
        <v>74</v>
      </c>
      <c r="V254" s="1" t="s">
        <v>2579</v>
      </c>
      <c r="W254" s="1" t="s">
        <v>74</v>
      </c>
      <c r="X254" s="1" t="s">
        <v>74</v>
      </c>
      <c r="Y254" s="1" t="s">
        <v>74</v>
      </c>
      <c r="Z254" s="1" t="s">
        <v>74</v>
      </c>
      <c r="AA254" s="1" t="s">
        <v>74</v>
      </c>
      <c r="AB254" s="1" t="s">
        <v>2580</v>
      </c>
      <c r="AC254" s="1" t="s">
        <v>74</v>
      </c>
      <c r="AD254" s="1" t="s">
        <v>74</v>
      </c>
      <c r="AE254" s="1" t="s">
        <v>74</v>
      </c>
      <c r="AF254" s="1" t="s">
        <v>74</v>
      </c>
      <c r="AG254" s="1" t="s">
        <v>74</v>
      </c>
      <c r="AH254" s="1" t="s">
        <v>74</v>
      </c>
      <c r="AI254" s="1" t="s">
        <v>74</v>
      </c>
      <c r="AJ254" s="1" t="s">
        <v>74</v>
      </c>
      <c r="AK254" s="1" t="s">
        <v>74</v>
      </c>
      <c r="AL254" s="1" t="s">
        <v>74</v>
      </c>
      <c r="AM254" s="1" t="s">
        <v>74</v>
      </c>
      <c r="AN254" s="1" t="s">
        <v>74</v>
      </c>
      <c r="AO254" s="1" t="s">
        <v>2581</v>
      </c>
      <c r="AP254" s="1" t="s">
        <v>2582</v>
      </c>
      <c r="AQ254" s="1" t="s">
        <v>74</v>
      </c>
      <c r="AR254" s="1" t="s">
        <v>74</v>
      </c>
      <c r="AS254" s="1" t="s">
        <v>74</v>
      </c>
      <c r="AT254" s="1" t="s">
        <v>180</v>
      </c>
      <c r="AU254" s="1">
        <v>2021.0</v>
      </c>
      <c r="AV254" s="1">
        <v>149.0</v>
      </c>
      <c r="AW254" s="1">
        <v>5.0</v>
      </c>
      <c r="AX254" s="1" t="s">
        <v>74</v>
      </c>
      <c r="AY254" s="1" t="s">
        <v>74</v>
      </c>
      <c r="AZ254" s="1" t="s">
        <v>74</v>
      </c>
      <c r="BA254" s="1" t="s">
        <v>74</v>
      </c>
      <c r="BB254" s="1">
        <v>682.0</v>
      </c>
      <c r="BC254" s="1">
        <v>688.0</v>
      </c>
      <c r="BD254" s="1" t="s">
        <v>74</v>
      </c>
      <c r="BE254" s="1" t="s">
        <v>74</v>
      </c>
      <c r="BF254" s="1" t="s">
        <v>74</v>
      </c>
      <c r="BG254" s="1" t="s">
        <v>74</v>
      </c>
      <c r="BH254" s="1" t="s">
        <v>74</v>
      </c>
      <c r="BI254" s="1" t="s">
        <v>74</v>
      </c>
      <c r="BJ254" s="1" t="s">
        <v>74</v>
      </c>
      <c r="BK254" s="1" t="s">
        <v>74</v>
      </c>
      <c r="BL254" s="1" t="s">
        <v>74</v>
      </c>
      <c r="BM254" s="1" t="s">
        <v>74</v>
      </c>
      <c r="BN254" s="1">
        <v>3.475132E7</v>
      </c>
      <c r="BO254" s="1" t="s">
        <v>74</v>
      </c>
      <c r="BP254" s="1" t="s">
        <v>74</v>
      </c>
      <c r="BQ254" s="1" t="s">
        <v>74</v>
      </c>
      <c r="BR254" s="1" t="s">
        <v>74</v>
      </c>
      <c r="BS254" s="1" t="s">
        <v>2583</v>
      </c>
      <c r="BT254" s="1" t="str">
        <f>HYPERLINK("https%3A%2F%2Fwww.webofscience.com%2Fwos%2Fwoscc%2Ffull-record%2FWOS:000727961100003","View Full Record in Web of Science")</f>
        <v>View Full Record in Web of Science</v>
      </c>
    </row>
    <row r="255" ht="12.75" customHeight="1">
      <c r="A255" s="1" t="s">
        <v>72</v>
      </c>
      <c r="B255" s="1" t="s">
        <v>2584</v>
      </c>
      <c r="C255" s="1" t="s">
        <v>74</v>
      </c>
      <c r="D255" s="1" t="s">
        <v>74</v>
      </c>
      <c r="E255" s="1" t="s">
        <v>74</v>
      </c>
      <c r="F255" s="1" t="s">
        <v>2585</v>
      </c>
      <c r="G255" s="1" t="s">
        <v>74</v>
      </c>
      <c r="H255" s="1" t="s">
        <v>74</v>
      </c>
      <c r="I255" s="1" t="s">
        <v>2586</v>
      </c>
      <c r="J255" s="1" t="s">
        <v>2350</v>
      </c>
      <c r="K255" s="1" t="s">
        <v>74</v>
      </c>
      <c r="L255" s="1" t="s">
        <v>74</v>
      </c>
      <c r="M255" s="1" t="s">
        <v>74</v>
      </c>
      <c r="N255" s="1" t="s">
        <v>74</v>
      </c>
      <c r="O255" s="1" t="s">
        <v>74</v>
      </c>
      <c r="P255" s="1" t="s">
        <v>74</v>
      </c>
      <c r="Q255" s="1" t="s">
        <v>74</v>
      </c>
      <c r="R255" s="1" t="s">
        <v>74</v>
      </c>
      <c r="S255" s="1" t="s">
        <v>74</v>
      </c>
      <c r="T255" s="1" t="s">
        <v>74</v>
      </c>
      <c r="U255" s="1" t="s">
        <v>74</v>
      </c>
      <c r="V255" s="1" t="s">
        <v>2587</v>
      </c>
      <c r="W255" s="1" t="s">
        <v>74</v>
      </c>
      <c r="X255" s="1" t="s">
        <v>74</v>
      </c>
      <c r="Y255" s="1" t="s">
        <v>74</v>
      </c>
      <c r="Z255" s="1" t="s">
        <v>74</v>
      </c>
      <c r="AA255" s="1" t="s">
        <v>2588</v>
      </c>
      <c r="AB255" s="1" t="s">
        <v>2589</v>
      </c>
      <c r="AC255" s="1" t="s">
        <v>74</v>
      </c>
      <c r="AD255" s="1" t="s">
        <v>74</v>
      </c>
      <c r="AE255" s="1" t="s">
        <v>74</v>
      </c>
      <c r="AF255" s="1" t="s">
        <v>74</v>
      </c>
      <c r="AG255" s="1" t="s">
        <v>74</v>
      </c>
      <c r="AH255" s="1" t="s">
        <v>74</v>
      </c>
      <c r="AI255" s="1" t="s">
        <v>74</v>
      </c>
      <c r="AJ255" s="1" t="s">
        <v>74</v>
      </c>
      <c r="AK255" s="1" t="s">
        <v>74</v>
      </c>
      <c r="AL255" s="1" t="s">
        <v>74</v>
      </c>
      <c r="AM255" s="1" t="s">
        <v>74</v>
      </c>
      <c r="AN255" s="1" t="s">
        <v>74</v>
      </c>
      <c r="AO255" s="1" t="s">
        <v>2354</v>
      </c>
      <c r="AP255" s="1" t="s">
        <v>2355</v>
      </c>
      <c r="AQ255" s="1" t="s">
        <v>74</v>
      </c>
      <c r="AR255" s="1" t="s">
        <v>74</v>
      </c>
      <c r="AS255" s="1" t="s">
        <v>74</v>
      </c>
      <c r="AT255" s="1" t="s">
        <v>2590</v>
      </c>
      <c r="AU255" s="1">
        <v>2021.0</v>
      </c>
      <c r="AV255" s="1">
        <v>125.0</v>
      </c>
      <c r="AW255" s="1">
        <v>11.0</v>
      </c>
      <c r="AX255" s="1" t="s">
        <v>74</v>
      </c>
      <c r="AY255" s="1" t="s">
        <v>74</v>
      </c>
      <c r="AZ255" s="1" t="s">
        <v>74</v>
      </c>
      <c r="BA255" s="1" t="s">
        <v>74</v>
      </c>
      <c r="BB255" s="1">
        <v>2267.0</v>
      </c>
      <c r="BC255" s="1">
        <v>2275.0</v>
      </c>
      <c r="BD255" s="1" t="s">
        <v>74</v>
      </c>
      <c r="BE255" s="1" t="s">
        <v>2591</v>
      </c>
      <c r="BF255" s="2" t="str">
        <f>HYPERLINK("http://dx.doi.org/10.1021/acs.jpca.0c11188","http://dx.doi.org/10.1021/acs.jpca.0c11188")</f>
        <v>http://dx.doi.org/10.1021/acs.jpca.0c11188</v>
      </c>
      <c r="BG255" s="1" t="s">
        <v>74</v>
      </c>
      <c r="BH255" s="1" t="s">
        <v>2592</v>
      </c>
      <c r="BI255" s="1" t="s">
        <v>74</v>
      </c>
      <c r="BJ255" s="1" t="s">
        <v>74</v>
      </c>
      <c r="BK255" s="1" t="s">
        <v>74</v>
      </c>
      <c r="BL255" s="1" t="s">
        <v>74</v>
      </c>
      <c r="BM255" s="1" t="s">
        <v>74</v>
      </c>
      <c r="BN255" s="1">
        <v>3.3724841E7</v>
      </c>
      <c r="BO255" s="1" t="s">
        <v>74</v>
      </c>
      <c r="BP255" s="1" t="s">
        <v>74</v>
      </c>
      <c r="BQ255" s="1" t="s">
        <v>74</v>
      </c>
      <c r="BR255" s="1" t="s">
        <v>74</v>
      </c>
      <c r="BS255" s="1" t="s">
        <v>2593</v>
      </c>
      <c r="BT255" s="1" t="str">
        <f>HYPERLINK("https%3A%2F%2Fwww.webofscience.com%2Fwos%2Fwoscc%2Ffull-record%2FWOS:000635440800006","View Full Record in Web of Science")</f>
        <v>View Full Record in Web of Science</v>
      </c>
    </row>
    <row r="256" ht="12.75" customHeight="1">
      <c r="A256" s="1" t="s">
        <v>251</v>
      </c>
      <c r="B256" s="1" t="s">
        <v>2594</v>
      </c>
      <c r="C256" s="1" t="s">
        <v>74</v>
      </c>
      <c r="D256" s="1" t="s">
        <v>74</v>
      </c>
      <c r="E256" s="1" t="s">
        <v>253</v>
      </c>
      <c r="F256" s="1" t="s">
        <v>2595</v>
      </c>
      <c r="G256" s="1" t="s">
        <v>74</v>
      </c>
      <c r="H256" s="1" t="s">
        <v>74</v>
      </c>
      <c r="I256" s="1" t="s">
        <v>2596</v>
      </c>
      <c r="J256" s="1" t="s">
        <v>270</v>
      </c>
      <c r="K256" s="1" t="s">
        <v>74</v>
      </c>
      <c r="L256" s="1" t="s">
        <v>74</v>
      </c>
      <c r="M256" s="1" t="s">
        <v>74</v>
      </c>
      <c r="N256" s="1" t="s">
        <v>74</v>
      </c>
      <c r="O256" s="1" t="s">
        <v>271</v>
      </c>
      <c r="P256" s="1" t="s">
        <v>272</v>
      </c>
      <c r="Q256" s="1" t="s">
        <v>259</v>
      </c>
      <c r="R256" s="1" t="s">
        <v>273</v>
      </c>
      <c r="S256" s="1" t="s">
        <v>74</v>
      </c>
      <c r="T256" s="1" t="s">
        <v>74</v>
      </c>
      <c r="U256" s="1" t="s">
        <v>74</v>
      </c>
      <c r="V256" s="1" t="s">
        <v>2597</v>
      </c>
      <c r="W256" s="1" t="s">
        <v>74</v>
      </c>
      <c r="X256" s="1" t="s">
        <v>74</v>
      </c>
      <c r="Y256" s="1" t="s">
        <v>74</v>
      </c>
      <c r="Z256" s="1" t="s">
        <v>74</v>
      </c>
      <c r="AA256" s="1" t="s">
        <v>548</v>
      </c>
      <c r="AB256" s="1" t="s">
        <v>74</v>
      </c>
      <c r="AC256" s="1" t="s">
        <v>74</v>
      </c>
      <c r="AD256" s="1" t="s">
        <v>74</v>
      </c>
      <c r="AE256" s="1" t="s">
        <v>74</v>
      </c>
      <c r="AF256" s="1" t="s">
        <v>74</v>
      </c>
      <c r="AG256" s="1" t="s">
        <v>74</v>
      </c>
      <c r="AH256" s="1" t="s">
        <v>74</v>
      </c>
      <c r="AI256" s="1" t="s">
        <v>74</v>
      </c>
      <c r="AJ256" s="1" t="s">
        <v>74</v>
      </c>
      <c r="AK256" s="1" t="s">
        <v>74</v>
      </c>
      <c r="AL256" s="1" t="s">
        <v>74</v>
      </c>
      <c r="AM256" s="1" t="s">
        <v>74</v>
      </c>
      <c r="AN256" s="1" t="s">
        <v>74</v>
      </c>
      <c r="AO256" s="1" t="s">
        <v>74</v>
      </c>
      <c r="AP256" s="1" t="s">
        <v>74</v>
      </c>
      <c r="AQ256" s="1" t="s">
        <v>276</v>
      </c>
      <c r="AR256" s="1" t="s">
        <v>74</v>
      </c>
      <c r="AS256" s="1" t="s">
        <v>74</v>
      </c>
      <c r="AT256" s="1" t="s">
        <v>74</v>
      </c>
      <c r="AU256" s="1">
        <v>2021.0</v>
      </c>
      <c r="AV256" s="1" t="s">
        <v>74</v>
      </c>
      <c r="AW256" s="1" t="s">
        <v>74</v>
      </c>
      <c r="AX256" s="1" t="s">
        <v>74</v>
      </c>
      <c r="AY256" s="1" t="s">
        <v>74</v>
      </c>
      <c r="AZ256" s="1" t="s">
        <v>74</v>
      </c>
      <c r="BA256" s="1" t="s">
        <v>74</v>
      </c>
      <c r="BB256" s="1">
        <v>843.0</v>
      </c>
      <c r="BC256" s="1">
        <v>847.0</v>
      </c>
      <c r="BD256" s="1" t="s">
        <v>74</v>
      </c>
      <c r="BE256" s="1" t="s">
        <v>2598</v>
      </c>
      <c r="BF256" s="2" t="str">
        <f>HYPERLINK("http://dx.doi.org/10.1109/CHILECON54041.2021.9703039","http://dx.doi.org/10.1109/CHILECON54041.2021.9703039")</f>
        <v>http://dx.doi.org/10.1109/CHILECON54041.2021.9703039</v>
      </c>
      <c r="BG256" s="1" t="s">
        <v>74</v>
      </c>
      <c r="BH256" s="1" t="s">
        <v>74</v>
      </c>
      <c r="BI256" s="1" t="s">
        <v>74</v>
      </c>
      <c r="BJ256" s="1" t="s">
        <v>74</v>
      </c>
      <c r="BK256" s="1" t="s">
        <v>74</v>
      </c>
      <c r="BL256" s="1" t="s">
        <v>74</v>
      </c>
      <c r="BM256" s="1" t="s">
        <v>74</v>
      </c>
      <c r="BN256" s="1" t="s">
        <v>74</v>
      </c>
      <c r="BO256" s="1" t="s">
        <v>74</v>
      </c>
      <c r="BP256" s="1" t="s">
        <v>74</v>
      </c>
      <c r="BQ256" s="1" t="s">
        <v>74</v>
      </c>
      <c r="BR256" s="1" t="s">
        <v>74</v>
      </c>
      <c r="BS256" s="1" t="s">
        <v>2599</v>
      </c>
      <c r="BT256" s="1" t="str">
        <f>HYPERLINK("https%3A%2F%2Fwww.webofscience.com%2Fwos%2Fwoscc%2Ffull-record%2FWOS:000788072700139","View Full Record in Web of Science")</f>
        <v>View Full Record in Web of Science</v>
      </c>
    </row>
    <row r="257" ht="12.75" customHeight="1">
      <c r="A257" s="1" t="s">
        <v>72</v>
      </c>
      <c r="B257" s="1" t="s">
        <v>2600</v>
      </c>
      <c r="C257" s="1" t="s">
        <v>74</v>
      </c>
      <c r="D257" s="1" t="s">
        <v>74</v>
      </c>
      <c r="E257" s="1" t="s">
        <v>74</v>
      </c>
      <c r="F257" s="1" t="s">
        <v>2601</v>
      </c>
      <c r="G257" s="1" t="s">
        <v>74</v>
      </c>
      <c r="H257" s="1" t="s">
        <v>74</v>
      </c>
      <c r="I257" s="1" t="s">
        <v>2602</v>
      </c>
      <c r="J257" s="1" t="s">
        <v>2603</v>
      </c>
      <c r="K257" s="1" t="s">
        <v>74</v>
      </c>
      <c r="L257" s="1" t="s">
        <v>74</v>
      </c>
      <c r="M257" s="1" t="s">
        <v>74</v>
      </c>
      <c r="N257" s="1" t="s">
        <v>74</v>
      </c>
      <c r="O257" s="1" t="s">
        <v>74</v>
      </c>
      <c r="P257" s="1" t="s">
        <v>74</v>
      </c>
      <c r="Q257" s="1" t="s">
        <v>74</v>
      </c>
      <c r="R257" s="1" t="s">
        <v>74</v>
      </c>
      <c r="S257" s="1" t="s">
        <v>74</v>
      </c>
      <c r="T257" s="1" t="s">
        <v>74</v>
      </c>
      <c r="U257" s="1" t="s">
        <v>74</v>
      </c>
      <c r="V257" s="1" t="s">
        <v>2604</v>
      </c>
      <c r="W257" s="1" t="s">
        <v>74</v>
      </c>
      <c r="X257" s="1" t="s">
        <v>74</v>
      </c>
      <c r="Y257" s="1" t="s">
        <v>74</v>
      </c>
      <c r="Z257" s="1" t="s">
        <v>74</v>
      </c>
      <c r="AA257" s="1" t="s">
        <v>74</v>
      </c>
      <c r="AB257" s="1" t="s">
        <v>74</v>
      </c>
      <c r="AC257" s="1" t="s">
        <v>74</v>
      </c>
      <c r="AD257" s="1" t="s">
        <v>74</v>
      </c>
      <c r="AE257" s="1" t="s">
        <v>74</v>
      </c>
      <c r="AF257" s="1" t="s">
        <v>74</v>
      </c>
      <c r="AG257" s="1" t="s">
        <v>74</v>
      </c>
      <c r="AH257" s="1" t="s">
        <v>74</v>
      </c>
      <c r="AI257" s="1" t="s">
        <v>74</v>
      </c>
      <c r="AJ257" s="1" t="s">
        <v>74</v>
      </c>
      <c r="AK257" s="1" t="s">
        <v>74</v>
      </c>
      <c r="AL257" s="1" t="s">
        <v>74</v>
      </c>
      <c r="AM257" s="1" t="s">
        <v>74</v>
      </c>
      <c r="AN257" s="1" t="s">
        <v>74</v>
      </c>
      <c r="AO257" s="1" t="s">
        <v>2605</v>
      </c>
      <c r="AP257" s="1" t="s">
        <v>2606</v>
      </c>
      <c r="AQ257" s="1" t="s">
        <v>74</v>
      </c>
      <c r="AR257" s="1" t="s">
        <v>74</v>
      </c>
      <c r="AS257" s="1" t="s">
        <v>74</v>
      </c>
      <c r="AT257" s="1" t="s">
        <v>1829</v>
      </c>
      <c r="AU257" s="1">
        <v>2021.0</v>
      </c>
      <c r="AV257" s="1">
        <v>25.0</v>
      </c>
      <c r="AW257" s="1">
        <v>48.0</v>
      </c>
      <c r="AX257" s="1" t="s">
        <v>74</v>
      </c>
      <c r="AY257" s="1" t="s">
        <v>74</v>
      </c>
      <c r="AZ257" s="1" t="s">
        <v>74</v>
      </c>
      <c r="BA257" s="1" t="s">
        <v>74</v>
      </c>
      <c r="BB257" s="1">
        <v>87.0</v>
      </c>
      <c r="BC257" s="1">
        <v>108.0</v>
      </c>
      <c r="BD257" s="1" t="s">
        <v>74</v>
      </c>
      <c r="BE257" s="1" t="s">
        <v>74</v>
      </c>
      <c r="BF257" s="1" t="s">
        <v>74</v>
      </c>
      <c r="BG257" s="1" t="s">
        <v>74</v>
      </c>
      <c r="BH257" s="1" t="s">
        <v>74</v>
      </c>
      <c r="BI257" s="1" t="s">
        <v>74</v>
      </c>
      <c r="BJ257" s="1" t="s">
        <v>74</v>
      </c>
      <c r="BK257" s="1" t="s">
        <v>74</v>
      </c>
      <c r="BL257" s="1" t="s">
        <v>74</v>
      </c>
      <c r="BM257" s="1" t="s">
        <v>74</v>
      </c>
      <c r="BN257" s="1" t="s">
        <v>74</v>
      </c>
      <c r="BO257" s="1" t="s">
        <v>74</v>
      </c>
      <c r="BP257" s="1" t="s">
        <v>74</v>
      </c>
      <c r="BQ257" s="1" t="s">
        <v>74</v>
      </c>
      <c r="BR257" s="1" t="s">
        <v>74</v>
      </c>
      <c r="BS257" s="1" t="s">
        <v>2607</v>
      </c>
      <c r="BT257" s="1" t="str">
        <f>HYPERLINK("https%3A%2F%2Fwww.webofscience.com%2Fwos%2Fwoscc%2Ffull-record%2FWOS:000731852400018","View Full Record in Web of Science")</f>
        <v>View Full Record in Web of Science</v>
      </c>
    </row>
    <row r="258" ht="12.75" customHeight="1">
      <c r="A258" s="1" t="s">
        <v>72</v>
      </c>
      <c r="B258" s="1" t="s">
        <v>2608</v>
      </c>
      <c r="C258" s="1" t="s">
        <v>74</v>
      </c>
      <c r="D258" s="1" t="s">
        <v>74</v>
      </c>
      <c r="E258" s="1" t="s">
        <v>74</v>
      </c>
      <c r="F258" s="1" t="s">
        <v>2609</v>
      </c>
      <c r="G258" s="1" t="s">
        <v>74</v>
      </c>
      <c r="H258" s="1" t="s">
        <v>74</v>
      </c>
      <c r="I258" s="1" t="s">
        <v>2610</v>
      </c>
      <c r="J258" s="1" t="s">
        <v>2611</v>
      </c>
      <c r="K258" s="1" t="s">
        <v>74</v>
      </c>
      <c r="L258" s="1" t="s">
        <v>74</v>
      </c>
      <c r="M258" s="1" t="s">
        <v>74</v>
      </c>
      <c r="N258" s="1" t="s">
        <v>74</v>
      </c>
      <c r="O258" s="1" t="s">
        <v>74</v>
      </c>
      <c r="P258" s="1" t="s">
        <v>74</v>
      </c>
      <c r="Q258" s="1" t="s">
        <v>74</v>
      </c>
      <c r="R258" s="1" t="s">
        <v>74</v>
      </c>
      <c r="S258" s="1" t="s">
        <v>74</v>
      </c>
      <c r="T258" s="1" t="s">
        <v>74</v>
      </c>
      <c r="U258" s="1" t="s">
        <v>74</v>
      </c>
      <c r="V258" s="1" t="s">
        <v>2612</v>
      </c>
      <c r="W258" s="1" t="s">
        <v>74</v>
      </c>
      <c r="X258" s="1" t="s">
        <v>74</v>
      </c>
      <c r="Y258" s="1" t="s">
        <v>74</v>
      </c>
      <c r="Z258" s="1" t="s">
        <v>74</v>
      </c>
      <c r="AA258" s="1" t="s">
        <v>2613</v>
      </c>
      <c r="AB258" s="1" t="s">
        <v>1896</v>
      </c>
      <c r="AC258" s="1" t="s">
        <v>74</v>
      </c>
      <c r="AD258" s="1" t="s">
        <v>74</v>
      </c>
      <c r="AE258" s="1" t="s">
        <v>74</v>
      </c>
      <c r="AF258" s="1" t="s">
        <v>74</v>
      </c>
      <c r="AG258" s="1" t="s">
        <v>74</v>
      </c>
      <c r="AH258" s="1" t="s">
        <v>74</v>
      </c>
      <c r="AI258" s="1" t="s">
        <v>74</v>
      </c>
      <c r="AJ258" s="1" t="s">
        <v>74</v>
      </c>
      <c r="AK258" s="1" t="s">
        <v>74</v>
      </c>
      <c r="AL258" s="1" t="s">
        <v>74</v>
      </c>
      <c r="AM258" s="1" t="s">
        <v>74</v>
      </c>
      <c r="AN258" s="1" t="s">
        <v>74</v>
      </c>
      <c r="AO258" s="1" t="s">
        <v>2614</v>
      </c>
      <c r="AP258" s="1" t="s">
        <v>2615</v>
      </c>
      <c r="AQ258" s="1" t="s">
        <v>74</v>
      </c>
      <c r="AR258" s="1" t="s">
        <v>74</v>
      </c>
      <c r="AS258" s="1" t="s">
        <v>74</v>
      </c>
      <c r="AT258" s="1" t="s">
        <v>2616</v>
      </c>
      <c r="AU258" s="1">
        <v>2020.0</v>
      </c>
      <c r="AV258" s="1">
        <v>105.0</v>
      </c>
      <c r="AW258" s="1">
        <v>4.0</v>
      </c>
      <c r="AX258" s="1" t="s">
        <v>74</v>
      </c>
      <c r="AY258" s="1" t="s">
        <v>74</v>
      </c>
      <c r="AZ258" s="1" t="s">
        <v>74</v>
      </c>
      <c r="BA258" s="1" t="s">
        <v>74</v>
      </c>
      <c r="BB258" s="1">
        <v>583.0</v>
      </c>
      <c r="BC258" s="1">
        <v>612.0</v>
      </c>
      <c r="BD258" s="1" t="s">
        <v>74</v>
      </c>
      <c r="BE258" s="1" t="s">
        <v>2617</v>
      </c>
      <c r="BF258" s="2" t="str">
        <f>HYPERLINK("http://dx.doi.org/10.5565/rev/papers.2617","http://dx.doi.org/10.5565/rev/papers.2617")</f>
        <v>http://dx.doi.org/10.5565/rev/papers.2617</v>
      </c>
      <c r="BG258" s="1" t="s">
        <v>74</v>
      </c>
      <c r="BH258" s="1" t="s">
        <v>74</v>
      </c>
      <c r="BI258" s="1" t="s">
        <v>74</v>
      </c>
      <c r="BJ258" s="1" t="s">
        <v>74</v>
      </c>
      <c r="BK258" s="1" t="s">
        <v>74</v>
      </c>
      <c r="BL258" s="1" t="s">
        <v>74</v>
      </c>
      <c r="BM258" s="1" t="s">
        <v>74</v>
      </c>
      <c r="BN258" s="1" t="s">
        <v>74</v>
      </c>
      <c r="BO258" s="1" t="s">
        <v>74</v>
      </c>
      <c r="BP258" s="1" t="s">
        <v>74</v>
      </c>
      <c r="BQ258" s="1" t="s">
        <v>74</v>
      </c>
      <c r="BR258" s="1" t="s">
        <v>74</v>
      </c>
      <c r="BS258" s="1" t="s">
        <v>2618</v>
      </c>
      <c r="BT258" s="1" t="str">
        <f>HYPERLINK("https%3A%2F%2Fwww.webofscience.com%2Fwos%2Fwoscc%2Ffull-record%2FWOS:000606164200005","View Full Record in Web of Science")</f>
        <v>View Full Record in Web of Science</v>
      </c>
    </row>
    <row r="259" ht="12.75" customHeight="1">
      <c r="A259" s="1" t="s">
        <v>72</v>
      </c>
      <c r="B259" s="1" t="s">
        <v>2619</v>
      </c>
      <c r="C259" s="1" t="s">
        <v>74</v>
      </c>
      <c r="D259" s="1" t="s">
        <v>74</v>
      </c>
      <c r="E259" s="1" t="s">
        <v>74</v>
      </c>
      <c r="F259" s="1" t="s">
        <v>2620</v>
      </c>
      <c r="G259" s="1" t="s">
        <v>74</v>
      </c>
      <c r="H259" s="1" t="s">
        <v>74</v>
      </c>
      <c r="I259" s="1" t="s">
        <v>2621</v>
      </c>
      <c r="J259" s="1" t="s">
        <v>2622</v>
      </c>
      <c r="K259" s="1" t="s">
        <v>74</v>
      </c>
      <c r="L259" s="1" t="s">
        <v>74</v>
      </c>
      <c r="M259" s="1" t="s">
        <v>74</v>
      </c>
      <c r="N259" s="1" t="s">
        <v>74</v>
      </c>
      <c r="O259" s="1" t="s">
        <v>74</v>
      </c>
      <c r="P259" s="1" t="s">
        <v>74</v>
      </c>
      <c r="Q259" s="1" t="s">
        <v>74</v>
      </c>
      <c r="R259" s="1" t="s">
        <v>74</v>
      </c>
      <c r="S259" s="1" t="s">
        <v>74</v>
      </c>
      <c r="T259" s="1" t="s">
        <v>74</v>
      </c>
      <c r="U259" s="1" t="s">
        <v>74</v>
      </c>
      <c r="V259" s="1" t="s">
        <v>2623</v>
      </c>
      <c r="W259" s="1" t="s">
        <v>74</v>
      </c>
      <c r="X259" s="1" t="s">
        <v>74</v>
      </c>
      <c r="Y259" s="1" t="s">
        <v>74</v>
      </c>
      <c r="Z259" s="1" t="s">
        <v>74</v>
      </c>
      <c r="AA259" s="1" t="s">
        <v>74</v>
      </c>
      <c r="AB259" s="1" t="s">
        <v>2624</v>
      </c>
      <c r="AC259" s="1" t="s">
        <v>74</v>
      </c>
      <c r="AD259" s="1" t="s">
        <v>74</v>
      </c>
      <c r="AE259" s="1" t="s">
        <v>74</v>
      </c>
      <c r="AF259" s="1" t="s">
        <v>74</v>
      </c>
      <c r="AG259" s="1" t="s">
        <v>74</v>
      </c>
      <c r="AH259" s="1" t="s">
        <v>74</v>
      </c>
      <c r="AI259" s="1" t="s">
        <v>74</v>
      </c>
      <c r="AJ259" s="1" t="s">
        <v>74</v>
      </c>
      <c r="AK259" s="1" t="s">
        <v>74</v>
      </c>
      <c r="AL259" s="1" t="s">
        <v>74</v>
      </c>
      <c r="AM259" s="1" t="s">
        <v>74</v>
      </c>
      <c r="AN259" s="1" t="s">
        <v>74</v>
      </c>
      <c r="AO259" s="1" t="s">
        <v>2625</v>
      </c>
      <c r="AP259" s="1" t="s">
        <v>74</v>
      </c>
      <c r="AQ259" s="1" t="s">
        <v>74</v>
      </c>
      <c r="AR259" s="1" t="s">
        <v>74</v>
      </c>
      <c r="AS259" s="1" t="s">
        <v>74</v>
      </c>
      <c r="AT259" s="1" t="s">
        <v>459</v>
      </c>
      <c r="AU259" s="1">
        <v>2020.0</v>
      </c>
      <c r="AV259" s="1">
        <v>11.0</v>
      </c>
      <c r="AW259" s="1">
        <v>3.0</v>
      </c>
      <c r="AX259" s="1" t="s">
        <v>74</v>
      </c>
      <c r="AY259" s="1" t="s">
        <v>74</v>
      </c>
      <c r="AZ259" s="1" t="s">
        <v>74</v>
      </c>
      <c r="BA259" s="1" t="s">
        <v>74</v>
      </c>
      <c r="BB259" s="1">
        <v>222.0</v>
      </c>
      <c r="BC259" s="1">
        <v>238.0</v>
      </c>
      <c r="BD259" s="1" t="s">
        <v>74</v>
      </c>
      <c r="BE259" s="1" t="s">
        <v>74</v>
      </c>
      <c r="BF259" s="1" t="s">
        <v>74</v>
      </c>
      <c r="BG259" s="1" t="s">
        <v>74</v>
      </c>
      <c r="BH259" s="1" t="s">
        <v>74</v>
      </c>
      <c r="BI259" s="1" t="s">
        <v>74</v>
      </c>
      <c r="BJ259" s="1" t="s">
        <v>74</v>
      </c>
      <c r="BK259" s="1" t="s">
        <v>74</v>
      </c>
      <c r="BL259" s="1" t="s">
        <v>74</v>
      </c>
      <c r="BM259" s="1" t="s">
        <v>74</v>
      </c>
      <c r="BN259" s="1" t="s">
        <v>74</v>
      </c>
      <c r="BO259" s="1" t="s">
        <v>74</v>
      </c>
      <c r="BP259" s="1" t="s">
        <v>74</v>
      </c>
      <c r="BQ259" s="1" t="s">
        <v>74</v>
      </c>
      <c r="BR259" s="1" t="s">
        <v>74</v>
      </c>
      <c r="BS259" s="1" t="s">
        <v>2626</v>
      </c>
      <c r="BT259" s="1" t="str">
        <f>HYPERLINK("https%3A%2F%2Fwww.webofscience.com%2Fwos%2Fwoscc%2Ffull-record%2FWOS:000576582200003","View Full Record in Web of Science")</f>
        <v>View Full Record in Web of Science</v>
      </c>
    </row>
    <row r="260" ht="12.75" customHeight="1">
      <c r="A260" s="1" t="s">
        <v>72</v>
      </c>
      <c r="B260" s="1" t="s">
        <v>2627</v>
      </c>
      <c r="C260" s="1" t="s">
        <v>74</v>
      </c>
      <c r="D260" s="1" t="s">
        <v>74</v>
      </c>
      <c r="E260" s="1" t="s">
        <v>74</v>
      </c>
      <c r="F260" s="1" t="s">
        <v>2628</v>
      </c>
      <c r="G260" s="1" t="s">
        <v>74</v>
      </c>
      <c r="H260" s="1" t="s">
        <v>74</v>
      </c>
      <c r="I260" s="1" t="s">
        <v>2629</v>
      </c>
      <c r="J260" s="1" t="s">
        <v>2630</v>
      </c>
      <c r="K260" s="1" t="s">
        <v>74</v>
      </c>
      <c r="L260" s="1" t="s">
        <v>74</v>
      </c>
      <c r="M260" s="1" t="s">
        <v>74</v>
      </c>
      <c r="N260" s="1" t="s">
        <v>74</v>
      </c>
      <c r="O260" s="1" t="s">
        <v>74</v>
      </c>
      <c r="P260" s="1" t="s">
        <v>74</v>
      </c>
      <c r="Q260" s="1" t="s">
        <v>74</v>
      </c>
      <c r="R260" s="1" t="s">
        <v>74</v>
      </c>
      <c r="S260" s="1" t="s">
        <v>74</v>
      </c>
      <c r="T260" s="1" t="s">
        <v>74</v>
      </c>
      <c r="U260" s="1" t="s">
        <v>74</v>
      </c>
      <c r="V260" s="1" t="s">
        <v>2631</v>
      </c>
      <c r="W260" s="1" t="s">
        <v>74</v>
      </c>
      <c r="X260" s="1" t="s">
        <v>74</v>
      </c>
      <c r="Y260" s="1" t="s">
        <v>74</v>
      </c>
      <c r="Z260" s="1" t="s">
        <v>74</v>
      </c>
      <c r="AA260" s="1" t="s">
        <v>2632</v>
      </c>
      <c r="AB260" s="1" t="s">
        <v>2633</v>
      </c>
      <c r="AC260" s="1" t="s">
        <v>74</v>
      </c>
      <c r="AD260" s="1" t="s">
        <v>74</v>
      </c>
      <c r="AE260" s="1" t="s">
        <v>74</v>
      </c>
      <c r="AF260" s="1" t="s">
        <v>74</v>
      </c>
      <c r="AG260" s="1" t="s">
        <v>74</v>
      </c>
      <c r="AH260" s="1" t="s">
        <v>74</v>
      </c>
      <c r="AI260" s="1" t="s">
        <v>74</v>
      </c>
      <c r="AJ260" s="1" t="s">
        <v>74</v>
      </c>
      <c r="AK260" s="1" t="s">
        <v>74</v>
      </c>
      <c r="AL260" s="1" t="s">
        <v>74</v>
      </c>
      <c r="AM260" s="1" t="s">
        <v>74</v>
      </c>
      <c r="AN260" s="1" t="s">
        <v>74</v>
      </c>
      <c r="AO260" s="1" t="s">
        <v>2634</v>
      </c>
      <c r="AP260" s="1" t="s">
        <v>74</v>
      </c>
      <c r="AQ260" s="1" t="s">
        <v>74</v>
      </c>
      <c r="AR260" s="1" t="s">
        <v>74</v>
      </c>
      <c r="AS260" s="1" t="s">
        <v>74</v>
      </c>
      <c r="AT260" s="1" t="s">
        <v>459</v>
      </c>
      <c r="AU260" s="1">
        <v>2020.0</v>
      </c>
      <c r="AV260" s="1">
        <v>56.0</v>
      </c>
      <c r="AW260" s="1">
        <v>1.0</v>
      </c>
      <c r="AX260" s="1" t="s">
        <v>74</v>
      </c>
      <c r="AY260" s="1" t="s">
        <v>74</v>
      </c>
      <c r="AZ260" s="1" t="s">
        <v>74</v>
      </c>
      <c r="BA260" s="1" t="s">
        <v>74</v>
      </c>
      <c r="BB260" s="1">
        <v>83.0</v>
      </c>
      <c r="BC260" s="1">
        <v>115.0</v>
      </c>
      <c r="BD260" s="1" t="s">
        <v>74</v>
      </c>
      <c r="BE260" s="1" t="s">
        <v>2635</v>
      </c>
      <c r="BF260" s="2" t="str">
        <f>HYPERLINK("http://dx.doi.org/10.12775/TMNA.2019.114","http://dx.doi.org/10.12775/TMNA.2019.114")</f>
        <v>http://dx.doi.org/10.12775/TMNA.2019.114</v>
      </c>
      <c r="BG260" s="1" t="s">
        <v>74</v>
      </c>
      <c r="BH260" s="1" t="s">
        <v>74</v>
      </c>
      <c r="BI260" s="1" t="s">
        <v>74</v>
      </c>
      <c r="BJ260" s="1" t="s">
        <v>74</v>
      </c>
      <c r="BK260" s="1" t="s">
        <v>74</v>
      </c>
      <c r="BL260" s="1" t="s">
        <v>74</v>
      </c>
      <c r="BM260" s="1" t="s">
        <v>74</v>
      </c>
      <c r="BN260" s="1" t="s">
        <v>74</v>
      </c>
      <c r="BO260" s="1" t="s">
        <v>74</v>
      </c>
      <c r="BP260" s="1" t="s">
        <v>74</v>
      </c>
      <c r="BQ260" s="1" t="s">
        <v>74</v>
      </c>
      <c r="BR260" s="1" t="s">
        <v>74</v>
      </c>
      <c r="BS260" s="1" t="s">
        <v>2636</v>
      </c>
      <c r="BT260" s="1" t="str">
        <f>HYPERLINK("https%3A%2F%2Fwww.webofscience.com%2Fwos%2Fwoscc%2Ffull-record%2FWOS:000582417300004","View Full Record in Web of Science")</f>
        <v>View Full Record in Web of Science</v>
      </c>
    </row>
    <row r="261" ht="12.75" customHeight="1">
      <c r="A261" s="1" t="s">
        <v>72</v>
      </c>
      <c r="B261" s="1" t="s">
        <v>2637</v>
      </c>
      <c r="C261" s="1" t="s">
        <v>74</v>
      </c>
      <c r="D261" s="1" t="s">
        <v>74</v>
      </c>
      <c r="E261" s="1" t="s">
        <v>74</v>
      </c>
      <c r="F261" s="1" t="s">
        <v>2638</v>
      </c>
      <c r="G261" s="1" t="s">
        <v>74</v>
      </c>
      <c r="H261" s="1" t="s">
        <v>74</v>
      </c>
      <c r="I261" s="1" t="s">
        <v>2639</v>
      </c>
      <c r="J261" s="1" t="s">
        <v>2640</v>
      </c>
      <c r="K261" s="1" t="s">
        <v>74</v>
      </c>
      <c r="L261" s="1" t="s">
        <v>74</v>
      </c>
      <c r="M261" s="1" t="s">
        <v>74</v>
      </c>
      <c r="N261" s="1" t="s">
        <v>74</v>
      </c>
      <c r="O261" s="1" t="s">
        <v>74</v>
      </c>
      <c r="P261" s="1" t="s">
        <v>74</v>
      </c>
      <c r="Q261" s="1" t="s">
        <v>74</v>
      </c>
      <c r="R261" s="1" t="s">
        <v>74</v>
      </c>
      <c r="S261" s="1" t="s">
        <v>74</v>
      </c>
      <c r="T261" s="1" t="s">
        <v>74</v>
      </c>
      <c r="U261" s="1" t="s">
        <v>74</v>
      </c>
      <c r="V261" s="1" t="s">
        <v>2641</v>
      </c>
      <c r="W261" s="1" t="s">
        <v>74</v>
      </c>
      <c r="X261" s="1" t="s">
        <v>74</v>
      </c>
      <c r="Y261" s="1" t="s">
        <v>74</v>
      </c>
      <c r="Z261" s="1" t="s">
        <v>74</v>
      </c>
      <c r="AA261" s="1" t="s">
        <v>2642</v>
      </c>
      <c r="AB261" s="1" t="s">
        <v>2643</v>
      </c>
      <c r="AC261" s="1" t="s">
        <v>74</v>
      </c>
      <c r="AD261" s="1" t="s">
        <v>74</v>
      </c>
      <c r="AE261" s="1" t="s">
        <v>74</v>
      </c>
      <c r="AF261" s="1" t="s">
        <v>74</v>
      </c>
      <c r="AG261" s="1" t="s">
        <v>74</v>
      </c>
      <c r="AH261" s="1" t="s">
        <v>74</v>
      </c>
      <c r="AI261" s="1" t="s">
        <v>74</v>
      </c>
      <c r="AJ261" s="1" t="s">
        <v>74</v>
      </c>
      <c r="AK261" s="1" t="s">
        <v>74</v>
      </c>
      <c r="AL261" s="1" t="s">
        <v>74</v>
      </c>
      <c r="AM261" s="1" t="s">
        <v>74</v>
      </c>
      <c r="AN261" s="1" t="s">
        <v>74</v>
      </c>
      <c r="AO261" s="1" t="s">
        <v>2644</v>
      </c>
      <c r="AP261" s="1" t="s">
        <v>2645</v>
      </c>
      <c r="AQ261" s="1" t="s">
        <v>74</v>
      </c>
      <c r="AR261" s="1" t="s">
        <v>74</v>
      </c>
      <c r="AS261" s="1" t="s">
        <v>74</v>
      </c>
      <c r="AT261" s="1" t="s">
        <v>110</v>
      </c>
      <c r="AU261" s="1">
        <v>2020.0</v>
      </c>
      <c r="AV261" s="1">
        <v>295.0</v>
      </c>
      <c r="AW261" s="1">
        <v>1.0</v>
      </c>
      <c r="AX261" s="1" t="s">
        <v>74</v>
      </c>
      <c r="AY261" s="1" t="s">
        <v>74</v>
      </c>
      <c r="AZ261" s="1" t="s">
        <v>74</v>
      </c>
      <c r="BA261" s="1" t="s">
        <v>74</v>
      </c>
      <c r="BB261" s="1">
        <v>503.0</v>
      </c>
      <c r="BC261" s="1">
        <v>516.0</v>
      </c>
      <c r="BD261" s="1" t="s">
        <v>74</v>
      </c>
      <c r="BE261" s="1" t="s">
        <v>2646</v>
      </c>
      <c r="BF261" s="2" t="str">
        <f>HYPERLINK("http://dx.doi.org/10.1007/s10479-020-03713-6","http://dx.doi.org/10.1007/s10479-020-03713-6")</f>
        <v>http://dx.doi.org/10.1007/s10479-020-03713-6</v>
      </c>
      <c r="BG261" s="1" t="s">
        <v>74</v>
      </c>
      <c r="BH261" s="1" t="s">
        <v>2647</v>
      </c>
      <c r="BI261" s="1" t="s">
        <v>74</v>
      </c>
      <c r="BJ261" s="1" t="s">
        <v>74</v>
      </c>
      <c r="BK261" s="1" t="s">
        <v>74</v>
      </c>
      <c r="BL261" s="1" t="s">
        <v>74</v>
      </c>
      <c r="BM261" s="1" t="s">
        <v>74</v>
      </c>
      <c r="BN261" s="1" t="s">
        <v>74</v>
      </c>
      <c r="BO261" s="1" t="s">
        <v>74</v>
      </c>
      <c r="BP261" s="1" t="s">
        <v>74</v>
      </c>
      <c r="BQ261" s="1" t="s">
        <v>74</v>
      </c>
      <c r="BR261" s="1" t="s">
        <v>74</v>
      </c>
      <c r="BS261" s="1" t="s">
        <v>2648</v>
      </c>
      <c r="BT261" s="1" t="str">
        <f>HYPERLINK("https%3A%2F%2Fwww.webofscience.com%2Fwos%2Fwoscc%2Ffull-record%2FWOS:000548085000002","View Full Record in Web of Science")</f>
        <v>View Full Record in Web of Science</v>
      </c>
    </row>
    <row r="262" ht="12.75" customHeight="1">
      <c r="A262" s="1" t="s">
        <v>72</v>
      </c>
      <c r="B262" s="1" t="s">
        <v>2649</v>
      </c>
      <c r="C262" s="1" t="s">
        <v>74</v>
      </c>
      <c r="D262" s="1" t="s">
        <v>74</v>
      </c>
      <c r="E262" s="1" t="s">
        <v>74</v>
      </c>
      <c r="F262" s="1" t="s">
        <v>2650</v>
      </c>
      <c r="G262" s="1" t="s">
        <v>74</v>
      </c>
      <c r="H262" s="1" t="s">
        <v>74</v>
      </c>
      <c r="I262" s="1" t="s">
        <v>2651</v>
      </c>
      <c r="J262" s="1" t="s">
        <v>2652</v>
      </c>
      <c r="K262" s="1" t="s">
        <v>74</v>
      </c>
      <c r="L262" s="1" t="s">
        <v>74</v>
      </c>
      <c r="M262" s="1" t="s">
        <v>74</v>
      </c>
      <c r="N262" s="1" t="s">
        <v>74</v>
      </c>
      <c r="O262" s="1" t="s">
        <v>74</v>
      </c>
      <c r="P262" s="1" t="s">
        <v>74</v>
      </c>
      <c r="Q262" s="1" t="s">
        <v>74</v>
      </c>
      <c r="R262" s="1" t="s">
        <v>74</v>
      </c>
      <c r="S262" s="1" t="s">
        <v>74</v>
      </c>
      <c r="T262" s="1" t="s">
        <v>74</v>
      </c>
      <c r="U262" s="1" t="s">
        <v>74</v>
      </c>
      <c r="V262" s="1" t="s">
        <v>2653</v>
      </c>
      <c r="W262" s="1" t="s">
        <v>74</v>
      </c>
      <c r="X262" s="1" t="s">
        <v>74</v>
      </c>
      <c r="Y262" s="1" t="s">
        <v>74</v>
      </c>
      <c r="Z262" s="1" t="s">
        <v>74</v>
      </c>
      <c r="AA262" s="1" t="s">
        <v>74</v>
      </c>
      <c r="AB262" s="1" t="s">
        <v>2654</v>
      </c>
      <c r="AC262" s="1" t="s">
        <v>74</v>
      </c>
      <c r="AD262" s="1" t="s">
        <v>74</v>
      </c>
      <c r="AE262" s="1" t="s">
        <v>74</v>
      </c>
      <c r="AF262" s="1" t="s">
        <v>74</v>
      </c>
      <c r="AG262" s="1" t="s">
        <v>74</v>
      </c>
      <c r="AH262" s="1" t="s">
        <v>74</v>
      </c>
      <c r="AI262" s="1" t="s">
        <v>74</v>
      </c>
      <c r="AJ262" s="1" t="s">
        <v>74</v>
      </c>
      <c r="AK262" s="1" t="s">
        <v>74</v>
      </c>
      <c r="AL262" s="1" t="s">
        <v>74</v>
      </c>
      <c r="AM262" s="1" t="s">
        <v>74</v>
      </c>
      <c r="AN262" s="1" t="s">
        <v>74</v>
      </c>
      <c r="AO262" s="1" t="s">
        <v>2655</v>
      </c>
      <c r="AP262" s="1" t="s">
        <v>2656</v>
      </c>
      <c r="AQ262" s="1" t="s">
        <v>74</v>
      </c>
      <c r="AR262" s="1" t="s">
        <v>74</v>
      </c>
      <c r="AS262" s="1" t="s">
        <v>74</v>
      </c>
      <c r="AT262" s="1" t="s">
        <v>310</v>
      </c>
      <c r="AU262" s="1">
        <v>2020.0</v>
      </c>
      <c r="AV262" s="1">
        <v>36.0</v>
      </c>
      <c r="AW262" s="1">
        <v>1.0</v>
      </c>
      <c r="AX262" s="1" t="s">
        <v>74</v>
      </c>
      <c r="AY262" s="1" t="s">
        <v>74</v>
      </c>
      <c r="AZ262" s="1" t="s">
        <v>74</v>
      </c>
      <c r="BA262" s="1" t="s">
        <v>74</v>
      </c>
      <c r="BB262" s="1">
        <v>253.0</v>
      </c>
      <c r="BC262" s="1">
        <v>271.0</v>
      </c>
      <c r="BD262" s="1" t="s">
        <v>74</v>
      </c>
      <c r="BE262" s="1" t="s">
        <v>2657</v>
      </c>
      <c r="BF262" s="2" t="str">
        <f>HYPERLINK("http://dx.doi.org/10.4067/S0718-23762021000100253","http://dx.doi.org/10.4067/S0718-23762021000100253")</f>
        <v>http://dx.doi.org/10.4067/S0718-23762021000100253</v>
      </c>
      <c r="BG262" s="1" t="s">
        <v>74</v>
      </c>
      <c r="BH262" s="1" t="s">
        <v>74</v>
      </c>
      <c r="BI262" s="1" t="s">
        <v>74</v>
      </c>
      <c r="BJ262" s="1" t="s">
        <v>74</v>
      </c>
      <c r="BK262" s="1" t="s">
        <v>74</v>
      </c>
      <c r="BL262" s="1" t="s">
        <v>74</v>
      </c>
      <c r="BM262" s="1" t="s">
        <v>74</v>
      </c>
      <c r="BN262" s="1" t="s">
        <v>74</v>
      </c>
      <c r="BO262" s="1" t="s">
        <v>74</v>
      </c>
      <c r="BP262" s="1" t="s">
        <v>74</v>
      </c>
      <c r="BQ262" s="1" t="s">
        <v>74</v>
      </c>
      <c r="BR262" s="1" t="s">
        <v>74</v>
      </c>
      <c r="BS262" s="1" t="s">
        <v>2658</v>
      </c>
      <c r="BT262" s="1" t="str">
        <f>HYPERLINK("https%3A%2F%2Fwww.webofscience.com%2Fwos%2Fwoscc%2Ffull-record%2FWOS:000716376900012","View Full Record in Web of Science")</f>
        <v>View Full Record in Web of Science</v>
      </c>
    </row>
    <row r="263" ht="12.75" customHeight="1">
      <c r="A263" s="1" t="s">
        <v>72</v>
      </c>
      <c r="B263" s="1" t="s">
        <v>2659</v>
      </c>
      <c r="C263" s="1" t="s">
        <v>74</v>
      </c>
      <c r="D263" s="1" t="s">
        <v>74</v>
      </c>
      <c r="E263" s="1" t="s">
        <v>74</v>
      </c>
      <c r="F263" s="1" t="s">
        <v>2660</v>
      </c>
      <c r="G263" s="1" t="s">
        <v>74</v>
      </c>
      <c r="H263" s="1" t="s">
        <v>74</v>
      </c>
      <c r="I263" s="1" t="s">
        <v>2661</v>
      </c>
      <c r="J263" s="1" t="s">
        <v>2662</v>
      </c>
      <c r="K263" s="1" t="s">
        <v>74</v>
      </c>
      <c r="L263" s="1" t="s">
        <v>74</v>
      </c>
      <c r="M263" s="1" t="s">
        <v>74</v>
      </c>
      <c r="N263" s="1" t="s">
        <v>74</v>
      </c>
      <c r="O263" s="1" t="s">
        <v>74</v>
      </c>
      <c r="P263" s="1" t="s">
        <v>74</v>
      </c>
      <c r="Q263" s="1" t="s">
        <v>74</v>
      </c>
      <c r="R263" s="1" t="s">
        <v>74</v>
      </c>
      <c r="S263" s="1" t="s">
        <v>74</v>
      </c>
      <c r="T263" s="1" t="s">
        <v>74</v>
      </c>
      <c r="U263" s="1" t="s">
        <v>74</v>
      </c>
      <c r="V263" s="1" t="s">
        <v>2663</v>
      </c>
      <c r="W263" s="1" t="s">
        <v>74</v>
      </c>
      <c r="X263" s="1" t="s">
        <v>74</v>
      </c>
      <c r="Y263" s="1" t="s">
        <v>74</v>
      </c>
      <c r="Z263" s="1" t="s">
        <v>74</v>
      </c>
      <c r="AA263" s="1" t="s">
        <v>2664</v>
      </c>
      <c r="AB263" s="1" t="s">
        <v>2665</v>
      </c>
      <c r="AC263" s="1" t="s">
        <v>74</v>
      </c>
      <c r="AD263" s="1" t="s">
        <v>74</v>
      </c>
      <c r="AE263" s="1" t="s">
        <v>74</v>
      </c>
      <c r="AF263" s="1" t="s">
        <v>74</v>
      </c>
      <c r="AG263" s="1" t="s">
        <v>74</v>
      </c>
      <c r="AH263" s="1" t="s">
        <v>74</v>
      </c>
      <c r="AI263" s="1" t="s">
        <v>74</v>
      </c>
      <c r="AJ263" s="1" t="s">
        <v>74</v>
      </c>
      <c r="AK263" s="1" t="s">
        <v>74</v>
      </c>
      <c r="AL263" s="1" t="s">
        <v>74</v>
      </c>
      <c r="AM263" s="1" t="s">
        <v>74</v>
      </c>
      <c r="AN263" s="1" t="s">
        <v>74</v>
      </c>
      <c r="AO263" s="1" t="s">
        <v>2666</v>
      </c>
      <c r="AP263" s="1" t="s">
        <v>2667</v>
      </c>
      <c r="AQ263" s="1" t="s">
        <v>74</v>
      </c>
      <c r="AR263" s="1" t="s">
        <v>74</v>
      </c>
      <c r="AS263" s="1" t="s">
        <v>74</v>
      </c>
      <c r="AT263" s="1" t="s">
        <v>2668</v>
      </c>
      <c r="AU263" s="1">
        <v>2020.0</v>
      </c>
      <c r="AV263" s="1">
        <v>161.0</v>
      </c>
      <c r="AW263" s="1" t="s">
        <v>74</v>
      </c>
      <c r="AX263" s="1" t="s">
        <v>74</v>
      </c>
      <c r="AY263" s="1" t="s">
        <v>74</v>
      </c>
      <c r="AZ263" s="1" t="s">
        <v>74</v>
      </c>
      <c r="BA263" s="1" t="s">
        <v>74</v>
      </c>
      <c r="BB263" s="1" t="s">
        <v>74</v>
      </c>
      <c r="BC263" s="1" t="s">
        <v>74</v>
      </c>
      <c r="BD263" s="1">
        <v>104844.0</v>
      </c>
      <c r="BE263" s="1" t="s">
        <v>2669</v>
      </c>
      <c r="BF263" s="2" t="str">
        <f>HYPERLINK("http://dx.doi.org/10.1016/j.supflu.2020.104844","http://dx.doi.org/10.1016/j.supflu.2020.104844")</f>
        <v>http://dx.doi.org/10.1016/j.supflu.2020.104844</v>
      </c>
      <c r="BG263" s="1" t="s">
        <v>74</v>
      </c>
      <c r="BH263" s="1" t="s">
        <v>74</v>
      </c>
      <c r="BI263" s="1" t="s">
        <v>74</v>
      </c>
      <c r="BJ263" s="1" t="s">
        <v>74</v>
      </c>
      <c r="BK263" s="1" t="s">
        <v>74</v>
      </c>
      <c r="BL263" s="1" t="s">
        <v>74</v>
      </c>
      <c r="BM263" s="1" t="s">
        <v>74</v>
      </c>
      <c r="BN263" s="1" t="s">
        <v>74</v>
      </c>
      <c r="BO263" s="1" t="s">
        <v>74</v>
      </c>
      <c r="BP263" s="1" t="s">
        <v>74</v>
      </c>
      <c r="BQ263" s="1" t="s">
        <v>74</v>
      </c>
      <c r="BR263" s="1" t="s">
        <v>74</v>
      </c>
      <c r="BS263" s="1" t="s">
        <v>2670</v>
      </c>
      <c r="BT263" s="1" t="str">
        <f>HYPERLINK("https%3A%2F%2Fwww.webofscience.com%2Fwos%2Fwoscc%2Ffull-record%2FWOS:000535916100012","View Full Record in Web of Science")</f>
        <v>View Full Record in Web of Science</v>
      </c>
    </row>
    <row r="264" ht="12.75" customHeight="1">
      <c r="A264" s="1" t="s">
        <v>72</v>
      </c>
      <c r="B264" s="1" t="s">
        <v>2671</v>
      </c>
      <c r="C264" s="1" t="s">
        <v>74</v>
      </c>
      <c r="D264" s="1" t="s">
        <v>74</v>
      </c>
      <c r="E264" s="1" t="s">
        <v>74</v>
      </c>
      <c r="F264" s="1" t="s">
        <v>2672</v>
      </c>
      <c r="G264" s="1" t="s">
        <v>74</v>
      </c>
      <c r="H264" s="1" t="s">
        <v>74</v>
      </c>
      <c r="I264" s="1" t="s">
        <v>2673</v>
      </c>
      <c r="J264" s="1" t="s">
        <v>984</v>
      </c>
      <c r="K264" s="1" t="s">
        <v>74</v>
      </c>
      <c r="L264" s="1" t="s">
        <v>74</v>
      </c>
      <c r="M264" s="1" t="s">
        <v>74</v>
      </c>
      <c r="N264" s="1" t="s">
        <v>74</v>
      </c>
      <c r="O264" s="1" t="s">
        <v>74</v>
      </c>
      <c r="P264" s="1" t="s">
        <v>74</v>
      </c>
      <c r="Q264" s="1" t="s">
        <v>74</v>
      </c>
      <c r="R264" s="1" t="s">
        <v>74</v>
      </c>
      <c r="S264" s="1" t="s">
        <v>74</v>
      </c>
      <c r="T264" s="1" t="s">
        <v>74</v>
      </c>
      <c r="U264" s="1" t="s">
        <v>74</v>
      </c>
      <c r="V264" s="1" t="s">
        <v>2674</v>
      </c>
      <c r="W264" s="1" t="s">
        <v>74</v>
      </c>
      <c r="X264" s="1" t="s">
        <v>74</v>
      </c>
      <c r="Y264" s="1" t="s">
        <v>74</v>
      </c>
      <c r="Z264" s="1" t="s">
        <v>74</v>
      </c>
      <c r="AA264" s="1" t="s">
        <v>2675</v>
      </c>
      <c r="AB264" s="1" t="s">
        <v>2676</v>
      </c>
      <c r="AC264" s="1" t="s">
        <v>74</v>
      </c>
      <c r="AD264" s="1" t="s">
        <v>74</v>
      </c>
      <c r="AE264" s="1" t="s">
        <v>74</v>
      </c>
      <c r="AF264" s="1" t="s">
        <v>74</v>
      </c>
      <c r="AG264" s="1" t="s">
        <v>74</v>
      </c>
      <c r="AH264" s="1" t="s">
        <v>74</v>
      </c>
      <c r="AI264" s="1" t="s">
        <v>74</v>
      </c>
      <c r="AJ264" s="1" t="s">
        <v>74</v>
      </c>
      <c r="AK264" s="1" t="s">
        <v>74</v>
      </c>
      <c r="AL264" s="1" t="s">
        <v>74</v>
      </c>
      <c r="AM264" s="1" t="s">
        <v>74</v>
      </c>
      <c r="AN264" s="1" t="s">
        <v>74</v>
      </c>
      <c r="AO264" s="1" t="s">
        <v>74</v>
      </c>
      <c r="AP264" s="1" t="s">
        <v>988</v>
      </c>
      <c r="AQ264" s="1" t="s">
        <v>74</v>
      </c>
      <c r="AR264" s="1" t="s">
        <v>74</v>
      </c>
      <c r="AS264" s="1" t="s">
        <v>74</v>
      </c>
      <c r="AT264" s="1" t="s">
        <v>650</v>
      </c>
      <c r="AU264" s="1">
        <v>2020.0</v>
      </c>
      <c r="AV264" s="1">
        <v>12.0</v>
      </c>
      <c r="AW264" s="1">
        <v>3.0</v>
      </c>
      <c r="AX264" s="1" t="s">
        <v>74</v>
      </c>
      <c r="AY264" s="1" t="s">
        <v>74</v>
      </c>
      <c r="AZ264" s="1" t="s">
        <v>74</v>
      </c>
      <c r="BA264" s="1" t="s">
        <v>74</v>
      </c>
      <c r="BB264" s="1" t="s">
        <v>74</v>
      </c>
      <c r="BC264" s="1" t="s">
        <v>74</v>
      </c>
      <c r="BD264" s="1">
        <v>435.0</v>
      </c>
      <c r="BE264" s="1" t="s">
        <v>2677</v>
      </c>
      <c r="BF264" s="2" t="str">
        <f>HYPERLINK("http://dx.doi.org/10.3390/sym12030435","http://dx.doi.org/10.3390/sym12030435")</f>
        <v>http://dx.doi.org/10.3390/sym12030435</v>
      </c>
      <c r="BG264" s="1" t="s">
        <v>74</v>
      </c>
      <c r="BH264" s="1" t="s">
        <v>74</v>
      </c>
      <c r="BI264" s="1" t="s">
        <v>74</v>
      </c>
      <c r="BJ264" s="1" t="s">
        <v>74</v>
      </c>
      <c r="BK264" s="1" t="s">
        <v>74</v>
      </c>
      <c r="BL264" s="1" t="s">
        <v>74</v>
      </c>
      <c r="BM264" s="1" t="s">
        <v>74</v>
      </c>
      <c r="BN264" s="1" t="s">
        <v>74</v>
      </c>
      <c r="BO264" s="1" t="s">
        <v>74</v>
      </c>
      <c r="BP264" s="1" t="s">
        <v>74</v>
      </c>
      <c r="BQ264" s="1" t="s">
        <v>74</v>
      </c>
      <c r="BR264" s="1" t="s">
        <v>74</v>
      </c>
      <c r="BS264" s="1" t="s">
        <v>2678</v>
      </c>
      <c r="BT264" s="1" t="str">
        <f>HYPERLINK("https%3A%2F%2Fwww.webofscience.com%2Fwos%2Fwoscc%2Ffull-record%2FWOS:000525824300110","View Full Record in Web of Science")</f>
        <v>View Full Record in Web of Science</v>
      </c>
    </row>
    <row r="265" ht="12.75" customHeight="1">
      <c r="A265" s="1" t="s">
        <v>72</v>
      </c>
      <c r="B265" s="1" t="s">
        <v>2679</v>
      </c>
      <c r="C265" s="1" t="s">
        <v>74</v>
      </c>
      <c r="D265" s="1" t="s">
        <v>74</v>
      </c>
      <c r="E265" s="1" t="s">
        <v>74</v>
      </c>
      <c r="F265" s="1" t="s">
        <v>2680</v>
      </c>
      <c r="G265" s="1" t="s">
        <v>74</v>
      </c>
      <c r="H265" s="1" t="s">
        <v>74</v>
      </c>
      <c r="I265" s="1" t="s">
        <v>2681</v>
      </c>
      <c r="J265" s="1" t="s">
        <v>2682</v>
      </c>
      <c r="K265" s="1" t="s">
        <v>74</v>
      </c>
      <c r="L265" s="1" t="s">
        <v>74</v>
      </c>
      <c r="M265" s="1" t="s">
        <v>74</v>
      </c>
      <c r="N265" s="1" t="s">
        <v>74</v>
      </c>
      <c r="O265" s="1" t="s">
        <v>74</v>
      </c>
      <c r="P265" s="1" t="s">
        <v>74</v>
      </c>
      <c r="Q265" s="1" t="s">
        <v>74</v>
      </c>
      <c r="R265" s="1" t="s">
        <v>74</v>
      </c>
      <c r="S265" s="1" t="s">
        <v>74</v>
      </c>
      <c r="T265" s="1" t="s">
        <v>74</v>
      </c>
      <c r="U265" s="1" t="s">
        <v>74</v>
      </c>
      <c r="V265" s="1" t="s">
        <v>2683</v>
      </c>
      <c r="W265" s="1" t="s">
        <v>74</v>
      </c>
      <c r="X265" s="1" t="s">
        <v>74</v>
      </c>
      <c r="Y265" s="1" t="s">
        <v>74</v>
      </c>
      <c r="Z265" s="1" t="s">
        <v>74</v>
      </c>
      <c r="AA265" s="1" t="s">
        <v>2684</v>
      </c>
      <c r="AB265" s="1" t="s">
        <v>2685</v>
      </c>
      <c r="AC265" s="1" t="s">
        <v>74</v>
      </c>
      <c r="AD265" s="1" t="s">
        <v>74</v>
      </c>
      <c r="AE265" s="1" t="s">
        <v>74</v>
      </c>
      <c r="AF265" s="1" t="s">
        <v>74</v>
      </c>
      <c r="AG265" s="1" t="s">
        <v>74</v>
      </c>
      <c r="AH265" s="1" t="s">
        <v>74</v>
      </c>
      <c r="AI265" s="1" t="s">
        <v>74</v>
      </c>
      <c r="AJ265" s="1" t="s">
        <v>74</v>
      </c>
      <c r="AK265" s="1" t="s">
        <v>74</v>
      </c>
      <c r="AL265" s="1" t="s">
        <v>74</v>
      </c>
      <c r="AM265" s="1" t="s">
        <v>74</v>
      </c>
      <c r="AN265" s="1" t="s">
        <v>74</v>
      </c>
      <c r="AO265" s="1" t="s">
        <v>2686</v>
      </c>
      <c r="AP265" s="1" t="s">
        <v>2687</v>
      </c>
      <c r="AQ265" s="1" t="s">
        <v>74</v>
      </c>
      <c r="AR265" s="1" t="s">
        <v>74</v>
      </c>
      <c r="AS265" s="1" t="s">
        <v>74</v>
      </c>
      <c r="AT265" s="1" t="s">
        <v>459</v>
      </c>
      <c r="AU265" s="1">
        <v>2020.0</v>
      </c>
      <c r="AV265" s="1">
        <v>95.0</v>
      </c>
      <c r="AW265" s="1">
        <v>9.0</v>
      </c>
      <c r="AX265" s="1" t="s">
        <v>74</v>
      </c>
      <c r="AY265" s="1" t="s">
        <v>74</v>
      </c>
      <c r="AZ265" s="1" t="s">
        <v>74</v>
      </c>
      <c r="BA265" s="1" t="s">
        <v>74</v>
      </c>
      <c r="BB265" s="1">
        <v>2335.0</v>
      </c>
      <c r="BC265" s="1">
        <v>2347.0</v>
      </c>
      <c r="BD265" s="1" t="s">
        <v>74</v>
      </c>
      <c r="BE265" s="1" t="s">
        <v>2688</v>
      </c>
      <c r="BF265" s="2" t="str">
        <f>HYPERLINK("http://dx.doi.org/10.1002/jctb.6336","http://dx.doi.org/10.1002/jctb.6336")</f>
        <v>http://dx.doi.org/10.1002/jctb.6336</v>
      </c>
      <c r="BG265" s="1" t="s">
        <v>74</v>
      </c>
      <c r="BH265" s="1" t="s">
        <v>2689</v>
      </c>
      <c r="BI265" s="1" t="s">
        <v>74</v>
      </c>
      <c r="BJ265" s="1" t="s">
        <v>74</v>
      </c>
      <c r="BK265" s="1" t="s">
        <v>74</v>
      </c>
      <c r="BL265" s="1" t="s">
        <v>74</v>
      </c>
      <c r="BM265" s="1" t="s">
        <v>74</v>
      </c>
      <c r="BN265" s="1" t="s">
        <v>74</v>
      </c>
      <c r="BO265" s="1" t="s">
        <v>74</v>
      </c>
      <c r="BP265" s="1" t="s">
        <v>74</v>
      </c>
      <c r="BQ265" s="1" t="s">
        <v>74</v>
      </c>
      <c r="BR265" s="1" t="s">
        <v>74</v>
      </c>
      <c r="BS265" s="1" t="s">
        <v>2690</v>
      </c>
      <c r="BT265" s="1" t="str">
        <f>HYPERLINK("https%3A%2F%2Fwww.webofscience.com%2Fwos%2Fwoscc%2Ffull-record%2FWOS:000508758500001","View Full Record in Web of Science")</f>
        <v>View Full Record in Web of Science</v>
      </c>
    </row>
    <row r="266" ht="12.75" customHeight="1">
      <c r="A266" s="1" t="s">
        <v>72</v>
      </c>
      <c r="B266" s="1" t="s">
        <v>2691</v>
      </c>
      <c r="C266" s="1" t="s">
        <v>74</v>
      </c>
      <c r="D266" s="1" t="s">
        <v>74</v>
      </c>
      <c r="E266" s="1" t="s">
        <v>74</v>
      </c>
      <c r="F266" s="1" t="s">
        <v>2692</v>
      </c>
      <c r="G266" s="1" t="s">
        <v>74</v>
      </c>
      <c r="H266" s="1" t="s">
        <v>74</v>
      </c>
      <c r="I266" s="1" t="s">
        <v>2693</v>
      </c>
      <c r="J266" s="1" t="s">
        <v>2694</v>
      </c>
      <c r="K266" s="1" t="s">
        <v>74</v>
      </c>
      <c r="L266" s="1" t="s">
        <v>74</v>
      </c>
      <c r="M266" s="1" t="s">
        <v>74</v>
      </c>
      <c r="N266" s="1" t="s">
        <v>74</v>
      </c>
      <c r="O266" s="1" t="s">
        <v>74</v>
      </c>
      <c r="P266" s="1" t="s">
        <v>74</v>
      </c>
      <c r="Q266" s="1" t="s">
        <v>74</v>
      </c>
      <c r="R266" s="1" t="s">
        <v>74</v>
      </c>
      <c r="S266" s="1" t="s">
        <v>74</v>
      </c>
      <c r="T266" s="1" t="s">
        <v>74</v>
      </c>
      <c r="U266" s="1" t="s">
        <v>74</v>
      </c>
      <c r="V266" s="1" t="s">
        <v>2695</v>
      </c>
      <c r="W266" s="1" t="s">
        <v>74</v>
      </c>
      <c r="X266" s="1" t="s">
        <v>74</v>
      </c>
      <c r="Y266" s="1" t="s">
        <v>74</v>
      </c>
      <c r="Z266" s="1" t="s">
        <v>74</v>
      </c>
      <c r="AA266" s="1" t="s">
        <v>2696</v>
      </c>
      <c r="AB266" s="1" t="s">
        <v>1922</v>
      </c>
      <c r="AC266" s="1" t="s">
        <v>74</v>
      </c>
      <c r="AD266" s="1" t="s">
        <v>74</v>
      </c>
      <c r="AE266" s="1" t="s">
        <v>74</v>
      </c>
      <c r="AF266" s="1" t="s">
        <v>74</v>
      </c>
      <c r="AG266" s="1" t="s">
        <v>74</v>
      </c>
      <c r="AH266" s="1" t="s">
        <v>74</v>
      </c>
      <c r="AI266" s="1" t="s">
        <v>74</v>
      </c>
      <c r="AJ266" s="1" t="s">
        <v>74</v>
      </c>
      <c r="AK266" s="1" t="s">
        <v>74</v>
      </c>
      <c r="AL266" s="1" t="s">
        <v>74</v>
      </c>
      <c r="AM266" s="1" t="s">
        <v>74</v>
      </c>
      <c r="AN266" s="1" t="s">
        <v>74</v>
      </c>
      <c r="AO266" s="1" t="s">
        <v>2697</v>
      </c>
      <c r="AP266" s="1" t="s">
        <v>2698</v>
      </c>
      <c r="AQ266" s="1" t="s">
        <v>74</v>
      </c>
      <c r="AR266" s="1" t="s">
        <v>74</v>
      </c>
      <c r="AS266" s="1" t="s">
        <v>74</v>
      </c>
      <c r="AT266" s="1" t="s">
        <v>169</v>
      </c>
      <c r="AU266" s="1">
        <v>2020.0</v>
      </c>
      <c r="AV266" s="1">
        <v>118.0</v>
      </c>
      <c r="AW266" s="1" t="s">
        <v>74</v>
      </c>
      <c r="AX266" s="1" t="s">
        <v>74</v>
      </c>
      <c r="AY266" s="1" t="s">
        <v>74</v>
      </c>
      <c r="AZ266" s="1" t="s">
        <v>74</v>
      </c>
      <c r="BA266" s="1" t="s">
        <v>74</v>
      </c>
      <c r="BB266" s="1" t="s">
        <v>74</v>
      </c>
      <c r="BC266" s="1" t="s">
        <v>74</v>
      </c>
      <c r="BD266" s="1">
        <v>108746.0</v>
      </c>
      <c r="BE266" s="1" t="s">
        <v>2699</v>
      </c>
      <c r="BF266" s="2" t="str">
        <f>HYPERLINK("http://dx.doi.org/10.1016/j.lwt.2019.108746","http://dx.doi.org/10.1016/j.lwt.2019.108746")</f>
        <v>http://dx.doi.org/10.1016/j.lwt.2019.108746</v>
      </c>
      <c r="BG266" s="1" t="s">
        <v>74</v>
      </c>
      <c r="BH266" s="1" t="s">
        <v>74</v>
      </c>
      <c r="BI266" s="1" t="s">
        <v>74</v>
      </c>
      <c r="BJ266" s="1" t="s">
        <v>74</v>
      </c>
      <c r="BK266" s="1" t="s">
        <v>74</v>
      </c>
      <c r="BL266" s="1" t="s">
        <v>74</v>
      </c>
      <c r="BM266" s="1" t="s">
        <v>74</v>
      </c>
      <c r="BN266" s="1" t="s">
        <v>74</v>
      </c>
      <c r="BO266" s="1" t="s">
        <v>74</v>
      </c>
      <c r="BP266" s="1" t="s">
        <v>74</v>
      </c>
      <c r="BQ266" s="1" t="s">
        <v>74</v>
      </c>
      <c r="BR266" s="1" t="s">
        <v>74</v>
      </c>
      <c r="BS266" s="1" t="s">
        <v>2700</v>
      </c>
      <c r="BT266" s="1" t="str">
        <f>HYPERLINK("https%3A%2F%2Fwww.webofscience.com%2Fwos%2Fwoscc%2Ffull-record%2FWOS:000503313900033","View Full Record in Web of Science")</f>
        <v>View Full Record in Web of Science</v>
      </c>
    </row>
    <row r="267" ht="12.75" customHeight="1">
      <c r="A267" s="1" t="s">
        <v>251</v>
      </c>
      <c r="B267" s="1" t="s">
        <v>2701</v>
      </c>
      <c r="C267" s="1" t="s">
        <v>74</v>
      </c>
      <c r="D267" s="1" t="s">
        <v>74</v>
      </c>
      <c r="E267" s="1" t="s">
        <v>253</v>
      </c>
      <c r="F267" s="1" t="s">
        <v>2702</v>
      </c>
      <c r="G267" s="1" t="s">
        <v>74</v>
      </c>
      <c r="H267" s="1" t="s">
        <v>74</v>
      </c>
      <c r="I267" s="1" t="s">
        <v>2703</v>
      </c>
      <c r="J267" s="1" t="s">
        <v>2704</v>
      </c>
      <c r="K267" s="1" t="s">
        <v>74</v>
      </c>
      <c r="L267" s="1" t="s">
        <v>74</v>
      </c>
      <c r="M267" s="1" t="s">
        <v>74</v>
      </c>
      <c r="N267" s="1" t="s">
        <v>74</v>
      </c>
      <c r="O267" s="1" t="s">
        <v>2705</v>
      </c>
      <c r="P267" s="1" t="s">
        <v>2706</v>
      </c>
      <c r="Q267" s="1" t="s">
        <v>2707</v>
      </c>
      <c r="R267" s="1" t="s">
        <v>2708</v>
      </c>
      <c r="S267" s="1" t="s">
        <v>74</v>
      </c>
      <c r="T267" s="1" t="s">
        <v>74</v>
      </c>
      <c r="U267" s="1" t="s">
        <v>74</v>
      </c>
      <c r="V267" s="1" t="s">
        <v>2709</v>
      </c>
      <c r="W267" s="1" t="s">
        <v>74</v>
      </c>
      <c r="X267" s="1" t="s">
        <v>74</v>
      </c>
      <c r="Y267" s="1" t="s">
        <v>74</v>
      </c>
      <c r="Z267" s="1" t="s">
        <v>74</v>
      </c>
      <c r="AA267" s="1" t="s">
        <v>2710</v>
      </c>
      <c r="AB267" s="1" t="s">
        <v>2711</v>
      </c>
      <c r="AC267" s="1" t="s">
        <v>74</v>
      </c>
      <c r="AD267" s="1" t="s">
        <v>74</v>
      </c>
      <c r="AE267" s="1" t="s">
        <v>74</v>
      </c>
      <c r="AF267" s="1" t="s">
        <v>74</v>
      </c>
      <c r="AG267" s="1" t="s">
        <v>74</v>
      </c>
      <c r="AH267" s="1" t="s">
        <v>74</v>
      </c>
      <c r="AI267" s="1" t="s">
        <v>74</v>
      </c>
      <c r="AJ267" s="1" t="s">
        <v>74</v>
      </c>
      <c r="AK267" s="1" t="s">
        <v>74</v>
      </c>
      <c r="AL267" s="1" t="s">
        <v>74</v>
      </c>
      <c r="AM267" s="1" t="s">
        <v>74</v>
      </c>
      <c r="AN267" s="1" t="s">
        <v>74</v>
      </c>
      <c r="AO267" s="1" t="s">
        <v>74</v>
      </c>
      <c r="AP267" s="1" t="s">
        <v>74</v>
      </c>
      <c r="AQ267" s="1" t="s">
        <v>2712</v>
      </c>
      <c r="AR267" s="1" t="s">
        <v>74</v>
      </c>
      <c r="AS267" s="1" t="s">
        <v>74</v>
      </c>
      <c r="AT267" s="1" t="s">
        <v>74</v>
      </c>
      <c r="AU267" s="1">
        <v>2020.0</v>
      </c>
      <c r="AV267" s="1" t="s">
        <v>74</v>
      </c>
      <c r="AW267" s="1" t="s">
        <v>74</v>
      </c>
      <c r="AX267" s="1" t="s">
        <v>74</v>
      </c>
      <c r="AY267" s="1" t="s">
        <v>74</v>
      </c>
      <c r="AZ267" s="1" t="s">
        <v>74</v>
      </c>
      <c r="BA267" s="1" t="s">
        <v>74</v>
      </c>
      <c r="BB267" s="1">
        <v>7.0</v>
      </c>
      <c r="BC267" s="1">
        <v>11.0</v>
      </c>
      <c r="BD267" s="1" t="s">
        <v>74</v>
      </c>
      <c r="BE267" s="1" t="s">
        <v>2713</v>
      </c>
      <c r="BF267" s="2" t="str">
        <f>HYPERLINK("http://dx.doi.org/10.1109/sacvlc50805.2020.9129891","http://dx.doi.org/10.1109/sacvlc50805.2020.9129891")</f>
        <v>http://dx.doi.org/10.1109/sacvlc50805.2020.9129891</v>
      </c>
      <c r="BG267" s="1" t="s">
        <v>74</v>
      </c>
      <c r="BH267" s="1" t="s">
        <v>74</v>
      </c>
      <c r="BI267" s="1" t="s">
        <v>74</v>
      </c>
      <c r="BJ267" s="1" t="s">
        <v>74</v>
      </c>
      <c r="BK267" s="1" t="s">
        <v>74</v>
      </c>
      <c r="BL267" s="1" t="s">
        <v>74</v>
      </c>
      <c r="BM267" s="1" t="s">
        <v>74</v>
      </c>
      <c r="BN267" s="1" t="s">
        <v>74</v>
      </c>
      <c r="BO267" s="1" t="s">
        <v>74</v>
      </c>
      <c r="BP267" s="1" t="s">
        <v>74</v>
      </c>
      <c r="BQ267" s="1" t="s">
        <v>74</v>
      </c>
      <c r="BR267" s="1" t="s">
        <v>74</v>
      </c>
      <c r="BS267" s="1" t="s">
        <v>2714</v>
      </c>
      <c r="BT267" s="1" t="str">
        <f>HYPERLINK("https%3A%2F%2Fwww.webofscience.com%2Fwos%2Fwoscc%2Ffull-record%2FWOS:000856038700002","View Full Record in Web of Science")</f>
        <v>View Full Record in Web of Science</v>
      </c>
    </row>
    <row r="268" ht="12.75" customHeight="1">
      <c r="A268" s="1" t="s">
        <v>72</v>
      </c>
      <c r="B268" s="1" t="s">
        <v>2715</v>
      </c>
      <c r="C268" s="1" t="s">
        <v>74</v>
      </c>
      <c r="D268" s="1" t="s">
        <v>74</v>
      </c>
      <c r="E268" s="1" t="s">
        <v>74</v>
      </c>
      <c r="F268" s="1" t="s">
        <v>2716</v>
      </c>
      <c r="G268" s="1" t="s">
        <v>74</v>
      </c>
      <c r="H268" s="1" t="s">
        <v>74</v>
      </c>
      <c r="I268" s="1" t="s">
        <v>2717</v>
      </c>
      <c r="J268" s="1" t="s">
        <v>2718</v>
      </c>
      <c r="K268" s="1" t="s">
        <v>74</v>
      </c>
      <c r="L268" s="1" t="s">
        <v>74</v>
      </c>
      <c r="M268" s="1" t="s">
        <v>74</v>
      </c>
      <c r="N268" s="1" t="s">
        <v>74</v>
      </c>
      <c r="O268" s="1" t="s">
        <v>74</v>
      </c>
      <c r="P268" s="1" t="s">
        <v>74</v>
      </c>
      <c r="Q268" s="1" t="s">
        <v>74</v>
      </c>
      <c r="R268" s="1" t="s">
        <v>74</v>
      </c>
      <c r="S268" s="1" t="s">
        <v>74</v>
      </c>
      <c r="T268" s="1" t="s">
        <v>74</v>
      </c>
      <c r="U268" s="1" t="s">
        <v>74</v>
      </c>
      <c r="V268" s="1" t="s">
        <v>2719</v>
      </c>
      <c r="W268" s="1" t="s">
        <v>74</v>
      </c>
      <c r="X268" s="1" t="s">
        <v>74</v>
      </c>
      <c r="Y268" s="1" t="s">
        <v>74</v>
      </c>
      <c r="Z268" s="1" t="s">
        <v>74</v>
      </c>
      <c r="AA268" s="1" t="s">
        <v>2720</v>
      </c>
      <c r="AB268" s="1" t="s">
        <v>2721</v>
      </c>
      <c r="AC268" s="1" t="s">
        <v>74</v>
      </c>
      <c r="AD268" s="1" t="s">
        <v>74</v>
      </c>
      <c r="AE268" s="1" t="s">
        <v>74</v>
      </c>
      <c r="AF268" s="1" t="s">
        <v>74</v>
      </c>
      <c r="AG268" s="1" t="s">
        <v>74</v>
      </c>
      <c r="AH268" s="1" t="s">
        <v>74</v>
      </c>
      <c r="AI268" s="1" t="s">
        <v>74</v>
      </c>
      <c r="AJ268" s="1" t="s">
        <v>74</v>
      </c>
      <c r="AK268" s="1" t="s">
        <v>74</v>
      </c>
      <c r="AL268" s="1" t="s">
        <v>74</v>
      </c>
      <c r="AM268" s="1" t="s">
        <v>74</v>
      </c>
      <c r="AN268" s="1" t="s">
        <v>74</v>
      </c>
      <c r="AO268" s="1" t="s">
        <v>74</v>
      </c>
      <c r="AP268" s="1" t="s">
        <v>2722</v>
      </c>
      <c r="AQ268" s="1" t="s">
        <v>74</v>
      </c>
      <c r="AR268" s="1" t="s">
        <v>74</v>
      </c>
      <c r="AS268" s="1" t="s">
        <v>74</v>
      </c>
      <c r="AT268" s="1" t="s">
        <v>74</v>
      </c>
      <c r="AU268" s="1">
        <v>2020.0</v>
      </c>
      <c r="AV268" s="1">
        <v>22.0</v>
      </c>
      <c r="AW268" s="1" t="s">
        <v>74</v>
      </c>
      <c r="AX268" s="1" t="s">
        <v>74</v>
      </c>
      <c r="AY268" s="1" t="s">
        <v>74</v>
      </c>
      <c r="AZ268" s="1" t="s">
        <v>74</v>
      </c>
      <c r="BA268" s="1" t="s">
        <v>74</v>
      </c>
      <c r="BB268" s="1" t="s">
        <v>74</v>
      </c>
      <c r="BC268" s="1" t="s">
        <v>74</v>
      </c>
      <c r="BD268" s="1" t="s">
        <v>2723</v>
      </c>
      <c r="BE268" s="1" t="s">
        <v>2724</v>
      </c>
      <c r="BF268" s="2" t="str">
        <f>HYPERLINK("http://dx.doi.org/10.24320/redie.2020.22.e21.2513","http://dx.doi.org/10.24320/redie.2020.22.e21.2513")</f>
        <v>http://dx.doi.org/10.24320/redie.2020.22.e21.2513</v>
      </c>
      <c r="BG268" s="1" t="s">
        <v>74</v>
      </c>
      <c r="BH268" s="1" t="s">
        <v>74</v>
      </c>
      <c r="BI268" s="1" t="s">
        <v>74</v>
      </c>
      <c r="BJ268" s="1" t="s">
        <v>74</v>
      </c>
      <c r="BK268" s="1" t="s">
        <v>74</v>
      </c>
      <c r="BL268" s="1" t="s">
        <v>74</v>
      </c>
      <c r="BM268" s="1" t="s">
        <v>74</v>
      </c>
      <c r="BN268" s="1" t="s">
        <v>74</v>
      </c>
      <c r="BO268" s="1" t="s">
        <v>74</v>
      </c>
      <c r="BP268" s="1" t="s">
        <v>74</v>
      </c>
      <c r="BQ268" s="1" t="s">
        <v>74</v>
      </c>
      <c r="BR268" s="1" t="s">
        <v>74</v>
      </c>
      <c r="BS268" s="1" t="s">
        <v>2725</v>
      </c>
      <c r="BT268" s="1" t="str">
        <f>HYPERLINK("https%3A%2F%2Fwww.webofscience.com%2Fwos%2Fwoscc%2Ffull-record%2FWOS:000564733500001","View Full Record in Web of Science")</f>
        <v>View Full Record in Web of Science</v>
      </c>
    </row>
    <row r="269" ht="12.75" customHeight="1">
      <c r="A269" s="1" t="s">
        <v>72</v>
      </c>
      <c r="B269" s="1" t="s">
        <v>2726</v>
      </c>
      <c r="C269" s="1" t="s">
        <v>74</v>
      </c>
      <c r="D269" s="1" t="s">
        <v>74</v>
      </c>
      <c r="E269" s="1" t="s">
        <v>74</v>
      </c>
      <c r="F269" s="1" t="s">
        <v>2727</v>
      </c>
      <c r="G269" s="1" t="s">
        <v>74</v>
      </c>
      <c r="H269" s="1" t="s">
        <v>74</v>
      </c>
      <c r="I269" s="1" t="s">
        <v>2728</v>
      </c>
      <c r="J269" s="1" t="s">
        <v>2729</v>
      </c>
      <c r="K269" s="1" t="s">
        <v>74</v>
      </c>
      <c r="L269" s="1" t="s">
        <v>74</v>
      </c>
      <c r="M269" s="1" t="s">
        <v>74</v>
      </c>
      <c r="N269" s="1" t="s">
        <v>74</v>
      </c>
      <c r="O269" s="1" t="s">
        <v>74</v>
      </c>
      <c r="P269" s="1" t="s">
        <v>74</v>
      </c>
      <c r="Q269" s="1" t="s">
        <v>74</v>
      </c>
      <c r="R269" s="1" t="s">
        <v>74</v>
      </c>
      <c r="S269" s="1" t="s">
        <v>74</v>
      </c>
      <c r="T269" s="1" t="s">
        <v>74</v>
      </c>
      <c r="U269" s="1" t="s">
        <v>74</v>
      </c>
      <c r="V269" s="1" t="s">
        <v>2730</v>
      </c>
      <c r="W269" s="1" t="s">
        <v>74</v>
      </c>
      <c r="X269" s="1" t="s">
        <v>74</v>
      </c>
      <c r="Y269" s="1" t="s">
        <v>74</v>
      </c>
      <c r="Z269" s="1" t="s">
        <v>74</v>
      </c>
      <c r="AA269" s="1" t="s">
        <v>2731</v>
      </c>
      <c r="AB269" s="1" t="s">
        <v>2732</v>
      </c>
      <c r="AC269" s="1" t="s">
        <v>74</v>
      </c>
      <c r="AD269" s="1" t="s">
        <v>74</v>
      </c>
      <c r="AE269" s="1" t="s">
        <v>74</v>
      </c>
      <c r="AF269" s="1" t="s">
        <v>74</v>
      </c>
      <c r="AG269" s="1" t="s">
        <v>74</v>
      </c>
      <c r="AH269" s="1" t="s">
        <v>74</v>
      </c>
      <c r="AI269" s="1" t="s">
        <v>74</v>
      </c>
      <c r="AJ269" s="1" t="s">
        <v>74</v>
      </c>
      <c r="AK269" s="1" t="s">
        <v>74</v>
      </c>
      <c r="AL269" s="1" t="s">
        <v>74</v>
      </c>
      <c r="AM269" s="1" t="s">
        <v>74</v>
      </c>
      <c r="AN269" s="1" t="s">
        <v>74</v>
      </c>
      <c r="AO269" s="1" t="s">
        <v>2733</v>
      </c>
      <c r="AP269" s="1" t="s">
        <v>74</v>
      </c>
      <c r="AQ269" s="1" t="s">
        <v>74</v>
      </c>
      <c r="AR269" s="1" t="s">
        <v>74</v>
      </c>
      <c r="AS269" s="1" t="s">
        <v>74</v>
      </c>
      <c r="AT269" s="1" t="s">
        <v>2734</v>
      </c>
      <c r="AU269" s="1">
        <v>2019.0</v>
      </c>
      <c r="AV269" s="1">
        <v>6.0</v>
      </c>
      <c r="AW269" s="1">
        <v>18.0</v>
      </c>
      <c r="AX269" s="1" t="s">
        <v>74</v>
      </c>
      <c r="AY269" s="1" t="s">
        <v>74</v>
      </c>
      <c r="AZ269" s="1" t="s">
        <v>74</v>
      </c>
      <c r="BA269" s="1" t="s">
        <v>74</v>
      </c>
      <c r="BB269" s="1">
        <v>4801.0</v>
      </c>
      <c r="BC269" s="1">
        <v>4810.0</v>
      </c>
      <c r="BD269" s="1" t="s">
        <v>74</v>
      </c>
      <c r="BE269" s="1" t="s">
        <v>2735</v>
      </c>
      <c r="BF269" s="2" t="str">
        <f>HYPERLINK("http://dx.doi.org/10.1002/celc.201901218","http://dx.doi.org/10.1002/celc.201901218")</f>
        <v>http://dx.doi.org/10.1002/celc.201901218</v>
      </c>
      <c r="BG269" s="1" t="s">
        <v>74</v>
      </c>
      <c r="BH269" s="1" t="s">
        <v>74</v>
      </c>
      <c r="BI269" s="1" t="s">
        <v>74</v>
      </c>
      <c r="BJ269" s="1" t="s">
        <v>74</v>
      </c>
      <c r="BK269" s="1" t="s">
        <v>74</v>
      </c>
      <c r="BL269" s="1" t="s">
        <v>74</v>
      </c>
      <c r="BM269" s="1" t="s">
        <v>74</v>
      </c>
      <c r="BN269" s="1" t="s">
        <v>74</v>
      </c>
      <c r="BO269" s="1" t="s">
        <v>74</v>
      </c>
      <c r="BP269" s="1" t="s">
        <v>74</v>
      </c>
      <c r="BQ269" s="1" t="s">
        <v>74</v>
      </c>
      <c r="BR269" s="1" t="s">
        <v>74</v>
      </c>
      <c r="BS269" s="1" t="s">
        <v>2736</v>
      </c>
      <c r="BT269" s="1" t="str">
        <f>HYPERLINK("https%3A%2F%2Fwww.webofscience.com%2Fwos%2Fwoscc%2Ffull-record%2FWOS:000487858400010","View Full Record in Web of Science")</f>
        <v>View Full Record in Web of Science</v>
      </c>
    </row>
    <row r="270" ht="12.75" customHeight="1">
      <c r="A270" s="1" t="s">
        <v>72</v>
      </c>
      <c r="B270" s="1" t="s">
        <v>2737</v>
      </c>
      <c r="C270" s="1" t="s">
        <v>74</v>
      </c>
      <c r="D270" s="1" t="s">
        <v>74</v>
      </c>
      <c r="E270" s="1" t="s">
        <v>74</v>
      </c>
      <c r="F270" s="1" t="s">
        <v>2738</v>
      </c>
      <c r="G270" s="1" t="s">
        <v>74</v>
      </c>
      <c r="H270" s="1" t="s">
        <v>74</v>
      </c>
      <c r="I270" s="1" t="s">
        <v>2739</v>
      </c>
      <c r="J270" s="1" t="s">
        <v>2740</v>
      </c>
      <c r="K270" s="1" t="s">
        <v>74</v>
      </c>
      <c r="L270" s="1" t="s">
        <v>74</v>
      </c>
      <c r="M270" s="1" t="s">
        <v>74</v>
      </c>
      <c r="N270" s="1" t="s">
        <v>74</v>
      </c>
      <c r="O270" s="1" t="s">
        <v>74</v>
      </c>
      <c r="P270" s="1" t="s">
        <v>74</v>
      </c>
      <c r="Q270" s="1" t="s">
        <v>74</v>
      </c>
      <c r="R270" s="1" t="s">
        <v>74</v>
      </c>
      <c r="S270" s="1" t="s">
        <v>74</v>
      </c>
      <c r="T270" s="1" t="s">
        <v>74</v>
      </c>
      <c r="U270" s="1" t="s">
        <v>74</v>
      </c>
      <c r="V270" s="1" t="s">
        <v>2741</v>
      </c>
      <c r="W270" s="1" t="s">
        <v>74</v>
      </c>
      <c r="X270" s="1" t="s">
        <v>74</v>
      </c>
      <c r="Y270" s="1" t="s">
        <v>74</v>
      </c>
      <c r="Z270" s="1" t="s">
        <v>74</v>
      </c>
      <c r="AA270" s="1" t="s">
        <v>1206</v>
      </c>
      <c r="AB270" s="1" t="s">
        <v>2742</v>
      </c>
      <c r="AC270" s="1" t="s">
        <v>74</v>
      </c>
      <c r="AD270" s="1" t="s">
        <v>74</v>
      </c>
      <c r="AE270" s="1" t="s">
        <v>74</v>
      </c>
      <c r="AF270" s="1" t="s">
        <v>74</v>
      </c>
      <c r="AG270" s="1" t="s">
        <v>74</v>
      </c>
      <c r="AH270" s="1" t="s">
        <v>74</v>
      </c>
      <c r="AI270" s="1" t="s">
        <v>74</v>
      </c>
      <c r="AJ270" s="1" t="s">
        <v>74</v>
      </c>
      <c r="AK270" s="1" t="s">
        <v>74</v>
      </c>
      <c r="AL270" s="1" t="s">
        <v>74</v>
      </c>
      <c r="AM270" s="1" t="s">
        <v>74</v>
      </c>
      <c r="AN270" s="1" t="s">
        <v>74</v>
      </c>
      <c r="AO270" s="1" t="s">
        <v>2743</v>
      </c>
      <c r="AP270" s="1" t="s">
        <v>2744</v>
      </c>
      <c r="AQ270" s="1" t="s">
        <v>74</v>
      </c>
      <c r="AR270" s="1" t="s">
        <v>74</v>
      </c>
      <c r="AS270" s="1" t="s">
        <v>74</v>
      </c>
      <c r="AT270" s="1" t="s">
        <v>852</v>
      </c>
      <c r="AU270" s="1">
        <v>2019.0</v>
      </c>
      <c r="AV270" s="1">
        <v>75.0</v>
      </c>
      <c r="AW270" s="1" t="s">
        <v>74</v>
      </c>
      <c r="AX270" s="1" t="s">
        <v>74</v>
      </c>
      <c r="AY270" s="1" t="s">
        <v>74</v>
      </c>
      <c r="AZ270" s="1" t="s">
        <v>74</v>
      </c>
      <c r="BA270" s="1" t="s">
        <v>74</v>
      </c>
      <c r="BB270" s="1">
        <v>286.0</v>
      </c>
      <c r="BC270" s="1">
        <v>299.0</v>
      </c>
      <c r="BD270" s="1" t="s">
        <v>74</v>
      </c>
      <c r="BE270" s="1" t="s">
        <v>2745</v>
      </c>
      <c r="BF270" s="2" t="str">
        <f>HYPERLINK("http://dx.doi.org/10.1016/j.euromechflu.2018.10.017","http://dx.doi.org/10.1016/j.euromechflu.2018.10.017")</f>
        <v>http://dx.doi.org/10.1016/j.euromechflu.2018.10.017</v>
      </c>
      <c r="BG270" s="1" t="s">
        <v>74</v>
      </c>
      <c r="BH270" s="1" t="s">
        <v>74</v>
      </c>
      <c r="BI270" s="1" t="s">
        <v>74</v>
      </c>
      <c r="BJ270" s="1" t="s">
        <v>74</v>
      </c>
      <c r="BK270" s="1" t="s">
        <v>74</v>
      </c>
      <c r="BL270" s="1" t="s">
        <v>74</v>
      </c>
      <c r="BM270" s="1" t="s">
        <v>74</v>
      </c>
      <c r="BN270" s="1" t="s">
        <v>74</v>
      </c>
      <c r="BO270" s="1" t="s">
        <v>74</v>
      </c>
      <c r="BP270" s="1" t="s">
        <v>74</v>
      </c>
      <c r="BQ270" s="1" t="s">
        <v>74</v>
      </c>
      <c r="BR270" s="1" t="s">
        <v>74</v>
      </c>
      <c r="BS270" s="1" t="s">
        <v>2746</v>
      </c>
      <c r="BT270" s="1" t="str">
        <f>HYPERLINK("https%3A%2F%2Fwww.webofscience.com%2Fwos%2Fwoscc%2Ffull-record%2FWOS:000458710700026","View Full Record in Web of Science")</f>
        <v>View Full Record in Web of Science</v>
      </c>
    </row>
    <row r="271" ht="12.75" customHeight="1">
      <c r="A271" s="1" t="s">
        <v>72</v>
      </c>
      <c r="B271" s="1" t="s">
        <v>392</v>
      </c>
      <c r="C271" s="1" t="s">
        <v>74</v>
      </c>
      <c r="D271" s="1" t="s">
        <v>74</v>
      </c>
      <c r="E271" s="1" t="s">
        <v>74</v>
      </c>
      <c r="F271" s="1" t="s">
        <v>393</v>
      </c>
      <c r="G271" s="1" t="s">
        <v>74</v>
      </c>
      <c r="H271" s="1" t="s">
        <v>74</v>
      </c>
      <c r="I271" s="1" t="s">
        <v>2747</v>
      </c>
      <c r="J271" s="1" t="s">
        <v>2748</v>
      </c>
      <c r="K271" s="1" t="s">
        <v>74</v>
      </c>
      <c r="L271" s="1" t="s">
        <v>74</v>
      </c>
      <c r="M271" s="1" t="s">
        <v>74</v>
      </c>
      <c r="N271" s="1" t="s">
        <v>74</v>
      </c>
      <c r="O271" s="1" t="s">
        <v>74</v>
      </c>
      <c r="P271" s="1" t="s">
        <v>74</v>
      </c>
      <c r="Q271" s="1" t="s">
        <v>74</v>
      </c>
      <c r="R271" s="1" t="s">
        <v>74</v>
      </c>
      <c r="S271" s="1" t="s">
        <v>74</v>
      </c>
      <c r="T271" s="1" t="s">
        <v>74</v>
      </c>
      <c r="U271" s="1" t="s">
        <v>74</v>
      </c>
      <c r="V271" s="1" t="s">
        <v>2749</v>
      </c>
      <c r="W271" s="1" t="s">
        <v>74</v>
      </c>
      <c r="X271" s="1" t="s">
        <v>74</v>
      </c>
      <c r="Y271" s="1" t="s">
        <v>74</v>
      </c>
      <c r="Z271" s="1" t="s">
        <v>74</v>
      </c>
      <c r="AA271" s="1" t="s">
        <v>397</v>
      </c>
      <c r="AB271" s="1" t="s">
        <v>74</v>
      </c>
      <c r="AC271" s="1" t="s">
        <v>74</v>
      </c>
      <c r="AD271" s="1" t="s">
        <v>74</v>
      </c>
      <c r="AE271" s="1" t="s">
        <v>74</v>
      </c>
      <c r="AF271" s="1" t="s">
        <v>74</v>
      </c>
      <c r="AG271" s="1" t="s">
        <v>74</v>
      </c>
      <c r="AH271" s="1" t="s">
        <v>74</v>
      </c>
      <c r="AI271" s="1" t="s">
        <v>74</v>
      </c>
      <c r="AJ271" s="1" t="s">
        <v>74</v>
      </c>
      <c r="AK271" s="1" t="s">
        <v>74</v>
      </c>
      <c r="AL271" s="1" t="s">
        <v>74</v>
      </c>
      <c r="AM271" s="1" t="s">
        <v>74</v>
      </c>
      <c r="AN271" s="1" t="s">
        <v>74</v>
      </c>
      <c r="AO271" s="1" t="s">
        <v>2750</v>
      </c>
      <c r="AP271" s="1" t="s">
        <v>74</v>
      </c>
      <c r="AQ271" s="1" t="s">
        <v>74</v>
      </c>
      <c r="AR271" s="1" t="s">
        <v>74</v>
      </c>
      <c r="AS271" s="1" t="s">
        <v>74</v>
      </c>
      <c r="AT271" s="1" t="s">
        <v>110</v>
      </c>
      <c r="AU271" s="1">
        <v>2018.0</v>
      </c>
      <c r="AV271" s="1">
        <v>51.0</v>
      </c>
      <c r="AW271" s="1">
        <v>2.0</v>
      </c>
      <c r="AX271" s="1" t="s">
        <v>74</v>
      </c>
      <c r="AY271" s="1" t="s">
        <v>74</v>
      </c>
      <c r="AZ271" s="1" t="s">
        <v>74</v>
      </c>
      <c r="BA271" s="1" t="s">
        <v>74</v>
      </c>
      <c r="BB271" s="1">
        <v>455.0</v>
      </c>
      <c r="BC271" s="1">
        <v>483.0</v>
      </c>
      <c r="BD271" s="1" t="s">
        <v>74</v>
      </c>
      <c r="BE271" s="1" t="s">
        <v>74</v>
      </c>
      <c r="BF271" s="1" t="s">
        <v>74</v>
      </c>
      <c r="BG271" s="1" t="s">
        <v>74</v>
      </c>
      <c r="BH271" s="1" t="s">
        <v>74</v>
      </c>
      <c r="BI271" s="1" t="s">
        <v>74</v>
      </c>
      <c r="BJ271" s="1" t="s">
        <v>74</v>
      </c>
      <c r="BK271" s="1" t="s">
        <v>74</v>
      </c>
      <c r="BL271" s="1" t="s">
        <v>74</v>
      </c>
      <c r="BM271" s="1" t="s">
        <v>74</v>
      </c>
      <c r="BN271" s="1" t="s">
        <v>74</v>
      </c>
      <c r="BO271" s="1" t="s">
        <v>74</v>
      </c>
      <c r="BP271" s="1" t="s">
        <v>74</v>
      </c>
      <c r="BQ271" s="1" t="s">
        <v>74</v>
      </c>
      <c r="BR271" s="1" t="s">
        <v>74</v>
      </c>
      <c r="BS271" s="1" t="s">
        <v>2751</v>
      </c>
      <c r="BT271" s="1" t="str">
        <f>HYPERLINK("https%3A%2F%2Fwww.webofscience.com%2Fwos%2Fwoscc%2Ffull-record%2FWOS:000457774000006","View Full Record in Web of Science")</f>
        <v>View Full Record in Web of Science</v>
      </c>
    </row>
    <row r="272" ht="12.75" customHeight="1">
      <c r="A272" s="1" t="s">
        <v>72</v>
      </c>
      <c r="B272" s="1" t="s">
        <v>2752</v>
      </c>
      <c r="C272" s="1" t="s">
        <v>74</v>
      </c>
      <c r="D272" s="1" t="s">
        <v>74</v>
      </c>
      <c r="E272" s="1" t="s">
        <v>74</v>
      </c>
      <c r="F272" s="1" t="s">
        <v>2753</v>
      </c>
      <c r="G272" s="1" t="s">
        <v>74</v>
      </c>
      <c r="H272" s="1" t="s">
        <v>74</v>
      </c>
      <c r="I272" s="1" t="s">
        <v>2754</v>
      </c>
      <c r="J272" s="1" t="s">
        <v>2755</v>
      </c>
      <c r="K272" s="1" t="s">
        <v>74</v>
      </c>
      <c r="L272" s="1" t="s">
        <v>74</v>
      </c>
      <c r="M272" s="1" t="s">
        <v>74</v>
      </c>
      <c r="N272" s="1" t="s">
        <v>74</v>
      </c>
      <c r="O272" s="1" t="s">
        <v>74</v>
      </c>
      <c r="P272" s="1" t="s">
        <v>74</v>
      </c>
      <c r="Q272" s="1" t="s">
        <v>74</v>
      </c>
      <c r="R272" s="1" t="s">
        <v>74</v>
      </c>
      <c r="S272" s="1" t="s">
        <v>74</v>
      </c>
      <c r="T272" s="1" t="s">
        <v>74</v>
      </c>
      <c r="U272" s="1" t="s">
        <v>74</v>
      </c>
      <c r="V272" s="1" t="s">
        <v>2756</v>
      </c>
      <c r="W272" s="1" t="s">
        <v>74</v>
      </c>
      <c r="X272" s="1" t="s">
        <v>74</v>
      </c>
      <c r="Y272" s="1" t="s">
        <v>74</v>
      </c>
      <c r="Z272" s="1" t="s">
        <v>74</v>
      </c>
      <c r="AA272" s="1" t="s">
        <v>2757</v>
      </c>
      <c r="AB272" s="1" t="s">
        <v>2758</v>
      </c>
      <c r="AC272" s="1" t="s">
        <v>74</v>
      </c>
      <c r="AD272" s="1" t="s">
        <v>74</v>
      </c>
      <c r="AE272" s="1" t="s">
        <v>74</v>
      </c>
      <c r="AF272" s="1" t="s">
        <v>74</v>
      </c>
      <c r="AG272" s="1" t="s">
        <v>74</v>
      </c>
      <c r="AH272" s="1" t="s">
        <v>74</v>
      </c>
      <c r="AI272" s="1" t="s">
        <v>74</v>
      </c>
      <c r="AJ272" s="1" t="s">
        <v>74</v>
      </c>
      <c r="AK272" s="1" t="s">
        <v>74</v>
      </c>
      <c r="AL272" s="1" t="s">
        <v>74</v>
      </c>
      <c r="AM272" s="1" t="s">
        <v>74</v>
      </c>
      <c r="AN272" s="1" t="s">
        <v>74</v>
      </c>
      <c r="AO272" s="1" t="s">
        <v>2759</v>
      </c>
      <c r="AP272" s="1" t="s">
        <v>2760</v>
      </c>
      <c r="AQ272" s="1" t="s">
        <v>74</v>
      </c>
      <c r="AR272" s="1" t="s">
        <v>74</v>
      </c>
      <c r="AS272" s="1" t="s">
        <v>74</v>
      </c>
      <c r="AT272" s="1" t="s">
        <v>123</v>
      </c>
      <c r="AU272" s="1">
        <v>2018.0</v>
      </c>
      <c r="AV272" s="1">
        <v>14.0</v>
      </c>
      <c r="AW272" s="1">
        <v>4.0</v>
      </c>
      <c r="AX272" s="1" t="s">
        <v>74</v>
      </c>
      <c r="AY272" s="1" t="s">
        <v>74</v>
      </c>
      <c r="AZ272" s="1" t="s">
        <v>74</v>
      </c>
      <c r="BA272" s="1" t="s">
        <v>74</v>
      </c>
      <c r="BB272" s="1" t="s">
        <v>74</v>
      </c>
      <c r="BC272" s="1" t="s">
        <v>74</v>
      </c>
      <c r="BD272" s="1">
        <v>49.0</v>
      </c>
      <c r="BE272" s="1" t="s">
        <v>2761</v>
      </c>
      <c r="BF272" s="2" t="str">
        <f>HYPERLINK("http://dx.doi.org/10.1145/3232057","http://dx.doi.org/10.1145/3232057")</f>
        <v>http://dx.doi.org/10.1145/3232057</v>
      </c>
      <c r="BG272" s="1" t="s">
        <v>74</v>
      </c>
      <c r="BH272" s="1" t="s">
        <v>74</v>
      </c>
      <c r="BI272" s="1" t="s">
        <v>74</v>
      </c>
      <c r="BJ272" s="1" t="s">
        <v>74</v>
      </c>
      <c r="BK272" s="1" t="s">
        <v>74</v>
      </c>
      <c r="BL272" s="1" t="s">
        <v>74</v>
      </c>
      <c r="BM272" s="1" t="s">
        <v>74</v>
      </c>
      <c r="BN272" s="1" t="s">
        <v>74</v>
      </c>
      <c r="BO272" s="1" t="s">
        <v>74</v>
      </c>
      <c r="BP272" s="1" t="s">
        <v>74</v>
      </c>
      <c r="BQ272" s="1" t="s">
        <v>74</v>
      </c>
      <c r="BR272" s="1" t="s">
        <v>74</v>
      </c>
      <c r="BS272" s="1" t="s">
        <v>2762</v>
      </c>
      <c r="BT272" s="1" t="str">
        <f>HYPERLINK("https%3A%2F%2Fwww.webofscience.com%2Fwos%2Fwoscc%2Ffull-record%2FWOS:000456596500010","View Full Record in Web of Science")</f>
        <v>View Full Record in Web of Science</v>
      </c>
    </row>
    <row r="273" ht="12.75" customHeight="1">
      <c r="A273" s="1" t="s">
        <v>72</v>
      </c>
      <c r="B273" s="1" t="s">
        <v>2763</v>
      </c>
      <c r="C273" s="1" t="s">
        <v>74</v>
      </c>
      <c r="D273" s="1" t="s">
        <v>74</v>
      </c>
      <c r="E273" s="1" t="s">
        <v>74</v>
      </c>
      <c r="F273" s="1" t="s">
        <v>2764</v>
      </c>
      <c r="G273" s="1" t="s">
        <v>74</v>
      </c>
      <c r="H273" s="1" t="s">
        <v>74</v>
      </c>
      <c r="I273" s="1" t="s">
        <v>2765</v>
      </c>
      <c r="J273" s="1" t="s">
        <v>2766</v>
      </c>
      <c r="K273" s="1" t="s">
        <v>74</v>
      </c>
      <c r="L273" s="1" t="s">
        <v>74</v>
      </c>
      <c r="M273" s="1" t="s">
        <v>74</v>
      </c>
      <c r="N273" s="1" t="s">
        <v>74</v>
      </c>
      <c r="O273" s="1" t="s">
        <v>74</v>
      </c>
      <c r="P273" s="1" t="s">
        <v>74</v>
      </c>
      <c r="Q273" s="1" t="s">
        <v>74</v>
      </c>
      <c r="R273" s="1" t="s">
        <v>74</v>
      </c>
      <c r="S273" s="1" t="s">
        <v>74</v>
      </c>
      <c r="T273" s="1" t="s">
        <v>74</v>
      </c>
      <c r="U273" s="1" t="s">
        <v>74</v>
      </c>
      <c r="V273" s="1" t="s">
        <v>2767</v>
      </c>
      <c r="W273" s="1" t="s">
        <v>74</v>
      </c>
      <c r="X273" s="1" t="s">
        <v>74</v>
      </c>
      <c r="Y273" s="1" t="s">
        <v>74</v>
      </c>
      <c r="Z273" s="1" t="s">
        <v>74</v>
      </c>
      <c r="AA273" s="1" t="s">
        <v>2768</v>
      </c>
      <c r="AB273" s="1" t="s">
        <v>2769</v>
      </c>
      <c r="AC273" s="1" t="s">
        <v>74</v>
      </c>
      <c r="AD273" s="1" t="s">
        <v>74</v>
      </c>
      <c r="AE273" s="1" t="s">
        <v>74</v>
      </c>
      <c r="AF273" s="1" t="s">
        <v>74</v>
      </c>
      <c r="AG273" s="1" t="s">
        <v>74</v>
      </c>
      <c r="AH273" s="1" t="s">
        <v>74</v>
      </c>
      <c r="AI273" s="1" t="s">
        <v>74</v>
      </c>
      <c r="AJ273" s="1" t="s">
        <v>74</v>
      </c>
      <c r="AK273" s="1" t="s">
        <v>74</v>
      </c>
      <c r="AL273" s="1" t="s">
        <v>74</v>
      </c>
      <c r="AM273" s="1" t="s">
        <v>74</v>
      </c>
      <c r="AN273" s="1" t="s">
        <v>74</v>
      </c>
      <c r="AO273" s="1" t="s">
        <v>2770</v>
      </c>
      <c r="AP273" s="1" t="s">
        <v>2771</v>
      </c>
      <c r="AQ273" s="1" t="s">
        <v>74</v>
      </c>
      <c r="AR273" s="1" t="s">
        <v>74</v>
      </c>
      <c r="AS273" s="1" t="s">
        <v>74</v>
      </c>
      <c r="AT273" s="1" t="s">
        <v>180</v>
      </c>
      <c r="AU273" s="1">
        <v>2018.0</v>
      </c>
      <c r="AV273" s="1">
        <v>56.0</v>
      </c>
      <c r="AW273" s="1">
        <v>5.0</v>
      </c>
      <c r="AX273" s="1" t="s">
        <v>74</v>
      </c>
      <c r="AY273" s="1" t="s">
        <v>74</v>
      </c>
      <c r="AZ273" s="1" t="s">
        <v>74</v>
      </c>
      <c r="BA273" s="1" t="s">
        <v>74</v>
      </c>
      <c r="BB273" s="1">
        <v>879.0</v>
      </c>
      <c r="BC273" s="1">
        <v>888.0</v>
      </c>
      <c r="BD273" s="1" t="s">
        <v>74</v>
      </c>
      <c r="BE273" s="1" t="s">
        <v>2772</v>
      </c>
      <c r="BF273" s="2" t="str">
        <f>HYPERLINK("http://dx.doi.org/10.1007/s11517-017-1728-5","http://dx.doi.org/10.1007/s11517-017-1728-5")</f>
        <v>http://dx.doi.org/10.1007/s11517-017-1728-5</v>
      </c>
      <c r="BG273" s="1" t="s">
        <v>74</v>
      </c>
      <c r="BH273" s="1" t="s">
        <v>74</v>
      </c>
      <c r="BI273" s="1" t="s">
        <v>74</v>
      </c>
      <c r="BJ273" s="1" t="s">
        <v>74</v>
      </c>
      <c r="BK273" s="1" t="s">
        <v>74</v>
      </c>
      <c r="BL273" s="1" t="s">
        <v>74</v>
      </c>
      <c r="BM273" s="1" t="s">
        <v>74</v>
      </c>
      <c r="BN273" s="1">
        <v>2.9063366E7</v>
      </c>
      <c r="BO273" s="1" t="s">
        <v>74</v>
      </c>
      <c r="BP273" s="1" t="s">
        <v>74</v>
      </c>
      <c r="BQ273" s="1" t="s">
        <v>74</v>
      </c>
      <c r="BR273" s="1" t="s">
        <v>74</v>
      </c>
      <c r="BS273" s="1" t="s">
        <v>2773</v>
      </c>
      <c r="BT273" s="1" t="str">
        <f>HYPERLINK("https%3A%2F%2Fwww.webofscience.com%2Fwos%2Fwoscc%2Ffull-record%2FWOS:000430379400012","View Full Record in Web of Science")</f>
        <v>View Full Record in Web of Science</v>
      </c>
    </row>
    <row r="274" ht="12.75" customHeight="1">
      <c r="A274" s="1" t="s">
        <v>72</v>
      </c>
      <c r="B274" s="1" t="s">
        <v>2774</v>
      </c>
      <c r="C274" s="1" t="s">
        <v>74</v>
      </c>
      <c r="D274" s="1" t="s">
        <v>74</v>
      </c>
      <c r="E274" s="1" t="s">
        <v>74</v>
      </c>
      <c r="F274" s="1" t="s">
        <v>2775</v>
      </c>
      <c r="G274" s="1" t="s">
        <v>74</v>
      </c>
      <c r="H274" s="1" t="s">
        <v>74</v>
      </c>
      <c r="I274" s="1" t="s">
        <v>2776</v>
      </c>
      <c r="J274" s="1" t="s">
        <v>1033</v>
      </c>
      <c r="K274" s="1" t="s">
        <v>74</v>
      </c>
      <c r="L274" s="1" t="s">
        <v>74</v>
      </c>
      <c r="M274" s="1" t="s">
        <v>74</v>
      </c>
      <c r="N274" s="1" t="s">
        <v>74</v>
      </c>
      <c r="O274" s="1" t="s">
        <v>74</v>
      </c>
      <c r="P274" s="1" t="s">
        <v>74</v>
      </c>
      <c r="Q274" s="1" t="s">
        <v>74</v>
      </c>
      <c r="R274" s="1" t="s">
        <v>74</v>
      </c>
      <c r="S274" s="1" t="s">
        <v>74</v>
      </c>
      <c r="T274" s="1" t="s">
        <v>74</v>
      </c>
      <c r="U274" s="1" t="s">
        <v>74</v>
      </c>
      <c r="V274" s="1" t="s">
        <v>2777</v>
      </c>
      <c r="W274" s="1" t="s">
        <v>74</v>
      </c>
      <c r="X274" s="1" t="s">
        <v>74</v>
      </c>
      <c r="Y274" s="1" t="s">
        <v>74</v>
      </c>
      <c r="Z274" s="1" t="s">
        <v>74</v>
      </c>
      <c r="AA274" s="1" t="s">
        <v>74</v>
      </c>
      <c r="AB274" s="1" t="s">
        <v>74</v>
      </c>
      <c r="AC274" s="1" t="s">
        <v>74</v>
      </c>
      <c r="AD274" s="1" t="s">
        <v>74</v>
      </c>
      <c r="AE274" s="1" t="s">
        <v>74</v>
      </c>
      <c r="AF274" s="1" t="s">
        <v>74</v>
      </c>
      <c r="AG274" s="1" t="s">
        <v>74</v>
      </c>
      <c r="AH274" s="1" t="s">
        <v>74</v>
      </c>
      <c r="AI274" s="1" t="s">
        <v>74</v>
      </c>
      <c r="AJ274" s="1" t="s">
        <v>74</v>
      </c>
      <c r="AK274" s="1" t="s">
        <v>74</v>
      </c>
      <c r="AL274" s="1" t="s">
        <v>74</v>
      </c>
      <c r="AM274" s="1" t="s">
        <v>74</v>
      </c>
      <c r="AN274" s="1" t="s">
        <v>74</v>
      </c>
      <c r="AO274" s="1" t="s">
        <v>1035</v>
      </c>
      <c r="AP274" s="1" t="s">
        <v>1036</v>
      </c>
      <c r="AQ274" s="1" t="s">
        <v>74</v>
      </c>
      <c r="AR274" s="1" t="s">
        <v>74</v>
      </c>
      <c r="AS274" s="1" t="s">
        <v>74</v>
      </c>
      <c r="AT274" s="1" t="s">
        <v>88</v>
      </c>
      <c r="AU274" s="1">
        <v>2018.0</v>
      </c>
      <c r="AV274" s="1">
        <v>38.0</v>
      </c>
      <c r="AW274" s="1">
        <v>4.0</v>
      </c>
      <c r="AX274" s="1" t="s">
        <v>74</v>
      </c>
      <c r="AY274" s="1" t="s">
        <v>74</v>
      </c>
      <c r="AZ274" s="1" t="s">
        <v>74</v>
      </c>
      <c r="BA274" s="1" t="s">
        <v>74</v>
      </c>
      <c r="BB274" s="1">
        <v>1745.0</v>
      </c>
      <c r="BC274" s="1">
        <v>1776.0</v>
      </c>
      <c r="BD274" s="1" t="s">
        <v>74</v>
      </c>
      <c r="BE274" s="1" t="s">
        <v>2778</v>
      </c>
      <c r="BF274" s="2" t="str">
        <f>HYPERLINK("http://dx.doi.org/10.3934/dcds.2018072","http://dx.doi.org/10.3934/dcds.2018072")</f>
        <v>http://dx.doi.org/10.3934/dcds.2018072</v>
      </c>
      <c r="BG274" s="1" t="s">
        <v>74</v>
      </c>
      <c r="BH274" s="1" t="s">
        <v>74</v>
      </c>
      <c r="BI274" s="1" t="s">
        <v>74</v>
      </c>
      <c r="BJ274" s="1" t="s">
        <v>74</v>
      </c>
      <c r="BK274" s="1" t="s">
        <v>74</v>
      </c>
      <c r="BL274" s="1" t="s">
        <v>74</v>
      </c>
      <c r="BM274" s="1" t="s">
        <v>74</v>
      </c>
      <c r="BN274" s="1" t="s">
        <v>74</v>
      </c>
      <c r="BO274" s="1" t="s">
        <v>74</v>
      </c>
      <c r="BP274" s="1" t="s">
        <v>74</v>
      </c>
      <c r="BQ274" s="1" t="s">
        <v>74</v>
      </c>
      <c r="BR274" s="1" t="s">
        <v>74</v>
      </c>
      <c r="BS274" s="1" t="s">
        <v>2779</v>
      </c>
      <c r="BT274" s="1" t="str">
        <f>HYPERLINK("https%3A%2F%2Fwww.webofscience.com%2Fwos%2Fwoscc%2Ffull-record%2FWOS:000438812700006","View Full Record in Web of Science")</f>
        <v>View Full Record in Web of Science</v>
      </c>
    </row>
    <row r="275" ht="12.75" customHeight="1">
      <c r="A275" s="1" t="s">
        <v>72</v>
      </c>
      <c r="B275" s="1" t="s">
        <v>2780</v>
      </c>
      <c r="C275" s="1" t="s">
        <v>74</v>
      </c>
      <c r="D275" s="1" t="s">
        <v>74</v>
      </c>
      <c r="E275" s="1" t="s">
        <v>74</v>
      </c>
      <c r="F275" s="1" t="s">
        <v>2781</v>
      </c>
      <c r="G275" s="1" t="s">
        <v>74</v>
      </c>
      <c r="H275" s="1" t="s">
        <v>74</v>
      </c>
      <c r="I275" s="1" t="s">
        <v>2782</v>
      </c>
      <c r="J275" s="1" t="s">
        <v>2208</v>
      </c>
      <c r="K275" s="1" t="s">
        <v>74</v>
      </c>
      <c r="L275" s="1" t="s">
        <v>74</v>
      </c>
      <c r="M275" s="1" t="s">
        <v>74</v>
      </c>
      <c r="N275" s="1" t="s">
        <v>74</v>
      </c>
      <c r="O275" s="1" t="s">
        <v>74</v>
      </c>
      <c r="P275" s="1" t="s">
        <v>74</v>
      </c>
      <c r="Q275" s="1" t="s">
        <v>74</v>
      </c>
      <c r="R275" s="1" t="s">
        <v>74</v>
      </c>
      <c r="S275" s="1" t="s">
        <v>74</v>
      </c>
      <c r="T275" s="1" t="s">
        <v>74</v>
      </c>
      <c r="U275" s="1" t="s">
        <v>74</v>
      </c>
      <c r="V275" s="1" t="s">
        <v>2783</v>
      </c>
      <c r="W275" s="1" t="s">
        <v>74</v>
      </c>
      <c r="X275" s="1" t="s">
        <v>74</v>
      </c>
      <c r="Y275" s="1" t="s">
        <v>74</v>
      </c>
      <c r="Z275" s="1" t="s">
        <v>74</v>
      </c>
      <c r="AA275" s="1" t="s">
        <v>2784</v>
      </c>
      <c r="AB275" s="1" t="s">
        <v>2785</v>
      </c>
      <c r="AC275" s="1" t="s">
        <v>74</v>
      </c>
      <c r="AD275" s="1" t="s">
        <v>74</v>
      </c>
      <c r="AE275" s="1" t="s">
        <v>74</v>
      </c>
      <c r="AF275" s="1" t="s">
        <v>74</v>
      </c>
      <c r="AG275" s="1" t="s">
        <v>74</v>
      </c>
      <c r="AH275" s="1" t="s">
        <v>74</v>
      </c>
      <c r="AI275" s="1" t="s">
        <v>74</v>
      </c>
      <c r="AJ275" s="1" t="s">
        <v>74</v>
      </c>
      <c r="AK275" s="1" t="s">
        <v>74</v>
      </c>
      <c r="AL275" s="1" t="s">
        <v>74</v>
      </c>
      <c r="AM275" s="1" t="s">
        <v>74</v>
      </c>
      <c r="AN275" s="1" t="s">
        <v>74</v>
      </c>
      <c r="AO275" s="1" t="s">
        <v>2211</v>
      </c>
      <c r="AP275" s="1" t="s">
        <v>2212</v>
      </c>
      <c r="AQ275" s="1" t="s">
        <v>74</v>
      </c>
      <c r="AR275" s="1" t="s">
        <v>74</v>
      </c>
      <c r="AS275" s="1" t="s">
        <v>74</v>
      </c>
      <c r="AT275" s="1" t="s">
        <v>2786</v>
      </c>
      <c r="AU275" s="1">
        <v>2018.0</v>
      </c>
      <c r="AV275" s="1">
        <v>78.0</v>
      </c>
      <c r="AW275" s="1">
        <v>1.0</v>
      </c>
      <c r="AX275" s="1" t="s">
        <v>74</v>
      </c>
      <c r="AY275" s="1" t="s">
        <v>74</v>
      </c>
      <c r="AZ275" s="1" t="s">
        <v>74</v>
      </c>
      <c r="BA275" s="1" t="s">
        <v>74</v>
      </c>
      <c r="BB275" s="1" t="s">
        <v>74</v>
      </c>
      <c r="BC275" s="1" t="s">
        <v>74</v>
      </c>
      <c r="BD275" s="1">
        <v>64.0</v>
      </c>
      <c r="BE275" s="1" t="s">
        <v>2787</v>
      </c>
      <c r="BF275" s="2" t="str">
        <f>HYPERLINK("http://dx.doi.org/10.1140/epjc/s10052-018-5554-1","http://dx.doi.org/10.1140/epjc/s10052-018-5554-1")</f>
        <v>http://dx.doi.org/10.1140/epjc/s10052-018-5554-1</v>
      </c>
      <c r="BG275" s="1" t="s">
        <v>74</v>
      </c>
      <c r="BH275" s="1" t="s">
        <v>74</v>
      </c>
      <c r="BI275" s="1" t="s">
        <v>74</v>
      </c>
      <c r="BJ275" s="1" t="s">
        <v>74</v>
      </c>
      <c r="BK275" s="1" t="s">
        <v>74</v>
      </c>
      <c r="BL275" s="1" t="s">
        <v>74</v>
      </c>
      <c r="BM275" s="1" t="s">
        <v>74</v>
      </c>
      <c r="BN275" s="1" t="s">
        <v>74</v>
      </c>
      <c r="BO275" s="1" t="s">
        <v>74</v>
      </c>
      <c r="BP275" s="1" t="s">
        <v>74</v>
      </c>
      <c r="BQ275" s="1" t="s">
        <v>74</v>
      </c>
      <c r="BR275" s="1" t="s">
        <v>74</v>
      </c>
      <c r="BS275" s="1" t="s">
        <v>2788</v>
      </c>
      <c r="BT275" s="1" t="str">
        <f>HYPERLINK("https%3A%2F%2Fwww.webofscience.com%2Fwos%2Fwoscc%2Ffull-record%2FWOS:000423203600003","View Full Record in Web of Science")</f>
        <v>View Full Record in Web of Science</v>
      </c>
    </row>
    <row r="276" ht="12.75" customHeight="1">
      <c r="A276" s="1" t="s">
        <v>72</v>
      </c>
      <c r="B276" s="1" t="s">
        <v>2789</v>
      </c>
      <c r="C276" s="1" t="s">
        <v>74</v>
      </c>
      <c r="D276" s="1" t="s">
        <v>74</v>
      </c>
      <c r="E276" s="1" t="s">
        <v>74</v>
      </c>
      <c r="F276" s="1" t="s">
        <v>2790</v>
      </c>
      <c r="G276" s="1" t="s">
        <v>74</v>
      </c>
      <c r="H276" s="1" t="s">
        <v>74</v>
      </c>
      <c r="I276" s="1" t="s">
        <v>2791</v>
      </c>
      <c r="J276" s="1" t="s">
        <v>2272</v>
      </c>
      <c r="K276" s="1" t="s">
        <v>74</v>
      </c>
      <c r="L276" s="1" t="s">
        <v>74</v>
      </c>
      <c r="M276" s="1" t="s">
        <v>74</v>
      </c>
      <c r="N276" s="1" t="s">
        <v>74</v>
      </c>
      <c r="O276" s="1" t="s">
        <v>74</v>
      </c>
      <c r="P276" s="1" t="s">
        <v>74</v>
      </c>
      <c r="Q276" s="1" t="s">
        <v>74</v>
      </c>
      <c r="R276" s="1" t="s">
        <v>74</v>
      </c>
      <c r="S276" s="1" t="s">
        <v>74</v>
      </c>
      <c r="T276" s="1" t="s">
        <v>74</v>
      </c>
      <c r="U276" s="1" t="s">
        <v>74</v>
      </c>
      <c r="V276" s="1" t="s">
        <v>2792</v>
      </c>
      <c r="W276" s="1" t="s">
        <v>74</v>
      </c>
      <c r="X276" s="1" t="s">
        <v>74</v>
      </c>
      <c r="Y276" s="1" t="s">
        <v>74</v>
      </c>
      <c r="Z276" s="1" t="s">
        <v>74</v>
      </c>
      <c r="AA276" s="1" t="s">
        <v>2793</v>
      </c>
      <c r="AB276" s="1" t="s">
        <v>2794</v>
      </c>
      <c r="AC276" s="1" t="s">
        <v>74</v>
      </c>
      <c r="AD276" s="1" t="s">
        <v>74</v>
      </c>
      <c r="AE276" s="1" t="s">
        <v>74</v>
      </c>
      <c r="AF276" s="1" t="s">
        <v>74</v>
      </c>
      <c r="AG276" s="1" t="s">
        <v>74</v>
      </c>
      <c r="AH276" s="1" t="s">
        <v>74</v>
      </c>
      <c r="AI276" s="1" t="s">
        <v>74</v>
      </c>
      <c r="AJ276" s="1" t="s">
        <v>74</v>
      </c>
      <c r="AK276" s="1" t="s">
        <v>74</v>
      </c>
      <c r="AL276" s="1" t="s">
        <v>74</v>
      </c>
      <c r="AM276" s="1" t="s">
        <v>74</v>
      </c>
      <c r="AN276" s="1" t="s">
        <v>74</v>
      </c>
      <c r="AO276" s="1" t="s">
        <v>2275</v>
      </c>
      <c r="AP276" s="1" t="s">
        <v>2276</v>
      </c>
      <c r="AQ276" s="1" t="s">
        <v>74</v>
      </c>
      <c r="AR276" s="1" t="s">
        <v>74</v>
      </c>
      <c r="AS276" s="1" t="s">
        <v>74</v>
      </c>
      <c r="AT276" s="1" t="s">
        <v>169</v>
      </c>
      <c r="AU276" s="1">
        <v>2018.0</v>
      </c>
      <c r="AV276" s="1">
        <v>217.0</v>
      </c>
      <c r="AW276" s="1" t="s">
        <v>74</v>
      </c>
      <c r="AX276" s="1" t="s">
        <v>74</v>
      </c>
      <c r="AY276" s="1" t="s">
        <v>74</v>
      </c>
      <c r="AZ276" s="1" t="s">
        <v>74</v>
      </c>
      <c r="BA276" s="1" t="s">
        <v>74</v>
      </c>
      <c r="BB276" s="1">
        <v>1.0</v>
      </c>
      <c r="BC276" s="1">
        <v>10.0</v>
      </c>
      <c r="BD276" s="1" t="s">
        <v>74</v>
      </c>
      <c r="BE276" s="1" t="s">
        <v>2795</v>
      </c>
      <c r="BF276" s="2" t="str">
        <f>HYPERLINK("http://dx.doi.org/10.1016/j.jfoodeng.2017.08.008","http://dx.doi.org/10.1016/j.jfoodeng.2017.08.008")</f>
        <v>http://dx.doi.org/10.1016/j.jfoodeng.2017.08.008</v>
      </c>
      <c r="BG276" s="1" t="s">
        <v>74</v>
      </c>
      <c r="BH276" s="1" t="s">
        <v>74</v>
      </c>
      <c r="BI276" s="1" t="s">
        <v>74</v>
      </c>
      <c r="BJ276" s="1" t="s">
        <v>74</v>
      </c>
      <c r="BK276" s="1" t="s">
        <v>74</v>
      </c>
      <c r="BL276" s="1" t="s">
        <v>74</v>
      </c>
      <c r="BM276" s="1" t="s">
        <v>74</v>
      </c>
      <c r="BN276" s="1" t="s">
        <v>74</v>
      </c>
      <c r="BO276" s="1" t="s">
        <v>74</v>
      </c>
      <c r="BP276" s="1" t="s">
        <v>74</v>
      </c>
      <c r="BQ276" s="1" t="s">
        <v>74</v>
      </c>
      <c r="BR276" s="1" t="s">
        <v>74</v>
      </c>
      <c r="BS276" s="1" t="s">
        <v>2796</v>
      </c>
      <c r="BT276" s="1" t="str">
        <f>HYPERLINK("https%3A%2F%2Fwww.webofscience.com%2Fwos%2Fwoscc%2Ffull-record%2FWOS:000412962300001","View Full Record in Web of Science")</f>
        <v>View Full Record in Web of Science</v>
      </c>
    </row>
    <row r="277" ht="12.75" customHeight="1">
      <c r="A277" s="1" t="s">
        <v>242</v>
      </c>
      <c r="B277" s="1" t="s">
        <v>2797</v>
      </c>
      <c r="C277" s="1" t="s">
        <v>74</v>
      </c>
      <c r="D277" s="1" t="s">
        <v>2798</v>
      </c>
      <c r="E277" s="1" t="s">
        <v>74</v>
      </c>
      <c r="F277" s="1" t="s">
        <v>2799</v>
      </c>
      <c r="G277" s="1" t="s">
        <v>74</v>
      </c>
      <c r="H277" s="1" t="s">
        <v>74</v>
      </c>
      <c r="I277" s="1" t="s">
        <v>2800</v>
      </c>
      <c r="J277" s="1" t="s">
        <v>2801</v>
      </c>
      <c r="K277" s="1" t="s">
        <v>74</v>
      </c>
      <c r="L277" s="1" t="s">
        <v>74</v>
      </c>
      <c r="M277" s="1" t="s">
        <v>74</v>
      </c>
      <c r="N277" s="1" t="s">
        <v>74</v>
      </c>
      <c r="O277" s="1" t="s">
        <v>74</v>
      </c>
      <c r="P277" s="1" t="s">
        <v>74</v>
      </c>
      <c r="Q277" s="1" t="s">
        <v>74</v>
      </c>
      <c r="R277" s="1" t="s">
        <v>74</v>
      </c>
      <c r="S277" s="1" t="s">
        <v>74</v>
      </c>
      <c r="T277" s="1" t="s">
        <v>74</v>
      </c>
      <c r="U277" s="1" t="s">
        <v>74</v>
      </c>
      <c r="V277" s="1" t="s">
        <v>74</v>
      </c>
      <c r="W277" s="1" t="s">
        <v>74</v>
      </c>
      <c r="X277" s="1" t="s">
        <v>74</v>
      </c>
      <c r="Y277" s="1" t="s">
        <v>74</v>
      </c>
      <c r="Z277" s="1" t="s">
        <v>74</v>
      </c>
      <c r="AA277" s="1" t="s">
        <v>74</v>
      </c>
      <c r="AB277" s="1" t="s">
        <v>74</v>
      </c>
      <c r="AC277" s="1" t="s">
        <v>74</v>
      </c>
      <c r="AD277" s="1" t="s">
        <v>74</v>
      </c>
      <c r="AE277" s="1" t="s">
        <v>74</v>
      </c>
      <c r="AF277" s="1" t="s">
        <v>74</v>
      </c>
      <c r="AG277" s="1" t="s">
        <v>74</v>
      </c>
      <c r="AH277" s="1" t="s">
        <v>74</v>
      </c>
      <c r="AI277" s="1" t="s">
        <v>74</v>
      </c>
      <c r="AJ277" s="1" t="s">
        <v>74</v>
      </c>
      <c r="AK277" s="1" t="s">
        <v>74</v>
      </c>
      <c r="AL277" s="1" t="s">
        <v>74</v>
      </c>
      <c r="AM277" s="1" t="s">
        <v>74</v>
      </c>
      <c r="AN277" s="1" t="s">
        <v>74</v>
      </c>
      <c r="AO277" s="1" t="s">
        <v>74</v>
      </c>
      <c r="AP277" s="1" t="s">
        <v>74</v>
      </c>
      <c r="AQ277" s="1" t="s">
        <v>2802</v>
      </c>
      <c r="AR277" s="1" t="s">
        <v>74</v>
      </c>
      <c r="AS277" s="1" t="s">
        <v>74</v>
      </c>
      <c r="AT277" s="1" t="s">
        <v>74</v>
      </c>
      <c r="AU277" s="1">
        <v>2018.0</v>
      </c>
      <c r="AV277" s="1" t="s">
        <v>74</v>
      </c>
      <c r="AW277" s="1" t="s">
        <v>74</v>
      </c>
      <c r="AX277" s="1" t="s">
        <v>74</v>
      </c>
      <c r="AY277" s="1" t="s">
        <v>74</v>
      </c>
      <c r="AZ277" s="1" t="s">
        <v>74</v>
      </c>
      <c r="BA277" s="1" t="s">
        <v>74</v>
      </c>
      <c r="BB277" s="1">
        <v>181.0</v>
      </c>
      <c r="BC277" s="1">
        <v>204.0</v>
      </c>
      <c r="BD277" s="1" t="s">
        <v>74</v>
      </c>
      <c r="BE277" s="1" t="s">
        <v>74</v>
      </c>
      <c r="BF277" s="1" t="s">
        <v>74</v>
      </c>
      <c r="BG277" s="1" t="s">
        <v>2803</v>
      </c>
      <c r="BH277" s="1" t="s">
        <v>74</v>
      </c>
      <c r="BI277" s="1" t="s">
        <v>74</v>
      </c>
      <c r="BJ277" s="1" t="s">
        <v>74</v>
      </c>
      <c r="BK277" s="1" t="s">
        <v>74</v>
      </c>
      <c r="BL277" s="1" t="s">
        <v>74</v>
      </c>
      <c r="BM277" s="1" t="s">
        <v>74</v>
      </c>
      <c r="BN277" s="1" t="s">
        <v>74</v>
      </c>
      <c r="BO277" s="1" t="s">
        <v>74</v>
      </c>
      <c r="BP277" s="1" t="s">
        <v>74</v>
      </c>
      <c r="BQ277" s="1" t="s">
        <v>74</v>
      </c>
      <c r="BR277" s="1" t="s">
        <v>74</v>
      </c>
      <c r="BS277" s="1" t="s">
        <v>2804</v>
      </c>
      <c r="BT277" s="1" t="str">
        <f>HYPERLINK("https%3A%2F%2Fwww.webofscience.com%2Fwos%2Fwoscc%2Ffull-record%2FWOS:000440942900007","View Full Record in Web of Science")</f>
        <v>View Full Record in Web of Science</v>
      </c>
    </row>
    <row r="278" ht="12.75" customHeight="1">
      <c r="A278" s="1" t="s">
        <v>1511</v>
      </c>
      <c r="B278" s="1" t="s">
        <v>2805</v>
      </c>
      <c r="C278" s="1" t="s">
        <v>74</v>
      </c>
      <c r="D278" s="1" t="s">
        <v>2806</v>
      </c>
      <c r="E278" s="1" t="s">
        <v>74</v>
      </c>
      <c r="F278" s="1" t="s">
        <v>2807</v>
      </c>
      <c r="G278" s="1" t="s">
        <v>74</v>
      </c>
      <c r="H278" s="1" t="s">
        <v>74</v>
      </c>
      <c r="I278" s="1" t="s">
        <v>2808</v>
      </c>
      <c r="J278" s="1" t="s">
        <v>2809</v>
      </c>
      <c r="K278" s="1" t="s">
        <v>2810</v>
      </c>
      <c r="L278" s="1" t="s">
        <v>74</v>
      </c>
      <c r="M278" s="1" t="s">
        <v>74</v>
      </c>
      <c r="N278" s="1" t="s">
        <v>74</v>
      </c>
      <c r="O278" s="1" t="s">
        <v>74</v>
      </c>
      <c r="P278" s="1" t="s">
        <v>74</v>
      </c>
      <c r="Q278" s="1" t="s">
        <v>74</v>
      </c>
      <c r="R278" s="1" t="s">
        <v>74</v>
      </c>
      <c r="S278" s="1" t="s">
        <v>74</v>
      </c>
      <c r="T278" s="1" t="s">
        <v>74</v>
      </c>
      <c r="U278" s="1" t="s">
        <v>74</v>
      </c>
      <c r="V278" s="1" t="s">
        <v>2811</v>
      </c>
      <c r="W278" s="1" t="s">
        <v>74</v>
      </c>
      <c r="X278" s="1" t="s">
        <v>74</v>
      </c>
      <c r="Y278" s="1" t="s">
        <v>74</v>
      </c>
      <c r="Z278" s="1" t="s">
        <v>74</v>
      </c>
      <c r="AA278" s="1" t="s">
        <v>2812</v>
      </c>
      <c r="AB278" s="1" t="s">
        <v>74</v>
      </c>
      <c r="AC278" s="1" t="s">
        <v>74</v>
      </c>
      <c r="AD278" s="1" t="s">
        <v>74</v>
      </c>
      <c r="AE278" s="1" t="s">
        <v>74</v>
      </c>
      <c r="AF278" s="1" t="s">
        <v>74</v>
      </c>
      <c r="AG278" s="1" t="s">
        <v>74</v>
      </c>
      <c r="AH278" s="1" t="s">
        <v>74</v>
      </c>
      <c r="AI278" s="1" t="s">
        <v>74</v>
      </c>
      <c r="AJ278" s="1" t="s">
        <v>74</v>
      </c>
      <c r="AK278" s="1" t="s">
        <v>74</v>
      </c>
      <c r="AL278" s="1" t="s">
        <v>74</v>
      </c>
      <c r="AM278" s="1" t="s">
        <v>74</v>
      </c>
      <c r="AN278" s="1" t="s">
        <v>74</v>
      </c>
      <c r="AO278" s="1" t="s">
        <v>2813</v>
      </c>
      <c r="AP278" s="1" t="s">
        <v>74</v>
      </c>
      <c r="AQ278" s="1" t="s">
        <v>2814</v>
      </c>
      <c r="AR278" s="1" t="s">
        <v>74</v>
      </c>
      <c r="AS278" s="1" t="s">
        <v>74</v>
      </c>
      <c r="AT278" s="1" t="s">
        <v>74</v>
      </c>
      <c r="AU278" s="1">
        <v>2018.0</v>
      </c>
      <c r="AV278" s="1">
        <v>1.0</v>
      </c>
      <c r="AW278" s="1" t="s">
        <v>74</v>
      </c>
      <c r="AX278" s="1" t="s">
        <v>74</v>
      </c>
      <c r="AY278" s="1" t="s">
        <v>74</v>
      </c>
      <c r="AZ278" s="1" t="s">
        <v>74</v>
      </c>
      <c r="BA278" s="1" t="s">
        <v>74</v>
      </c>
      <c r="BB278" s="1">
        <v>165.0</v>
      </c>
      <c r="BC278" s="1">
        <v>179.0</v>
      </c>
      <c r="BD278" s="1" t="s">
        <v>74</v>
      </c>
      <c r="BE278" s="1" t="s">
        <v>74</v>
      </c>
      <c r="BF278" s="1" t="s">
        <v>74</v>
      </c>
      <c r="BG278" s="1" t="s">
        <v>74</v>
      </c>
      <c r="BH278" s="1" t="s">
        <v>74</v>
      </c>
      <c r="BI278" s="1" t="s">
        <v>74</v>
      </c>
      <c r="BJ278" s="1" t="s">
        <v>74</v>
      </c>
      <c r="BK278" s="1" t="s">
        <v>74</v>
      </c>
      <c r="BL278" s="1" t="s">
        <v>74</v>
      </c>
      <c r="BM278" s="1" t="s">
        <v>74</v>
      </c>
      <c r="BN278" s="1" t="s">
        <v>74</v>
      </c>
      <c r="BO278" s="1" t="s">
        <v>74</v>
      </c>
      <c r="BP278" s="1" t="s">
        <v>74</v>
      </c>
      <c r="BQ278" s="1" t="s">
        <v>74</v>
      </c>
      <c r="BR278" s="1" t="s">
        <v>74</v>
      </c>
      <c r="BS278" s="1" t="s">
        <v>2815</v>
      </c>
      <c r="BT278" s="1" t="str">
        <f>HYPERLINK("https%3A%2F%2Fwww.webofscience.com%2Fwos%2Fwoscc%2Ffull-record%2FWOS:000816877000012","View Full Record in Web of Science")</f>
        <v>View Full Record in Web of Science</v>
      </c>
    </row>
    <row r="279" ht="12.75" customHeight="1">
      <c r="A279" s="1" t="s">
        <v>72</v>
      </c>
      <c r="B279" s="1" t="s">
        <v>2816</v>
      </c>
      <c r="C279" s="1" t="s">
        <v>74</v>
      </c>
      <c r="D279" s="1" t="s">
        <v>74</v>
      </c>
      <c r="E279" s="1" t="s">
        <v>74</v>
      </c>
      <c r="F279" s="1" t="s">
        <v>2817</v>
      </c>
      <c r="G279" s="1" t="s">
        <v>74</v>
      </c>
      <c r="H279" s="1" t="s">
        <v>74</v>
      </c>
      <c r="I279" s="1" t="s">
        <v>2818</v>
      </c>
      <c r="J279" s="1" t="s">
        <v>2819</v>
      </c>
      <c r="K279" s="1" t="s">
        <v>74</v>
      </c>
      <c r="L279" s="1" t="s">
        <v>74</v>
      </c>
      <c r="M279" s="1" t="s">
        <v>74</v>
      </c>
      <c r="N279" s="1" t="s">
        <v>74</v>
      </c>
      <c r="O279" s="1" t="s">
        <v>74</v>
      </c>
      <c r="P279" s="1" t="s">
        <v>74</v>
      </c>
      <c r="Q279" s="1" t="s">
        <v>74</v>
      </c>
      <c r="R279" s="1" t="s">
        <v>74</v>
      </c>
      <c r="S279" s="1" t="s">
        <v>74</v>
      </c>
      <c r="T279" s="1" t="s">
        <v>74</v>
      </c>
      <c r="U279" s="1" t="s">
        <v>74</v>
      </c>
      <c r="V279" s="1" t="s">
        <v>2820</v>
      </c>
      <c r="W279" s="1" t="s">
        <v>74</v>
      </c>
      <c r="X279" s="1" t="s">
        <v>74</v>
      </c>
      <c r="Y279" s="1" t="s">
        <v>74</v>
      </c>
      <c r="Z279" s="1" t="s">
        <v>74</v>
      </c>
      <c r="AA279" s="1" t="s">
        <v>2821</v>
      </c>
      <c r="AB279" s="1" t="s">
        <v>2822</v>
      </c>
      <c r="AC279" s="1" t="s">
        <v>74</v>
      </c>
      <c r="AD279" s="1" t="s">
        <v>74</v>
      </c>
      <c r="AE279" s="1" t="s">
        <v>74</v>
      </c>
      <c r="AF279" s="1" t="s">
        <v>74</v>
      </c>
      <c r="AG279" s="1" t="s">
        <v>74</v>
      </c>
      <c r="AH279" s="1" t="s">
        <v>74</v>
      </c>
      <c r="AI279" s="1" t="s">
        <v>74</v>
      </c>
      <c r="AJ279" s="1" t="s">
        <v>74</v>
      </c>
      <c r="AK279" s="1" t="s">
        <v>74</v>
      </c>
      <c r="AL279" s="1" t="s">
        <v>74</v>
      </c>
      <c r="AM279" s="1" t="s">
        <v>74</v>
      </c>
      <c r="AN279" s="1" t="s">
        <v>74</v>
      </c>
      <c r="AO279" s="1" t="s">
        <v>2823</v>
      </c>
      <c r="AP279" s="1" t="s">
        <v>2824</v>
      </c>
      <c r="AQ279" s="1" t="s">
        <v>74</v>
      </c>
      <c r="AR279" s="1" t="s">
        <v>74</v>
      </c>
      <c r="AS279" s="1" t="s">
        <v>74</v>
      </c>
      <c r="AT279" s="1" t="s">
        <v>123</v>
      </c>
      <c r="AU279" s="1">
        <v>2017.0</v>
      </c>
      <c r="AV279" s="1">
        <v>137.0</v>
      </c>
      <c r="AW279" s="1" t="s">
        <v>74</v>
      </c>
      <c r="AX279" s="1" t="s">
        <v>74</v>
      </c>
      <c r="AY279" s="1" t="s">
        <v>74</v>
      </c>
      <c r="AZ279" s="1" t="s">
        <v>74</v>
      </c>
      <c r="BA279" s="1" t="s">
        <v>74</v>
      </c>
      <c r="BB279" s="1">
        <v>1.0</v>
      </c>
      <c r="BC279" s="1">
        <v>7.0</v>
      </c>
      <c r="BD279" s="1" t="s">
        <v>74</v>
      </c>
      <c r="BE279" s="1" t="s">
        <v>2825</v>
      </c>
      <c r="BF279" s="2" t="str">
        <f>HYPERLINK("http://dx.doi.org/10.1016/j.jcsr.2017.04.001","http://dx.doi.org/10.1016/j.jcsr.2017.04.001")</f>
        <v>http://dx.doi.org/10.1016/j.jcsr.2017.04.001</v>
      </c>
      <c r="BG279" s="1" t="s">
        <v>74</v>
      </c>
      <c r="BH279" s="1" t="s">
        <v>74</v>
      </c>
      <c r="BI279" s="1" t="s">
        <v>74</v>
      </c>
      <c r="BJ279" s="1" t="s">
        <v>74</v>
      </c>
      <c r="BK279" s="1" t="s">
        <v>74</v>
      </c>
      <c r="BL279" s="1" t="s">
        <v>74</v>
      </c>
      <c r="BM279" s="1" t="s">
        <v>74</v>
      </c>
      <c r="BN279" s="1" t="s">
        <v>74</v>
      </c>
      <c r="BO279" s="1" t="s">
        <v>74</v>
      </c>
      <c r="BP279" s="1" t="s">
        <v>74</v>
      </c>
      <c r="BQ279" s="1" t="s">
        <v>74</v>
      </c>
      <c r="BR279" s="1" t="s">
        <v>74</v>
      </c>
      <c r="BS279" s="1" t="s">
        <v>2826</v>
      </c>
      <c r="BT279" s="1" t="str">
        <f>HYPERLINK("https%3A%2F%2Fwww.webofscience.com%2Fwos%2Fwoscc%2Ffull-record%2FWOS:000415769100001","View Full Record in Web of Science")</f>
        <v>View Full Record in Web of Science</v>
      </c>
    </row>
    <row r="280" ht="12.75" customHeight="1">
      <c r="A280" s="1" t="s">
        <v>72</v>
      </c>
      <c r="B280" s="1" t="s">
        <v>2827</v>
      </c>
      <c r="C280" s="1" t="s">
        <v>74</v>
      </c>
      <c r="D280" s="1" t="s">
        <v>74</v>
      </c>
      <c r="E280" s="1" t="s">
        <v>74</v>
      </c>
      <c r="F280" s="1" t="s">
        <v>2828</v>
      </c>
      <c r="G280" s="1" t="s">
        <v>74</v>
      </c>
      <c r="H280" s="1" t="s">
        <v>74</v>
      </c>
      <c r="I280" s="1" t="s">
        <v>2829</v>
      </c>
      <c r="J280" s="1" t="s">
        <v>582</v>
      </c>
      <c r="K280" s="1" t="s">
        <v>74</v>
      </c>
      <c r="L280" s="1" t="s">
        <v>74</v>
      </c>
      <c r="M280" s="1" t="s">
        <v>74</v>
      </c>
      <c r="N280" s="1" t="s">
        <v>74</v>
      </c>
      <c r="O280" s="1" t="s">
        <v>74</v>
      </c>
      <c r="P280" s="1" t="s">
        <v>74</v>
      </c>
      <c r="Q280" s="1" t="s">
        <v>74</v>
      </c>
      <c r="R280" s="1" t="s">
        <v>74</v>
      </c>
      <c r="S280" s="1" t="s">
        <v>74</v>
      </c>
      <c r="T280" s="1" t="s">
        <v>74</v>
      </c>
      <c r="U280" s="1" t="s">
        <v>74</v>
      </c>
      <c r="V280" s="1" t="s">
        <v>2830</v>
      </c>
      <c r="W280" s="1" t="s">
        <v>74</v>
      </c>
      <c r="X280" s="1" t="s">
        <v>74</v>
      </c>
      <c r="Y280" s="1" t="s">
        <v>74</v>
      </c>
      <c r="Z280" s="1" t="s">
        <v>74</v>
      </c>
      <c r="AA280" s="1" t="s">
        <v>74</v>
      </c>
      <c r="AB280" s="1" t="s">
        <v>2831</v>
      </c>
      <c r="AC280" s="1" t="s">
        <v>74</v>
      </c>
      <c r="AD280" s="1" t="s">
        <v>74</v>
      </c>
      <c r="AE280" s="1" t="s">
        <v>74</v>
      </c>
      <c r="AF280" s="1" t="s">
        <v>74</v>
      </c>
      <c r="AG280" s="1" t="s">
        <v>74</v>
      </c>
      <c r="AH280" s="1" t="s">
        <v>74</v>
      </c>
      <c r="AI280" s="1" t="s">
        <v>74</v>
      </c>
      <c r="AJ280" s="1" t="s">
        <v>74</v>
      </c>
      <c r="AK280" s="1" t="s">
        <v>74</v>
      </c>
      <c r="AL280" s="1" t="s">
        <v>74</v>
      </c>
      <c r="AM280" s="1" t="s">
        <v>74</v>
      </c>
      <c r="AN280" s="1" t="s">
        <v>74</v>
      </c>
      <c r="AO280" s="1" t="s">
        <v>585</v>
      </c>
      <c r="AP280" s="1" t="s">
        <v>74</v>
      </c>
      <c r="AQ280" s="1" t="s">
        <v>74</v>
      </c>
      <c r="AR280" s="1" t="s">
        <v>74</v>
      </c>
      <c r="AS280" s="1" t="s">
        <v>74</v>
      </c>
      <c r="AT280" s="1" t="s">
        <v>215</v>
      </c>
      <c r="AU280" s="1">
        <v>2017.0</v>
      </c>
      <c r="AV280" s="1">
        <v>62.0</v>
      </c>
      <c r="AW280" s="1">
        <v>2.0</v>
      </c>
      <c r="AX280" s="1" t="s">
        <v>74</v>
      </c>
      <c r="AY280" s="1" t="s">
        <v>74</v>
      </c>
      <c r="AZ280" s="1" t="s">
        <v>74</v>
      </c>
      <c r="BA280" s="1" t="s">
        <v>74</v>
      </c>
      <c r="BB280" s="1">
        <v>3529.0</v>
      </c>
      <c r="BC280" s="1">
        <v>3534.0</v>
      </c>
      <c r="BD280" s="1" t="s">
        <v>74</v>
      </c>
      <c r="BE280" s="1" t="s">
        <v>2832</v>
      </c>
      <c r="BF280" s="2" t="str">
        <f>HYPERLINK("http://dx.doi.org/10.4067/S0717-97072017000200021","http://dx.doi.org/10.4067/S0717-97072017000200021")</f>
        <v>http://dx.doi.org/10.4067/S0717-97072017000200021</v>
      </c>
      <c r="BG280" s="1" t="s">
        <v>74</v>
      </c>
      <c r="BH280" s="1" t="s">
        <v>74</v>
      </c>
      <c r="BI280" s="1" t="s">
        <v>74</v>
      </c>
      <c r="BJ280" s="1" t="s">
        <v>74</v>
      </c>
      <c r="BK280" s="1" t="s">
        <v>74</v>
      </c>
      <c r="BL280" s="1" t="s">
        <v>74</v>
      </c>
      <c r="BM280" s="1" t="s">
        <v>74</v>
      </c>
      <c r="BN280" s="1" t="s">
        <v>74</v>
      </c>
      <c r="BO280" s="1" t="s">
        <v>74</v>
      </c>
      <c r="BP280" s="1" t="s">
        <v>74</v>
      </c>
      <c r="BQ280" s="1" t="s">
        <v>74</v>
      </c>
      <c r="BR280" s="1" t="s">
        <v>74</v>
      </c>
      <c r="BS280" s="1" t="s">
        <v>2833</v>
      </c>
      <c r="BT280" s="1" t="str">
        <f>HYPERLINK("https%3A%2F%2Fwww.webofscience.com%2Fwos%2Fwoscc%2Ffull-record%2FWOS:000408266600021","View Full Record in Web of Science")</f>
        <v>View Full Record in Web of Science</v>
      </c>
    </row>
    <row r="281" ht="12.75" customHeight="1">
      <c r="A281" s="1" t="s">
        <v>72</v>
      </c>
      <c r="B281" s="1" t="s">
        <v>2834</v>
      </c>
      <c r="C281" s="1" t="s">
        <v>74</v>
      </c>
      <c r="D281" s="1" t="s">
        <v>74</v>
      </c>
      <c r="E281" s="1" t="s">
        <v>74</v>
      </c>
      <c r="F281" s="1" t="s">
        <v>2835</v>
      </c>
      <c r="G281" s="1" t="s">
        <v>74</v>
      </c>
      <c r="H281" s="1" t="s">
        <v>74</v>
      </c>
      <c r="I281" s="1" t="s">
        <v>2836</v>
      </c>
      <c r="J281" s="1" t="s">
        <v>2837</v>
      </c>
      <c r="K281" s="1" t="s">
        <v>74</v>
      </c>
      <c r="L281" s="1" t="s">
        <v>74</v>
      </c>
      <c r="M281" s="1" t="s">
        <v>74</v>
      </c>
      <c r="N281" s="1" t="s">
        <v>74</v>
      </c>
      <c r="O281" s="1" t="s">
        <v>74</v>
      </c>
      <c r="P281" s="1" t="s">
        <v>74</v>
      </c>
      <c r="Q281" s="1" t="s">
        <v>74</v>
      </c>
      <c r="R281" s="1" t="s">
        <v>74</v>
      </c>
      <c r="S281" s="1" t="s">
        <v>74</v>
      </c>
      <c r="T281" s="1" t="s">
        <v>74</v>
      </c>
      <c r="U281" s="1" t="s">
        <v>74</v>
      </c>
      <c r="V281" s="1" t="s">
        <v>2838</v>
      </c>
      <c r="W281" s="1" t="s">
        <v>74</v>
      </c>
      <c r="X281" s="1" t="s">
        <v>74</v>
      </c>
      <c r="Y281" s="1" t="s">
        <v>74</v>
      </c>
      <c r="Z281" s="1" t="s">
        <v>74</v>
      </c>
      <c r="AA281" s="1" t="s">
        <v>2839</v>
      </c>
      <c r="AB281" s="1" t="s">
        <v>2840</v>
      </c>
      <c r="AC281" s="1" t="s">
        <v>74</v>
      </c>
      <c r="AD281" s="1" t="s">
        <v>74</v>
      </c>
      <c r="AE281" s="1" t="s">
        <v>74</v>
      </c>
      <c r="AF281" s="1" t="s">
        <v>74</v>
      </c>
      <c r="AG281" s="1" t="s">
        <v>74</v>
      </c>
      <c r="AH281" s="1" t="s">
        <v>74</v>
      </c>
      <c r="AI281" s="1" t="s">
        <v>74</v>
      </c>
      <c r="AJ281" s="1" t="s">
        <v>74</v>
      </c>
      <c r="AK281" s="1" t="s">
        <v>74</v>
      </c>
      <c r="AL281" s="1" t="s">
        <v>74</v>
      </c>
      <c r="AM281" s="1" t="s">
        <v>74</v>
      </c>
      <c r="AN281" s="1" t="s">
        <v>74</v>
      </c>
      <c r="AO281" s="1" t="s">
        <v>2841</v>
      </c>
      <c r="AP281" s="1" t="s">
        <v>2842</v>
      </c>
      <c r="AQ281" s="1" t="s">
        <v>74</v>
      </c>
      <c r="AR281" s="1" t="s">
        <v>74</v>
      </c>
      <c r="AS281" s="1" t="s">
        <v>74</v>
      </c>
      <c r="AT281" s="1" t="s">
        <v>158</v>
      </c>
      <c r="AU281" s="1">
        <v>2017.0</v>
      </c>
      <c r="AV281" s="1">
        <v>116.0</v>
      </c>
      <c r="AW281" s="1" t="s">
        <v>74</v>
      </c>
      <c r="AX281" s="1" t="s">
        <v>74</v>
      </c>
      <c r="AY281" s="1" t="s">
        <v>74</v>
      </c>
      <c r="AZ281" s="1" t="s">
        <v>74</v>
      </c>
      <c r="BA281" s="1" t="s">
        <v>74</v>
      </c>
      <c r="BB281" s="1">
        <v>113.0</v>
      </c>
      <c r="BC281" s="1">
        <v>121.0</v>
      </c>
      <c r="BD281" s="1" t="s">
        <v>74</v>
      </c>
      <c r="BE281" s="1" t="s">
        <v>2843</v>
      </c>
      <c r="BF281" s="2" t="str">
        <f>HYPERLINK("http://dx.doi.org/10.1016/j.compositesb.2017.02.020","http://dx.doi.org/10.1016/j.compositesb.2017.02.020")</f>
        <v>http://dx.doi.org/10.1016/j.compositesb.2017.02.020</v>
      </c>
      <c r="BG281" s="1" t="s">
        <v>74</v>
      </c>
      <c r="BH281" s="1" t="s">
        <v>74</v>
      </c>
      <c r="BI281" s="1" t="s">
        <v>74</v>
      </c>
      <c r="BJ281" s="1" t="s">
        <v>74</v>
      </c>
      <c r="BK281" s="1" t="s">
        <v>74</v>
      </c>
      <c r="BL281" s="1" t="s">
        <v>74</v>
      </c>
      <c r="BM281" s="1" t="s">
        <v>74</v>
      </c>
      <c r="BN281" s="1" t="s">
        <v>74</v>
      </c>
      <c r="BO281" s="1" t="s">
        <v>74</v>
      </c>
      <c r="BP281" s="1" t="s">
        <v>74</v>
      </c>
      <c r="BQ281" s="1" t="s">
        <v>74</v>
      </c>
      <c r="BR281" s="1" t="s">
        <v>74</v>
      </c>
      <c r="BS281" s="1" t="s">
        <v>2844</v>
      </c>
      <c r="BT281" s="1" t="str">
        <f>HYPERLINK("https%3A%2F%2Fwww.webofscience.com%2Fwos%2Fwoscc%2Ffull-record%2FWOS:000401676400012","View Full Record in Web of Science")</f>
        <v>View Full Record in Web of Science</v>
      </c>
    </row>
    <row r="282" ht="12.75" customHeight="1">
      <c r="A282" s="1" t="s">
        <v>72</v>
      </c>
      <c r="B282" s="1" t="s">
        <v>2845</v>
      </c>
      <c r="C282" s="1" t="s">
        <v>74</v>
      </c>
      <c r="D282" s="1" t="s">
        <v>74</v>
      </c>
      <c r="E282" s="1" t="s">
        <v>74</v>
      </c>
      <c r="F282" s="1" t="s">
        <v>2846</v>
      </c>
      <c r="G282" s="1" t="s">
        <v>74</v>
      </c>
      <c r="H282" s="1" t="s">
        <v>74</v>
      </c>
      <c r="I282" s="1" t="s">
        <v>2847</v>
      </c>
      <c r="J282" s="1" t="s">
        <v>622</v>
      </c>
      <c r="K282" s="1" t="s">
        <v>74</v>
      </c>
      <c r="L282" s="1" t="s">
        <v>74</v>
      </c>
      <c r="M282" s="1" t="s">
        <v>74</v>
      </c>
      <c r="N282" s="1" t="s">
        <v>74</v>
      </c>
      <c r="O282" s="1" t="s">
        <v>74</v>
      </c>
      <c r="P282" s="1" t="s">
        <v>74</v>
      </c>
      <c r="Q282" s="1" t="s">
        <v>74</v>
      </c>
      <c r="R282" s="1" t="s">
        <v>74</v>
      </c>
      <c r="S282" s="1" t="s">
        <v>74</v>
      </c>
      <c r="T282" s="1" t="s">
        <v>74</v>
      </c>
      <c r="U282" s="1" t="s">
        <v>74</v>
      </c>
      <c r="V282" s="1" t="s">
        <v>2848</v>
      </c>
      <c r="W282" s="1" t="s">
        <v>74</v>
      </c>
      <c r="X282" s="1" t="s">
        <v>74</v>
      </c>
      <c r="Y282" s="1" t="s">
        <v>74</v>
      </c>
      <c r="Z282" s="1" t="s">
        <v>74</v>
      </c>
      <c r="AA282" s="1" t="s">
        <v>2849</v>
      </c>
      <c r="AB282" s="1" t="s">
        <v>2850</v>
      </c>
      <c r="AC282" s="1" t="s">
        <v>74</v>
      </c>
      <c r="AD282" s="1" t="s">
        <v>74</v>
      </c>
      <c r="AE282" s="1" t="s">
        <v>74</v>
      </c>
      <c r="AF282" s="1" t="s">
        <v>74</v>
      </c>
      <c r="AG282" s="1" t="s">
        <v>74</v>
      </c>
      <c r="AH282" s="1" t="s">
        <v>74</v>
      </c>
      <c r="AI282" s="1" t="s">
        <v>74</v>
      </c>
      <c r="AJ282" s="1" t="s">
        <v>74</v>
      </c>
      <c r="AK282" s="1" t="s">
        <v>74</v>
      </c>
      <c r="AL282" s="1" t="s">
        <v>74</v>
      </c>
      <c r="AM282" s="1" t="s">
        <v>74</v>
      </c>
      <c r="AN282" s="1" t="s">
        <v>74</v>
      </c>
      <c r="AO282" s="1" t="s">
        <v>626</v>
      </c>
      <c r="AP282" s="1" t="s">
        <v>74</v>
      </c>
      <c r="AQ282" s="1" t="s">
        <v>74</v>
      </c>
      <c r="AR282" s="1" t="s">
        <v>74</v>
      </c>
      <c r="AS282" s="1" t="s">
        <v>74</v>
      </c>
      <c r="AT282" s="1" t="s">
        <v>2458</v>
      </c>
      <c r="AU282" s="1">
        <v>2017.0</v>
      </c>
      <c r="AV282" s="1">
        <v>33.0</v>
      </c>
      <c r="AW282" s="1">
        <v>1.0</v>
      </c>
      <c r="AX282" s="1" t="s">
        <v>74</v>
      </c>
      <c r="AY282" s="1" t="s">
        <v>74</v>
      </c>
      <c r="AZ282" s="1" t="s">
        <v>74</v>
      </c>
      <c r="BA282" s="1" t="s">
        <v>74</v>
      </c>
      <c r="BB282" s="1">
        <v>158.0</v>
      </c>
      <c r="BC282" s="1">
        <v>163.0</v>
      </c>
      <c r="BD282" s="1" t="s">
        <v>74</v>
      </c>
      <c r="BE282" s="1" t="s">
        <v>2851</v>
      </c>
      <c r="BF282" s="2" t="str">
        <f>HYPERLINK("http://dx.doi.org/10.1021/acs.langmuir.6b03974","http://dx.doi.org/10.1021/acs.langmuir.6b03974")</f>
        <v>http://dx.doi.org/10.1021/acs.langmuir.6b03974</v>
      </c>
      <c r="BG282" s="1" t="s">
        <v>74</v>
      </c>
      <c r="BH282" s="1" t="s">
        <v>74</v>
      </c>
      <c r="BI282" s="1" t="s">
        <v>74</v>
      </c>
      <c r="BJ282" s="1" t="s">
        <v>74</v>
      </c>
      <c r="BK282" s="1" t="s">
        <v>74</v>
      </c>
      <c r="BL282" s="1" t="s">
        <v>74</v>
      </c>
      <c r="BM282" s="1" t="s">
        <v>74</v>
      </c>
      <c r="BN282" s="1">
        <v>2.7992206E7</v>
      </c>
      <c r="BO282" s="1" t="s">
        <v>74</v>
      </c>
      <c r="BP282" s="1" t="s">
        <v>74</v>
      </c>
      <c r="BQ282" s="1" t="s">
        <v>74</v>
      </c>
      <c r="BR282" s="1" t="s">
        <v>74</v>
      </c>
      <c r="BS282" s="1" t="s">
        <v>2852</v>
      </c>
      <c r="BT282" s="1" t="str">
        <f>HYPERLINK("https%3A%2F%2Fwww.webofscience.com%2Fwos%2Fwoscc%2Ffull-record%2FWOS:000391898100020","View Full Record in Web of Science")</f>
        <v>View Full Record in Web of Science</v>
      </c>
    </row>
    <row r="283" ht="12.75" customHeight="1">
      <c r="A283" s="1" t="s">
        <v>251</v>
      </c>
      <c r="B283" s="1" t="s">
        <v>2853</v>
      </c>
      <c r="C283" s="1" t="s">
        <v>74</v>
      </c>
      <c r="D283" s="1" t="s">
        <v>74</v>
      </c>
      <c r="E283" s="1" t="s">
        <v>253</v>
      </c>
      <c r="F283" s="1" t="s">
        <v>2854</v>
      </c>
      <c r="G283" s="1" t="s">
        <v>74</v>
      </c>
      <c r="H283" s="1" t="s">
        <v>74</v>
      </c>
      <c r="I283" s="1" t="s">
        <v>2855</v>
      </c>
      <c r="J283" s="1" t="s">
        <v>2856</v>
      </c>
      <c r="K283" s="1" t="s">
        <v>74</v>
      </c>
      <c r="L283" s="1" t="s">
        <v>74</v>
      </c>
      <c r="M283" s="1" t="s">
        <v>74</v>
      </c>
      <c r="N283" s="1" t="s">
        <v>74</v>
      </c>
      <c r="O283" s="1" t="s">
        <v>2857</v>
      </c>
      <c r="P283" s="1" t="s">
        <v>2858</v>
      </c>
      <c r="Q283" s="1" t="s">
        <v>2859</v>
      </c>
      <c r="R283" s="1" t="s">
        <v>2860</v>
      </c>
      <c r="S283" s="1" t="s">
        <v>74</v>
      </c>
      <c r="T283" s="1" t="s">
        <v>74</v>
      </c>
      <c r="U283" s="1" t="s">
        <v>74</v>
      </c>
      <c r="V283" s="1" t="s">
        <v>2861</v>
      </c>
      <c r="W283" s="1" t="s">
        <v>74</v>
      </c>
      <c r="X283" s="1" t="s">
        <v>74</v>
      </c>
      <c r="Y283" s="1" t="s">
        <v>74</v>
      </c>
      <c r="Z283" s="1" t="s">
        <v>74</v>
      </c>
      <c r="AA283" s="1" t="s">
        <v>2862</v>
      </c>
      <c r="AB283" s="1" t="s">
        <v>74</v>
      </c>
      <c r="AC283" s="1" t="s">
        <v>74</v>
      </c>
      <c r="AD283" s="1" t="s">
        <v>74</v>
      </c>
      <c r="AE283" s="1" t="s">
        <v>74</v>
      </c>
      <c r="AF283" s="1" t="s">
        <v>74</v>
      </c>
      <c r="AG283" s="1" t="s">
        <v>74</v>
      </c>
      <c r="AH283" s="1" t="s">
        <v>74</v>
      </c>
      <c r="AI283" s="1" t="s">
        <v>74</v>
      </c>
      <c r="AJ283" s="1" t="s">
        <v>74</v>
      </c>
      <c r="AK283" s="1" t="s">
        <v>74</v>
      </c>
      <c r="AL283" s="1" t="s">
        <v>74</v>
      </c>
      <c r="AM283" s="1" t="s">
        <v>74</v>
      </c>
      <c r="AN283" s="1" t="s">
        <v>74</v>
      </c>
      <c r="AO283" s="1" t="s">
        <v>74</v>
      </c>
      <c r="AP283" s="1" t="s">
        <v>74</v>
      </c>
      <c r="AQ283" s="1" t="s">
        <v>2863</v>
      </c>
      <c r="AR283" s="1" t="s">
        <v>74</v>
      </c>
      <c r="AS283" s="1" t="s">
        <v>74</v>
      </c>
      <c r="AT283" s="1" t="s">
        <v>74</v>
      </c>
      <c r="AU283" s="1">
        <v>2017.0</v>
      </c>
      <c r="AV283" s="1" t="s">
        <v>74</v>
      </c>
      <c r="AW283" s="1" t="s">
        <v>74</v>
      </c>
      <c r="AX283" s="1" t="s">
        <v>74</v>
      </c>
      <c r="AY283" s="1" t="s">
        <v>74</v>
      </c>
      <c r="AZ283" s="1" t="s">
        <v>74</v>
      </c>
      <c r="BA283" s="1" t="s">
        <v>74</v>
      </c>
      <c r="BB283" s="1" t="s">
        <v>74</v>
      </c>
      <c r="BC283" s="1" t="s">
        <v>74</v>
      </c>
      <c r="BD283" s="1" t="s">
        <v>74</v>
      </c>
      <c r="BE283" s="1" t="s">
        <v>74</v>
      </c>
      <c r="BF283" s="1" t="s">
        <v>74</v>
      </c>
      <c r="BG283" s="1" t="s">
        <v>74</v>
      </c>
      <c r="BH283" s="1" t="s">
        <v>74</v>
      </c>
      <c r="BI283" s="1" t="s">
        <v>74</v>
      </c>
      <c r="BJ283" s="1" t="s">
        <v>74</v>
      </c>
      <c r="BK283" s="1" t="s">
        <v>74</v>
      </c>
      <c r="BL283" s="1" t="s">
        <v>74</v>
      </c>
      <c r="BM283" s="1" t="s">
        <v>74</v>
      </c>
      <c r="BN283" s="1" t="s">
        <v>74</v>
      </c>
      <c r="BO283" s="1" t="s">
        <v>74</v>
      </c>
      <c r="BP283" s="1" t="s">
        <v>74</v>
      </c>
      <c r="BQ283" s="1" t="s">
        <v>74</v>
      </c>
      <c r="BR283" s="1" t="s">
        <v>74</v>
      </c>
      <c r="BS283" s="1" t="s">
        <v>2864</v>
      </c>
      <c r="BT283" s="1" t="str">
        <f>HYPERLINK("https%3A%2F%2Fwww.webofscience.com%2Fwos%2Fwoscc%2Ffull-record%2FWOS:000426986500004","View Full Record in Web of Science")</f>
        <v>View Full Record in Web of Science</v>
      </c>
    </row>
    <row r="284" ht="12.75" customHeight="1">
      <c r="A284" s="1" t="s">
        <v>72</v>
      </c>
      <c r="B284" s="1" t="s">
        <v>2865</v>
      </c>
      <c r="C284" s="1" t="s">
        <v>74</v>
      </c>
      <c r="D284" s="1" t="s">
        <v>74</v>
      </c>
      <c r="E284" s="1" t="s">
        <v>74</v>
      </c>
      <c r="F284" s="1" t="s">
        <v>2866</v>
      </c>
      <c r="G284" s="1" t="s">
        <v>74</v>
      </c>
      <c r="H284" s="1" t="s">
        <v>74</v>
      </c>
      <c r="I284" s="1" t="s">
        <v>2867</v>
      </c>
      <c r="J284" s="1" t="s">
        <v>2748</v>
      </c>
      <c r="K284" s="1" t="s">
        <v>74</v>
      </c>
      <c r="L284" s="1" t="s">
        <v>74</v>
      </c>
      <c r="M284" s="1" t="s">
        <v>74</v>
      </c>
      <c r="N284" s="1" t="s">
        <v>74</v>
      </c>
      <c r="O284" s="1" t="s">
        <v>74</v>
      </c>
      <c r="P284" s="1" t="s">
        <v>74</v>
      </c>
      <c r="Q284" s="1" t="s">
        <v>74</v>
      </c>
      <c r="R284" s="1" t="s">
        <v>74</v>
      </c>
      <c r="S284" s="1" t="s">
        <v>74</v>
      </c>
      <c r="T284" s="1" t="s">
        <v>74</v>
      </c>
      <c r="U284" s="1" t="s">
        <v>74</v>
      </c>
      <c r="V284" s="1" t="s">
        <v>2868</v>
      </c>
      <c r="W284" s="1" t="s">
        <v>74</v>
      </c>
      <c r="X284" s="1" t="s">
        <v>74</v>
      </c>
      <c r="Y284" s="1" t="s">
        <v>74</v>
      </c>
      <c r="Z284" s="1" t="s">
        <v>74</v>
      </c>
      <c r="AA284" s="1" t="s">
        <v>74</v>
      </c>
      <c r="AB284" s="1" t="s">
        <v>74</v>
      </c>
      <c r="AC284" s="1" t="s">
        <v>74</v>
      </c>
      <c r="AD284" s="1" t="s">
        <v>74</v>
      </c>
      <c r="AE284" s="1" t="s">
        <v>74</v>
      </c>
      <c r="AF284" s="1" t="s">
        <v>74</v>
      </c>
      <c r="AG284" s="1" t="s">
        <v>74</v>
      </c>
      <c r="AH284" s="1" t="s">
        <v>74</v>
      </c>
      <c r="AI284" s="1" t="s">
        <v>74</v>
      </c>
      <c r="AJ284" s="1" t="s">
        <v>74</v>
      </c>
      <c r="AK284" s="1" t="s">
        <v>74</v>
      </c>
      <c r="AL284" s="1" t="s">
        <v>74</v>
      </c>
      <c r="AM284" s="1" t="s">
        <v>74</v>
      </c>
      <c r="AN284" s="1" t="s">
        <v>74</v>
      </c>
      <c r="AO284" s="1" t="s">
        <v>2750</v>
      </c>
      <c r="AP284" s="1" t="s">
        <v>74</v>
      </c>
      <c r="AQ284" s="1" t="s">
        <v>74</v>
      </c>
      <c r="AR284" s="1" t="s">
        <v>74</v>
      </c>
      <c r="AS284" s="1" t="s">
        <v>74</v>
      </c>
      <c r="AT284" s="1" t="s">
        <v>1829</v>
      </c>
      <c r="AU284" s="1">
        <v>2017.0</v>
      </c>
      <c r="AV284" s="1">
        <v>50.0</v>
      </c>
      <c r="AW284" s="1">
        <v>1.0</v>
      </c>
      <c r="AX284" s="1" t="s">
        <v>74</v>
      </c>
      <c r="AY284" s="1" t="s">
        <v>74</v>
      </c>
      <c r="AZ284" s="1" t="s">
        <v>74</v>
      </c>
      <c r="BA284" s="1" t="s">
        <v>74</v>
      </c>
      <c r="BB284" s="1">
        <v>241.0</v>
      </c>
      <c r="BC284" s="1">
        <v>271.0</v>
      </c>
      <c r="BD284" s="1" t="s">
        <v>74</v>
      </c>
      <c r="BE284" s="1" t="s">
        <v>74</v>
      </c>
      <c r="BF284" s="1" t="s">
        <v>74</v>
      </c>
      <c r="BG284" s="1" t="s">
        <v>74</v>
      </c>
      <c r="BH284" s="1" t="s">
        <v>74</v>
      </c>
      <c r="BI284" s="1" t="s">
        <v>74</v>
      </c>
      <c r="BJ284" s="1" t="s">
        <v>74</v>
      </c>
      <c r="BK284" s="1" t="s">
        <v>74</v>
      </c>
      <c r="BL284" s="1" t="s">
        <v>74</v>
      </c>
      <c r="BM284" s="1" t="s">
        <v>74</v>
      </c>
      <c r="BN284" s="1" t="s">
        <v>74</v>
      </c>
      <c r="BO284" s="1" t="s">
        <v>74</v>
      </c>
      <c r="BP284" s="1" t="s">
        <v>74</v>
      </c>
      <c r="BQ284" s="1" t="s">
        <v>74</v>
      </c>
      <c r="BR284" s="1" t="s">
        <v>74</v>
      </c>
      <c r="BS284" s="1" t="s">
        <v>2869</v>
      </c>
      <c r="BT284" s="1" t="str">
        <f>HYPERLINK("https%3A%2F%2Fwww.webofscience.com%2Fwos%2Fwoscc%2Ffull-record%2FWOS:000418182300009","View Full Record in Web of Science")</f>
        <v>View Full Record in Web of Science</v>
      </c>
    </row>
    <row r="285" ht="12.75" customHeight="1">
      <c r="A285" s="1" t="s">
        <v>72</v>
      </c>
      <c r="B285" s="1" t="s">
        <v>2870</v>
      </c>
      <c r="C285" s="1" t="s">
        <v>74</v>
      </c>
      <c r="D285" s="1" t="s">
        <v>74</v>
      </c>
      <c r="E285" s="1" t="s">
        <v>74</v>
      </c>
      <c r="F285" s="1" t="s">
        <v>2871</v>
      </c>
      <c r="G285" s="1" t="s">
        <v>74</v>
      </c>
      <c r="H285" s="1" t="s">
        <v>74</v>
      </c>
      <c r="I285" s="1" t="s">
        <v>2872</v>
      </c>
      <c r="J285" s="1" t="s">
        <v>1239</v>
      </c>
      <c r="K285" s="1" t="s">
        <v>74</v>
      </c>
      <c r="L285" s="1" t="s">
        <v>74</v>
      </c>
      <c r="M285" s="1" t="s">
        <v>74</v>
      </c>
      <c r="N285" s="1" t="s">
        <v>74</v>
      </c>
      <c r="O285" s="1" t="s">
        <v>74</v>
      </c>
      <c r="P285" s="1" t="s">
        <v>74</v>
      </c>
      <c r="Q285" s="1" t="s">
        <v>74</v>
      </c>
      <c r="R285" s="1" t="s">
        <v>74</v>
      </c>
      <c r="S285" s="1" t="s">
        <v>74</v>
      </c>
      <c r="T285" s="1" t="s">
        <v>74</v>
      </c>
      <c r="U285" s="1" t="s">
        <v>74</v>
      </c>
      <c r="V285" s="1" t="s">
        <v>2873</v>
      </c>
      <c r="W285" s="1" t="s">
        <v>74</v>
      </c>
      <c r="X285" s="1" t="s">
        <v>74</v>
      </c>
      <c r="Y285" s="1" t="s">
        <v>74</v>
      </c>
      <c r="Z285" s="1" t="s">
        <v>74</v>
      </c>
      <c r="AA285" s="1" t="s">
        <v>74</v>
      </c>
      <c r="AB285" s="1" t="s">
        <v>2874</v>
      </c>
      <c r="AC285" s="1" t="s">
        <v>74</v>
      </c>
      <c r="AD285" s="1" t="s">
        <v>74</v>
      </c>
      <c r="AE285" s="1" t="s">
        <v>74</v>
      </c>
      <c r="AF285" s="1" t="s">
        <v>74</v>
      </c>
      <c r="AG285" s="1" t="s">
        <v>74</v>
      </c>
      <c r="AH285" s="1" t="s">
        <v>74</v>
      </c>
      <c r="AI285" s="1" t="s">
        <v>74</v>
      </c>
      <c r="AJ285" s="1" t="s">
        <v>74</v>
      </c>
      <c r="AK285" s="1" t="s">
        <v>74</v>
      </c>
      <c r="AL285" s="1" t="s">
        <v>74</v>
      </c>
      <c r="AM285" s="1" t="s">
        <v>74</v>
      </c>
      <c r="AN285" s="1" t="s">
        <v>74</v>
      </c>
      <c r="AO285" s="1" t="s">
        <v>74</v>
      </c>
      <c r="AP285" s="1" t="s">
        <v>1243</v>
      </c>
      <c r="AQ285" s="1" t="s">
        <v>74</v>
      </c>
      <c r="AR285" s="1" t="s">
        <v>74</v>
      </c>
      <c r="AS285" s="1" t="s">
        <v>74</v>
      </c>
      <c r="AT285" s="1" t="s">
        <v>110</v>
      </c>
      <c r="AU285" s="1">
        <v>2016.0</v>
      </c>
      <c r="AV285" s="1">
        <v>8.0</v>
      </c>
      <c r="AW285" s="1">
        <v>12.0</v>
      </c>
      <c r="AX285" s="1" t="s">
        <v>74</v>
      </c>
      <c r="AY285" s="1" t="s">
        <v>74</v>
      </c>
      <c r="AZ285" s="1" t="s">
        <v>74</v>
      </c>
      <c r="BA285" s="1" t="s">
        <v>74</v>
      </c>
      <c r="BB285" s="1" t="s">
        <v>74</v>
      </c>
      <c r="BC285" s="1" t="s">
        <v>74</v>
      </c>
      <c r="BD285" s="1">
        <v>1326.0</v>
      </c>
      <c r="BE285" s="1" t="s">
        <v>2875</v>
      </c>
      <c r="BF285" s="2" t="str">
        <f>HYPERLINK("http://dx.doi.org/10.3390/su8121326","http://dx.doi.org/10.3390/su8121326")</f>
        <v>http://dx.doi.org/10.3390/su8121326</v>
      </c>
      <c r="BG285" s="1" t="s">
        <v>74</v>
      </c>
      <c r="BH285" s="1" t="s">
        <v>74</v>
      </c>
      <c r="BI285" s="1" t="s">
        <v>74</v>
      </c>
      <c r="BJ285" s="1" t="s">
        <v>74</v>
      </c>
      <c r="BK285" s="1" t="s">
        <v>74</v>
      </c>
      <c r="BL285" s="1" t="s">
        <v>74</v>
      </c>
      <c r="BM285" s="1" t="s">
        <v>74</v>
      </c>
      <c r="BN285" s="1" t="s">
        <v>74</v>
      </c>
      <c r="BO285" s="1" t="s">
        <v>74</v>
      </c>
      <c r="BP285" s="1" t="s">
        <v>74</v>
      </c>
      <c r="BQ285" s="1" t="s">
        <v>74</v>
      </c>
      <c r="BR285" s="1" t="s">
        <v>74</v>
      </c>
      <c r="BS285" s="1" t="s">
        <v>2876</v>
      </c>
      <c r="BT285" s="1" t="str">
        <f>HYPERLINK("https%3A%2F%2Fwww.webofscience.com%2Fwos%2Fwoscc%2Ffull-record%2FWOS:000393315100049","View Full Record in Web of Science")</f>
        <v>View Full Record in Web of Science</v>
      </c>
    </row>
    <row r="286" ht="12.75" customHeight="1">
      <c r="A286" s="1" t="s">
        <v>72</v>
      </c>
      <c r="B286" s="1" t="s">
        <v>2877</v>
      </c>
      <c r="C286" s="1" t="s">
        <v>74</v>
      </c>
      <c r="D286" s="1" t="s">
        <v>74</v>
      </c>
      <c r="E286" s="1" t="s">
        <v>74</v>
      </c>
      <c r="F286" s="1" t="s">
        <v>2878</v>
      </c>
      <c r="G286" s="1" t="s">
        <v>74</v>
      </c>
      <c r="H286" s="1" t="s">
        <v>74</v>
      </c>
      <c r="I286" s="1" t="s">
        <v>2879</v>
      </c>
      <c r="J286" s="1" t="s">
        <v>2015</v>
      </c>
      <c r="K286" s="1" t="s">
        <v>74</v>
      </c>
      <c r="L286" s="1" t="s">
        <v>74</v>
      </c>
      <c r="M286" s="1" t="s">
        <v>74</v>
      </c>
      <c r="N286" s="1" t="s">
        <v>74</v>
      </c>
      <c r="O286" s="1" t="s">
        <v>74</v>
      </c>
      <c r="P286" s="1" t="s">
        <v>74</v>
      </c>
      <c r="Q286" s="1" t="s">
        <v>74</v>
      </c>
      <c r="R286" s="1" t="s">
        <v>74</v>
      </c>
      <c r="S286" s="1" t="s">
        <v>74</v>
      </c>
      <c r="T286" s="1" t="s">
        <v>74</v>
      </c>
      <c r="U286" s="1" t="s">
        <v>74</v>
      </c>
      <c r="V286" s="1" t="s">
        <v>2880</v>
      </c>
      <c r="W286" s="1" t="s">
        <v>74</v>
      </c>
      <c r="X286" s="1" t="s">
        <v>74</v>
      </c>
      <c r="Y286" s="1" t="s">
        <v>74</v>
      </c>
      <c r="Z286" s="1" t="s">
        <v>74</v>
      </c>
      <c r="AA286" s="1" t="s">
        <v>2881</v>
      </c>
      <c r="AB286" s="1" t="s">
        <v>2882</v>
      </c>
      <c r="AC286" s="1" t="s">
        <v>74</v>
      </c>
      <c r="AD286" s="1" t="s">
        <v>74</v>
      </c>
      <c r="AE286" s="1" t="s">
        <v>74</v>
      </c>
      <c r="AF286" s="1" t="s">
        <v>74</v>
      </c>
      <c r="AG286" s="1" t="s">
        <v>74</v>
      </c>
      <c r="AH286" s="1" t="s">
        <v>74</v>
      </c>
      <c r="AI286" s="1" t="s">
        <v>74</v>
      </c>
      <c r="AJ286" s="1" t="s">
        <v>74</v>
      </c>
      <c r="AK286" s="1" t="s">
        <v>74</v>
      </c>
      <c r="AL286" s="1" t="s">
        <v>74</v>
      </c>
      <c r="AM286" s="1" t="s">
        <v>74</v>
      </c>
      <c r="AN286" s="1" t="s">
        <v>74</v>
      </c>
      <c r="AO286" s="1" t="s">
        <v>2019</v>
      </c>
      <c r="AP286" s="1" t="s">
        <v>74</v>
      </c>
      <c r="AQ286" s="1" t="s">
        <v>74</v>
      </c>
      <c r="AR286" s="1" t="s">
        <v>74</v>
      </c>
      <c r="AS286" s="1" t="s">
        <v>74</v>
      </c>
      <c r="AT286" s="1" t="s">
        <v>2883</v>
      </c>
      <c r="AU286" s="1">
        <v>2016.0</v>
      </c>
      <c r="AV286" s="1">
        <v>6.0</v>
      </c>
      <c r="AW286" s="1" t="s">
        <v>74</v>
      </c>
      <c r="AX286" s="1" t="s">
        <v>74</v>
      </c>
      <c r="AY286" s="1" t="s">
        <v>74</v>
      </c>
      <c r="AZ286" s="1" t="s">
        <v>74</v>
      </c>
      <c r="BA286" s="1" t="s">
        <v>74</v>
      </c>
      <c r="BB286" s="1" t="s">
        <v>74</v>
      </c>
      <c r="BC286" s="1" t="s">
        <v>74</v>
      </c>
      <c r="BD286" s="1">
        <v>34304.0</v>
      </c>
      <c r="BE286" s="1" t="s">
        <v>2884</v>
      </c>
      <c r="BF286" s="2" t="str">
        <f>HYPERLINK("http://dx.doi.org/10.1038/srep34304","http://dx.doi.org/10.1038/srep34304")</f>
        <v>http://dx.doi.org/10.1038/srep34304</v>
      </c>
      <c r="BG286" s="1" t="s">
        <v>74</v>
      </c>
      <c r="BH286" s="1" t="s">
        <v>74</v>
      </c>
      <c r="BI286" s="1" t="s">
        <v>74</v>
      </c>
      <c r="BJ286" s="1" t="s">
        <v>74</v>
      </c>
      <c r="BK286" s="1" t="s">
        <v>74</v>
      </c>
      <c r="BL286" s="1" t="s">
        <v>74</v>
      </c>
      <c r="BM286" s="1" t="s">
        <v>74</v>
      </c>
      <c r="BN286" s="1">
        <v>2.7678167E7</v>
      </c>
      <c r="BO286" s="1" t="s">
        <v>74</v>
      </c>
      <c r="BP286" s="1" t="s">
        <v>74</v>
      </c>
      <c r="BQ286" s="1" t="s">
        <v>74</v>
      </c>
      <c r="BR286" s="1" t="s">
        <v>74</v>
      </c>
      <c r="BS286" s="1" t="s">
        <v>2885</v>
      </c>
      <c r="BT286" s="1" t="str">
        <f>HYPERLINK("https%3A%2F%2Fwww.webofscience.com%2Fwos%2Fwoscc%2Ffull-record%2FWOS:000384115900001","View Full Record in Web of Science")</f>
        <v>View Full Record in Web of Science</v>
      </c>
    </row>
    <row r="287" ht="12.75" customHeight="1">
      <c r="A287" s="1" t="s">
        <v>72</v>
      </c>
      <c r="B287" s="1" t="s">
        <v>2886</v>
      </c>
      <c r="C287" s="1" t="s">
        <v>74</v>
      </c>
      <c r="D287" s="1" t="s">
        <v>74</v>
      </c>
      <c r="E287" s="1" t="s">
        <v>74</v>
      </c>
      <c r="F287" s="1" t="s">
        <v>2887</v>
      </c>
      <c r="G287" s="1" t="s">
        <v>74</v>
      </c>
      <c r="H287" s="1" t="s">
        <v>74</v>
      </c>
      <c r="I287" s="1" t="s">
        <v>2888</v>
      </c>
      <c r="J287" s="1" t="s">
        <v>791</v>
      </c>
      <c r="K287" s="1" t="s">
        <v>74</v>
      </c>
      <c r="L287" s="1" t="s">
        <v>74</v>
      </c>
      <c r="M287" s="1" t="s">
        <v>74</v>
      </c>
      <c r="N287" s="1" t="s">
        <v>74</v>
      </c>
      <c r="O287" s="1" t="s">
        <v>74</v>
      </c>
      <c r="P287" s="1" t="s">
        <v>74</v>
      </c>
      <c r="Q287" s="1" t="s">
        <v>74</v>
      </c>
      <c r="R287" s="1" t="s">
        <v>74</v>
      </c>
      <c r="S287" s="1" t="s">
        <v>74</v>
      </c>
      <c r="T287" s="1" t="s">
        <v>74</v>
      </c>
      <c r="U287" s="1" t="s">
        <v>74</v>
      </c>
      <c r="V287" s="1" t="s">
        <v>2889</v>
      </c>
      <c r="W287" s="1" t="s">
        <v>74</v>
      </c>
      <c r="X287" s="1" t="s">
        <v>74</v>
      </c>
      <c r="Y287" s="1" t="s">
        <v>74</v>
      </c>
      <c r="Z287" s="1" t="s">
        <v>74</v>
      </c>
      <c r="AA287" s="1" t="s">
        <v>2890</v>
      </c>
      <c r="AB287" s="1" t="s">
        <v>2850</v>
      </c>
      <c r="AC287" s="1" t="s">
        <v>74</v>
      </c>
      <c r="AD287" s="1" t="s">
        <v>74</v>
      </c>
      <c r="AE287" s="1" t="s">
        <v>74</v>
      </c>
      <c r="AF287" s="1" t="s">
        <v>74</v>
      </c>
      <c r="AG287" s="1" t="s">
        <v>74</v>
      </c>
      <c r="AH287" s="1" t="s">
        <v>74</v>
      </c>
      <c r="AI287" s="1" t="s">
        <v>74</v>
      </c>
      <c r="AJ287" s="1" t="s">
        <v>74</v>
      </c>
      <c r="AK287" s="1" t="s">
        <v>74</v>
      </c>
      <c r="AL287" s="1" t="s">
        <v>74</v>
      </c>
      <c r="AM287" s="1" t="s">
        <v>74</v>
      </c>
      <c r="AN287" s="1" t="s">
        <v>74</v>
      </c>
      <c r="AO287" s="1" t="s">
        <v>1420</v>
      </c>
      <c r="AP287" s="1" t="s">
        <v>1421</v>
      </c>
      <c r="AQ287" s="1" t="s">
        <v>74</v>
      </c>
      <c r="AR287" s="1" t="s">
        <v>74</v>
      </c>
      <c r="AS287" s="1" t="s">
        <v>74</v>
      </c>
      <c r="AT287" s="1" t="s">
        <v>2891</v>
      </c>
      <c r="AU287" s="1">
        <v>2016.0</v>
      </c>
      <c r="AV287" s="1">
        <v>94.0</v>
      </c>
      <c r="AW287" s="1">
        <v>2.0</v>
      </c>
      <c r="AX287" s="1" t="s">
        <v>74</v>
      </c>
      <c r="AY287" s="1" t="s">
        <v>74</v>
      </c>
      <c r="AZ287" s="1" t="s">
        <v>74</v>
      </c>
      <c r="BA287" s="1" t="s">
        <v>74</v>
      </c>
      <c r="BB287" s="1" t="s">
        <v>74</v>
      </c>
      <c r="BC287" s="1" t="s">
        <v>74</v>
      </c>
      <c r="BD287" s="1">
        <v>22906.0</v>
      </c>
      <c r="BE287" s="1" t="s">
        <v>2892</v>
      </c>
      <c r="BF287" s="2" t="str">
        <f>HYPERLINK("http://dx.doi.org/10.1103/PhysRevE.94.022906","http://dx.doi.org/10.1103/PhysRevE.94.022906")</f>
        <v>http://dx.doi.org/10.1103/PhysRevE.94.022906</v>
      </c>
      <c r="BG287" s="1" t="s">
        <v>74</v>
      </c>
      <c r="BH287" s="1" t="s">
        <v>74</v>
      </c>
      <c r="BI287" s="1" t="s">
        <v>74</v>
      </c>
      <c r="BJ287" s="1" t="s">
        <v>74</v>
      </c>
      <c r="BK287" s="1" t="s">
        <v>74</v>
      </c>
      <c r="BL287" s="1" t="s">
        <v>74</v>
      </c>
      <c r="BM287" s="1" t="s">
        <v>74</v>
      </c>
      <c r="BN287" s="1">
        <v>2.7627379E7</v>
      </c>
      <c r="BO287" s="1" t="s">
        <v>74</v>
      </c>
      <c r="BP287" s="1" t="s">
        <v>74</v>
      </c>
      <c r="BQ287" s="1" t="s">
        <v>74</v>
      </c>
      <c r="BR287" s="1" t="s">
        <v>74</v>
      </c>
      <c r="BS287" s="1" t="s">
        <v>2893</v>
      </c>
      <c r="BT287" s="1" t="str">
        <f>HYPERLINK("https%3A%2F%2Fwww.webofscience.com%2Fwos%2Fwoscc%2Ffull-record%2FWOS:000381896600010","View Full Record in Web of Science")</f>
        <v>View Full Record in Web of Science</v>
      </c>
    </row>
    <row r="288" ht="12.75" customHeight="1">
      <c r="A288" s="1" t="s">
        <v>1511</v>
      </c>
      <c r="B288" s="1" t="s">
        <v>2894</v>
      </c>
      <c r="C288" s="1" t="s">
        <v>74</v>
      </c>
      <c r="D288" s="1" t="s">
        <v>2895</v>
      </c>
      <c r="E288" s="1" t="s">
        <v>74</v>
      </c>
      <c r="F288" s="1" t="s">
        <v>2896</v>
      </c>
      <c r="G288" s="1" t="s">
        <v>74</v>
      </c>
      <c r="H288" s="1" t="s">
        <v>74</v>
      </c>
      <c r="I288" s="1" t="s">
        <v>2897</v>
      </c>
      <c r="J288" s="1" t="s">
        <v>2898</v>
      </c>
      <c r="K288" s="1" t="s">
        <v>2899</v>
      </c>
      <c r="L288" s="1" t="s">
        <v>74</v>
      </c>
      <c r="M288" s="1" t="s">
        <v>74</v>
      </c>
      <c r="N288" s="1" t="s">
        <v>74</v>
      </c>
      <c r="O288" s="1" t="s">
        <v>74</v>
      </c>
      <c r="P288" s="1" t="s">
        <v>74</v>
      </c>
      <c r="Q288" s="1" t="s">
        <v>74</v>
      </c>
      <c r="R288" s="1" t="s">
        <v>74</v>
      </c>
      <c r="S288" s="1" t="s">
        <v>74</v>
      </c>
      <c r="T288" s="1" t="s">
        <v>74</v>
      </c>
      <c r="U288" s="1" t="s">
        <v>74</v>
      </c>
      <c r="V288" s="1" t="s">
        <v>74</v>
      </c>
      <c r="W288" s="1" t="s">
        <v>74</v>
      </c>
      <c r="X288" s="1" t="s">
        <v>74</v>
      </c>
      <c r="Y288" s="1" t="s">
        <v>74</v>
      </c>
      <c r="Z288" s="1" t="s">
        <v>74</v>
      </c>
      <c r="AA288" s="1" t="s">
        <v>2068</v>
      </c>
      <c r="AB288" s="1" t="s">
        <v>74</v>
      </c>
      <c r="AC288" s="1" t="s">
        <v>74</v>
      </c>
      <c r="AD288" s="1" t="s">
        <v>74</v>
      </c>
      <c r="AE288" s="1" t="s">
        <v>74</v>
      </c>
      <c r="AF288" s="1" t="s">
        <v>74</v>
      </c>
      <c r="AG288" s="1" t="s">
        <v>74</v>
      </c>
      <c r="AH288" s="1" t="s">
        <v>74</v>
      </c>
      <c r="AI288" s="1" t="s">
        <v>74</v>
      </c>
      <c r="AJ288" s="1" t="s">
        <v>74</v>
      </c>
      <c r="AK288" s="1" t="s">
        <v>74</v>
      </c>
      <c r="AL288" s="1" t="s">
        <v>74</v>
      </c>
      <c r="AM288" s="1" t="s">
        <v>74</v>
      </c>
      <c r="AN288" s="1" t="s">
        <v>74</v>
      </c>
      <c r="AO288" s="1" t="s">
        <v>2900</v>
      </c>
      <c r="AP288" s="1" t="s">
        <v>2901</v>
      </c>
      <c r="AQ288" s="1" t="s">
        <v>2902</v>
      </c>
      <c r="AR288" s="1" t="s">
        <v>74</v>
      </c>
      <c r="AS288" s="1" t="s">
        <v>74</v>
      </c>
      <c r="AT288" s="1" t="s">
        <v>74</v>
      </c>
      <c r="AU288" s="1">
        <v>2016.0</v>
      </c>
      <c r="AV288" s="1">
        <v>1375.0</v>
      </c>
      <c r="AW288" s="1" t="s">
        <v>74</v>
      </c>
      <c r="AX288" s="1" t="s">
        <v>74</v>
      </c>
      <c r="AY288" s="1" t="s">
        <v>74</v>
      </c>
      <c r="AZ288" s="1" t="s">
        <v>74</v>
      </c>
      <c r="BA288" s="1" t="s">
        <v>74</v>
      </c>
      <c r="BB288" s="1">
        <v>223.0</v>
      </c>
      <c r="BC288" s="1">
        <v>223.0</v>
      </c>
      <c r="BD288" s="1" t="s">
        <v>74</v>
      </c>
      <c r="BE288" s="1" t="s">
        <v>2903</v>
      </c>
      <c r="BF288" s="2" t="str">
        <f>HYPERLINK("http://dx.doi.org/10.1007/7651_2015_256","http://dx.doi.org/10.1007/7651_2015_256")</f>
        <v>http://dx.doi.org/10.1007/7651_2015_256</v>
      </c>
      <c r="BG288" s="1" t="s">
        <v>2904</v>
      </c>
      <c r="BH288" s="1" t="s">
        <v>74</v>
      </c>
      <c r="BI288" s="1" t="s">
        <v>74</v>
      </c>
      <c r="BJ288" s="1" t="s">
        <v>74</v>
      </c>
      <c r="BK288" s="1" t="s">
        <v>74</v>
      </c>
      <c r="BL288" s="1" t="s">
        <v>74</v>
      </c>
      <c r="BM288" s="1" t="s">
        <v>74</v>
      </c>
      <c r="BN288" s="1">
        <v>2.6611241E7</v>
      </c>
      <c r="BO288" s="1" t="s">
        <v>74</v>
      </c>
      <c r="BP288" s="1" t="s">
        <v>74</v>
      </c>
      <c r="BQ288" s="1" t="s">
        <v>74</v>
      </c>
      <c r="BR288" s="1" t="s">
        <v>74</v>
      </c>
      <c r="BS288" s="1" t="s">
        <v>2905</v>
      </c>
      <c r="BT288" s="1" t="str">
        <f>HYPERLINK("https%3A%2F%2Fwww.webofscience.com%2Fwos%2Fwoscc%2Ffull-record%2FWOS:000687300700017","View Full Record in Web of Science")</f>
        <v>View Full Record in Web of Science</v>
      </c>
    </row>
    <row r="289" ht="12.75" customHeight="1">
      <c r="A289" s="1" t="s">
        <v>72</v>
      </c>
      <c r="B289" s="1" t="s">
        <v>2906</v>
      </c>
      <c r="C289" s="1" t="s">
        <v>74</v>
      </c>
      <c r="D289" s="1" t="s">
        <v>74</v>
      </c>
      <c r="E289" s="1" t="s">
        <v>74</v>
      </c>
      <c r="F289" s="1" t="s">
        <v>2907</v>
      </c>
      <c r="G289" s="1" t="s">
        <v>74</v>
      </c>
      <c r="H289" s="1" t="s">
        <v>74</v>
      </c>
      <c r="I289" s="1" t="s">
        <v>2908</v>
      </c>
      <c r="J289" s="1" t="s">
        <v>488</v>
      </c>
      <c r="K289" s="1" t="s">
        <v>74</v>
      </c>
      <c r="L289" s="1" t="s">
        <v>74</v>
      </c>
      <c r="M289" s="1" t="s">
        <v>74</v>
      </c>
      <c r="N289" s="1" t="s">
        <v>74</v>
      </c>
      <c r="O289" s="1" t="s">
        <v>74</v>
      </c>
      <c r="P289" s="1" t="s">
        <v>74</v>
      </c>
      <c r="Q289" s="1" t="s">
        <v>74</v>
      </c>
      <c r="R289" s="1" t="s">
        <v>74</v>
      </c>
      <c r="S289" s="1" t="s">
        <v>74</v>
      </c>
      <c r="T289" s="1" t="s">
        <v>74</v>
      </c>
      <c r="U289" s="1" t="s">
        <v>74</v>
      </c>
      <c r="V289" s="1" t="s">
        <v>2909</v>
      </c>
      <c r="W289" s="1" t="s">
        <v>74</v>
      </c>
      <c r="X289" s="1" t="s">
        <v>74</v>
      </c>
      <c r="Y289" s="1" t="s">
        <v>74</v>
      </c>
      <c r="Z289" s="1" t="s">
        <v>74</v>
      </c>
      <c r="AA289" s="1" t="s">
        <v>74</v>
      </c>
      <c r="AB289" s="1" t="s">
        <v>74</v>
      </c>
      <c r="AC289" s="1" t="s">
        <v>74</v>
      </c>
      <c r="AD289" s="1" t="s">
        <v>74</v>
      </c>
      <c r="AE289" s="1" t="s">
        <v>74</v>
      </c>
      <c r="AF289" s="1" t="s">
        <v>74</v>
      </c>
      <c r="AG289" s="1" t="s">
        <v>74</v>
      </c>
      <c r="AH289" s="1" t="s">
        <v>74</v>
      </c>
      <c r="AI289" s="1" t="s">
        <v>74</v>
      </c>
      <c r="AJ289" s="1" t="s">
        <v>74</v>
      </c>
      <c r="AK289" s="1" t="s">
        <v>74</v>
      </c>
      <c r="AL289" s="1" t="s">
        <v>74</v>
      </c>
      <c r="AM289" s="1" t="s">
        <v>74</v>
      </c>
      <c r="AN289" s="1" t="s">
        <v>74</v>
      </c>
      <c r="AO289" s="1" t="s">
        <v>492</v>
      </c>
      <c r="AP289" s="1" t="s">
        <v>493</v>
      </c>
      <c r="AQ289" s="1" t="s">
        <v>74</v>
      </c>
      <c r="AR289" s="1" t="s">
        <v>74</v>
      </c>
      <c r="AS289" s="1" t="s">
        <v>74</v>
      </c>
      <c r="AT289" s="1" t="s">
        <v>110</v>
      </c>
      <c r="AU289" s="1">
        <v>2015.0</v>
      </c>
      <c r="AV289" s="1">
        <v>85.0</v>
      </c>
      <c r="AW289" s="1">
        <v>3.0</v>
      </c>
      <c r="AX289" s="1" t="s">
        <v>74</v>
      </c>
      <c r="AY289" s="1" t="s">
        <v>74</v>
      </c>
      <c r="AZ289" s="1" t="s">
        <v>74</v>
      </c>
      <c r="BA289" s="1" t="s">
        <v>74</v>
      </c>
      <c r="BB289" s="1">
        <v>925.0</v>
      </c>
      <c r="BC289" s="1">
        <v>936.0</v>
      </c>
      <c r="BD289" s="1" t="s">
        <v>74</v>
      </c>
      <c r="BE289" s="1" t="s">
        <v>2910</v>
      </c>
      <c r="BF289" s="2" t="str">
        <f>HYPERLINK("http://dx.doi.org/10.1007/s11277-015-2817-0","http://dx.doi.org/10.1007/s11277-015-2817-0")</f>
        <v>http://dx.doi.org/10.1007/s11277-015-2817-0</v>
      </c>
      <c r="BG289" s="1" t="s">
        <v>74</v>
      </c>
      <c r="BH289" s="1" t="s">
        <v>74</v>
      </c>
      <c r="BI289" s="1" t="s">
        <v>74</v>
      </c>
      <c r="BJ289" s="1" t="s">
        <v>74</v>
      </c>
      <c r="BK289" s="1" t="s">
        <v>74</v>
      </c>
      <c r="BL289" s="1" t="s">
        <v>74</v>
      </c>
      <c r="BM289" s="1" t="s">
        <v>74</v>
      </c>
      <c r="BN289" s="1" t="s">
        <v>74</v>
      </c>
      <c r="BO289" s="1" t="s">
        <v>74</v>
      </c>
      <c r="BP289" s="1" t="s">
        <v>74</v>
      </c>
      <c r="BQ289" s="1" t="s">
        <v>74</v>
      </c>
      <c r="BR289" s="1" t="s">
        <v>74</v>
      </c>
      <c r="BS289" s="1" t="s">
        <v>2911</v>
      </c>
      <c r="BT289" s="1" t="str">
        <f>HYPERLINK("https%3A%2F%2Fwww.webofscience.com%2Fwos%2Fwoscc%2Ffull-record%2FWOS:000365217200020","View Full Record in Web of Science")</f>
        <v>View Full Record in Web of Science</v>
      </c>
    </row>
    <row r="290" ht="12.75" customHeight="1">
      <c r="A290" s="1" t="s">
        <v>72</v>
      </c>
      <c r="B290" s="1" t="s">
        <v>2912</v>
      </c>
      <c r="C290" s="1" t="s">
        <v>74</v>
      </c>
      <c r="D290" s="1" t="s">
        <v>74</v>
      </c>
      <c r="E290" s="1" t="s">
        <v>74</v>
      </c>
      <c r="F290" s="1" t="s">
        <v>2913</v>
      </c>
      <c r="G290" s="1" t="s">
        <v>74</v>
      </c>
      <c r="H290" s="1" t="s">
        <v>74</v>
      </c>
      <c r="I290" s="1" t="s">
        <v>2914</v>
      </c>
      <c r="J290" s="1" t="s">
        <v>2915</v>
      </c>
      <c r="K290" s="1" t="s">
        <v>74</v>
      </c>
      <c r="L290" s="1" t="s">
        <v>74</v>
      </c>
      <c r="M290" s="1" t="s">
        <v>74</v>
      </c>
      <c r="N290" s="1" t="s">
        <v>74</v>
      </c>
      <c r="O290" s="1" t="s">
        <v>74</v>
      </c>
      <c r="P290" s="1" t="s">
        <v>74</v>
      </c>
      <c r="Q290" s="1" t="s">
        <v>74</v>
      </c>
      <c r="R290" s="1" t="s">
        <v>74</v>
      </c>
      <c r="S290" s="1" t="s">
        <v>74</v>
      </c>
      <c r="T290" s="1" t="s">
        <v>74</v>
      </c>
      <c r="U290" s="1" t="s">
        <v>74</v>
      </c>
      <c r="V290" s="1" t="s">
        <v>2916</v>
      </c>
      <c r="W290" s="1" t="s">
        <v>74</v>
      </c>
      <c r="X290" s="1" t="s">
        <v>74</v>
      </c>
      <c r="Y290" s="1" t="s">
        <v>74</v>
      </c>
      <c r="Z290" s="1" t="s">
        <v>74</v>
      </c>
      <c r="AA290" s="1" t="s">
        <v>2917</v>
      </c>
      <c r="AB290" s="1" t="s">
        <v>2918</v>
      </c>
      <c r="AC290" s="1" t="s">
        <v>74</v>
      </c>
      <c r="AD290" s="1" t="s">
        <v>74</v>
      </c>
      <c r="AE290" s="1" t="s">
        <v>74</v>
      </c>
      <c r="AF290" s="1" t="s">
        <v>74</v>
      </c>
      <c r="AG290" s="1" t="s">
        <v>74</v>
      </c>
      <c r="AH290" s="1" t="s">
        <v>74</v>
      </c>
      <c r="AI290" s="1" t="s">
        <v>74</v>
      </c>
      <c r="AJ290" s="1" t="s">
        <v>74</v>
      </c>
      <c r="AK290" s="1" t="s">
        <v>74</v>
      </c>
      <c r="AL290" s="1" t="s">
        <v>74</v>
      </c>
      <c r="AM290" s="1" t="s">
        <v>74</v>
      </c>
      <c r="AN290" s="1" t="s">
        <v>74</v>
      </c>
      <c r="AO290" s="1" t="s">
        <v>2919</v>
      </c>
      <c r="AP290" s="1" t="s">
        <v>74</v>
      </c>
      <c r="AQ290" s="1" t="s">
        <v>74</v>
      </c>
      <c r="AR290" s="1" t="s">
        <v>74</v>
      </c>
      <c r="AS290" s="1" t="s">
        <v>74</v>
      </c>
      <c r="AT290" s="1" t="s">
        <v>1412</v>
      </c>
      <c r="AU290" s="1">
        <v>2015.0</v>
      </c>
      <c r="AV290" s="1">
        <v>20.0</v>
      </c>
      <c r="AW290" s="1">
        <v>3.0</v>
      </c>
      <c r="AX290" s="1" t="s">
        <v>74</v>
      </c>
      <c r="AY290" s="1" t="s">
        <v>74</v>
      </c>
      <c r="AZ290" s="1" t="s">
        <v>74</v>
      </c>
      <c r="BA290" s="1" t="s">
        <v>74</v>
      </c>
      <c r="BB290" s="1">
        <v>646.0</v>
      </c>
      <c r="BC290" s="1">
        <v>652.0</v>
      </c>
      <c r="BD290" s="1" t="s">
        <v>74</v>
      </c>
      <c r="BE290" s="1" t="s">
        <v>2920</v>
      </c>
      <c r="BF290" s="2" t="str">
        <f>HYPERLINK("http://dx.doi.org/10.1590/S1517-707620150003.0066","http://dx.doi.org/10.1590/S1517-707620150003.0066")</f>
        <v>http://dx.doi.org/10.1590/S1517-707620150003.0066</v>
      </c>
      <c r="BG290" s="1" t="s">
        <v>74</v>
      </c>
      <c r="BH290" s="1" t="s">
        <v>74</v>
      </c>
      <c r="BI290" s="1" t="s">
        <v>74</v>
      </c>
      <c r="BJ290" s="1" t="s">
        <v>74</v>
      </c>
      <c r="BK290" s="1" t="s">
        <v>74</v>
      </c>
      <c r="BL290" s="1" t="s">
        <v>74</v>
      </c>
      <c r="BM290" s="1" t="s">
        <v>74</v>
      </c>
      <c r="BN290" s="1" t="s">
        <v>74</v>
      </c>
      <c r="BO290" s="1" t="s">
        <v>74</v>
      </c>
      <c r="BP290" s="1" t="s">
        <v>74</v>
      </c>
      <c r="BQ290" s="1" t="s">
        <v>74</v>
      </c>
      <c r="BR290" s="1" t="s">
        <v>74</v>
      </c>
      <c r="BS290" s="1" t="s">
        <v>2921</v>
      </c>
      <c r="BT290" s="1" t="str">
        <f>HYPERLINK("https%3A%2F%2Fwww.webofscience.com%2Fwos%2Fwoscc%2Ffull-record%2FWOS:000362323600011","View Full Record in Web of Science")</f>
        <v>View Full Record in Web of Science</v>
      </c>
    </row>
    <row r="291" ht="12.75" customHeight="1">
      <c r="A291" s="1" t="s">
        <v>72</v>
      </c>
      <c r="B291" s="1" t="s">
        <v>2922</v>
      </c>
      <c r="C291" s="1" t="s">
        <v>74</v>
      </c>
      <c r="D291" s="1" t="s">
        <v>74</v>
      </c>
      <c r="E291" s="1" t="s">
        <v>74</v>
      </c>
      <c r="F291" s="1" t="s">
        <v>2923</v>
      </c>
      <c r="G291" s="1" t="s">
        <v>74</v>
      </c>
      <c r="H291" s="1" t="s">
        <v>74</v>
      </c>
      <c r="I291" s="1" t="s">
        <v>2924</v>
      </c>
      <c r="J291" s="1" t="s">
        <v>453</v>
      </c>
      <c r="K291" s="1" t="s">
        <v>74</v>
      </c>
      <c r="L291" s="1" t="s">
        <v>74</v>
      </c>
      <c r="M291" s="1" t="s">
        <v>74</v>
      </c>
      <c r="N291" s="1" t="s">
        <v>74</v>
      </c>
      <c r="O291" s="1" t="s">
        <v>74</v>
      </c>
      <c r="P291" s="1" t="s">
        <v>74</v>
      </c>
      <c r="Q291" s="1" t="s">
        <v>74</v>
      </c>
      <c r="R291" s="1" t="s">
        <v>74</v>
      </c>
      <c r="S291" s="1" t="s">
        <v>74</v>
      </c>
      <c r="T291" s="1" t="s">
        <v>74</v>
      </c>
      <c r="U291" s="1" t="s">
        <v>74</v>
      </c>
      <c r="V291" s="1" t="s">
        <v>2925</v>
      </c>
      <c r="W291" s="1" t="s">
        <v>74</v>
      </c>
      <c r="X291" s="1" t="s">
        <v>74</v>
      </c>
      <c r="Y291" s="1" t="s">
        <v>74</v>
      </c>
      <c r="Z291" s="1" t="s">
        <v>74</v>
      </c>
      <c r="AA291" s="1" t="s">
        <v>2926</v>
      </c>
      <c r="AB291" s="1" t="s">
        <v>2927</v>
      </c>
      <c r="AC291" s="1" t="s">
        <v>74</v>
      </c>
      <c r="AD291" s="1" t="s">
        <v>74</v>
      </c>
      <c r="AE291" s="1" t="s">
        <v>74</v>
      </c>
      <c r="AF291" s="1" t="s">
        <v>74</v>
      </c>
      <c r="AG291" s="1" t="s">
        <v>74</v>
      </c>
      <c r="AH291" s="1" t="s">
        <v>74</v>
      </c>
      <c r="AI291" s="1" t="s">
        <v>74</v>
      </c>
      <c r="AJ291" s="1" t="s">
        <v>74</v>
      </c>
      <c r="AK291" s="1" t="s">
        <v>74</v>
      </c>
      <c r="AL291" s="1" t="s">
        <v>74</v>
      </c>
      <c r="AM291" s="1" t="s">
        <v>74</v>
      </c>
      <c r="AN291" s="1" t="s">
        <v>74</v>
      </c>
      <c r="AO291" s="1" t="s">
        <v>457</v>
      </c>
      <c r="AP291" s="1" t="s">
        <v>458</v>
      </c>
      <c r="AQ291" s="1" t="s">
        <v>74</v>
      </c>
      <c r="AR291" s="1" t="s">
        <v>74</v>
      </c>
      <c r="AS291" s="1" t="s">
        <v>74</v>
      </c>
      <c r="AT291" s="1" t="s">
        <v>360</v>
      </c>
      <c r="AU291" s="1">
        <v>2015.0</v>
      </c>
      <c r="AV291" s="1">
        <v>15.0</v>
      </c>
      <c r="AW291" s="1">
        <v>1.0</v>
      </c>
      <c r="AX291" s="1" t="s">
        <v>74</v>
      </c>
      <c r="AY291" s="1" t="s">
        <v>74</v>
      </c>
      <c r="AZ291" s="1" t="s">
        <v>74</v>
      </c>
      <c r="BA291" s="1" t="s">
        <v>74</v>
      </c>
      <c r="BB291" s="1">
        <v>154.0</v>
      </c>
      <c r="BC291" s="1">
        <v>165.0</v>
      </c>
      <c r="BD291" s="1" t="s">
        <v>74</v>
      </c>
      <c r="BE291" s="1" t="s">
        <v>2928</v>
      </c>
      <c r="BF291" s="2" t="str">
        <f>HYPERLINK("http://dx.doi.org/10.4209/aaqr.2013.10.0323","http://dx.doi.org/10.4209/aaqr.2013.10.0323")</f>
        <v>http://dx.doi.org/10.4209/aaqr.2013.10.0323</v>
      </c>
      <c r="BG291" s="1" t="s">
        <v>74</v>
      </c>
      <c r="BH291" s="1" t="s">
        <v>74</v>
      </c>
      <c r="BI291" s="1" t="s">
        <v>74</v>
      </c>
      <c r="BJ291" s="1" t="s">
        <v>74</v>
      </c>
      <c r="BK291" s="1" t="s">
        <v>74</v>
      </c>
      <c r="BL291" s="1" t="s">
        <v>74</v>
      </c>
      <c r="BM291" s="1" t="s">
        <v>74</v>
      </c>
      <c r="BN291" s="1" t="s">
        <v>74</v>
      </c>
      <c r="BO291" s="1" t="s">
        <v>74</v>
      </c>
      <c r="BP291" s="1" t="s">
        <v>74</v>
      </c>
      <c r="BQ291" s="1" t="s">
        <v>74</v>
      </c>
      <c r="BR291" s="1" t="s">
        <v>74</v>
      </c>
      <c r="BS291" s="1" t="s">
        <v>2929</v>
      </c>
      <c r="BT291" s="1" t="str">
        <f>HYPERLINK("https%3A%2F%2Fwww.webofscience.com%2Fwos%2Fwoscc%2Ffull-record%2FWOS:000351351000013","View Full Record in Web of Science")</f>
        <v>View Full Record in Web of Science</v>
      </c>
    </row>
    <row r="292" ht="12.75" customHeight="1">
      <c r="A292" s="1" t="s">
        <v>72</v>
      </c>
      <c r="B292" s="1" t="s">
        <v>2930</v>
      </c>
      <c r="C292" s="1" t="s">
        <v>74</v>
      </c>
      <c r="D292" s="1" t="s">
        <v>74</v>
      </c>
      <c r="E292" s="1" t="s">
        <v>74</v>
      </c>
      <c r="F292" s="1" t="s">
        <v>2931</v>
      </c>
      <c r="G292" s="1" t="s">
        <v>74</v>
      </c>
      <c r="H292" s="1" t="s">
        <v>74</v>
      </c>
      <c r="I292" s="1" t="s">
        <v>2932</v>
      </c>
      <c r="J292" s="1" t="s">
        <v>866</v>
      </c>
      <c r="K292" s="1" t="s">
        <v>74</v>
      </c>
      <c r="L292" s="1" t="s">
        <v>74</v>
      </c>
      <c r="M292" s="1" t="s">
        <v>74</v>
      </c>
      <c r="N292" s="1" t="s">
        <v>74</v>
      </c>
      <c r="O292" s="1" t="s">
        <v>74</v>
      </c>
      <c r="P292" s="1" t="s">
        <v>74</v>
      </c>
      <c r="Q292" s="1" t="s">
        <v>74</v>
      </c>
      <c r="R292" s="1" t="s">
        <v>74</v>
      </c>
      <c r="S292" s="1" t="s">
        <v>74</v>
      </c>
      <c r="T292" s="1" t="s">
        <v>74</v>
      </c>
      <c r="U292" s="1" t="s">
        <v>74</v>
      </c>
      <c r="V292" s="1" t="s">
        <v>2933</v>
      </c>
      <c r="W292" s="1" t="s">
        <v>74</v>
      </c>
      <c r="X292" s="1" t="s">
        <v>74</v>
      </c>
      <c r="Y292" s="1" t="s">
        <v>74</v>
      </c>
      <c r="Z292" s="1" t="s">
        <v>74</v>
      </c>
      <c r="AA292" s="1" t="s">
        <v>74</v>
      </c>
      <c r="AB292" s="1" t="s">
        <v>2934</v>
      </c>
      <c r="AC292" s="1" t="s">
        <v>74</v>
      </c>
      <c r="AD292" s="1" t="s">
        <v>74</v>
      </c>
      <c r="AE292" s="1" t="s">
        <v>74</v>
      </c>
      <c r="AF292" s="1" t="s">
        <v>74</v>
      </c>
      <c r="AG292" s="1" t="s">
        <v>74</v>
      </c>
      <c r="AH292" s="1" t="s">
        <v>74</v>
      </c>
      <c r="AI292" s="1" t="s">
        <v>74</v>
      </c>
      <c r="AJ292" s="1" t="s">
        <v>74</v>
      </c>
      <c r="AK292" s="1" t="s">
        <v>74</v>
      </c>
      <c r="AL292" s="1" t="s">
        <v>74</v>
      </c>
      <c r="AM292" s="1" t="s">
        <v>74</v>
      </c>
      <c r="AN292" s="1" t="s">
        <v>74</v>
      </c>
      <c r="AO292" s="1" t="s">
        <v>868</v>
      </c>
      <c r="AP292" s="1" t="s">
        <v>869</v>
      </c>
      <c r="AQ292" s="1" t="s">
        <v>74</v>
      </c>
      <c r="AR292" s="1" t="s">
        <v>74</v>
      </c>
      <c r="AS292" s="1" t="s">
        <v>74</v>
      </c>
      <c r="AT292" s="1" t="s">
        <v>2282</v>
      </c>
      <c r="AU292" s="1">
        <v>2015.0</v>
      </c>
      <c r="AV292" s="1">
        <v>566.0</v>
      </c>
      <c r="AW292" s="1" t="s">
        <v>74</v>
      </c>
      <c r="AX292" s="1" t="s">
        <v>74</v>
      </c>
      <c r="AY292" s="1" t="s">
        <v>74</v>
      </c>
      <c r="AZ292" s="1" t="s">
        <v>74</v>
      </c>
      <c r="BA292" s="1" t="s">
        <v>74</v>
      </c>
      <c r="BB292" s="1">
        <v>67.0</v>
      </c>
      <c r="BC292" s="1">
        <v>75.0</v>
      </c>
      <c r="BD292" s="1" t="s">
        <v>74</v>
      </c>
      <c r="BE292" s="1" t="s">
        <v>2935</v>
      </c>
      <c r="BF292" s="2" t="str">
        <f>HYPERLINK("http://dx.doi.org/10.1016/j.abb.2014.10.011","http://dx.doi.org/10.1016/j.abb.2014.10.011")</f>
        <v>http://dx.doi.org/10.1016/j.abb.2014.10.011</v>
      </c>
      <c r="BG292" s="1" t="s">
        <v>74</v>
      </c>
      <c r="BH292" s="1" t="s">
        <v>74</v>
      </c>
      <c r="BI292" s="1" t="s">
        <v>74</v>
      </c>
      <c r="BJ292" s="1" t="s">
        <v>74</v>
      </c>
      <c r="BK292" s="1" t="s">
        <v>74</v>
      </c>
      <c r="BL292" s="1" t="s">
        <v>74</v>
      </c>
      <c r="BM292" s="1" t="s">
        <v>74</v>
      </c>
      <c r="BN292" s="1">
        <v>2.5447814E7</v>
      </c>
      <c r="BO292" s="1" t="s">
        <v>74</v>
      </c>
      <c r="BP292" s="1" t="s">
        <v>74</v>
      </c>
      <c r="BQ292" s="1" t="s">
        <v>74</v>
      </c>
      <c r="BR292" s="1" t="s">
        <v>74</v>
      </c>
      <c r="BS292" s="1" t="s">
        <v>2936</v>
      </c>
      <c r="BT292" s="1" t="str">
        <f>HYPERLINK("https%3A%2F%2Fwww.webofscience.com%2Fwos%2Fwoscc%2Ffull-record%2FWOS:000348484000009","View Full Record in Web of Science")</f>
        <v>View Full Record in Web of Science</v>
      </c>
    </row>
    <row r="293" ht="12.75" customHeight="1">
      <c r="A293" s="1" t="s">
        <v>72</v>
      </c>
      <c r="B293" s="1" t="s">
        <v>2937</v>
      </c>
      <c r="C293" s="1" t="s">
        <v>74</v>
      </c>
      <c r="D293" s="1" t="s">
        <v>74</v>
      </c>
      <c r="E293" s="1" t="s">
        <v>74</v>
      </c>
      <c r="F293" s="1" t="s">
        <v>2938</v>
      </c>
      <c r="G293" s="1" t="s">
        <v>74</v>
      </c>
      <c r="H293" s="1" t="s">
        <v>74</v>
      </c>
      <c r="I293" s="1" t="s">
        <v>2939</v>
      </c>
      <c r="J293" s="1" t="s">
        <v>2940</v>
      </c>
      <c r="K293" s="1" t="s">
        <v>74</v>
      </c>
      <c r="L293" s="1" t="s">
        <v>74</v>
      </c>
      <c r="M293" s="1" t="s">
        <v>74</v>
      </c>
      <c r="N293" s="1" t="s">
        <v>74</v>
      </c>
      <c r="O293" s="1" t="s">
        <v>74</v>
      </c>
      <c r="P293" s="1" t="s">
        <v>74</v>
      </c>
      <c r="Q293" s="1" t="s">
        <v>74</v>
      </c>
      <c r="R293" s="1" t="s">
        <v>74</v>
      </c>
      <c r="S293" s="1" t="s">
        <v>74</v>
      </c>
      <c r="T293" s="1" t="s">
        <v>74</v>
      </c>
      <c r="U293" s="1" t="s">
        <v>74</v>
      </c>
      <c r="V293" s="1" t="s">
        <v>74</v>
      </c>
      <c r="W293" s="1" t="s">
        <v>74</v>
      </c>
      <c r="X293" s="1" t="s">
        <v>74</v>
      </c>
      <c r="Y293" s="1" t="s">
        <v>74</v>
      </c>
      <c r="Z293" s="1" t="s">
        <v>74</v>
      </c>
      <c r="AA293" s="1" t="s">
        <v>2941</v>
      </c>
      <c r="AB293" s="1" t="s">
        <v>2942</v>
      </c>
      <c r="AC293" s="1" t="s">
        <v>74</v>
      </c>
      <c r="AD293" s="1" t="s">
        <v>74</v>
      </c>
      <c r="AE293" s="1" t="s">
        <v>74</v>
      </c>
      <c r="AF293" s="1" t="s">
        <v>74</v>
      </c>
      <c r="AG293" s="1" t="s">
        <v>74</v>
      </c>
      <c r="AH293" s="1" t="s">
        <v>74</v>
      </c>
      <c r="AI293" s="1" t="s">
        <v>74</v>
      </c>
      <c r="AJ293" s="1" t="s">
        <v>74</v>
      </c>
      <c r="AK293" s="1" t="s">
        <v>74</v>
      </c>
      <c r="AL293" s="1" t="s">
        <v>74</v>
      </c>
      <c r="AM293" s="1" t="s">
        <v>74</v>
      </c>
      <c r="AN293" s="1" t="s">
        <v>74</v>
      </c>
      <c r="AO293" s="1" t="s">
        <v>2943</v>
      </c>
      <c r="AP293" s="1" t="s">
        <v>2944</v>
      </c>
      <c r="AQ293" s="1" t="s">
        <v>74</v>
      </c>
      <c r="AR293" s="1" t="s">
        <v>74</v>
      </c>
      <c r="AS293" s="1" t="s">
        <v>74</v>
      </c>
      <c r="AT293" s="1" t="s">
        <v>2282</v>
      </c>
      <c r="AU293" s="1">
        <v>2015.0</v>
      </c>
      <c r="AV293" s="1">
        <v>118.0</v>
      </c>
      <c r="AW293" s="1">
        <v>2.0</v>
      </c>
      <c r="AX293" s="1" t="s">
        <v>74</v>
      </c>
      <c r="AY293" s="1" t="s">
        <v>74</v>
      </c>
      <c r="AZ293" s="1" t="s">
        <v>74</v>
      </c>
      <c r="BA293" s="1" t="s">
        <v>74</v>
      </c>
      <c r="BB293" s="1">
        <v>247.0</v>
      </c>
      <c r="BC293" s="1" t="s">
        <v>576</v>
      </c>
      <c r="BD293" s="1" t="s">
        <v>74</v>
      </c>
      <c r="BE293" s="1" t="s">
        <v>74</v>
      </c>
      <c r="BF293" s="1" t="s">
        <v>74</v>
      </c>
      <c r="BG293" s="1" t="s">
        <v>74</v>
      </c>
      <c r="BH293" s="1" t="s">
        <v>74</v>
      </c>
      <c r="BI293" s="1" t="s">
        <v>74</v>
      </c>
      <c r="BJ293" s="1" t="s">
        <v>74</v>
      </c>
      <c r="BK293" s="1" t="s">
        <v>74</v>
      </c>
      <c r="BL293" s="1" t="s">
        <v>74</v>
      </c>
      <c r="BM293" s="1" t="s">
        <v>74</v>
      </c>
      <c r="BN293" s="1" t="s">
        <v>74</v>
      </c>
      <c r="BO293" s="1" t="s">
        <v>74</v>
      </c>
      <c r="BP293" s="1" t="s">
        <v>74</v>
      </c>
      <c r="BQ293" s="1" t="s">
        <v>74</v>
      </c>
      <c r="BR293" s="1" t="s">
        <v>74</v>
      </c>
      <c r="BS293" s="1" t="s">
        <v>2945</v>
      </c>
      <c r="BT293" s="1" t="str">
        <f>HYPERLINK("https%3A%2F%2Fwww.webofscience.com%2Fwos%2Fwoscc%2Ffull-record%2FWOS:000349245400017","View Full Record in Web of Science")</f>
        <v>View Full Record in Web of Science</v>
      </c>
    </row>
    <row r="294" ht="12.75" customHeight="1">
      <c r="A294" s="1" t="s">
        <v>72</v>
      </c>
      <c r="B294" s="1" t="s">
        <v>2946</v>
      </c>
      <c r="C294" s="1" t="s">
        <v>74</v>
      </c>
      <c r="D294" s="1" t="s">
        <v>74</v>
      </c>
      <c r="E294" s="1" t="s">
        <v>74</v>
      </c>
      <c r="F294" s="1" t="s">
        <v>2947</v>
      </c>
      <c r="G294" s="1" t="s">
        <v>74</v>
      </c>
      <c r="H294" s="1" t="s">
        <v>74</v>
      </c>
      <c r="I294" s="1" t="s">
        <v>2948</v>
      </c>
      <c r="J294" s="1" t="s">
        <v>2949</v>
      </c>
      <c r="K294" s="1" t="s">
        <v>74</v>
      </c>
      <c r="L294" s="1" t="s">
        <v>74</v>
      </c>
      <c r="M294" s="1" t="s">
        <v>74</v>
      </c>
      <c r="N294" s="1" t="s">
        <v>74</v>
      </c>
      <c r="O294" s="1" t="s">
        <v>74</v>
      </c>
      <c r="P294" s="1" t="s">
        <v>74</v>
      </c>
      <c r="Q294" s="1" t="s">
        <v>74</v>
      </c>
      <c r="R294" s="1" t="s">
        <v>74</v>
      </c>
      <c r="S294" s="1" t="s">
        <v>74</v>
      </c>
      <c r="T294" s="1" t="s">
        <v>74</v>
      </c>
      <c r="U294" s="1" t="s">
        <v>74</v>
      </c>
      <c r="V294" s="1" t="s">
        <v>2950</v>
      </c>
      <c r="W294" s="1" t="s">
        <v>74</v>
      </c>
      <c r="X294" s="1" t="s">
        <v>74</v>
      </c>
      <c r="Y294" s="1" t="s">
        <v>74</v>
      </c>
      <c r="Z294" s="1" t="s">
        <v>74</v>
      </c>
      <c r="AA294" s="1" t="s">
        <v>2951</v>
      </c>
      <c r="AB294" s="1" t="s">
        <v>408</v>
      </c>
      <c r="AC294" s="1" t="s">
        <v>74</v>
      </c>
      <c r="AD294" s="1" t="s">
        <v>74</v>
      </c>
      <c r="AE294" s="1" t="s">
        <v>74</v>
      </c>
      <c r="AF294" s="1" t="s">
        <v>74</v>
      </c>
      <c r="AG294" s="1" t="s">
        <v>74</v>
      </c>
      <c r="AH294" s="1" t="s">
        <v>74</v>
      </c>
      <c r="AI294" s="1" t="s">
        <v>74</v>
      </c>
      <c r="AJ294" s="1" t="s">
        <v>74</v>
      </c>
      <c r="AK294" s="1" t="s">
        <v>74</v>
      </c>
      <c r="AL294" s="1" t="s">
        <v>74</v>
      </c>
      <c r="AM294" s="1" t="s">
        <v>74</v>
      </c>
      <c r="AN294" s="1" t="s">
        <v>74</v>
      </c>
      <c r="AO294" s="1" t="s">
        <v>2952</v>
      </c>
      <c r="AP294" s="1" t="s">
        <v>74</v>
      </c>
      <c r="AQ294" s="1" t="s">
        <v>74</v>
      </c>
      <c r="AR294" s="1" t="s">
        <v>74</v>
      </c>
      <c r="AS294" s="1" t="s">
        <v>74</v>
      </c>
      <c r="AT294" s="1" t="s">
        <v>74</v>
      </c>
      <c r="AU294" s="1">
        <v>2015.0</v>
      </c>
      <c r="AV294" s="1">
        <v>31.0</v>
      </c>
      <c r="AW294" s="1">
        <v>3.0</v>
      </c>
      <c r="AX294" s="1" t="s">
        <v>74</v>
      </c>
      <c r="AY294" s="1" t="s">
        <v>74</v>
      </c>
      <c r="AZ294" s="1" t="s">
        <v>74</v>
      </c>
      <c r="BA294" s="1" t="s">
        <v>74</v>
      </c>
      <c r="BB294" s="1">
        <v>182.0</v>
      </c>
      <c r="BC294" s="1">
        <v>187.0</v>
      </c>
      <c r="BD294" s="1" t="s">
        <v>74</v>
      </c>
      <c r="BE294" s="1" t="s">
        <v>2953</v>
      </c>
      <c r="BF294" s="2" t="str">
        <f>HYPERLINK("http://dx.doi.org/10.1016/j.rimni.2014.06.002","http://dx.doi.org/10.1016/j.rimni.2014.06.002")</f>
        <v>http://dx.doi.org/10.1016/j.rimni.2014.06.002</v>
      </c>
      <c r="BG294" s="1" t="s">
        <v>74</v>
      </c>
      <c r="BH294" s="1" t="s">
        <v>74</v>
      </c>
      <c r="BI294" s="1" t="s">
        <v>74</v>
      </c>
      <c r="BJ294" s="1" t="s">
        <v>74</v>
      </c>
      <c r="BK294" s="1" t="s">
        <v>74</v>
      </c>
      <c r="BL294" s="1" t="s">
        <v>74</v>
      </c>
      <c r="BM294" s="1" t="s">
        <v>74</v>
      </c>
      <c r="BN294" s="1" t="s">
        <v>74</v>
      </c>
      <c r="BO294" s="1" t="s">
        <v>74</v>
      </c>
      <c r="BP294" s="1" t="s">
        <v>74</v>
      </c>
      <c r="BQ294" s="1" t="s">
        <v>74</v>
      </c>
      <c r="BR294" s="1" t="s">
        <v>74</v>
      </c>
      <c r="BS294" s="1" t="s">
        <v>2954</v>
      </c>
      <c r="BT294" s="1" t="str">
        <f>HYPERLINK("https%3A%2F%2Fwww.webofscience.com%2Fwos%2Fwoscc%2Ffull-record%2FWOS:000357239400006","View Full Record in Web of Science")</f>
        <v>View Full Record in Web of Science</v>
      </c>
    </row>
    <row r="295" ht="12.75" customHeight="1">
      <c r="A295" s="1" t="s">
        <v>72</v>
      </c>
      <c r="B295" s="1" t="s">
        <v>2955</v>
      </c>
      <c r="C295" s="1" t="s">
        <v>74</v>
      </c>
      <c r="D295" s="1" t="s">
        <v>74</v>
      </c>
      <c r="E295" s="1" t="s">
        <v>74</v>
      </c>
      <c r="F295" s="1" t="s">
        <v>2956</v>
      </c>
      <c r="G295" s="1" t="s">
        <v>74</v>
      </c>
      <c r="H295" s="1" t="s">
        <v>74</v>
      </c>
      <c r="I295" s="1" t="s">
        <v>2957</v>
      </c>
      <c r="J295" s="1" t="s">
        <v>2958</v>
      </c>
      <c r="K295" s="1" t="s">
        <v>74</v>
      </c>
      <c r="L295" s="1" t="s">
        <v>74</v>
      </c>
      <c r="M295" s="1" t="s">
        <v>74</v>
      </c>
      <c r="N295" s="1" t="s">
        <v>74</v>
      </c>
      <c r="O295" s="1" t="s">
        <v>74</v>
      </c>
      <c r="P295" s="1" t="s">
        <v>74</v>
      </c>
      <c r="Q295" s="1" t="s">
        <v>74</v>
      </c>
      <c r="R295" s="1" t="s">
        <v>74</v>
      </c>
      <c r="S295" s="1" t="s">
        <v>74</v>
      </c>
      <c r="T295" s="1" t="s">
        <v>74</v>
      </c>
      <c r="U295" s="1" t="s">
        <v>74</v>
      </c>
      <c r="V295" s="1" t="s">
        <v>2959</v>
      </c>
      <c r="W295" s="1" t="s">
        <v>74</v>
      </c>
      <c r="X295" s="1" t="s">
        <v>74</v>
      </c>
      <c r="Y295" s="1" t="s">
        <v>74</v>
      </c>
      <c r="Z295" s="1" t="s">
        <v>74</v>
      </c>
      <c r="AA295" s="1" t="s">
        <v>2960</v>
      </c>
      <c r="AB295" s="1" t="s">
        <v>2961</v>
      </c>
      <c r="AC295" s="1" t="s">
        <v>74</v>
      </c>
      <c r="AD295" s="1" t="s">
        <v>74</v>
      </c>
      <c r="AE295" s="1" t="s">
        <v>74</v>
      </c>
      <c r="AF295" s="1" t="s">
        <v>74</v>
      </c>
      <c r="AG295" s="1" t="s">
        <v>74</v>
      </c>
      <c r="AH295" s="1" t="s">
        <v>74</v>
      </c>
      <c r="AI295" s="1" t="s">
        <v>74</v>
      </c>
      <c r="AJ295" s="1" t="s">
        <v>74</v>
      </c>
      <c r="AK295" s="1" t="s">
        <v>74</v>
      </c>
      <c r="AL295" s="1" t="s">
        <v>74</v>
      </c>
      <c r="AM295" s="1" t="s">
        <v>74</v>
      </c>
      <c r="AN295" s="1" t="s">
        <v>74</v>
      </c>
      <c r="AO295" s="1" t="s">
        <v>2962</v>
      </c>
      <c r="AP295" s="1" t="s">
        <v>2963</v>
      </c>
      <c r="AQ295" s="1" t="s">
        <v>74</v>
      </c>
      <c r="AR295" s="1" t="s">
        <v>74</v>
      </c>
      <c r="AS295" s="1" t="s">
        <v>74</v>
      </c>
      <c r="AT295" s="1" t="s">
        <v>88</v>
      </c>
      <c r="AU295" s="1">
        <v>2014.0</v>
      </c>
      <c r="AV295" s="1">
        <v>41.0</v>
      </c>
      <c r="AW295" s="1" t="s">
        <v>74</v>
      </c>
      <c r="AX295" s="1" t="s">
        <v>74</v>
      </c>
      <c r="AY295" s="1" t="s">
        <v>74</v>
      </c>
      <c r="AZ295" s="1" t="s">
        <v>74</v>
      </c>
      <c r="BA295" s="1" t="s">
        <v>74</v>
      </c>
      <c r="BB295" s="1">
        <v>24.0</v>
      </c>
      <c r="BC295" s="1">
        <v>26.0</v>
      </c>
      <c r="BD295" s="1" t="s">
        <v>74</v>
      </c>
      <c r="BE295" s="1" t="s">
        <v>2964</v>
      </c>
      <c r="BF295" s="2" t="str">
        <f>HYPERLINK("http://dx.doi.org/10.1016/j.elecom.2014.01.009","http://dx.doi.org/10.1016/j.elecom.2014.01.009")</f>
        <v>http://dx.doi.org/10.1016/j.elecom.2014.01.009</v>
      </c>
      <c r="BG295" s="1" t="s">
        <v>74</v>
      </c>
      <c r="BH295" s="1" t="s">
        <v>74</v>
      </c>
      <c r="BI295" s="1" t="s">
        <v>74</v>
      </c>
      <c r="BJ295" s="1" t="s">
        <v>74</v>
      </c>
      <c r="BK295" s="1" t="s">
        <v>74</v>
      </c>
      <c r="BL295" s="1" t="s">
        <v>74</v>
      </c>
      <c r="BM295" s="1" t="s">
        <v>74</v>
      </c>
      <c r="BN295" s="1" t="s">
        <v>74</v>
      </c>
      <c r="BO295" s="1" t="s">
        <v>74</v>
      </c>
      <c r="BP295" s="1" t="s">
        <v>74</v>
      </c>
      <c r="BQ295" s="1" t="s">
        <v>74</v>
      </c>
      <c r="BR295" s="1" t="s">
        <v>74</v>
      </c>
      <c r="BS295" s="1" t="s">
        <v>2965</v>
      </c>
      <c r="BT295" s="1" t="str">
        <f>HYPERLINK("https%3A%2F%2Fwww.webofscience.com%2Fwos%2Fwoscc%2Ffull-record%2FWOS:000333858100007","View Full Record in Web of Science")</f>
        <v>View Full Record in Web of Science</v>
      </c>
    </row>
    <row r="296" ht="12.75" customHeight="1">
      <c r="A296" s="1" t="s">
        <v>72</v>
      </c>
      <c r="B296" s="1" t="s">
        <v>2966</v>
      </c>
      <c r="C296" s="1" t="s">
        <v>74</v>
      </c>
      <c r="D296" s="1" t="s">
        <v>74</v>
      </c>
      <c r="E296" s="1" t="s">
        <v>74</v>
      </c>
      <c r="F296" s="1" t="s">
        <v>2967</v>
      </c>
      <c r="G296" s="1" t="s">
        <v>74</v>
      </c>
      <c r="H296" s="1" t="s">
        <v>74</v>
      </c>
      <c r="I296" s="1" t="s">
        <v>2968</v>
      </c>
      <c r="J296" s="1" t="s">
        <v>2969</v>
      </c>
      <c r="K296" s="1" t="s">
        <v>74</v>
      </c>
      <c r="L296" s="1" t="s">
        <v>74</v>
      </c>
      <c r="M296" s="1" t="s">
        <v>74</v>
      </c>
      <c r="N296" s="1" t="s">
        <v>74</v>
      </c>
      <c r="O296" s="1" t="s">
        <v>74</v>
      </c>
      <c r="P296" s="1" t="s">
        <v>74</v>
      </c>
      <c r="Q296" s="1" t="s">
        <v>74</v>
      </c>
      <c r="R296" s="1" t="s">
        <v>74</v>
      </c>
      <c r="S296" s="1" t="s">
        <v>74</v>
      </c>
      <c r="T296" s="1" t="s">
        <v>74</v>
      </c>
      <c r="U296" s="1" t="s">
        <v>74</v>
      </c>
      <c r="V296" s="1" t="s">
        <v>2970</v>
      </c>
      <c r="W296" s="1" t="s">
        <v>74</v>
      </c>
      <c r="X296" s="1" t="s">
        <v>74</v>
      </c>
      <c r="Y296" s="1" t="s">
        <v>74</v>
      </c>
      <c r="Z296" s="1" t="s">
        <v>74</v>
      </c>
      <c r="AA296" s="1" t="s">
        <v>1331</v>
      </c>
      <c r="AB296" s="1" t="s">
        <v>74</v>
      </c>
      <c r="AC296" s="1" t="s">
        <v>74</v>
      </c>
      <c r="AD296" s="1" t="s">
        <v>74</v>
      </c>
      <c r="AE296" s="1" t="s">
        <v>74</v>
      </c>
      <c r="AF296" s="1" t="s">
        <v>74</v>
      </c>
      <c r="AG296" s="1" t="s">
        <v>74</v>
      </c>
      <c r="AH296" s="1" t="s">
        <v>74</v>
      </c>
      <c r="AI296" s="1" t="s">
        <v>74</v>
      </c>
      <c r="AJ296" s="1" t="s">
        <v>74</v>
      </c>
      <c r="AK296" s="1" t="s">
        <v>74</v>
      </c>
      <c r="AL296" s="1" t="s">
        <v>74</v>
      </c>
      <c r="AM296" s="1" t="s">
        <v>74</v>
      </c>
      <c r="AN296" s="1" t="s">
        <v>74</v>
      </c>
      <c r="AO296" s="1" t="s">
        <v>2971</v>
      </c>
      <c r="AP296" s="1" t="s">
        <v>74</v>
      </c>
      <c r="AQ296" s="1" t="s">
        <v>74</v>
      </c>
      <c r="AR296" s="1" t="s">
        <v>74</v>
      </c>
      <c r="AS296" s="1" t="s">
        <v>74</v>
      </c>
      <c r="AT296" s="1" t="s">
        <v>2616</v>
      </c>
      <c r="AU296" s="1">
        <v>2013.0</v>
      </c>
      <c r="AV296" s="1">
        <v>19.0</v>
      </c>
      <c r="AW296" s="1">
        <v>4.0</v>
      </c>
      <c r="AX296" s="1" t="s">
        <v>74</v>
      </c>
      <c r="AY296" s="1" t="s">
        <v>74</v>
      </c>
      <c r="AZ296" s="1" t="s">
        <v>74</v>
      </c>
      <c r="BA296" s="1" t="s">
        <v>74</v>
      </c>
      <c r="BB296" s="1">
        <v>707.0</v>
      </c>
      <c r="BC296" s="1">
        <v>719.0</v>
      </c>
      <c r="BD296" s="1" t="s">
        <v>74</v>
      </c>
      <c r="BE296" s="1" t="s">
        <v>74</v>
      </c>
      <c r="BF296" s="1" t="s">
        <v>74</v>
      </c>
      <c r="BG296" s="1" t="s">
        <v>74</v>
      </c>
      <c r="BH296" s="1" t="s">
        <v>74</v>
      </c>
      <c r="BI296" s="1" t="s">
        <v>74</v>
      </c>
      <c r="BJ296" s="1" t="s">
        <v>74</v>
      </c>
      <c r="BK296" s="1" t="s">
        <v>74</v>
      </c>
      <c r="BL296" s="1" t="s">
        <v>74</v>
      </c>
      <c r="BM296" s="1" t="s">
        <v>74</v>
      </c>
      <c r="BN296" s="1" t="s">
        <v>74</v>
      </c>
      <c r="BO296" s="1" t="s">
        <v>74</v>
      </c>
      <c r="BP296" s="1" t="s">
        <v>74</v>
      </c>
      <c r="BQ296" s="1" t="s">
        <v>74</v>
      </c>
      <c r="BR296" s="1" t="s">
        <v>74</v>
      </c>
      <c r="BS296" s="1" t="s">
        <v>2972</v>
      </c>
      <c r="BT296" s="1" t="str">
        <f>HYPERLINK("https%3A%2F%2Fwww.webofscience.com%2Fwos%2Fwoscc%2Ffull-record%2FWOS:000328234900009","View Full Record in Web of Science")</f>
        <v>View Full Record in Web of Science</v>
      </c>
    </row>
    <row r="297" ht="12.75" customHeight="1">
      <c r="A297" s="1" t="s">
        <v>72</v>
      </c>
      <c r="B297" s="1" t="s">
        <v>2973</v>
      </c>
      <c r="C297" s="1" t="s">
        <v>74</v>
      </c>
      <c r="D297" s="1" t="s">
        <v>74</v>
      </c>
      <c r="E297" s="1" t="s">
        <v>74</v>
      </c>
      <c r="F297" s="1" t="s">
        <v>2974</v>
      </c>
      <c r="G297" s="1" t="s">
        <v>74</v>
      </c>
      <c r="H297" s="1" t="s">
        <v>74</v>
      </c>
      <c r="I297" s="1" t="s">
        <v>2975</v>
      </c>
      <c r="J297" s="1" t="s">
        <v>2976</v>
      </c>
      <c r="K297" s="1" t="s">
        <v>74</v>
      </c>
      <c r="L297" s="1" t="s">
        <v>74</v>
      </c>
      <c r="M297" s="1" t="s">
        <v>74</v>
      </c>
      <c r="N297" s="1" t="s">
        <v>74</v>
      </c>
      <c r="O297" s="1" t="s">
        <v>2977</v>
      </c>
      <c r="P297" s="1" t="s">
        <v>2978</v>
      </c>
      <c r="Q297" s="1" t="s">
        <v>2979</v>
      </c>
      <c r="R297" s="1" t="s">
        <v>74</v>
      </c>
      <c r="S297" s="1" t="s">
        <v>74</v>
      </c>
      <c r="T297" s="1" t="s">
        <v>74</v>
      </c>
      <c r="U297" s="1" t="s">
        <v>74</v>
      </c>
      <c r="V297" s="1" t="s">
        <v>2980</v>
      </c>
      <c r="W297" s="1" t="s">
        <v>74</v>
      </c>
      <c r="X297" s="1" t="s">
        <v>74</v>
      </c>
      <c r="Y297" s="1" t="s">
        <v>74</v>
      </c>
      <c r="Z297" s="1" t="s">
        <v>74</v>
      </c>
      <c r="AA297" s="1" t="s">
        <v>2981</v>
      </c>
      <c r="AB297" s="1" t="s">
        <v>2982</v>
      </c>
      <c r="AC297" s="1" t="s">
        <v>74</v>
      </c>
      <c r="AD297" s="1" t="s">
        <v>74</v>
      </c>
      <c r="AE297" s="1" t="s">
        <v>74</v>
      </c>
      <c r="AF297" s="1" t="s">
        <v>74</v>
      </c>
      <c r="AG297" s="1" t="s">
        <v>74</v>
      </c>
      <c r="AH297" s="1" t="s">
        <v>74</v>
      </c>
      <c r="AI297" s="1" t="s">
        <v>74</v>
      </c>
      <c r="AJ297" s="1" t="s">
        <v>74</v>
      </c>
      <c r="AK297" s="1" t="s">
        <v>74</v>
      </c>
      <c r="AL297" s="1" t="s">
        <v>74</v>
      </c>
      <c r="AM297" s="1" t="s">
        <v>74</v>
      </c>
      <c r="AN297" s="1" t="s">
        <v>74</v>
      </c>
      <c r="AO297" s="1" t="s">
        <v>2983</v>
      </c>
      <c r="AP297" s="1" t="s">
        <v>2984</v>
      </c>
      <c r="AQ297" s="1" t="s">
        <v>74</v>
      </c>
      <c r="AR297" s="1" t="s">
        <v>74</v>
      </c>
      <c r="AS297" s="1" t="s">
        <v>74</v>
      </c>
      <c r="AT297" s="1" t="s">
        <v>215</v>
      </c>
      <c r="AU297" s="1">
        <v>2013.0</v>
      </c>
      <c r="AV297" s="1">
        <v>9.0</v>
      </c>
      <c r="AW297" s="1">
        <v>3.0</v>
      </c>
      <c r="AX297" s="1" t="s">
        <v>74</v>
      </c>
      <c r="AY297" s="1" t="s">
        <v>74</v>
      </c>
      <c r="AZ297" s="1" t="s">
        <v>411</v>
      </c>
      <c r="BA297" s="1" t="s">
        <v>74</v>
      </c>
      <c r="BB297" s="1">
        <v>259.0</v>
      </c>
      <c r="BC297" s="1">
        <v>265.0</v>
      </c>
      <c r="BD297" s="1" t="s">
        <v>74</v>
      </c>
      <c r="BE297" s="1" t="s">
        <v>2985</v>
      </c>
      <c r="BF297" s="2" t="str">
        <f>HYPERLINK("http://dx.doi.org/10.1515/ijfe-2013-0031","http://dx.doi.org/10.1515/ijfe-2013-0031")</f>
        <v>http://dx.doi.org/10.1515/ijfe-2013-0031</v>
      </c>
      <c r="BG297" s="1" t="s">
        <v>74</v>
      </c>
      <c r="BH297" s="1" t="s">
        <v>74</v>
      </c>
      <c r="BI297" s="1" t="s">
        <v>74</v>
      </c>
      <c r="BJ297" s="1" t="s">
        <v>74</v>
      </c>
      <c r="BK297" s="1" t="s">
        <v>74</v>
      </c>
      <c r="BL297" s="1" t="s">
        <v>74</v>
      </c>
      <c r="BM297" s="1" t="s">
        <v>74</v>
      </c>
      <c r="BN297" s="1" t="s">
        <v>74</v>
      </c>
      <c r="BO297" s="1" t="s">
        <v>74</v>
      </c>
      <c r="BP297" s="1" t="s">
        <v>74</v>
      </c>
      <c r="BQ297" s="1" t="s">
        <v>74</v>
      </c>
      <c r="BR297" s="1" t="s">
        <v>74</v>
      </c>
      <c r="BS297" s="1" t="s">
        <v>2986</v>
      </c>
      <c r="BT297" s="1" t="str">
        <f>HYPERLINK("https%3A%2F%2Fwww.webofscience.com%2Fwos%2Fwoscc%2Ffull-record%2FWOS:000328493700003","View Full Record in Web of Science")</f>
        <v>View Full Record in Web of Science</v>
      </c>
    </row>
    <row r="298" ht="12.75" customHeight="1">
      <c r="A298" s="1" t="s">
        <v>72</v>
      </c>
      <c r="B298" s="1" t="s">
        <v>2987</v>
      </c>
      <c r="C298" s="1" t="s">
        <v>74</v>
      </c>
      <c r="D298" s="1" t="s">
        <v>74</v>
      </c>
      <c r="E298" s="1" t="s">
        <v>74</v>
      </c>
      <c r="F298" s="1" t="s">
        <v>2988</v>
      </c>
      <c r="G298" s="1" t="s">
        <v>74</v>
      </c>
      <c r="H298" s="1" t="s">
        <v>74</v>
      </c>
      <c r="I298" s="1" t="s">
        <v>2989</v>
      </c>
      <c r="J298" s="1" t="s">
        <v>2990</v>
      </c>
      <c r="K298" s="1" t="s">
        <v>74</v>
      </c>
      <c r="L298" s="1" t="s">
        <v>74</v>
      </c>
      <c r="M298" s="1" t="s">
        <v>74</v>
      </c>
      <c r="N298" s="1" t="s">
        <v>74</v>
      </c>
      <c r="O298" s="1" t="s">
        <v>74</v>
      </c>
      <c r="P298" s="1" t="s">
        <v>74</v>
      </c>
      <c r="Q298" s="1" t="s">
        <v>74</v>
      </c>
      <c r="R298" s="1" t="s">
        <v>74</v>
      </c>
      <c r="S298" s="1" t="s">
        <v>74</v>
      </c>
      <c r="T298" s="1" t="s">
        <v>74</v>
      </c>
      <c r="U298" s="1" t="s">
        <v>74</v>
      </c>
      <c r="V298" s="1" t="s">
        <v>2991</v>
      </c>
      <c r="W298" s="1" t="s">
        <v>74</v>
      </c>
      <c r="X298" s="1" t="s">
        <v>74</v>
      </c>
      <c r="Y298" s="1" t="s">
        <v>74</v>
      </c>
      <c r="Z298" s="1" t="s">
        <v>74</v>
      </c>
      <c r="AA298" s="1" t="s">
        <v>2992</v>
      </c>
      <c r="AB298" s="1" t="s">
        <v>74</v>
      </c>
      <c r="AC298" s="1" t="s">
        <v>74</v>
      </c>
      <c r="AD298" s="1" t="s">
        <v>74</v>
      </c>
      <c r="AE298" s="1" t="s">
        <v>74</v>
      </c>
      <c r="AF298" s="1" t="s">
        <v>74</v>
      </c>
      <c r="AG298" s="1" t="s">
        <v>74</v>
      </c>
      <c r="AH298" s="1" t="s">
        <v>74</v>
      </c>
      <c r="AI298" s="1" t="s">
        <v>74</v>
      </c>
      <c r="AJ298" s="1" t="s">
        <v>74</v>
      </c>
      <c r="AK298" s="1" t="s">
        <v>74</v>
      </c>
      <c r="AL298" s="1" t="s">
        <v>74</v>
      </c>
      <c r="AM298" s="1" t="s">
        <v>74</v>
      </c>
      <c r="AN298" s="1" t="s">
        <v>74</v>
      </c>
      <c r="AO298" s="1" t="s">
        <v>2993</v>
      </c>
      <c r="AP298" s="1" t="s">
        <v>74</v>
      </c>
      <c r="AQ298" s="1" t="s">
        <v>74</v>
      </c>
      <c r="AR298" s="1" t="s">
        <v>74</v>
      </c>
      <c r="AS298" s="1" t="s">
        <v>74</v>
      </c>
      <c r="AT298" s="1" t="s">
        <v>215</v>
      </c>
      <c r="AU298" s="1">
        <v>2013.0</v>
      </c>
      <c r="AV298" s="1" t="s">
        <v>74</v>
      </c>
      <c r="AW298" s="1">
        <v>56.0</v>
      </c>
      <c r="AX298" s="1" t="s">
        <v>74</v>
      </c>
      <c r="AY298" s="1" t="s">
        <v>74</v>
      </c>
      <c r="AZ298" s="1" t="s">
        <v>74</v>
      </c>
      <c r="BA298" s="1" t="s">
        <v>74</v>
      </c>
      <c r="BB298" s="1">
        <v>177.0</v>
      </c>
      <c r="BC298" s="1" t="s">
        <v>576</v>
      </c>
      <c r="BD298" s="1" t="s">
        <v>74</v>
      </c>
      <c r="BE298" s="1" t="s">
        <v>74</v>
      </c>
      <c r="BF298" s="1" t="s">
        <v>74</v>
      </c>
      <c r="BG298" s="1" t="s">
        <v>74</v>
      </c>
      <c r="BH298" s="1" t="s">
        <v>74</v>
      </c>
      <c r="BI298" s="1" t="s">
        <v>74</v>
      </c>
      <c r="BJ298" s="1" t="s">
        <v>74</v>
      </c>
      <c r="BK298" s="1" t="s">
        <v>74</v>
      </c>
      <c r="BL298" s="1" t="s">
        <v>74</v>
      </c>
      <c r="BM298" s="1" t="s">
        <v>74</v>
      </c>
      <c r="BN298" s="1" t="s">
        <v>74</v>
      </c>
      <c r="BO298" s="1" t="s">
        <v>74</v>
      </c>
      <c r="BP298" s="1" t="s">
        <v>74</v>
      </c>
      <c r="BQ298" s="1" t="s">
        <v>74</v>
      </c>
      <c r="BR298" s="1" t="s">
        <v>74</v>
      </c>
      <c r="BS298" s="1" t="s">
        <v>2994</v>
      </c>
      <c r="BT298" s="1" t="str">
        <f>HYPERLINK("https%3A%2F%2Fwww.webofscience.com%2Fwos%2Fwoscc%2Ffull-record%2FWOS:000323867100006","View Full Record in Web of Science")</f>
        <v>View Full Record in Web of Science</v>
      </c>
    </row>
    <row r="299" ht="12.75" customHeight="1">
      <c r="A299" s="1" t="s">
        <v>72</v>
      </c>
      <c r="B299" s="1" t="s">
        <v>2995</v>
      </c>
      <c r="C299" s="1" t="s">
        <v>74</v>
      </c>
      <c r="D299" s="1" t="s">
        <v>74</v>
      </c>
      <c r="E299" s="1" t="s">
        <v>74</v>
      </c>
      <c r="F299" s="1" t="s">
        <v>2996</v>
      </c>
      <c r="G299" s="1" t="s">
        <v>74</v>
      </c>
      <c r="H299" s="1" t="s">
        <v>74</v>
      </c>
      <c r="I299" s="1" t="s">
        <v>2997</v>
      </c>
      <c r="J299" s="1" t="s">
        <v>2998</v>
      </c>
      <c r="K299" s="1" t="s">
        <v>74</v>
      </c>
      <c r="L299" s="1" t="s">
        <v>74</v>
      </c>
      <c r="M299" s="1" t="s">
        <v>74</v>
      </c>
      <c r="N299" s="1" t="s">
        <v>74</v>
      </c>
      <c r="O299" s="1" t="s">
        <v>74</v>
      </c>
      <c r="P299" s="1" t="s">
        <v>74</v>
      </c>
      <c r="Q299" s="1" t="s">
        <v>74</v>
      </c>
      <c r="R299" s="1" t="s">
        <v>74</v>
      </c>
      <c r="S299" s="1" t="s">
        <v>74</v>
      </c>
      <c r="T299" s="1" t="s">
        <v>74</v>
      </c>
      <c r="U299" s="1" t="s">
        <v>74</v>
      </c>
      <c r="V299" s="1" t="s">
        <v>2999</v>
      </c>
      <c r="W299" s="1" t="s">
        <v>74</v>
      </c>
      <c r="X299" s="1" t="s">
        <v>74</v>
      </c>
      <c r="Y299" s="1" t="s">
        <v>74</v>
      </c>
      <c r="Z299" s="1" t="s">
        <v>74</v>
      </c>
      <c r="AA299" s="1" t="s">
        <v>74</v>
      </c>
      <c r="AB299" s="1" t="s">
        <v>3000</v>
      </c>
      <c r="AC299" s="1" t="s">
        <v>74</v>
      </c>
      <c r="AD299" s="1" t="s">
        <v>74</v>
      </c>
      <c r="AE299" s="1" t="s">
        <v>74</v>
      </c>
      <c r="AF299" s="1" t="s">
        <v>74</v>
      </c>
      <c r="AG299" s="1" t="s">
        <v>74</v>
      </c>
      <c r="AH299" s="1" t="s">
        <v>74</v>
      </c>
      <c r="AI299" s="1" t="s">
        <v>74</v>
      </c>
      <c r="AJ299" s="1" t="s">
        <v>74</v>
      </c>
      <c r="AK299" s="1" t="s">
        <v>74</v>
      </c>
      <c r="AL299" s="1" t="s">
        <v>74</v>
      </c>
      <c r="AM299" s="1" t="s">
        <v>74</v>
      </c>
      <c r="AN299" s="1" t="s">
        <v>74</v>
      </c>
      <c r="AO299" s="1" t="s">
        <v>3001</v>
      </c>
      <c r="AP299" s="1" t="s">
        <v>3002</v>
      </c>
      <c r="AQ299" s="1" t="s">
        <v>74</v>
      </c>
      <c r="AR299" s="1" t="s">
        <v>74</v>
      </c>
      <c r="AS299" s="1" t="s">
        <v>74</v>
      </c>
      <c r="AT299" s="1" t="s">
        <v>3003</v>
      </c>
      <c r="AU299" s="1">
        <v>2013.0</v>
      </c>
      <c r="AV299" s="1">
        <v>34.0</v>
      </c>
      <c r="AW299" s="1">
        <v>8.0</v>
      </c>
      <c r="AX299" s="1" t="s">
        <v>74</v>
      </c>
      <c r="AY299" s="1" t="s">
        <v>74</v>
      </c>
      <c r="AZ299" s="1" t="s">
        <v>74</v>
      </c>
      <c r="BA299" s="1" t="s">
        <v>74</v>
      </c>
      <c r="BB299" s="1">
        <v>967.0</v>
      </c>
      <c r="BC299" s="1">
        <v>977.0</v>
      </c>
      <c r="BD299" s="1" t="s">
        <v>74</v>
      </c>
      <c r="BE299" s="1" t="s">
        <v>3004</v>
      </c>
      <c r="BF299" s="2" t="str">
        <f>HYPERLINK("http://dx.doi.org/10.1080/09593330.2012.724251","http://dx.doi.org/10.1080/09593330.2012.724251")</f>
        <v>http://dx.doi.org/10.1080/09593330.2012.724251</v>
      </c>
      <c r="BG299" s="1" t="s">
        <v>74</v>
      </c>
      <c r="BH299" s="1" t="s">
        <v>74</v>
      </c>
      <c r="BI299" s="1" t="s">
        <v>74</v>
      </c>
      <c r="BJ299" s="1" t="s">
        <v>74</v>
      </c>
      <c r="BK299" s="1" t="s">
        <v>74</v>
      </c>
      <c r="BL299" s="1" t="s">
        <v>74</v>
      </c>
      <c r="BM299" s="1" t="s">
        <v>74</v>
      </c>
      <c r="BN299" s="1">
        <v>2.3837348E7</v>
      </c>
      <c r="BO299" s="1" t="s">
        <v>74</v>
      </c>
      <c r="BP299" s="1" t="s">
        <v>74</v>
      </c>
      <c r="BQ299" s="1" t="s">
        <v>74</v>
      </c>
      <c r="BR299" s="1" t="s">
        <v>74</v>
      </c>
      <c r="BS299" s="1" t="s">
        <v>3005</v>
      </c>
      <c r="BT299" s="1" t="str">
        <f>HYPERLINK("https%3A%2F%2Fwww.webofscience.com%2Fwos%2Fwoscc%2Ffull-record%2FWOS:000317952300003","View Full Record in Web of Science")</f>
        <v>View Full Record in Web of Science</v>
      </c>
    </row>
    <row r="300" ht="12.75" customHeight="1">
      <c r="A300" s="1" t="s">
        <v>72</v>
      </c>
      <c r="B300" s="1" t="s">
        <v>3006</v>
      </c>
      <c r="C300" s="1" t="s">
        <v>74</v>
      </c>
      <c r="D300" s="1" t="s">
        <v>74</v>
      </c>
      <c r="E300" s="1" t="s">
        <v>74</v>
      </c>
      <c r="F300" s="1" t="s">
        <v>3007</v>
      </c>
      <c r="G300" s="1" t="s">
        <v>74</v>
      </c>
      <c r="H300" s="1" t="s">
        <v>74</v>
      </c>
      <c r="I300" s="1" t="s">
        <v>3008</v>
      </c>
      <c r="J300" s="1" t="s">
        <v>3009</v>
      </c>
      <c r="K300" s="1" t="s">
        <v>74</v>
      </c>
      <c r="L300" s="1" t="s">
        <v>74</v>
      </c>
      <c r="M300" s="1" t="s">
        <v>74</v>
      </c>
      <c r="N300" s="1" t="s">
        <v>74</v>
      </c>
      <c r="O300" s="1" t="s">
        <v>74</v>
      </c>
      <c r="P300" s="1" t="s">
        <v>74</v>
      </c>
      <c r="Q300" s="1" t="s">
        <v>74</v>
      </c>
      <c r="R300" s="1" t="s">
        <v>74</v>
      </c>
      <c r="S300" s="1" t="s">
        <v>74</v>
      </c>
      <c r="T300" s="1" t="s">
        <v>74</v>
      </c>
      <c r="U300" s="1" t="s">
        <v>74</v>
      </c>
      <c r="V300" s="1" t="s">
        <v>3010</v>
      </c>
      <c r="W300" s="1" t="s">
        <v>74</v>
      </c>
      <c r="X300" s="1" t="s">
        <v>74</v>
      </c>
      <c r="Y300" s="1" t="s">
        <v>74</v>
      </c>
      <c r="Z300" s="1" t="s">
        <v>74</v>
      </c>
      <c r="AA300" s="1" t="s">
        <v>74</v>
      </c>
      <c r="AB300" s="1" t="s">
        <v>74</v>
      </c>
      <c r="AC300" s="1" t="s">
        <v>74</v>
      </c>
      <c r="AD300" s="1" t="s">
        <v>74</v>
      </c>
      <c r="AE300" s="1" t="s">
        <v>74</v>
      </c>
      <c r="AF300" s="1" t="s">
        <v>74</v>
      </c>
      <c r="AG300" s="1" t="s">
        <v>74</v>
      </c>
      <c r="AH300" s="1" t="s">
        <v>74</v>
      </c>
      <c r="AI300" s="1" t="s">
        <v>74</v>
      </c>
      <c r="AJ300" s="1" t="s">
        <v>74</v>
      </c>
      <c r="AK300" s="1" t="s">
        <v>74</v>
      </c>
      <c r="AL300" s="1" t="s">
        <v>74</v>
      </c>
      <c r="AM300" s="1" t="s">
        <v>74</v>
      </c>
      <c r="AN300" s="1" t="s">
        <v>74</v>
      </c>
      <c r="AO300" s="1" t="s">
        <v>3011</v>
      </c>
      <c r="AP300" s="1" t="s">
        <v>3012</v>
      </c>
      <c r="AQ300" s="1" t="s">
        <v>74</v>
      </c>
      <c r="AR300" s="1" t="s">
        <v>74</v>
      </c>
      <c r="AS300" s="1" t="s">
        <v>74</v>
      </c>
      <c r="AT300" s="1" t="s">
        <v>447</v>
      </c>
      <c r="AU300" s="1">
        <v>2012.0</v>
      </c>
      <c r="AV300" s="1">
        <v>28.0</v>
      </c>
      <c r="AW300" s="1">
        <v>1.0</v>
      </c>
      <c r="AX300" s="1" t="s">
        <v>74</v>
      </c>
      <c r="AY300" s="1" t="s">
        <v>74</v>
      </c>
      <c r="AZ300" s="1" t="s">
        <v>74</v>
      </c>
      <c r="BA300" s="1" t="s">
        <v>74</v>
      </c>
      <c r="BB300" s="1">
        <v>114.0</v>
      </c>
      <c r="BC300" s="1">
        <v>120.0</v>
      </c>
      <c r="BD300" s="1" t="s">
        <v>74</v>
      </c>
      <c r="BE300" s="1" t="s">
        <v>3013</v>
      </c>
      <c r="BF300" s="2" t="str">
        <f>HYPERLINK("http://dx.doi.org/10.1002/btpr.722","http://dx.doi.org/10.1002/btpr.722")</f>
        <v>http://dx.doi.org/10.1002/btpr.722</v>
      </c>
      <c r="BG300" s="1" t="s">
        <v>74</v>
      </c>
      <c r="BH300" s="1" t="s">
        <v>74</v>
      </c>
      <c r="BI300" s="1" t="s">
        <v>74</v>
      </c>
      <c r="BJ300" s="1" t="s">
        <v>74</v>
      </c>
      <c r="BK300" s="1" t="s">
        <v>74</v>
      </c>
      <c r="BL300" s="1" t="s">
        <v>74</v>
      </c>
      <c r="BM300" s="1" t="s">
        <v>74</v>
      </c>
      <c r="BN300" s="1">
        <v>2.2002943E7</v>
      </c>
      <c r="BO300" s="1" t="s">
        <v>74</v>
      </c>
      <c r="BP300" s="1" t="s">
        <v>74</v>
      </c>
      <c r="BQ300" s="1" t="s">
        <v>74</v>
      </c>
      <c r="BR300" s="1" t="s">
        <v>74</v>
      </c>
      <c r="BS300" s="1" t="s">
        <v>3014</v>
      </c>
      <c r="BT300" s="1" t="str">
        <f>HYPERLINK("https%3A%2F%2Fwww.webofscience.com%2Fwos%2Fwoscc%2Ffull-record%2FWOS:000299775500013","View Full Record in Web of Science")</f>
        <v>View Full Record in Web of Science</v>
      </c>
    </row>
    <row r="301" ht="12.75" customHeight="1">
      <c r="A301" s="1" t="s">
        <v>72</v>
      </c>
      <c r="B301" s="1" t="s">
        <v>3015</v>
      </c>
      <c r="C301" s="1" t="s">
        <v>74</v>
      </c>
      <c r="D301" s="1" t="s">
        <v>74</v>
      </c>
      <c r="E301" s="1" t="s">
        <v>74</v>
      </c>
      <c r="F301" s="1" t="s">
        <v>3016</v>
      </c>
      <c r="G301" s="1" t="s">
        <v>74</v>
      </c>
      <c r="H301" s="1" t="s">
        <v>74</v>
      </c>
      <c r="I301" s="1" t="s">
        <v>3017</v>
      </c>
      <c r="J301" s="1" t="s">
        <v>3018</v>
      </c>
      <c r="K301" s="1" t="s">
        <v>74</v>
      </c>
      <c r="L301" s="1" t="s">
        <v>74</v>
      </c>
      <c r="M301" s="1" t="s">
        <v>74</v>
      </c>
      <c r="N301" s="1" t="s">
        <v>74</v>
      </c>
      <c r="O301" s="1" t="s">
        <v>74</v>
      </c>
      <c r="P301" s="1" t="s">
        <v>74</v>
      </c>
      <c r="Q301" s="1" t="s">
        <v>74</v>
      </c>
      <c r="R301" s="1" t="s">
        <v>74</v>
      </c>
      <c r="S301" s="1" t="s">
        <v>74</v>
      </c>
      <c r="T301" s="1" t="s">
        <v>74</v>
      </c>
      <c r="U301" s="1" t="s">
        <v>74</v>
      </c>
      <c r="V301" s="1" t="s">
        <v>3019</v>
      </c>
      <c r="W301" s="1" t="s">
        <v>74</v>
      </c>
      <c r="X301" s="1" t="s">
        <v>74</v>
      </c>
      <c r="Y301" s="1" t="s">
        <v>74</v>
      </c>
      <c r="Z301" s="1" t="s">
        <v>74</v>
      </c>
      <c r="AA301" s="1" t="s">
        <v>74</v>
      </c>
      <c r="AB301" s="1" t="s">
        <v>74</v>
      </c>
      <c r="AC301" s="1" t="s">
        <v>74</v>
      </c>
      <c r="AD301" s="1" t="s">
        <v>74</v>
      </c>
      <c r="AE301" s="1" t="s">
        <v>74</v>
      </c>
      <c r="AF301" s="1" t="s">
        <v>74</v>
      </c>
      <c r="AG301" s="1" t="s">
        <v>74</v>
      </c>
      <c r="AH301" s="1" t="s">
        <v>74</v>
      </c>
      <c r="AI301" s="1" t="s">
        <v>74</v>
      </c>
      <c r="AJ301" s="1" t="s">
        <v>74</v>
      </c>
      <c r="AK301" s="1" t="s">
        <v>74</v>
      </c>
      <c r="AL301" s="1" t="s">
        <v>74</v>
      </c>
      <c r="AM301" s="1" t="s">
        <v>74</v>
      </c>
      <c r="AN301" s="1" t="s">
        <v>74</v>
      </c>
      <c r="AO301" s="1" t="s">
        <v>3020</v>
      </c>
      <c r="AP301" s="1" t="s">
        <v>74</v>
      </c>
      <c r="AQ301" s="1" t="s">
        <v>74</v>
      </c>
      <c r="AR301" s="1" t="s">
        <v>74</v>
      </c>
      <c r="AS301" s="1" t="s">
        <v>74</v>
      </c>
      <c r="AT301" s="1" t="s">
        <v>74</v>
      </c>
      <c r="AU301" s="1">
        <v>2012.0</v>
      </c>
      <c r="AV301" s="1">
        <v>18.0</v>
      </c>
      <c r="AW301" s="1">
        <v>2.0</v>
      </c>
      <c r="AX301" s="1" t="s">
        <v>74</v>
      </c>
      <c r="AY301" s="1" t="s">
        <v>74</v>
      </c>
      <c r="AZ301" s="1" t="s">
        <v>74</v>
      </c>
      <c r="BA301" s="1" t="s">
        <v>74</v>
      </c>
      <c r="BB301" s="1">
        <v>237.0</v>
      </c>
      <c r="BC301" s="1">
        <v>245.0</v>
      </c>
      <c r="BD301" s="1" t="s">
        <v>74</v>
      </c>
      <c r="BE301" s="1" t="s">
        <v>3021</v>
      </c>
      <c r="BF301" s="2" t="str">
        <f>HYPERLINK("http://dx.doi.org/10.4067/S1726-569X2012000200012","http://dx.doi.org/10.4067/S1726-569X2012000200012")</f>
        <v>http://dx.doi.org/10.4067/S1726-569X2012000200012</v>
      </c>
      <c r="BG301" s="1" t="s">
        <v>74</v>
      </c>
      <c r="BH301" s="1" t="s">
        <v>74</v>
      </c>
      <c r="BI301" s="1" t="s">
        <v>74</v>
      </c>
      <c r="BJ301" s="1" t="s">
        <v>74</v>
      </c>
      <c r="BK301" s="1" t="s">
        <v>74</v>
      </c>
      <c r="BL301" s="1" t="s">
        <v>74</v>
      </c>
      <c r="BM301" s="1" t="s">
        <v>74</v>
      </c>
      <c r="BN301" s="1" t="s">
        <v>74</v>
      </c>
      <c r="BO301" s="1" t="s">
        <v>74</v>
      </c>
      <c r="BP301" s="1" t="s">
        <v>74</v>
      </c>
      <c r="BQ301" s="1" t="s">
        <v>74</v>
      </c>
      <c r="BR301" s="1" t="s">
        <v>74</v>
      </c>
      <c r="BS301" s="1" t="s">
        <v>3022</v>
      </c>
      <c r="BT301" s="1" t="str">
        <f>HYPERLINK("https%3A%2F%2Fwww.webofscience.com%2Fwos%2Fwoscc%2Ffull-record%2FWOS:000321119200012","View Full Record in Web of Science")</f>
        <v>View Full Record in Web of Science</v>
      </c>
    </row>
    <row r="302" ht="12.75" customHeight="1">
      <c r="A302" s="1" t="s">
        <v>72</v>
      </c>
      <c r="B302" s="1" t="s">
        <v>3023</v>
      </c>
      <c r="C302" s="1" t="s">
        <v>74</v>
      </c>
      <c r="D302" s="1" t="s">
        <v>74</v>
      </c>
      <c r="E302" s="1" t="s">
        <v>74</v>
      </c>
      <c r="F302" s="1" t="s">
        <v>3024</v>
      </c>
      <c r="G302" s="1" t="s">
        <v>74</v>
      </c>
      <c r="H302" s="1" t="s">
        <v>74</v>
      </c>
      <c r="I302" s="1" t="s">
        <v>3025</v>
      </c>
      <c r="J302" s="1" t="s">
        <v>3026</v>
      </c>
      <c r="K302" s="1" t="s">
        <v>74</v>
      </c>
      <c r="L302" s="1" t="s">
        <v>74</v>
      </c>
      <c r="M302" s="1" t="s">
        <v>74</v>
      </c>
      <c r="N302" s="1" t="s">
        <v>74</v>
      </c>
      <c r="O302" s="1" t="s">
        <v>74</v>
      </c>
      <c r="P302" s="1" t="s">
        <v>74</v>
      </c>
      <c r="Q302" s="1" t="s">
        <v>74</v>
      </c>
      <c r="R302" s="1" t="s">
        <v>74</v>
      </c>
      <c r="S302" s="1" t="s">
        <v>74</v>
      </c>
      <c r="T302" s="1" t="s">
        <v>74</v>
      </c>
      <c r="U302" s="1" t="s">
        <v>74</v>
      </c>
      <c r="V302" s="1" t="s">
        <v>3027</v>
      </c>
      <c r="W302" s="1" t="s">
        <v>74</v>
      </c>
      <c r="X302" s="1" t="s">
        <v>74</v>
      </c>
      <c r="Y302" s="1" t="s">
        <v>74</v>
      </c>
      <c r="Z302" s="1" t="s">
        <v>74</v>
      </c>
      <c r="AA302" s="1" t="s">
        <v>74</v>
      </c>
      <c r="AB302" s="1" t="s">
        <v>74</v>
      </c>
      <c r="AC302" s="1" t="s">
        <v>74</v>
      </c>
      <c r="AD302" s="1" t="s">
        <v>74</v>
      </c>
      <c r="AE302" s="1" t="s">
        <v>74</v>
      </c>
      <c r="AF302" s="1" t="s">
        <v>74</v>
      </c>
      <c r="AG302" s="1" t="s">
        <v>74</v>
      </c>
      <c r="AH302" s="1" t="s">
        <v>74</v>
      </c>
      <c r="AI302" s="1" t="s">
        <v>74</v>
      </c>
      <c r="AJ302" s="1" t="s">
        <v>74</v>
      </c>
      <c r="AK302" s="1" t="s">
        <v>74</v>
      </c>
      <c r="AL302" s="1" t="s">
        <v>74</v>
      </c>
      <c r="AM302" s="1" t="s">
        <v>74</v>
      </c>
      <c r="AN302" s="1" t="s">
        <v>74</v>
      </c>
      <c r="AO302" s="1" t="s">
        <v>3028</v>
      </c>
      <c r="AP302" s="1" t="s">
        <v>74</v>
      </c>
      <c r="AQ302" s="1" t="s">
        <v>74</v>
      </c>
      <c r="AR302" s="1" t="s">
        <v>74</v>
      </c>
      <c r="AS302" s="1" t="s">
        <v>74</v>
      </c>
      <c r="AT302" s="1" t="s">
        <v>650</v>
      </c>
      <c r="AU302" s="1">
        <v>2011.0</v>
      </c>
      <c r="AV302" s="1">
        <v>16.0</v>
      </c>
      <c r="AW302" s="1">
        <v>1.0</v>
      </c>
      <c r="AX302" s="1" t="s">
        <v>74</v>
      </c>
      <c r="AY302" s="1" t="s">
        <v>74</v>
      </c>
      <c r="AZ302" s="1" t="s">
        <v>74</v>
      </c>
      <c r="BA302" s="1" t="s">
        <v>74</v>
      </c>
      <c r="BB302" s="1">
        <v>81.0</v>
      </c>
      <c r="BC302" s="1">
        <v>83.0</v>
      </c>
      <c r="BD302" s="1" t="s">
        <v>74</v>
      </c>
      <c r="BE302" s="1" t="s">
        <v>74</v>
      </c>
      <c r="BF302" s="1" t="s">
        <v>74</v>
      </c>
      <c r="BG302" s="1" t="s">
        <v>74</v>
      </c>
      <c r="BH302" s="1" t="s">
        <v>74</v>
      </c>
      <c r="BI302" s="1" t="s">
        <v>74</v>
      </c>
      <c r="BJ302" s="1" t="s">
        <v>74</v>
      </c>
      <c r="BK302" s="1" t="s">
        <v>74</v>
      </c>
      <c r="BL302" s="1" t="s">
        <v>74</v>
      </c>
      <c r="BM302" s="1" t="s">
        <v>74</v>
      </c>
      <c r="BN302" s="1" t="s">
        <v>74</v>
      </c>
      <c r="BO302" s="1" t="s">
        <v>74</v>
      </c>
      <c r="BP302" s="1" t="s">
        <v>74</v>
      </c>
      <c r="BQ302" s="1" t="s">
        <v>74</v>
      </c>
      <c r="BR302" s="1" t="s">
        <v>74</v>
      </c>
      <c r="BS302" s="1" t="s">
        <v>3029</v>
      </c>
      <c r="BT302" s="1" t="str">
        <f>HYPERLINK("https%3A%2F%2Fwww.webofscience.com%2Fwos%2Fwoscc%2Ffull-record%2FWOS:000288710100010","View Full Record in Web of Science")</f>
        <v>View Full Record in Web of Science</v>
      </c>
    </row>
    <row r="303" ht="12.75" customHeight="1">
      <c r="A303" s="1" t="s">
        <v>251</v>
      </c>
      <c r="B303" s="1" t="s">
        <v>3030</v>
      </c>
      <c r="C303" s="1" t="s">
        <v>74</v>
      </c>
      <c r="D303" s="1" t="s">
        <v>74</v>
      </c>
      <c r="E303" s="1" t="s">
        <v>253</v>
      </c>
      <c r="F303" s="1" t="s">
        <v>3031</v>
      </c>
      <c r="G303" s="1" t="s">
        <v>74</v>
      </c>
      <c r="H303" s="1" t="s">
        <v>74</v>
      </c>
      <c r="I303" s="1" t="s">
        <v>3032</v>
      </c>
      <c r="J303" s="1" t="s">
        <v>3033</v>
      </c>
      <c r="K303" s="1" t="s">
        <v>74</v>
      </c>
      <c r="L303" s="1" t="s">
        <v>74</v>
      </c>
      <c r="M303" s="1" t="s">
        <v>74</v>
      </c>
      <c r="N303" s="1" t="s">
        <v>74</v>
      </c>
      <c r="O303" s="1" t="s">
        <v>3034</v>
      </c>
      <c r="P303" s="1" t="s">
        <v>3035</v>
      </c>
      <c r="Q303" s="1" t="s">
        <v>3036</v>
      </c>
      <c r="R303" s="1" t="s">
        <v>3037</v>
      </c>
      <c r="S303" s="1" t="s">
        <v>3038</v>
      </c>
      <c r="T303" s="1" t="s">
        <v>74</v>
      </c>
      <c r="U303" s="1" t="s">
        <v>74</v>
      </c>
      <c r="V303" s="1" t="s">
        <v>3039</v>
      </c>
      <c r="W303" s="1" t="s">
        <v>74</v>
      </c>
      <c r="X303" s="1" t="s">
        <v>74</v>
      </c>
      <c r="Y303" s="1" t="s">
        <v>74</v>
      </c>
      <c r="Z303" s="1" t="s">
        <v>74</v>
      </c>
      <c r="AA303" s="1" t="s">
        <v>74</v>
      </c>
      <c r="AB303" s="1" t="s">
        <v>74</v>
      </c>
      <c r="AC303" s="1" t="s">
        <v>74</v>
      </c>
      <c r="AD303" s="1" t="s">
        <v>74</v>
      </c>
      <c r="AE303" s="1" t="s">
        <v>74</v>
      </c>
      <c r="AF303" s="1" t="s">
        <v>74</v>
      </c>
      <c r="AG303" s="1" t="s">
        <v>74</v>
      </c>
      <c r="AH303" s="1" t="s">
        <v>74</v>
      </c>
      <c r="AI303" s="1" t="s">
        <v>74</v>
      </c>
      <c r="AJ303" s="1" t="s">
        <v>74</v>
      </c>
      <c r="AK303" s="1" t="s">
        <v>74</v>
      </c>
      <c r="AL303" s="1" t="s">
        <v>74</v>
      </c>
      <c r="AM303" s="1" t="s">
        <v>74</v>
      </c>
      <c r="AN303" s="1" t="s">
        <v>74</v>
      </c>
      <c r="AO303" s="1" t="s">
        <v>74</v>
      </c>
      <c r="AP303" s="1" t="s">
        <v>74</v>
      </c>
      <c r="AQ303" s="1" t="s">
        <v>3040</v>
      </c>
      <c r="AR303" s="1" t="s">
        <v>74</v>
      </c>
      <c r="AS303" s="1" t="s">
        <v>74</v>
      </c>
      <c r="AT303" s="1" t="s">
        <v>74</v>
      </c>
      <c r="AU303" s="1">
        <v>2011.0</v>
      </c>
      <c r="AV303" s="1" t="s">
        <v>74</v>
      </c>
      <c r="AW303" s="1" t="s">
        <v>74</v>
      </c>
      <c r="AX303" s="1" t="s">
        <v>74</v>
      </c>
      <c r="AY303" s="1" t="s">
        <v>74</v>
      </c>
      <c r="AZ303" s="1" t="s">
        <v>74</v>
      </c>
      <c r="BA303" s="1" t="s">
        <v>74</v>
      </c>
      <c r="BB303" s="1" t="s">
        <v>74</v>
      </c>
      <c r="BC303" s="1" t="s">
        <v>74</v>
      </c>
      <c r="BD303" s="1" t="s">
        <v>74</v>
      </c>
      <c r="BE303" s="1" t="s">
        <v>74</v>
      </c>
      <c r="BF303" s="1" t="s">
        <v>74</v>
      </c>
      <c r="BG303" s="1" t="s">
        <v>74</v>
      </c>
      <c r="BH303" s="1" t="s">
        <v>74</v>
      </c>
      <c r="BI303" s="1" t="s">
        <v>74</v>
      </c>
      <c r="BJ303" s="1" t="s">
        <v>74</v>
      </c>
      <c r="BK303" s="1" t="s">
        <v>74</v>
      </c>
      <c r="BL303" s="1" t="s">
        <v>74</v>
      </c>
      <c r="BM303" s="1" t="s">
        <v>74</v>
      </c>
      <c r="BN303" s="1" t="s">
        <v>74</v>
      </c>
      <c r="BO303" s="1" t="s">
        <v>74</v>
      </c>
      <c r="BP303" s="1" t="s">
        <v>74</v>
      </c>
      <c r="BQ303" s="1" t="s">
        <v>74</v>
      </c>
      <c r="BR303" s="1" t="s">
        <v>74</v>
      </c>
      <c r="BS303" s="1" t="s">
        <v>3041</v>
      </c>
      <c r="BT303" s="1" t="str">
        <f>HYPERLINK("https%3A%2F%2Fwww.webofscience.com%2Fwos%2Fwoscc%2Ffull-record%2FWOS:000298735100035","View Full Record in Web of Science")</f>
        <v>View Full Record in Web of Science</v>
      </c>
    </row>
    <row r="304" ht="12.75" customHeight="1">
      <c r="A304" s="1" t="s">
        <v>72</v>
      </c>
      <c r="B304" s="1" t="s">
        <v>3042</v>
      </c>
      <c r="C304" s="1" t="s">
        <v>74</v>
      </c>
      <c r="D304" s="1" t="s">
        <v>74</v>
      </c>
      <c r="E304" s="1" t="s">
        <v>74</v>
      </c>
      <c r="F304" s="1" t="s">
        <v>3043</v>
      </c>
      <c r="G304" s="1" t="s">
        <v>74</v>
      </c>
      <c r="H304" s="1" t="s">
        <v>74</v>
      </c>
      <c r="I304" s="1" t="s">
        <v>3044</v>
      </c>
      <c r="J304" s="1" t="s">
        <v>84</v>
      </c>
      <c r="K304" s="1" t="s">
        <v>74</v>
      </c>
      <c r="L304" s="1" t="s">
        <v>74</v>
      </c>
      <c r="M304" s="1" t="s">
        <v>74</v>
      </c>
      <c r="N304" s="1" t="s">
        <v>74</v>
      </c>
      <c r="O304" s="1" t="s">
        <v>74</v>
      </c>
      <c r="P304" s="1" t="s">
        <v>74</v>
      </c>
      <c r="Q304" s="1" t="s">
        <v>74</v>
      </c>
      <c r="R304" s="1" t="s">
        <v>74</v>
      </c>
      <c r="S304" s="1" t="s">
        <v>74</v>
      </c>
      <c r="T304" s="1" t="s">
        <v>74</v>
      </c>
      <c r="U304" s="1" t="s">
        <v>74</v>
      </c>
      <c r="V304" s="1" t="s">
        <v>3045</v>
      </c>
      <c r="W304" s="1" t="s">
        <v>74</v>
      </c>
      <c r="X304" s="1" t="s">
        <v>74</v>
      </c>
      <c r="Y304" s="1" t="s">
        <v>74</v>
      </c>
      <c r="Z304" s="1" t="s">
        <v>74</v>
      </c>
      <c r="AA304" s="1" t="s">
        <v>3046</v>
      </c>
      <c r="AB304" s="1" t="s">
        <v>3047</v>
      </c>
      <c r="AC304" s="1" t="s">
        <v>74</v>
      </c>
      <c r="AD304" s="1" t="s">
        <v>74</v>
      </c>
      <c r="AE304" s="1" t="s">
        <v>74</v>
      </c>
      <c r="AF304" s="1" t="s">
        <v>74</v>
      </c>
      <c r="AG304" s="1" t="s">
        <v>74</v>
      </c>
      <c r="AH304" s="1" t="s">
        <v>74</v>
      </c>
      <c r="AI304" s="1" t="s">
        <v>74</v>
      </c>
      <c r="AJ304" s="1" t="s">
        <v>74</v>
      </c>
      <c r="AK304" s="1" t="s">
        <v>74</v>
      </c>
      <c r="AL304" s="1" t="s">
        <v>74</v>
      </c>
      <c r="AM304" s="1" t="s">
        <v>74</v>
      </c>
      <c r="AN304" s="1" t="s">
        <v>74</v>
      </c>
      <c r="AO304" s="1" t="s">
        <v>86</v>
      </c>
      <c r="AP304" s="1" t="s">
        <v>87</v>
      </c>
      <c r="AQ304" s="1" t="s">
        <v>74</v>
      </c>
      <c r="AR304" s="1" t="s">
        <v>74</v>
      </c>
      <c r="AS304" s="1" t="s">
        <v>74</v>
      </c>
      <c r="AT304" s="1" t="s">
        <v>110</v>
      </c>
      <c r="AU304" s="1">
        <v>2010.0</v>
      </c>
      <c r="AV304" s="1">
        <v>5.0</v>
      </c>
      <c r="AW304" s="1">
        <v>5.0</v>
      </c>
      <c r="AX304" s="1" t="s">
        <v>74</v>
      </c>
      <c r="AY304" s="1" t="s">
        <v>74</v>
      </c>
      <c r="AZ304" s="1" t="s">
        <v>74</v>
      </c>
      <c r="BA304" s="1" t="s">
        <v>74</v>
      </c>
      <c r="BB304" s="1">
        <v>919.0</v>
      </c>
      <c r="BC304" s="1">
        <v>928.0</v>
      </c>
      <c r="BD304" s="1" t="s">
        <v>74</v>
      </c>
      <c r="BE304" s="1" t="s">
        <v>74</v>
      </c>
      <c r="BF304" s="1" t="s">
        <v>74</v>
      </c>
      <c r="BG304" s="1" t="s">
        <v>74</v>
      </c>
      <c r="BH304" s="1" t="s">
        <v>74</v>
      </c>
      <c r="BI304" s="1" t="s">
        <v>74</v>
      </c>
      <c r="BJ304" s="1" t="s">
        <v>74</v>
      </c>
      <c r="BK304" s="1" t="s">
        <v>74</v>
      </c>
      <c r="BL304" s="1" t="s">
        <v>74</v>
      </c>
      <c r="BM304" s="1" t="s">
        <v>74</v>
      </c>
      <c r="BN304" s="1" t="s">
        <v>74</v>
      </c>
      <c r="BO304" s="1" t="s">
        <v>74</v>
      </c>
      <c r="BP304" s="1" t="s">
        <v>74</v>
      </c>
      <c r="BQ304" s="1" t="s">
        <v>74</v>
      </c>
      <c r="BR304" s="1" t="s">
        <v>74</v>
      </c>
      <c r="BS304" s="1" t="s">
        <v>3048</v>
      </c>
      <c r="BT304" s="1" t="str">
        <f>HYPERLINK("https%3A%2F%2Fwww.webofscience.com%2Fwos%2Fwoscc%2Ffull-record%2FWOS:000283908700035","View Full Record in Web of Science")</f>
        <v>View Full Record in Web of Science</v>
      </c>
    </row>
    <row r="305" ht="12.75" customHeight="1">
      <c r="A305" s="1" t="s">
        <v>72</v>
      </c>
      <c r="B305" s="1" t="s">
        <v>3049</v>
      </c>
      <c r="C305" s="1" t="s">
        <v>74</v>
      </c>
      <c r="D305" s="1" t="s">
        <v>74</v>
      </c>
      <c r="E305" s="1" t="s">
        <v>74</v>
      </c>
      <c r="F305" s="1" t="s">
        <v>3050</v>
      </c>
      <c r="G305" s="1" t="s">
        <v>74</v>
      </c>
      <c r="H305" s="1" t="s">
        <v>74</v>
      </c>
      <c r="I305" s="1" t="s">
        <v>3051</v>
      </c>
      <c r="J305" s="1" t="s">
        <v>3052</v>
      </c>
      <c r="K305" s="1" t="s">
        <v>74</v>
      </c>
      <c r="L305" s="1" t="s">
        <v>74</v>
      </c>
      <c r="M305" s="1" t="s">
        <v>74</v>
      </c>
      <c r="N305" s="1" t="s">
        <v>74</v>
      </c>
      <c r="O305" s="1" t="s">
        <v>74</v>
      </c>
      <c r="P305" s="1" t="s">
        <v>74</v>
      </c>
      <c r="Q305" s="1" t="s">
        <v>74</v>
      </c>
      <c r="R305" s="1" t="s">
        <v>74</v>
      </c>
      <c r="S305" s="1" t="s">
        <v>74</v>
      </c>
      <c r="T305" s="1" t="s">
        <v>74</v>
      </c>
      <c r="U305" s="1" t="s">
        <v>74</v>
      </c>
      <c r="V305" s="1" t="s">
        <v>3053</v>
      </c>
      <c r="W305" s="1" t="s">
        <v>74</v>
      </c>
      <c r="X305" s="1" t="s">
        <v>74</v>
      </c>
      <c r="Y305" s="1" t="s">
        <v>74</v>
      </c>
      <c r="Z305" s="1" t="s">
        <v>74</v>
      </c>
      <c r="AA305" s="1" t="s">
        <v>3054</v>
      </c>
      <c r="AB305" s="1" t="s">
        <v>74</v>
      </c>
      <c r="AC305" s="1" t="s">
        <v>74</v>
      </c>
      <c r="AD305" s="1" t="s">
        <v>74</v>
      </c>
      <c r="AE305" s="1" t="s">
        <v>74</v>
      </c>
      <c r="AF305" s="1" t="s">
        <v>74</v>
      </c>
      <c r="AG305" s="1" t="s">
        <v>74</v>
      </c>
      <c r="AH305" s="1" t="s">
        <v>74</v>
      </c>
      <c r="AI305" s="1" t="s">
        <v>74</v>
      </c>
      <c r="AJ305" s="1" t="s">
        <v>74</v>
      </c>
      <c r="AK305" s="1" t="s">
        <v>74</v>
      </c>
      <c r="AL305" s="1" t="s">
        <v>74</v>
      </c>
      <c r="AM305" s="1" t="s">
        <v>74</v>
      </c>
      <c r="AN305" s="1" t="s">
        <v>74</v>
      </c>
      <c r="AO305" s="1" t="s">
        <v>3055</v>
      </c>
      <c r="AP305" s="1" t="s">
        <v>74</v>
      </c>
      <c r="AQ305" s="1" t="s">
        <v>74</v>
      </c>
      <c r="AR305" s="1" t="s">
        <v>74</v>
      </c>
      <c r="AS305" s="1" t="s">
        <v>74</v>
      </c>
      <c r="AT305" s="1" t="s">
        <v>74</v>
      </c>
      <c r="AU305" s="1">
        <v>2010.0</v>
      </c>
      <c r="AV305" s="1" t="s">
        <v>74</v>
      </c>
      <c r="AW305" s="1" t="s">
        <v>74</v>
      </c>
      <c r="AX305" s="1" t="s">
        <v>74</v>
      </c>
      <c r="AY305" s="1" t="s">
        <v>74</v>
      </c>
      <c r="AZ305" s="1" t="s">
        <v>74</v>
      </c>
      <c r="BA305" s="1" t="s">
        <v>74</v>
      </c>
      <c r="BB305" s="1" t="s">
        <v>74</v>
      </c>
      <c r="BC305" s="1" t="s">
        <v>74</v>
      </c>
      <c r="BD305" s="1">
        <v>695290.0</v>
      </c>
      <c r="BE305" s="1" t="s">
        <v>3056</v>
      </c>
      <c r="BF305" s="2" t="str">
        <f>HYPERLINK("http://dx.doi.org/10.1155/2010/695290","http://dx.doi.org/10.1155/2010/695290")</f>
        <v>http://dx.doi.org/10.1155/2010/695290</v>
      </c>
      <c r="BG305" s="1" t="s">
        <v>74</v>
      </c>
      <c r="BH305" s="1" t="s">
        <v>74</v>
      </c>
      <c r="BI305" s="1" t="s">
        <v>74</v>
      </c>
      <c r="BJ305" s="1" t="s">
        <v>74</v>
      </c>
      <c r="BK305" s="1" t="s">
        <v>74</v>
      </c>
      <c r="BL305" s="1" t="s">
        <v>74</v>
      </c>
      <c r="BM305" s="1" t="s">
        <v>74</v>
      </c>
      <c r="BN305" s="1" t="s">
        <v>74</v>
      </c>
      <c r="BO305" s="1" t="s">
        <v>74</v>
      </c>
      <c r="BP305" s="1" t="s">
        <v>74</v>
      </c>
      <c r="BQ305" s="1" t="s">
        <v>74</v>
      </c>
      <c r="BR305" s="1" t="s">
        <v>74</v>
      </c>
      <c r="BS305" s="1" t="s">
        <v>3057</v>
      </c>
      <c r="BT305" s="1" t="str">
        <f>HYPERLINK("https%3A%2F%2Fwww.webofscience.com%2Fwos%2Fwoscc%2Ffull-record%2FWOS:000283139600001","View Full Record in Web of Science")</f>
        <v>View Full Record in Web of Science</v>
      </c>
    </row>
    <row r="306" ht="12.75" customHeight="1">
      <c r="A306" s="1" t="s">
        <v>72</v>
      </c>
      <c r="B306" s="1" t="s">
        <v>3058</v>
      </c>
      <c r="C306" s="1" t="s">
        <v>74</v>
      </c>
      <c r="D306" s="1" t="s">
        <v>74</v>
      </c>
      <c r="E306" s="1" t="s">
        <v>74</v>
      </c>
      <c r="F306" s="1" t="s">
        <v>3059</v>
      </c>
      <c r="G306" s="1" t="s">
        <v>74</v>
      </c>
      <c r="H306" s="1" t="s">
        <v>74</v>
      </c>
      <c r="I306" s="1" t="s">
        <v>3060</v>
      </c>
      <c r="J306" s="1" t="s">
        <v>3061</v>
      </c>
      <c r="K306" s="1" t="s">
        <v>74</v>
      </c>
      <c r="L306" s="1" t="s">
        <v>74</v>
      </c>
      <c r="M306" s="1" t="s">
        <v>74</v>
      </c>
      <c r="N306" s="1" t="s">
        <v>74</v>
      </c>
      <c r="O306" s="1" t="s">
        <v>74</v>
      </c>
      <c r="P306" s="1" t="s">
        <v>74</v>
      </c>
      <c r="Q306" s="1" t="s">
        <v>74</v>
      </c>
      <c r="R306" s="1" t="s">
        <v>74</v>
      </c>
      <c r="S306" s="1" t="s">
        <v>74</v>
      </c>
      <c r="T306" s="1" t="s">
        <v>74</v>
      </c>
      <c r="U306" s="1" t="s">
        <v>74</v>
      </c>
      <c r="V306" s="1" t="s">
        <v>3062</v>
      </c>
      <c r="W306" s="1" t="s">
        <v>74</v>
      </c>
      <c r="X306" s="1" t="s">
        <v>74</v>
      </c>
      <c r="Y306" s="1" t="s">
        <v>74</v>
      </c>
      <c r="Z306" s="1" t="s">
        <v>74</v>
      </c>
      <c r="AA306" s="1" t="s">
        <v>3063</v>
      </c>
      <c r="AB306" s="1" t="s">
        <v>74</v>
      </c>
      <c r="AC306" s="1" t="s">
        <v>74</v>
      </c>
      <c r="AD306" s="1" t="s">
        <v>74</v>
      </c>
      <c r="AE306" s="1" t="s">
        <v>74</v>
      </c>
      <c r="AF306" s="1" t="s">
        <v>74</v>
      </c>
      <c r="AG306" s="1" t="s">
        <v>74</v>
      </c>
      <c r="AH306" s="1" t="s">
        <v>74</v>
      </c>
      <c r="AI306" s="1" t="s">
        <v>74</v>
      </c>
      <c r="AJ306" s="1" t="s">
        <v>74</v>
      </c>
      <c r="AK306" s="1" t="s">
        <v>74</v>
      </c>
      <c r="AL306" s="1" t="s">
        <v>74</v>
      </c>
      <c r="AM306" s="1" t="s">
        <v>74</v>
      </c>
      <c r="AN306" s="1" t="s">
        <v>74</v>
      </c>
      <c r="AO306" s="1" t="s">
        <v>3064</v>
      </c>
      <c r="AP306" s="1" t="s">
        <v>74</v>
      </c>
      <c r="AQ306" s="1" t="s">
        <v>74</v>
      </c>
      <c r="AR306" s="1" t="s">
        <v>74</v>
      </c>
      <c r="AS306" s="1" t="s">
        <v>74</v>
      </c>
      <c r="AT306" s="1" t="s">
        <v>123</v>
      </c>
      <c r="AU306" s="1">
        <v>2006.0</v>
      </c>
      <c r="AV306" s="1">
        <v>103.0</v>
      </c>
      <c r="AW306" s="1">
        <v>1.0</v>
      </c>
      <c r="AX306" s="1" t="s">
        <v>74</v>
      </c>
      <c r="AY306" s="1" t="s">
        <v>74</v>
      </c>
      <c r="AZ306" s="1" t="s">
        <v>74</v>
      </c>
      <c r="BA306" s="1" t="s">
        <v>74</v>
      </c>
      <c r="BB306" s="1">
        <v>307.0</v>
      </c>
      <c r="BC306" s="1">
        <v>314.0</v>
      </c>
      <c r="BD306" s="1" t="s">
        <v>74</v>
      </c>
      <c r="BE306" s="1" t="s">
        <v>3065</v>
      </c>
      <c r="BF306" s="2" t="str">
        <f>HYPERLINK("http://dx.doi.org/10.1016/j.ygyno.2006.03.029","http://dx.doi.org/10.1016/j.ygyno.2006.03.029")</f>
        <v>http://dx.doi.org/10.1016/j.ygyno.2006.03.029</v>
      </c>
      <c r="BG306" s="1" t="s">
        <v>74</v>
      </c>
      <c r="BH306" s="1" t="s">
        <v>74</v>
      </c>
      <c r="BI306" s="1" t="s">
        <v>74</v>
      </c>
      <c r="BJ306" s="1" t="s">
        <v>74</v>
      </c>
      <c r="BK306" s="1" t="s">
        <v>74</v>
      </c>
      <c r="BL306" s="1" t="s">
        <v>74</v>
      </c>
      <c r="BM306" s="1" t="s">
        <v>74</v>
      </c>
      <c r="BN306" s="1">
        <v>1.6677694E7</v>
      </c>
      <c r="BO306" s="1" t="s">
        <v>74</v>
      </c>
      <c r="BP306" s="1" t="s">
        <v>74</v>
      </c>
      <c r="BQ306" s="1" t="s">
        <v>74</v>
      </c>
      <c r="BR306" s="1" t="s">
        <v>74</v>
      </c>
      <c r="BS306" s="1" t="s">
        <v>3066</v>
      </c>
      <c r="BT306" s="1" t="str">
        <f>HYPERLINK("https%3A%2F%2Fwww.webofscience.com%2Fwos%2Fwoscc%2Ffull-record%2FWOS:000240887100054","View Full Record in Web of Science")</f>
        <v>View Full Record in Web of Science</v>
      </c>
    </row>
    <row r="307" ht="12.75" customHeight="1">
      <c r="A307" s="1" t="s">
        <v>72</v>
      </c>
      <c r="B307" s="1" t="s">
        <v>3067</v>
      </c>
      <c r="C307" s="1" t="s">
        <v>74</v>
      </c>
      <c r="D307" s="1" t="s">
        <v>74</v>
      </c>
      <c r="E307" s="1" t="s">
        <v>74</v>
      </c>
      <c r="F307" s="1" t="s">
        <v>3067</v>
      </c>
      <c r="G307" s="1" t="s">
        <v>74</v>
      </c>
      <c r="H307" s="1" t="s">
        <v>74</v>
      </c>
      <c r="I307" s="1" t="s">
        <v>3068</v>
      </c>
      <c r="J307" s="1" t="s">
        <v>3069</v>
      </c>
      <c r="K307" s="1" t="s">
        <v>74</v>
      </c>
      <c r="L307" s="1" t="s">
        <v>74</v>
      </c>
      <c r="M307" s="1" t="s">
        <v>74</v>
      </c>
      <c r="N307" s="1" t="s">
        <v>74</v>
      </c>
      <c r="O307" s="1" t="s">
        <v>74</v>
      </c>
      <c r="P307" s="1" t="s">
        <v>74</v>
      </c>
      <c r="Q307" s="1" t="s">
        <v>74</v>
      </c>
      <c r="R307" s="1" t="s">
        <v>74</v>
      </c>
      <c r="S307" s="1" t="s">
        <v>74</v>
      </c>
      <c r="T307" s="1" t="s">
        <v>74</v>
      </c>
      <c r="U307" s="1" t="s">
        <v>74</v>
      </c>
      <c r="V307" s="1" t="s">
        <v>3070</v>
      </c>
      <c r="W307" s="1" t="s">
        <v>74</v>
      </c>
      <c r="X307" s="1" t="s">
        <v>74</v>
      </c>
      <c r="Y307" s="1" t="s">
        <v>74</v>
      </c>
      <c r="Z307" s="1" t="s">
        <v>74</v>
      </c>
      <c r="AA307" s="1" t="s">
        <v>3071</v>
      </c>
      <c r="AB307" s="1" t="s">
        <v>3072</v>
      </c>
      <c r="AC307" s="1" t="s">
        <v>74</v>
      </c>
      <c r="AD307" s="1" t="s">
        <v>74</v>
      </c>
      <c r="AE307" s="1" t="s">
        <v>74</v>
      </c>
      <c r="AF307" s="1" t="s">
        <v>74</v>
      </c>
      <c r="AG307" s="1" t="s">
        <v>74</v>
      </c>
      <c r="AH307" s="1" t="s">
        <v>74</v>
      </c>
      <c r="AI307" s="1" t="s">
        <v>74</v>
      </c>
      <c r="AJ307" s="1" t="s">
        <v>74</v>
      </c>
      <c r="AK307" s="1" t="s">
        <v>74</v>
      </c>
      <c r="AL307" s="1" t="s">
        <v>74</v>
      </c>
      <c r="AM307" s="1" t="s">
        <v>74</v>
      </c>
      <c r="AN307" s="1" t="s">
        <v>74</v>
      </c>
      <c r="AO307" s="1" t="s">
        <v>3073</v>
      </c>
      <c r="AP307" s="1" t="s">
        <v>74</v>
      </c>
      <c r="AQ307" s="1" t="s">
        <v>74</v>
      </c>
      <c r="AR307" s="1" t="s">
        <v>74</v>
      </c>
      <c r="AS307" s="1" t="s">
        <v>74</v>
      </c>
      <c r="AT307" s="1" t="s">
        <v>3074</v>
      </c>
      <c r="AU307" s="1">
        <v>2005.0</v>
      </c>
      <c r="AV307" s="1">
        <v>15.0</v>
      </c>
      <c r="AW307" s="1">
        <v>2.0</v>
      </c>
      <c r="AX307" s="1" t="s">
        <v>74</v>
      </c>
      <c r="AY307" s="1" t="s">
        <v>74</v>
      </c>
      <c r="AZ307" s="1" t="s">
        <v>74</v>
      </c>
      <c r="BA307" s="1" t="s">
        <v>74</v>
      </c>
      <c r="BB307" s="1">
        <v>309.0</v>
      </c>
      <c r="BC307" s="1">
        <v>312.0</v>
      </c>
      <c r="BD307" s="1" t="s">
        <v>74</v>
      </c>
      <c r="BE307" s="1" t="s">
        <v>3075</v>
      </c>
      <c r="BF307" s="2" t="str">
        <f>HYPERLINK("http://dx.doi.org/10.1016/j.bmcl.2004.10.081","http://dx.doi.org/10.1016/j.bmcl.2004.10.081")</f>
        <v>http://dx.doi.org/10.1016/j.bmcl.2004.10.081</v>
      </c>
      <c r="BG307" s="1" t="s">
        <v>74</v>
      </c>
      <c r="BH307" s="1" t="s">
        <v>74</v>
      </c>
      <c r="BI307" s="1" t="s">
        <v>74</v>
      </c>
      <c r="BJ307" s="1" t="s">
        <v>74</v>
      </c>
      <c r="BK307" s="1" t="s">
        <v>74</v>
      </c>
      <c r="BL307" s="1" t="s">
        <v>74</v>
      </c>
      <c r="BM307" s="1" t="s">
        <v>74</v>
      </c>
      <c r="BN307" s="1">
        <v>1.5603945E7</v>
      </c>
      <c r="BO307" s="1" t="s">
        <v>74</v>
      </c>
      <c r="BP307" s="1" t="s">
        <v>74</v>
      </c>
      <c r="BQ307" s="1" t="s">
        <v>74</v>
      </c>
      <c r="BR307" s="1" t="s">
        <v>74</v>
      </c>
      <c r="BS307" s="1" t="s">
        <v>3076</v>
      </c>
      <c r="BT307" s="1" t="str">
        <f>HYPERLINK("https%3A%2F%2Fwww.webofscience.com%2Fwos%2Fwoscc%2Ffull-record%2FWOS:000226344800013","View Full Record in Web of Science")</f>
        <v>View Full Record in Web of Science</v>
      </c>
    </row>
    <row r="308" ht="12.75" customHeight="1">
      <c r="A308" s="1" t="s">
        <v>72</v>
      </c>
      <c r="B308" s="1" t="s">
        <v>3077</v>
      </c>
      <c r="C308" s="1" t="s">
        <v>74</v>
      </c>
      <c r="D308" s="1" t="s">
        <v>74</v>
      </c>
      <c r="E308" s="1" t="s">
        <v>74</v>
      </c>
      <c r="F308" s="1" t="s">
        <v>3077</v>
      </c>
      <c r="G308" s="1" t="s">
        <v>74</v>
      </c>
      <c r="H308" s="1" t="s">
        <v>74</v>
      </c>
      <c r="I308" s="1" t="s">
        <v>3078</v>
      </c>
      <c r="J308" s="1" t="s">
        <v>3079</v>
      </c>
      <c r="K308" s="1" t="s">
        <v>74</v>
      </c>
      <c r="L308" s="1" t="s">
        <v>74</v>
      </c>
      <c r="M308" s="1" t="s">
        <v>74</v>
      </c>
      <c r="N308" s="1" t="s">
        <v>74</v>
      </c>
      <c r="O308" s="1" t="s">
        <v>74</v>
      </c>
      <c r="P308" s="1" t="s">
        <v>74</v>
      </c>
      <c r="Q308" s="1" t="s">
        <v>74</v>
      </c>
      <c r="R308" s="1" t="s">
        <v>74</v>
      </c>
      <c r="S308" s="1" t="s">
        <v>74</v>
      </c>
      <c r="T308" s="1" t="s">
        <v>74</v>
      </c>
      <c r="U308" s="1" t="s">
        <v>74</v>
      </c>
      <c r="V308" s="1" t="s">
        <v>3080</v>
      </c>
      <c r="W308" s="1" t="s">
        <v>74</v>
      </c>
      <c r="X308" s="1" t="s">
        <v>74</v>
      </c>
      <c r="Y308" s="1" t="s">
        <v>74</v>
      </c>
      <c r="Z308" s="1" t="s">
        <v>74</v>
      </c>
      <c r="AA308" s="1" t="s">
        <v>3081</v>
      </c>
      <c r="AB308" s="1" t="s">
        <v>3082</v>
      </c>
      <c r="AC308" s="1" t="s">
        <v>74</v>
      </c>
      <c r="AD308" s="1" t="s">
        <v>74</v>
      </c>
      <c r="AE308" s="1" t="s">
        <v>74</v>
      </c>
      <c r="AF308" s="1" t="s">
        <v>74</v>
      </c>
      <c r="AG308" s="1" t="s">
        <v>74</v>
      </c>
      <c r="AH308" s="1" t="s">
        <v>74</v>
      </c>
      <c r="AI308" s="1" t="s">
        <v>74</v>
      </c>
      <c r="AJ308" s="1" t="s">
        <v>74</v>
      </c>
      <c r="AK308" s="1" t="s">
        <v>74</v>
      </c>
      <c r="AL308" s="1" t="s">
        <v>74</v>
      </c>
      <c r="AM308" s="1" t="s">
        <v>74</v>
      </c>
      <c r="AN308" s="1" t="s">
        <v>74</v>
      </c>
      <c r="AO308" s="1" t="s">
        <v>3083</v>
      </c>
      <c r="AP308" s="1" t="s">
        <v>3084</v>
      </c>
      <c r="AQ308" s="1" t="s">
        <v>74</v>
      </c>
      <c r="AR308" s="1" t="s">
        <v>74</v>
      </c>
      <c r="AS308" s="1" t="s">
        <v>74</v>
      </c>
      <c r="AT308" s="1" t="s">
        <v>169</v>
      </c>
      <c r="AU308" s="1">
        <v>2005.0</v>
      </c>
      <c r="AV308" s="1">
        <v>71.0</v>
      </c>
      <c r="AW308" s="1">
        <v>1.0</v>
      </c>
      <c r="AX308" s="1" t="s">
        <v>74</v>
      </c>
      <c r="AY308" s="1" t="s">
        <v>74</v>
      </c>
      <c r="AZ308" s="1" t="s">
        <v>74</v>
      </c>
      <c r="BA308" s="1" t="s">
        <v>74</v>
      </c>
      <c r="BB308" s="1" t="s">
        <v>74</v>
      </c>
      <c r="BC308" s="1" t="s">
        <v>74</v>
      </c>
      <c r="BD308" s="1">
        <v>12303.0</v>
      </c>
      <c r="BE308" s="1" t="s">
        <v>3085</v>
      </c>
      <c r="BF308" s="2" t="str">
        <f>HYPERLINK("http://dx.doi.org/10.1103/PhysRevA.71.012303","http://dx.doi.org/10.1103/PhysRevA.71.012303")</f>
        <v>http://dx.doi.org/10.1103/PhysRevA.71.012303</v>
      </c>
      <c r="BG308" s="1" t="s">
        <v>74</v>
      </c>
      <c r="BH308" s="1" t="s">
        <v>74</v>
      </c>
      <c r="BI308" s="1" t="s">
        <v>74</v>
      </c>
      <c r="BJ308" s="1" t="s">
        <v>74</v>
      </c>
      <c r="BK308" s="1" t="s">
        <v>74</v>
      </c>
      <c r="BL308" s="1" t="s">
        <v>74</v>
      </c>
      <c r="BM308" s="1" t="s">
        <v>74</v>
      </c>
      <c r="BN308" s="1" t="s">
        <v>74</v>
      </c>
      <c r="BO308" s="1" t="s">
        <v>74</v>
      </c>
      <c r="BP308" s="1" t="s">
        <v>74</v>
      </c>
      <c r="BQ308" s="1" t="s">
        <v>74</v>
      </c>
      <c r="BR308" s="1" t="s">
        <v>74</v>
      </c>
      <c r="BS308" s="1" t="s">
        <v>3086</v>
      </c>
      <c r="BT308" s="1" t="str">
        <f>HYPERLINK("https%3A%2F%2Fwww.webofscience.com%2Fwos%2Fwoscc%2Ffull-record%2FWOS:000227283300029","View Full Record in Web of Science")</f>
        <v>View Full Record in Web of Science</v>
      </c>
    </row>
    <row r="309" ht="12.75" customHeight="1">
      <c r="A309" s="1" t="s">
        <v>72</v>
      </c>
      <c r="B309" s="1" t="s">
        <v>3087</v>
      </c>
      <c r="C309" s="1" t="s">
        <v>74</v>
      </c>
      <c r="D309" s="1" t="s">
        <v>74</v>
      </c>
      <c r="E309" s="1" t="s">
        <v>74</v>
      </c>
      <c r="F309" s="1" t="s">
        <v>3087</v>
      </c>
      <c r="G309" s="1" t="s">
        <v>74</v>
      </c>
      <c r="H309" s="1" t="s">
        <v>74</v>
      </c>
      <c r="I309" s="1" t="s">
        <v>3088</v>
      </c>
      <c r="J309" s="1" t="s">
        <v>2350</v>
      </c>
      <c r="K309" s="1" t="s">
        <v>74</v>
      </c>
      <c r="L309" s="1" t="s">
        <v>74</v>
      </c>
      <c r="M309" s="1" t="s">
        <v>74</v>
      </c>
      <c r="N309" s="1" t="s">
        <v>74</v>
      </c>
      <c r="O309" s="1" t="s">
        <v>74</v>
      </c>
      <c r="P309" s="1" t="s">
        <v>74</v>
      </c>
      <c r="Q309" s="1" t="s">
        <v>74</v>
      </c>
      <c r="R309" s="1" t="s">
        <v>74</v>
      </c>
      <c r="S309" s="1" t="s">
        <v>74</v>
      </c>
      <c r="T309" s="1" t="s">
        <v>74</v>
      </c>
      <c r="U309" s="1" t="s">
        <v>74</v>
      </c>
      <c r="V309" s="1" t="s">
        <v>3089</v>
      </c>
      <c r="W309" s="1" t="s">
        <v>74</v>
      </c>
      <c r="X309" s="1" t="s">
        <v>74</v>
      </c>
      <c r="Y309" s="1" t="s">
        <v>74</v>
      </c>
      <c r="Z309" s="1" t="s">
        <v>74</v>
      </c>
      <c r="AA309" s="1" t="s">
        <v>3090</v>
      </c>
      <c r="AB309" s="1" t="s">
        <v>3091</v>
      </c>
      <c r="AC309" s="1" t="s">
        <v>74</v>
      </c>
      <c r="AD309" s="1" t="s">
        <v>74</v>
      </c>
      <c r="AE309" s="1" t="s">
        <v>74</v>
      </c>
      <c r="AF309" s="1" t="s">
        <v>74</v>
      </c>
      <c r="AG309" s="1" t="s">
        <v>74</v>
      </c>
      <c r="AH309" s="1" t="s">
        <v>74</v>
      </c>
      <c r="AI309" s="1" t="s">
        <v>74</v>
      </c>
      <c r="AJ309" s="1" t="s">
        <v>74</v>
      </c>
      <c r="AK309" s="1" t="s">
        <v>74</v>
      </c>
      <c r="AL309" s="1" t="s">
        <v>74</v>
      </c>
      <c r="AM309" s="1" t="s">
        <v>74</v>
      </c>
      <c r="AN309" s="1" t="s">
        <v>74</v>
      </c>
      <c r="AO309" s="1" t="s">
        <v>2354</v>
      </c>
      <c r="AP309" s="1" t="s">
        <v>2355</v>
      </c>
      <c r="AQ309" s="1" t="s">
        <v>74</v>
      </c>
      <c r="AR309" s="1" t="s">
        <v>74</v>
      </c>
      <c r="AS309" s="1" t="s">
        <v>74</v>
      </c>
      <c r="AT309" s="1" t="s">
        <v>694</v>
      </c>
      <c r="AU309" s="1">
        <v>2004.0</v>
      </c>
      <c r="AV309" s="1">
        <v>108.0</v>
      </c>
      <c r="AW309" s="1">
        <v>28.0</v>
      </c>
      <c r="AX309" s="1" t="s">
        <v>74</v>
      </c>
      <c r="AY309" s="1" t="s">
        <v>74</v>
      </c>
      <c r="AZ309" s="1" t="s">
        <v>74</v>
      </c>
      <c r="BA309" s="1" t="s">
        <v>74</v>
      </c>
      <c r="BB309" s="1">
        <v>6045.0</v>
      </c>
      <c r="BC309" s="1">
        <v>6051.0</v>
      </c>
      <c r="BD309" s="1" t="s">
        <v>74</v>
      </c>
      <c r="BE309" s="1" t="s">
        <v>3092</v>
      </c>
      <c r="BF309" s="2" t="str">
        <f>HYPERLINK("http://dx.doi.org/10.1021/jp049530y","http://dx.doi.org/10.1021/jp049530y")</f>
        <v>http://dx.doi.org/10.1021/jp049530y</v>
      </c>
      <c r="BG309" s="1" t="s">
        <v>74</v>
      </c>
      <c r="BH309" s="1" t="s">
        <v>74</v>
      </c>
      <c r="BI309" s="1" t="s">
        <v>74</v>
      </c>
      <c r="BJ309" s="1" t="s">
        <v>74</v>
      </c>
      <c r="BK309" s="1" t="s">
        <v>74</v>
      </c>
      <c r="BL309" s="1" t="s">
        <v>74</v>
      </c>
      <c r="BM309" s="1" t="s">
        <v>74</v>
      </c>
      <c r="BN309" s="1" t="s">
        <v>74</v>
      </c>
      <c r="BO309" s="1" t="s">
        <v>74</v>
      </c>
      <c r="BP309" s="1" t="s">
        <v>74</v>
      </c>
      <c r="BQ309" s="1" t="s">
        <v>74</v>
      </c>
      <c r="BR309" s="1" t="s">
        <v>74</v>
      </c>
      <c r="BS309" s="1" t="s">
        <v>3093</v>
      </c>
      <c r="BT309" s="1" t="str">
        <f>HYPERLINK("https%3A%2F%2Fwww.webofscience.com%2Fwos%2Fwoscc%2Ffull-record%2FWOS:000222639700017","View Full Record in Web of Science")</f>
        <v>View Full Record in Web of Science</v>
      </c>
    </row>
    <row r="310" ht="12.75" customHeight="1">
      <c r="A310" s="1" t="s">
        <v>72</v>
      </c>
      <c r="B310" s="1" t="s">
        <v>3094</v>
      </c>
      <c r="C310" s="1" t="s">
        <v>74</v>
      </c>
      <c r="D310" s="1" t="s">
        <v>74</v>
      </c>
      <c r="E310" s="1" t="s">
        <v>74</v>
      </c>
      <c r="F310" s="1" t="s">
        <v>3094</v>
      </c>
      <c r="G310" s="1" t="s">
        <v>74</v>
      </c>
      <c r="H310" s="1" t="s">
        <v>74</v>
      </c>
      <c r="I310" s="1" t="s">
        <v>3095</v>
      </c>
      <c r="J310" s="1" t="s">
        <v>3096</v>
      </c>
      <c r="K310" s="1" t="s">
        <v>74</v>
      </c>
      <c r="L310" s="1" t="s">
        <v>74</v>
      </c>
      <c r="M310" s="1" t="s">
        <v>74</v>
      </c>
      <c r="N310" s="1" t="s">
        <v>74</v>
      </c>
      <c r="O310" s="1" t="s">
        <v>3097</v>
      </c>
      <c r="P310" s="1" t="s">
        <v>3098</v>
      </c>
      <c r="Q310" s="1" t="s">
        <v>3099</v>
      </c>
      <c r="R310" s="1" t="s">
        <v>3100</v>
      </c>
      <c r="S310" s="1" t="s">
        <v>74</v>
      </c>
      <c r="T310" s="1" t="s">
        <v>74</v>
      </c>
      <c r="U310" s="1" t="s">
        <v>74</v>
      </c>
      <c r="V310" s="1" t="s">
        <v>3101</v>
      </c>
      <c r="W310" s="1" t="s">
        <v>74</v>
      </c>
      <c r="X310" s="1" t="s">
        <v>74</v>
      </c>
      <c r="Y310" s="1" t="s">
        <v>74</v>
      </c>
      <c r="Z310" s="1" t="s">
        <v>74</v>
      </c>
      <c r="AA310" s="1" t="s">
        <v>3102</v>
      </c>
      <c r="AB310" s="1" t="s">
        <v>74</v>
      </c>
      <c r="AC310" s="1" t="s">
        <v>74</v>
      </c>
      <c r="AD310" s="1" t="s">
        <v>74</v>
      </c>
      <c r="AE310" s="1" t="s">
        <v>74</v>
      </c>
      <c r="AF310" s="1" t="s">
        <v>74</v>
      </c>
      <c r="AG310" s="1" t="s">
        <v>74</v>
      </c>
      <c r="AH310" s="1" t="s">
        <v>74</v>
      </c>
      <c r="AI310" s="1" t="s">
        <v>74</v>
      </c>
      <c r="AJ310" s="1" t="s">
        <v>74</v>
      </c>
      <c r="AK310" s="1" t="s">
        <v>74</v>
      </c>
      <c r="AL310" s="1" t="s">
        <v>74</v>
      </c>
      <c r="AM310" s="1" t="s">
        <v>74</v>
      </c>
      <c r="AN310" s="1" t="s">
        <v>74</v>
      </c>
      <c r="AO310" s="1" t="s">
        <v>3103</v>
      </c>
      <c r="AP310" s="1" t="s">
        <v>74</v>
      </c>
      <c r="AQ310" s="1" t="s">
        <v>74</v>
      </c>
      <c r="AR310" s="1" t="s">
        <v>74</v>
      </c>
      <c r="AS310" s="1" t="s">
        <v>74</v>
      </c>
      <c r="AT310" s="1" t="s">
        <v>215</v>
      </c>
      <c r="AU310" s="1">
        <v>2002.0</v>
      </c>
      <c r="AV310" s="1">
        <v>49.0</v>
      </c>
      <c r="AW310" s="1">
        <v>2.0</v>
      </c>
      <c r="AX310" s="1" t="s">
        <v>74</v>
      </c>
      <c r="AY310" s="1" t="s">
        <v>74</v>
      </c>
      <c r="AZ310" s="1" t="s">
        <v>74</v>
      </c>
      <c r="BA310" s="1" t="s">
        <v>74</v>
      </c>
      <c r="BB310" s="1">
        <v>167.0</v>
      </c>
      <c r="BC310" s="1">
        <v>186.0</v>
      </c>
      <c r="BD310" s="1" t="s">
        <v>3104</v>
      </c>
      <c r="BE310" s="1" t="s">
        <v>3105</v>
      </c>
      <c r="BF310" s="2" t="str">
        <f>HYPERLINK("http://dx.doi.org/10.1177/0037768602049002003","http://dx.doi.org/10.1177/0037768602049002003")</f>
        <v>http://dx.doi.org/10.1177/0037768602049002003</v>
      </c>
      <c r="BG310" s="1" t="s">
        <v>74</v>
      </c>
      <c r="BH310" s="1" t="s">
        <v>74</v>
      </c>
      <c r="BI310" s="1" t="s">
        <v>74</v>
      </c>
      <c r="BJ310" s="1" t="s">
        <v>74</v>
      </c>
      <c r="BK310" s="1" t="s">
        <v>74</v>
      </c>
      <c r="BL310" s="1" t="s">
        <v>74</v>
      </c>
      <c r="BM310" s="1" t="s">
        <v>74</v>
      </c>
      <c r="BN310" s="1" t="s">
        <v>74</v>
      </c>
      <c r="BO310" s="1" t="s">
        <v>74</v>
      </c>
      <c r="BP310" s="1" t="s">
        <v>74</v>
      </c>
      <c r="BQ310" s="1" t="s">
        <v>74</v>
      </c>
      <c r="BR310" s="1" t="s">
        <v>74</v>
      </c>
      <c r="BS310" s="1" t="s">
        <v>3106</v>
      </c>
      <c r="BT310" s="1" t="str">
        <f>HYPERLINK("https%3A%2F%2Fwww.webofscience.com%2Fwos%2Fwoscc%2Ffull-record%2FWOS:000176720700003","View Full Record in Web of Science")</f>
        <v>View Full Record in Web of Science</v>
      </c>
    </row>
    <row r="311" ht="12.75" customHeight="1">
      <c r="A311" s="1" t="s">
        <v>72</v>
      </c>
      <c r="B311" s="1" t="s">
        <v>3107</v>
      </c>
      <c r="C311" s="1" t="s">
        <v>74</v>
      </c>
      <c r="D311" s="1" t="s">
        <v>74</v>
      </c>
      <c r="E311" s="1" t="s">
        <v>74</v>
      </c>
      <c r="F311" s="1" t="s">
        <v>3107</v>
      </c>
      <c r="G311" s="1" t="s">
        <v>74</v>
      </c>
      <c r="H311" s="1" t="s">
        <v>74</v>
      </c>
      <c r="I311" s="1" t="s">
        <v>3108</v>
      </c>
      <c r="J311" s="1" t="s">
        <v>3109</v>
      </c>
      <c r="K311" s="1" t="s">
        <v>74</v>
      </c>
      <c r="L311" s="1" t="s">
        <v>74</v>
      </c>
      <c r="M311" s="1" t="s">
        <v>74</v>
      </c>
      <c r="N311" s="1" t="s">
        <v>74</v>
      </c>
      <c r="O311" s="1" t="s">
        <v>74</v>
      </c>
      <c r="P311" s="1" t="s">
        <v>74</v>
      </c>
      <c r="Q311" s="1" t="s">
        <v>74</v>
      </c>
      <c r="R311" s="1" t="s">
        <v>74</v>
      </c>
      <c r="S311" s="1" t="s">
        <v>74</v>
      </c>
      <c r="T311" s="1" t="s">
        <v>74</v>
      </c>
      <c r="U311" s="1" t="s">
        <v>74</v>
      </c>
      <c r="V311" s="1" t="s">
        <v>3110</v>
      </c>
      <c r="W311" s="1" t="s">
        <v>74</v>
      </c>
      <c r="X311" s="1" t="s">
        <v>74</v>
      </c>
      <c r="Y311" s="1" t="s">
        <v>74</v>
      </c>
      <c r="Z311" s="1" t="s">
        <v>74</v>
      </c>
      <c r="AA311" s="1" t="s">
        <v>3111</v>
      </c>
      <c r="AB311" s="1" t="s">
        <v>3112</v>
      </c>
      <c r="AC311" s="1" t="s">
        <v>74</v>
      </c>
      <c r="AD311" s="1" t="s">
        <v>74</v>
      </c>
      <c r="AE311" s="1" t="s">
        <v>74</v>
      </c>
      <c r="AF311" s="1" t="s">
        <v>74</v>
      </c>
      <c r="AG311" s="1" t="s">
        <v>74</v>
      </c>
      <c r="AH311" s="1" t="s">
        <v>74</v>
      </c>
      <c r="AI311" s="1" t="s">
        <v>74</v>
      </c>
      <c r="AJ311" s="1" t="s">
        <v>74</v>
      </c>
      <c r="AK311" s="1" t="s">
        <v>74</v>
      </c>
      <c r="AL311" s="1" t="s">
        <v>74</v>
      </c>
      <c r="AM311" s="1" t="s">
        <v>74</v>
      </c>
      <c r="AN311" s="1" t="s">
        <v>74</v>
      </c>
      <c r="AO311" s="1" t="s">
        <v>3113</v>
      </c>
      <c r="AP311" s="1" t="s">
        <v>74</v>
      </c>
      <c r="AQ311" s="1" t="s">
        <v>74</v>
      </c>
      <c r="AR311" s="1" t="s">
        <v>74</v>
      </c>
      <c r="AS311" s="1" t="s">
        <v>74</v>
      </c>
      <c r="AT311" s="1" t="s">
        <v>360</v>
      </c>
      <c r="AU311" s="1">
        <v>2002.0</v>
      </c>
      <c r="AV311" s="1">
        <v>16.0</v>
      </c>
      <c r="AW311" s="1">
        <v>2.0</v>
      </c>
      <c r="AX311" s="1" t="s">
        <v>74</v>
      </c>
      <c r="AY311" s="1" t="s">
        <v>74</v>
      </c>
      <c r="AZ311" s="1" t="s">
        <v>74</v>
      </c>
      <c r="BA311" s="1" t="s">
        <v>74</v>
      </c>
      <c r="BB311" s="1">
        <v>95.0</v>
      </c>
      <c r="BC311" s="1">
        <v>103.0</v>
      </c>
      <c r="BD311" s="1" t="s">
        <v>74</v>
      </c>
      <c r="BE311" s="1" t="s">
        <v>3114</v>
      </c>
      <c r="BF311" s="2" t="str">
        <f>HYPERLINK("http://dx.doi.org/10.1023/A:1016344030772","http://dx.doi.org/10.1023/A:1016344030772")</f>
        <v>http://dx.doi.org/10.1023/A:1016344030772</v>
      </c>
      <c r="BG311" s="1" t="s">
        <v>74</v>
      </c>
      <c r="BH311" s="1" t="s">
        <v>74</v>
      </c>
      <c r="BI311" s="1" t="s">
        <v>74</v>
      </c>
      <c r="BJ311" s="1" t="s">
        <v>74</v>
      </c>
      <c r="BK311" s="1" t="s">
        <v>74</v>
      </c>
      <c r="BL311" s="1" t="s">
        <v>74</v>
      </c>
      <c r="BM311" s="1" t="s">
        <v>74</v>
      </c>
      <c r="BN311" s="1">
        <v>1.2188024E7</v>
      </c>
      <c r="BO311" s="1" t="s">
        <v>74</v>
      </c>
      <c r="BP311" s="1" t="s">
        <v>74</v>
      </c>
      <c r="BQ311" s="1" t="s">
        <v>74</v>
      </c>
      <c r="BR311" s="1" t="s">
        <v>74</v>
      </c>
      <c r="BS311" s="1" t="s">
        <v>3115</v>
      </c>
      <c r="BT311" s="1" t="str">
        <f>HYPERLINK("https%3A%2F%2Fwww.webofscience.com%2Fwos%2Fwoscc%2Ffull-record%2FWOS:000176814200002","View Full Record in Web of Science")</f>
        <v>View Full Record in Web of Science</v>
      </c>
    </row>
    <row r="312" ht="12.75" customHeight="1">
      <c r="A312" s="1" t="s">
        <v>72</v>
      </c>
      <c r="B312" s="1" t="s">
        <v>3116</v>
      </c>
      <c r="C312" s="1" t="s">
        <v>74</v>
      </c>
      <c r="D312" s="1" t="s">
        <v>74</v>
      </c>
      <c r="E312" s="1" t="s">
        <v>74</v>
      </c>
      <c r="F312" s="1" t="s">
        <v>3116</v>
      </c>
      <c r="G312" s="1" t="s">
        <v>74</v>
      </c>
      <c r="H312" s="1" t="s">
        <v>74</v>
      </c>
      <c r="I312" s="1" t="s">
        <v>3117</v>
      </c>
      <c r="J312" s="1" t="s">
        <v>3118</v>
      </c>
      <c r="K312" s="1" t="s">
        <v>74</v>
      </c>
      <c r="L312" s="1" t="s">
        <v>74</v>
      </c>
      <c r="M312" s="1" t="s">
        <v>74</v>
      </c>
      <c r="N312" s="1" t="s">
        <v>74</v>
      </c>
      <c r="O312" s="1" t="s">
        <v>74</v>
      </c>
      <c r="P312" s="1" t="s">
        <v>74</v>
      </c>
      <c r="Q312" s="1" t="s">
        <v>74</v>
      </c>
      <c r="R312" s="1" t="s">
        <v>74</v>
      </c>
      <c r="S312" s="1" t="s">
        <v>74</v>
      </c>
      <c r="T312" s="1" t="s">
        <v>74</v>
      </c>
      <c r="U312" s="1" t="s">
        <v>74</v>
      </c>
      <c r="V312" s="1" t="s">
        <v>3119</v>
      </c>
      <c r="W312" s="1" t="s">
        <v>74</v>
      </c>
      <c r="X312" s="1" t="s">
        <v>74</v>
      </c>
      <c r="Y312" s="1" t="s">
        <v>74</v>
      </c>
      <c r="Z312" s="1" t="s">
        <v>74</v>
      </c>
      <c r="AA312" s="1" t="s">
        <v>74</v>
      </c>
      <c r="AB312" s="1" t="s">
        <v>74</v>
      </c>
      <c r="AC312" s="1" t="s">
        <v>74</v>
      </c>
      <c r="AD312" s="1" t="s">
        <v>74</v>
      </c>
      <c r="AE312" s="1" t="s">
        <v>74</v>
      </c>
      <c r="AF312" s="1" t="s">
        <v>74</v>
      </c>
      <c r="AG312" s="1" t="s">
        <v>74</v>
      </c>
      <c r="AH312" s="1" t="s">
        <v>74</v>
      </c>
      <c r="AI312" s="1" t="s">
        <v>74</v>
      </c>
      <c r="AJ312" s="1" t="s">
        <v>74</v>
      </c>
      <c r="AK312" s="1" t="s">
        <v>74</v>
      </c>
      <c r="AL312" s="1" t="s">
        <v>74</v>
      </c>
      <c r="AM312" s="1" t="s">
        <v>74</v>
      </c>
      <c r="AN312" s="1" t="s">
        <v>74</v>
      </c>
      <c r="AO312" s="1" t="s">
        <v>3120</v>
      </c>
      <c r="AP312" s="1" t="s">
        <v>74</v>
      </c>
      <c r="AQ312" s="1" t="s">
        <v>74</v>
      </c>
      <c r="AR312" s="1" t="s">
        <v>74</v>
      </c>
      <c r="AS312" s="1" t="s">
        <v>74</v>
      </c>
      <c r="AT312" s="1" t="s">
        <v>215</v>
      </c>
      <c r="AU312" s="1">
        <v>1996.0</v>
      </c>
      <c r="AV312" s="1">
        <v>2.0</v>
      </c>
      <c r="AW312" s="1">
        <v>3.0</v>
      </c>
      <c r="AX312" s="1" t="s">
        <v>74</v>
      </c>
      <c r="AY312" s="1" t="s">
        <v>74</v>
      </c>
      <c r="AZ312" s="1" t="s">
        <v>74</v>
      </c>
      <c r="BA312" s="1" t="s">
        <v>74</v>
      </c>
      <c r="BB312" s="1">
        <v>205.0</v>
      </c>
      <c r="BC312" s="1">
        <v>212.0</v>
      </c>
      <c r="BD312" s="1" t="s">
        <v>74</v>
      </c>
      <c r="BE312" s="1" t="s">
        <v>3121</v>
      </c>
      <c r="BF312" s="2" t="str">
        <f>HYPERLINK("http://dx.doi.org/10.1080/13510002.1996.11747050","http://dx.doi.org/10.1080/13510002.1996.11747050")</f>
        <v>http://dx.doi.org/10.1080/13510002.1996.11747050</v>
      </c>
      <c r="BG312" s="1" t="s">
        <v>74</v>
      </c>
      <c r="BH312" s="1" t="s">
        <v>74</v>
      </c>
      <c r="BI312" s="1" t="s">
        <v>74</v>
      </c>
      <c r="BJ312" s="1" t="s">
        <v>74</v>
      </c>
      <c r="BK312" s="1" t="s">
        <v>74</v>
      </c>
      <c r="BL312" s="1" t="s">
        <v>74</v>
      </c>
      <c r="BM312" s="1" t="s">
        <v>74</v>
      </c>
      <c r="BN312" s="1">
        <v>2.7406078E7</v>
      </c>
      <c r="BO312" s="1" t="s">
        <v>74</v>
      </c>
      <c r="BP312" s="1" t="s">
        <v>74</v>
      </c>
      <c r="BQ312" s="1" t="s">
        <v>74</v>
      </c>
      <c r="BR312" s="1" t="s">
        <v>74</v>
      </c>
      <c r="BS312" s="1" t="s">
        <v>3122</v>
      </c>
      <c r="BT312" s="1" t="str">
        <f>HYPERLINK("https%3A%2F%2Fwww.webofscience.com%2Fwos%2Fwoscc%2Ffull-record%2FWOS:A1996UQ74700008","View Full Record in Web of Science")</f>
        <v>View Full Record in Web of Science</v>
      </c>
    </row>
    <row r="313" ht="12.75" customHeight="1">
      <c r="A313" s="1" t="s">
        <v>72</v>
      </c>
      <c r="B313" s="1" t="s">
        <v>3123</v>
      </c>
      <c r="C313" s="1" t="s">
        <v>74</v>
      </c>
      <c r="D313" s="1" t="s">
        <v>74</v>
      </c>
      <c r="E313" s="1" t="s">
        <v>74</v>
      </c>
      <c r="F313" s="1" t="s">
        <v>3123</v>
      </c>
      <c r="G313" s="1" t="s">
        <v>74</v>
      </c>
      <c r="H313" s="1" t="s">
        <v>74</v>
      </c>
      <c r="I313" s="1" t="s">
        <v>3124</v>
      </c>
      <c r="J313" s="1" t="s">
        <v>3125</v>
      </c>
      <c r="K313" s="1" t="s">
        <v>74</v>
      </c>
      <c r="L313" s="1" t="s">
        <v>74</v>
      </c>
      <c r="M313" s="1" t="s">
        <v>74</v>
      </c>
      <c r="N313" s="1" t="s">
        <v>74</v>
      </c>
      <c r="O313" s="1" t="s">
        <v>74</v>
      </c>
      <c r="P313" s="1" t="s">
        <v>74</v>
      </c>
      <c r="Q313" s="1" t="s">
        <v>74</v>
      </c>
      <c r="R313" s="1" t="s">
        <v>74</v>
      </c>
      <c r="S313" s="1" t="s">
        <v>74</v>
      </c>
      <c r="T313" s="1" t="s">
        <v>74</v>
      </c>
      <c r="U313" s="1" t="s">
        <v>74</v>
      </c>
      <c r="V313" s="1" t="s">
        <v>74</v>
      </c>
      <c r="W313" s="1" t="s">
        <v>74</v>
      </c>
      <c r="X313" s="1" t="s">
        <v>74</v>
      </c>
      <c r="Y313" s="1" t="s">
        <v>74</v>
      </c>
      <c r="Z313" s="1" t="s">
        <v>74</v>
      </c>
      <c r="AA313" s="1" t="s">
        <v>74</v>
      </c>
      <c r="AB313" s="1" t="s">
        <v>74</v>
      </c>
      <c r="AC313" s="1" t="s">
        <v>74</v>
      </c>
      <c r="AD313" s="1" t="s">
        <v>74</v>
      </c>
      <c r="AE313" s="1" t="s">
        <v>74</v>
      </c>
      <c r="AF313" s="1" t="s">
        <v>74</v>
      </c>
      <c r="AG313" s="1" t="s">
        <v>74</v>
      </c>
      <c r="AH313" s="1" t="s">
        <v>74</v>
      </c>
      <c r="AI313" s="1" t="s">
        <v>74</v>
      </c>
      <c r="AJ313" s="1" t="s">
        <v>74</v>
      </c>
      <c r="AK313" s="1" t="s">
        <v>74</v>
      </c>
      <c r="AL313" s="1" t="s">
        <v>74</v>
      </c>
      <c r="AM313" s="1" t="s">
        <v>74</v>
      </c>
      <c r="AN313" s="1" t="s">
        <v>74</v>
      </c>
      <c r="AO313" s="1" t="s">
        <v>3126</v>
      </c>
      <c r="AP313" s="1" t="s">
        <v>74</v>
      </c>
      <c r="AQ313" s="1" t="s">
        <v>74</v>
      </c>
      <c r="AR313" s="1" t="s">
        <v>74</v>
      </c>
      <c r="AS313" s="1" t="s">
        <v>74</v>
      </c>
      <c r="AT313" s="1" t="s">
        <v>180</v>
      </c>
      <c r="AU313" s="1">
        <v>1996.0</v>
      </c>
      <c r="AV313" s="1">
        <v>75.0</v>
      </c>
      <c r="AW313" s="1">
        <v>5.0</v>
      </c>
      <c r="AX313" s="1" t="s">
        <v>74</v>
      </c>
      <c r="AY313" s="1" t="s">
        <v>74</v>
      </c>
      <c r="AZ313" s="1" t="s">
        <v>74</v>
      </c>
      <c r="BA313" s="1" t="s">
        <v>74</v>
      </c>
      <c r="BB313" s="1">
        <v>1212.0</v>
      </c>
      <c r="BC313" s="1">
        <v>1212.0</v>
      </c>
      <c r="BD313" s="1" t="s">
        <v>74</v>
      </c>
      <c r="BE313" s="1" t="s">
        <v>74</v>
      </c>
      <c r="BF313" s="1" t="s">
        <v>74</v>
      </c>
      <c r="BG313" s="1" t="s">
        <v>74</v>
      </c>
      <c r="BH313" s="1" t="s">
        <v>74</v>
      </c>
      <c r="BI313" s="1" t="s">
        <v>74</v>
      </c>
      <c r="BJ313" s="1" t="s">
        <v>74</v>
      </c>
      <c r="BK313" s="1" t="s">
        <v>74</v>
      </c>
      <c r="BL313" s="1" t="s">
        <v>74</v>
      </c>
      <c r="BM313" s="1" t="s">
        <v>74</v>
      </c>
      <c r="BN313" s="1" t="s">
        <v>74</v>
      </c>
      <c r="BO313" s="1" t="s">
        <v>74</v>
      </c>
      <c r="BP313" s="1" t="s">
        <v>74</v>
      </c>
      <c r="BQ313" s="1" t="s">
        <v>74</v>
      </c>
      <c r="BR313" s="1" t="s">
        <v>74</v>
      </c>
      <c r="BS313" s="1" t="s">
        <v>3127</v>
      </c>
      <c r="BT313" s="1" t="str">
        <f>HYPERLINK("https%3A%2F%2Fwww.webofscience.com%2Fwos%2Fwoscc%2Ffull-record%2FWOS:A1996VG92601143","View Full Record in Web of Science")</f>
        <v>View Full Record in Web of Science</v>
      </c>
    </row>
    <row r="314" ht="12.75" customHeight="1">
      <c r="A314" s="1" t="s">
        <v>72</v>
      </c>
      <c r="B314" s="1" t="s">
        <v>3128</v>
      </c>
      <c r="C314" s="1" t="s">
        <v>74</v>
      </c>
      <c r="D314" s="1" t="s">
        <v>74</v>
      </c>
      <c r="E314" s="1" t="s">
        <v>74</v>
      </c>
      <c r="F314" s="1" t="s">
        <v>3128</v>
      </c>
      <c r="G314" s="1" t="s">
        <v>74</v>
      </c>
      <c r="H314" s="1" t="s">
        <v>74</v>
      </c>
      <c r="I314" s="1" t="s">
        <v>3129</v>
      </c>
      <c r="J314" s="1" t="s">
        <v>3130</v>
      </c>
      <c r="K314" s="1" t="s">
        <v>74</v>
      </c>
      <c r="L314" s="1" t="s">
        <v>74</v>
      </c>
      <c r="M314" s="1" t="s">
        <v>74</v>
      </c>
      <c r="N314" s="1" t="s">
        <v>74</v>
      </c>
      <c r="O314" s="1" t="s">
        <v>74</v>
      </c>
      <c r="P314" s="1" t="s">
        <v>74</v>
      </c>
      <c r="Q314" s="1" t="s">
        <v>74</v>
      </c>
      <c r="R314" s="1" t="s">
        <v>74</v>
      </c>
      <c r="S314" s="1" t="s">
        <v>74</v>
      </c>
      <c r="T314" s="1" t="s">
        <v>74</v>
      </c>
      <c r="U314" s="1" t="s">
        <v>74</v>
      </c>
      <c r="V314" s="1" t="s">
        <v>3131</v>
      </c>
      <c r="W314" s="1" t="s">
        <v>74</v>
      </c>
      <c r="X314" s="1" t="s">
        <v>74</v>
      </c>
      <c r="Y314" s="1" t="s">
        <v>74</v>
      </c>
      <c r="Z314" s="1" t="s">
        <v>74</v>
      </c>
      <c r="AA314" s="1" t="s">
        <v>74</v>
      </c>
      <c r="AB314" s="1" t="s">
        <v>3132</v>
      </c>
      <c r="AC314" s="1" t="s">
        <v>74</v>
      </c>
      <c r="AD314" s="1" t="s">
        <v>74</v>
      </c>
      <c r="AE314" s="1" t="s">
        <v>74</v>
      </c>
      <c r="AF314" s="1" t="s">
        <v>74</v>
      </c>
      <c r="AG314" s="1" t="s">
        <v>74</v>
      </c>
      <c r="AH314" s="1" t="s">
        <v>74</v>
      </c>
      <c r="AI314" s="1" t="s">
        <v>74</v>
      </c>
      <c r="AJ314" s="1" t="s">
        <v>74</v>
      </c>
      <c r="AK314" s="1" t="s">
        <v>74</v>
      </c>
      <c r="AL314" s="1" t="s">
        <v>74</v>
      </c>
      <c r="AM314" s="1" t="s">
        <v>74</v>
      </c>
      <c r="AN314" s="1" t="s">
        <v>74</v>
      </c>
      <c r="AO314" s="1" t="s">
        <v>3133</v>
      </c>
      <c r="AP314" s="1" t="s">
        <v>3134</v>
      </c>
      <c r="AQ314" s="1" t="s">
        <v>74</v>
      </c>
      <c r="AR314" s="1" t="s">
        <v>74</v>
      </c>
      <c r="AS314" s="1" t="s">
        <v>74</v>
      </c>
      <c r="AT314" s="1" t="s">
        <v>3135</v>
      </c>
      <c r="AU314" s="1">
        <v>1996.0</v>
      </c>
      <c r="AV314" s="1">
        <v>108.0</v>
      </c>
      <c r="AW314" s="1" t="s">
        <v>3136</v>
      </c>
      <c r="AX314" s="1" t="s">
        <v>74</v>
      </c>
      <c r="AY314" s="1" t="s">
        <v>74</v>
      </c>
      <c r="AZ314" s="1" t="s">
        <v>74</v>
      </c>
      <c r="BA314" s="1" t="s">
        <v>74</v>
      </c>
      <c r="BB314" s="1">
        <v>287.0</v>
      </c>
      <c r="BC314" s="1">
        <v>293.0</v>
      </c>
      <c r="BD314" s="1" t="s">
        <v>74</v>
      </c>
      <c r="BE314" s="1" t="s">
        <v>3137</v>
      </c>
      <c r="BF314" s="2" t="str">
        <f>HYPERLINK("http://dx.doi.org/10.1016/0927-7757(95)03424-2","http://dx.doi.org/10.1016/0927-7757(95)03424-2")</f>
        <v>http://dx.doi.org/10.1016/0927-7757(95)03424-2</v>
      </c>
      <c r="BG314" s="1" t="s">
        <v>74</v>
      </c>
      <c r="BH314" s="1" t="s">
        <v>74</v>
      </c>
      <c r="BI314" s="1" t="s">
        <v>74</v>
      </c>
      <c r="BJ314" s="1" t="s">
        <v>74</v>
      </c>
      <c r="BK314" s="1" t="s">
        <v>74</v>
      </c>
      <c r="BL314" s="1" t="s">
        <v>74</v>
      </c>
      <c r="BM314" s="1" t="s">
        <v>74</v>
      </c>
      <c r="BN314" s="1" t="s">
        <v>74</v>
      </c>
      <c r="BO314" s="1" t="s">
        <v>74</v>
      </c>
      <c r="BP314" s="1" t="s">
        <v>74</v>
      </c>
      <c r="BQ314" s="1" t="s">
        <v>74</v>
      </c>
      <c r="BR314" s="1" t="s">
        <v>74</v>
      </c>
      <c r="BS314" s="1" t="s">
        <v>3138</v>
      </c>
      <c r="BT314" s="1" t="str">
        <f>HYPERLINK("https%3A%2F%2Fwww.webofscience.com%2Fwos%2Fwoscc%2Ffull-record%2FWOS:A1996UB00800015","View Full Record in Web of Science")</f>
        <v>View Full Record in Web of Science</v>
      </c>
    </row>
    <row r="315" ht="12.75" customHeight="1">
      <c r="A315" s="1" t="s">
        <v>72</v>
      </c>
      <c r="B315" s="1" t="s">
        <v>3139</v>
      </c>
      <c r="C315" s="1" t="s">
        <v>74</v>
      </c>
      <c r="D315" s="1" t="s">
        <v>74</v>
      </c>
      <c r="E315" s="1" t="s">
        <v>74</v>
      </c>
      <c r="F315" s="1" t="s">
        <v>3139</v>
      </c>
      <c r="G315" s="1" t="s">
        <v>74</v>
      </c>
      <c r="H315" s="1" t="s">
        <v>74</v>
      </c>
      <c r="I315" s="1" t="s">
        <v>3140</v>
      </c>
      <c r="J315" s="1" t="s">
        <v>3141</v>
      </c>
      <c r="K315" s="1" t="s">
        <v>74</v>
      </c>
      <c r="L315" s="1" t="s">
        <v>74</v>
      </c>
      <c r="M315" s="1" t="s">
        <v>74</v>
      </c>
      <c r="N315" s="1" t="s">
        <v>74</v>
      </c>
      <c r="O315" s="1" t="s">
        <v>74</v>
      </c>
      <c r="P315" s="1" t="s">
        <v>74</v>
      </c>
      <c r="Q315" s="1" t="s">
        <v>74</v>
      </c>
      <c r="R315" s="1" t="s">
        <v>74</v>
      </c>
      <c r="S315" s="1" t="s">
        <v>74</v>
      </c>
      <c r="T315" s="1" t="s">
        <v>74</v>
      </c>
      <c r="U315" s="1" t="s">
        <v>74</v>
      </c>
      <c r="V315" s="1" t="s">
        <v>3142</v>
      </c>
      <c r="W315" s="1" t="s">
        <v>74</v>
      </c>
      <c r="X315" s="1" t="s">
        <v>74</v>
      </c>
      <c r="Y315" s="1" t="s">
        <v>74</v>
      </c>
      <c r="Z315" s="1" t="s">
        <v>74</v>
      </c>
      <c r="AA315" s="1" t="s">
        <v>3143</v>
      </c>
      <c r="AB315" s="1" t="s">
        <v>3144</v>
      </c>
      <c r="AC315" s="1" t="s">
        <v>74</v>
      </c>
      <c r="AD315" s="1" t="s">
        <v>74</v>
      </c>
      <c r="AE315" s="1" t="s">
        <v>74</v>
      </c>
      <c r="AF315" s="1" t="s">
        <v>74</v>
      </c>
      <c r="AG315" s="1" t="s">
        <v>74</v>
      </c>
      <c r="AH315" s="1" t="s">
        <v>74</v>
      </c>
      <c r="AI315" s="1" t="s">
        <v>74</v>
      </c>
      <c r="AJ315" s="1" t="s">
        <v>74</v>
      </c>
      <c r="AK315" s="1" t="s">
        <v>74</v>
      </c>
      <c r="AL315" s="1" t="s">
        <v>74</v>
      </c>
      <c r="AM315" s="1" t="s">
        <v>74</v>
      </c>
      <c r="AN315" s="1" t="s">
        <v>74</v>
      </c>
      <c r="AO315" s="1" t="s">
        <v>3145</v>
      </c>
      <c r="AP315" s="1" t="s">
        <v>74</v>
      </c>
      <c r="AQ315" s="1" t="s">
        <v>74</v>
      </c>
      <c r="AR315" s="1" t="s">
        <v>74</v>
      </c>
      <c r="AS315" s="1" t="s">
        <v>74</v>
      </c>
      <c r="AT315" s="1" t="s">
        <v>169</v>
      </c>
      <c r="AU315" s="1">
        <v>1996.0</v>
      </c>
      <c r="AV315" s="1">
        <v>38.0</v>
      </c>
      <c r="AW315" s="1">
        <v>1.0</v>
      </c>
      <c r="AX315" s="1" t="s">
        <v>74</v>
      </c>
      <c r="AY315" s="1" t="s">
        <v>74</v>
      </c>
      <c r="AZ315" s="1" t="s">
        <v>74</v>
      </c>
      <c r="BA315" s="1" t="s">
        <v>74</v>
      </c>
      <c r="BB315" s="1">
        <v>59.0</v>
      </c>
      <c r="BC315" s="1">
        <v>72.0</v>
      </c>
      <c r="BD315" s="1" t="s">
        <v>74</v>
      </c>
      <c r="BE315" s="1" t="s">
        <v>3146</v>
      </c>
      <c r="BF315" s="2" t="str">
        <f>HYPERLINK("http://dx.doi.org/10.1016/0010-938X(96)00102-3","http://dx.doi.org/10.1016/0010-938X(96)00102-3")</f>
        <v>http://dx.doi.org/10.1016/0010-938X(96)00102-3</v>
      </c>
      <c r="BG315" s="1" t="s">
        <v>74</v>
      </c>
      <c r="BH315" s="1" t="s">
        <v>74</v>
      </c>
      <c r="BI315" s="1" t="s">
        <v>74</v>
      </c>
      <c r="BJ315" s="1" t="s">
        <v>74</v>
      </c>
      <c r="BK315" s="1" t="s">
        <v>74</v>
      </c>
      <c r="BL315" s="1" t="s">
        <v>74</v>
      </c>
      <c r="BM315" s="1" t="s">
        <v>74</v>
      </c>
      <c r="BN315" s="1" t="s">
        <v>74</v>
      </c>
      <c r="BO315" s="1" t="s">
        <v>74</v>
      </c>
      <c r="BP315" s="1" t="s">
        <v>74</v>
      </c>
      <c r="BQ315" s="1" t="s">
        <v>74</v>
      </c>
      <c r="BR315" s="1" t="s">
        <v>74</v>
      </c>
      <c r="BS315" s="1" t="s">
        <v>3147</v>
      </c>
      <c r="BT315" s="1" t="str">
        <f>HYPERLINK("https%3A%2F%2Fwww.webofscience.com%2Fwos%2Fwoscc%2Ffull-record%2FWOS:A1996TL61300005","View Full Record in Web of Science")</f>
        <v>View Full Record in Web of Science</v>
      </c>
    </row>
    <row r="316" ht="12.75" customHeight="1">
      <c r="A316" s="1" t="s">
        <v>72</v>
      </c>
      <c r="B316" s="1" t="s">
        <v>3148</v>
      </c>
      <c r="C316" s="1" t="s">
        <v>74</v>
      </c>
      <c r="D316" s="1" t="s">
        <v>74</v>
      </c>
      <c r="E316" s="1" t="s">
        <v>74</v>
      </c>
      <c r="F316" s="1" t="s">
        <v>3148</v>
      </c>
      <c r="G316" s="1" t="s">
        <v>74</v>
      </c>
      <c r="H316" s="1" t="s">
        <v>74</v>
      </c>
      <c r="I316" s="1" t="s">
        <v>3149</v>
      </c>
      <c r="J316" s="1" t="s">
        <v>1651</v>
      </c>
      <c r="K316" s="1" t="s">
        <v>74</v>
      </c>
      <c r="L316" s="1" t="s">
        <v>74</v>
      </c>
      <c r="M316" s="1" t="s">
        <v>74</v>
      </c>
      <c r="N316" s="1" t="s">
        <v>74</v>
      </c>
      <c r="O316" s="1" t="s">
        <v>74</v>
      </c>
      <c r="P316" s="1" t="s">
        <v>74</v>
      </c>
      <c r="Q316" s="1" t="s">
        <v>74</v>
      </c>
      <c r="R316" s="1" t="s">
        <v>74</v>
      </c>
      <c r="S316" s="1" t="s">
        <v>74</v>
      </c>
      <c r="T316" s="1" t="s">
        <v>74</v>
      </c>
      <c r="U316" s="1" t="s">
        <v>74</v>
      </c>
      <c r="V316" s="1" t="s">
        <v>3150</v>
      </c>
      <c r="W316" s="1" t="s">
        <v>74</v>
      </c>
      <c r="X316" s="1" t="s">
        <v>74</v>
      </c>
      <c r="Y316" s="1" t="s">
        <v>74</v>
      </c>
      <c r="Z316" s="1" t="s">
        <v>74</v>
      </c>
      <c r="AA316" s="1" t="s">
        <v>74</v>
      </c>
      <c r="AB316" s="1" t="s">
        <v>74</v>
      </c>
      <c r="AC316" s="1" t="s">
        <v>74</v>
      </c>
      <c r="AD316" s="1" t="s">
        <v>74</v>
      </c>
      <c r="AE316" s="1" t="s">
        <v>74</v>
      </c>
      <c r="AF316" s="1" t="s">
        <v>74</v>
      </c>
      <c r="AG316" s="1" t="s">
        <v>74</v>
      </c>
      <c r="AH316" s="1" t="s">
        <v>74</v>
      </c>
      <c r="AI316" s="1" t="s">
        <v>74</v>
      </c>
      <c r="AJ316" s="1" t="s">
        <v>74</v>
      </c>
      <c r="AK316" s="1" t="s">
        <v>74</v>
      </c>
      <c r="AL316" s="1" t="s">
        <v>74</v>
      </c>
      <c r="AM316" s="1" t="s">
        <v>74</v>
      </c>
      <c r="AN316" s="1" t="s">
        <v>74</v>
      </c>
      <c r="AO316" s="1" t="s">
        <v>1653</v>
      </c>
      <c r="AP316" s="1" t="s">
        <v>74</v>
      </c>
      <c r="AQ316" s="1" t="s">
        <v>74</v>
      </c>
      <c r="AR316" s="1" t="s">
        <v>74</v>
      </c>
      <c r="AS316" s="1" t="s">
        <v>74</v>
      </c>
      <c r="AT316" s="1" t="s">
        <v>110</v>
      </c>
      <c r="AU316" s="1">
        <v>1994.0</v>
      </c>
      <c r="AV316" s="1">
        <v>39.0</v>
      </c>
      <c r="AW316" s="1">
        <v>4.0</v>
      </c>
      <c r="AX316" s="1" t="s">
        <v>74</v>
      </c>
      <c r="AY316" s="1" t="s">
        <v>74</v>
      </c>
      <c r="AZ316" s="1" t="s">
        <v>74</v>
      </c>
      <c r="BA316" s="1" t="s">
        <v>74</v>
      </c>
      <c r="BB316" s="1">
        <v>299.0</v>
      </c>
      <c r="BC316" s="1">
        <v>303.0</v>
      </c>
      <c r="BD316" s="1" t="s">
        <v>74</v>
      </c>
      <c r="BE316" s="1" t="s">
        <v>74</v>
      </c>
      <c r="BF316" s="1" t="s">
        <v>74</v>
      </c>
      <c r="BG316" s="1" t="s">
        <v>74</v>
      </c>
      <c r="BH316" s="1" t="s">
        <v>74</v>
      </c>
      <c r="BI316" s="1" t="s">
        <v>74</v>
      </c>
      <c r="BJ316" s="1" t="s">
        <v>74</v>
      </c>
      <c r="BK316" s="1" t="s">
        <v>74</v>
      </c>
      <c r="BL316" s="1" t="s">
        <v>74</v>
      </c>
      <c r="BM316" s="1" t="s">
        <v>74</v>
      </c>
      <c r="BN316" s="1" t="s">
        <v>74</v>
      </c>
      <c r="BO316" s="1" t="s">
        <v>74</v>
      </c>
      <c r="BP316" s="1" t="s">
        <v>74</v>
      </c>
      <c r="BQ316" s="1" t="s">
        <v>74</v>
      </c>
      <c r="BR316" s="1" t="s">
        <v>74</v>
      </c>
      <c r="BS316" s="1" t="s">
        <v>3151</v>
      </c>
      <c r="BT316" s="1" t="str">
        <f>HYPERLINK("https%3A%2F%2Fwww.webofscience.com%2Fwos%2Fwoscc%2Ffull-record%2FWOS:A1994QE34700008","View Full Record in Web of Science")</f>
        <v>View Full Record in Web of Science</v>
      </c>
    </row>
    <row r="317" ht="12.75" customHeight="1">
      <c r="A317" s="1" t="s">
        <v>72</v>
      </c>
      <c r="B317" s="1" t="s">
        <v>3152</v>
      </c>
      <c r="C317" s="1" t="s">
        <v>74</v>
      </c>
      <c r="D317" s="1" t="s">
        <v>74</v>
      </c>
      <c r="E317" s="1" t="s">
        <v>74</v>
      </c>
      <c r="F317" s="1" t="s">
        <v>3152</v>
      </c>
      <c r="G317" s="1" t="s">
        <v>74</v>
      </c>
      <c r="H317" s="1" t="s">
        <v>74</v>
      </c>
      <c r="I317" s="1" t="s">
        <v>3153</v>
      </c>
      <c r="J317" s="1" t="s">
        <v>2413</v>
      </c>
      <c r="K317" s="1" t="s">
        <v>74</v>
      </c>
      <c r="L317" s="1" t="s">
        <v>74</v>
      </c>
      <c r="M317" s="1" t="s">
        <v>74</v>
      </c>
      <c r="N317" s="1" t="s">
        <v>74</v>
      </c>
      <c r="O317" s="1" t="s">
        <v>2414</v>
      </c>
      <c r="P317" s="1" t="s">
        <v>2415</v>
      </c>
      <c r="Q317" s="1" t="s">
        <v>2416</v>
      </c>
      <c r="R317" s="1" t="s">
        <v>2417</v>
      </c>
      <c r="S317" s="1" t="s">
        <v>2418</v>
      </c>
      <c r="T317" s="1" t="s">
        <v>74</v>
      </c>
      <c r="U317" s="1" t="s">
        <v>74</v>
      </c>
      <c r="V317" s="1" t="s">
        <v>74</v>
      </c>
      <c r="W317" s="1" t="s">
        <v>74</v>
      </c>
      <c r="X317" s="1" t="s">
        <v>74</v>
      </c>
      <c r="Y317" s="1" t="s">
        <v>74</v>
      </c>
      <c r="Z317" s="1" t="s">
        <v>74</v>
      </c>
      <c r="AA317" s="1" t="s">
        <v>74</v>
      </c>
      <c r="AB317" s="1" t="s">
        <v>74</v>
      </c>
      <c r="AC317" s="1" t="s">
        <v>74</v>
      </c>
      <c r="AD317" s="1" t="s">
        <v>74</v>
      </c>
      <c r="AE317" s="1" t="s">
        <v>74</v>
      </c>
      <c r="AF317" s="1" t="s">
        <v>74</v>
      </c>
      <c r="AG317" s="1" t="s">
        <v>74</v>
      </c>
      <c r="AH317" s="1" t="s">
        <v>74</v>
      </c>
      <c r="AI317" s="1" t="s">
        <v>74</v>
      </c>
      <c r="AJ317" s="1" t="s">
        <v>74</v>
      </c>
      <c r="AK317" s="1" t="s">
        <v>74</v>
      </c>
      <c r="AL317" s="1" t="s">
        <v>74</v>
      </c>
      <c r="AM317" s="1" t="s">
        <v>74</v>
      </c>
      <c r="AN317" s="1" t="s">
        <v>74</v>
      </c>
      <c r="AO317" s="1" t="s">
        <v>2419</v>
      </c>
      <c r="AP317" s="1" t="s">
        <v>74</v>
      </c>
      <c r="AQ317" s="1" t="s">
        <v>74</v>
      </c>
      <c r="AR317" s="1" t="s">
        <v>74</v>
      </c>
      <c r="AS317" s="1" t="s">
        <v>74</v>
      </c>
      <c r="AT317" s="1" t="s">
        <v>74</v>
      </c>
      <c r="AU317" s="1">
        <v>1989.0</v>
      </c>
      <c r="AV317" s="1">
        <v>20.0</v>
      </c>
      <c r="AW317" s="1">
        <v>8.0</v>
      </c>
      <c r="AX317" s="1" t="s">
        <v>74</v>
      </c>
      <c r="AY317" s="1" t="s">
        <v>74</v>
      </c>
      <c r="AZ317" s="1" t="s">
        <v>74</v>
      </c>
      <c r="BA317" s="1" t="s">
        <v>74</v>
      </c>
      <c r="BB317" s="1">
        <v>1273.0</v>
      </c>
      <c r="BC317" s="1">
        <v>1276.0</v>
      </c>
      <c r="BD317" s="1" t="s">
        <v>74</v>
      </c>
      <c r="BE317" s="1" t="s">
        <v>3154</v>
      </c>
      <c r="BF317" s="2" t="str">
        <f>HYPERLINK("http://dx.doi.org/10.1016/0021-8502(89)90815-X","http://dx.doi.org/10.1016/0021-8502(89)90815-X")</f>
        <v>http://dx.doi.org/10.1016/0021-8502(89)90815-X</v>
      </c>
      <c r="BG317" s="1" t="s">
        <v>74</v>
      </c>
      <c r="BH317" s="1" t="s">
        <v>74</v>
      </c>
      <c r="BI317" s="1" t="s">
        <v>74</v>
      </c>
      <c r="BJ317" s="1" t="s">
        <v>74</v>
      </c>
      <c r="BK317" s="1" t="s">
        <v>74</v>
      </c>
      <c r="BL317" s="1" t="s">
        <v>74</v>
      </c>
      <c r="BM317" s="1" t="s">
        <v>74</v>
      </c>
      <c r="BN317" s="1" t="s">
        <v>74</v>
      </c>
      <c r="BO317" s="1" t="s">
        <v>74</v>
      </c>
      <c r="BP317" s="1" t="s">
        <v>74</v>
      </c>
      <c r="BQ317" s="1" t="s">
        <v>74</v>
      </c>
      <c r="BR317" s="1" t="s">
        <v>74</v>
      </c>
      <c r="BS317" s="1" t="s">
        <v>3155</v>
      </c>
      <c r="BT317" s="1" t="str">
        <f>HYPERLINK("https%3A%2F%2Fwww.webofscience.com%2Fwos%2Fwoscc%2Ffull-record%2FWOS:A1989CN23100105","View Full Record in Web of Science")</f>
        <v>View Full Record in Web of Science</v>
      </c>
    </row>
    <row r="318" ht="12.75" customHeight="1">
      <c r="A318" s="1" t="s">
        <v>72</v>
      </c>
      <c r="B318" s="1" t="s">
        <v>3156</v>
      </c>
      <c r="C318" s="1" t="s">
        <v>74</v>
      </c>
      <c r="D318" s="1" t="s">
        <v>74</v>
      </c>
      <c r="E318" s="1" t="s">
        <v>74</v>
      </c>
      <c r="F318" s="1" t="s">
        <v>3156</v>
      </c>
      <c r="G318" s="1" t="s">
        <v>74</v>
      </c>
      <c r="H318" s="1" t="s">
        <v>74</v>
      </c>
      <c r="I318" s="1" t="s">
        <v>3157</v>
      </c>
      <c r="J318" s="1" t="s">
        <v>3158</v>
      </c>
      <c r="K318" s="1" t="s">
        <v>74</v>
      </c>
      <c r="L318" s="1" t="s">
        <v>74</v>
      </c>
      <c r="M318" s="1" t="s">
        <v>74</v>
      </c>
      <c r="N318" s="1" t="s">
        <v>74</v>
      </c>
      <c r="O318" s="1" t="s">
        <v>74</v>
      </c>
      <c r="P318" s="1" t="s">
        <v>74</v>
      </c>
      <c r="Q318" s="1" t="s">
        <v>74</v>
      </c>
      <c r="R318" s="1" t="s">
        <v>74</v>
      </c>
      <c r="S318" s="1" t="s">
        <v>74</v>
      </c>
      <c r="T318" s="1" t="s">
        <v>74</v>
      </c>
      <c r="U318" s="1" t="s">
        <v>74</v>
      </c>
      <c r="V318" s="1" t="s">
        <v>74</v>
      </c>
      <c r="W318" s="1" t="s">
        <v>74</v>
      </c>
      <c r="X318" s="1" t="s">
        <v>74</v>
      </c>
      <c r="Y318" s="1" t="s">
        <v>74</v>
      </c>
      <c r="Z318" s="1" t="s">
        <v>74</v>
      </c>
      <c r="AA318" s="1" t="s">
        <v>74</v>
      </c>
      <c r="AB318" s="1" t="s">
        <v>74</v>
      </c>
      <c r="AC318" s="1" t="s">
        <v>74</v>
      </c>
      <c r="AD318" s="1" t="s">
        <v>74</v>
      </c>
      <c r="AE318" s="1" t="s">
        <v>74</v>
      </c>
      <c r="AF318" s="1" t="s">
        <v>74</v>
      </c>
      <c r="AG318" s="1" t="s">
        <v>74</v>
      </c>
      <c r="AH318" s="1" t="s">
        <v>74</v>
      </c>
      <c r="AI318" s="1" t="s">
        <v>74</v>
      </c>
      <c r="AJ318" s="1" t="s">
        <v>74</v>
      </c>
      <c r="AK318" s="1" t="s">
        <v>74</v>
      </c>
      <c r="AL318" s="1" t="s">
        <v>74</v>
      </c>
      <c r="AM318" s="1" t="s">
        <v>74</v>
      </c>
      <c r="AN318" s="1" t="s">
        <v>74</v>
      </c>
      <c r="AO318" s="1" t="s">
        <v>3159</v>
      </c>
      <c r="AP318" s="1" t="s">
        <v>74</v>
      </c>
      <c r="AQ318" s="1" t="s">
        <v>74</v>
      </c>
      <c r="AR318" s="1" t="s">
        <v>74</v>
      </c>
      <c r="AS318" s="1" t="s">
        <v>74</v>
      </c>
      <c r="AT318" s="1" t="s">
        <v>74</v>
      </c>
      <c r="AU318" s="1">
        <v>1983.0</v>
      </c>
      <c r="AV318" s="1">
        <v>42.0</v>
      </c>
      <c r="AW318" s="1">
        <v>7.0</v>
      </c>
      <c r="AX318" s="1" t="s">
        <v>74</v>
      </c>
      <c r="AY318" s="1" t="s">
        <v>74</v>
      </c>
      <c r="AZ318" s="1" t="s">
        <v>74</v>
      </c>
      <c r="BA318" s="1" t="s">
        <v>74</v>
      </c>
      <c r="BB318" s="1">
        <v>1885.0</v>
      </c>
      <c r="BC318" s="1">
        <v>1885.0</v>
      </c>
      <c r="BD318" s="1" t="s">
        <v>74</v>
      </c>
      <c r="BE318" s="1" t="s">
        <v>74</v>
      </c>
      <c r="BF318" s="1" t="s">
        <v>74</v>
      </c>
      <c r="BG318" s="1" t="s">
        <v>74</v>
      </c>
      <c r="BH318" s="1" t="s">
        <v>74</v>
      </c>
      <c r="BI318" s="1" t="s">
        <v>74</v>
      </c>
      <c r="BJ318" s="1" t="s">
        <v>74</v>
      </c>
      <c r="BK318" s="1" t="s">
        <v>74</v>
      </c>
      <c r="BL318" s="1" t="s">
        <v>74</v>
      </c>
      <c r="BM318" s="1" t="s">
        <v>74</v>
      </c>
      <c r="BN318" s="1" t="s">
        <v>74</v>
      </c>
      <c r="BO318" s="1" t="s">
        <v>74</v>
      </c>
      <c r="BP318" s="1" t="s">
        <v>74</v>
      </c>
      <c r="BQ318" s="1" t="s">
        <v>74</v>
      </c>
      <c r="BR318" s="1" t="s">
        <v>74</v>
      </c>
      <c r="BS318" s="1" t="s">
        <v>3160</v>
      </c>
      <c r="BT318" s="1" t="str">
        <f>HYPERLINK("https%3A%2F%2Fwww.webofscience.com%2Fwos%2Fwoscc%2Ffull-record%2FWOS:A1983QM89400757","View Full Record in Web of Science")</f>
        <v>View Full Record in Web of Science</v>
      </c>
    </row>
    <row r="319" ht="12.75" customHeight="1">
      <c r="A319" s="1" t="s">
        <v>72</v>
      </c>
      <c r="B319" s="1" t="s">
        <v>3161</v>
      </c>
      <c r="C319" s="1" t="s">
        <v>74</v>
      </c>
      <c r="D319" s="1" t="s">
        <v>74</v>
      </c>
      <c r="E319" s="1" t="s">
        <v>74</v>
      </c>
      <c r="F319" s="1" t="s">
        <v>3161</v>
      </c>
      <c r="G319" s="1" t="s">
        <v>74</v>
      </c>
      <c r="H319" s="1" t="s">
        <v>74</v>
      </c>
      <c r="I319" s="1" t="s">
        <v>3162</v>
      </c>
      <c r="J319" s="1" t="s">
        <v>3163</v>
      </c>
      <c r="K319" s="1" t="s">
        <v>74</v>
      </c>
      <c r="L319" s="1" t="s">
        <v>74</v>
      </c>
      <c r="M319" s="1" t="s">
        <v>74</v>
      </c>
      <c r="N319" s="1" t="s">
        <v>74</v>
      </c>
      <c r="O319" s="1" t="s">
        <v>74</v>
      </c>
      <c r="P319" s="1" t="s">
        <v>74</v>
      </c>
      <c r="Q319" s="1" t="s">
        <v>74</v>
      </c>
      <c r="R319" s="1" t="s">
        <v>74</v>
      </c>
      <c r="S319" s="1" t="s">
        <v>74</v>
      </c>
      <c r="T319" s="1" t="s">
        <v>74</v>
      </c>
      <c r="U319" s="1" t="s">
        <v>74</v>
      </c>
      <c r="V319" s="1" t="s">
        <v>74</v>
      </c>
      <c r="W319" s="1" t="s">
        <v>74</v>
      </c>
      <c r="X319" s="1" t="s">
        <v>74</v>
      </c>
      <c r="Y319" s="1" t="s">
        <v>74</v>
      </c>
      <c r="Z319" s="1" t="s">
        <v>74</v>
      </c>
      <c r="AA319" s="1" t="s">
        <v>74</v>
      </c>
      <c r="AB319" s="1" t="s">
        <v>74</v>
      </c>
      <c r="AC319" s="1" t="s">
        <v>74</v>
      </c>
      <c r="AD319" s="1" t="s">
        <v>74</v>
      </c>
      <c r="AE319" s="1" t="s">
        <v>74</v>
      </c>
      <c r="AF319" s="1" t="s">
        <v>74</v>
      </c>
      <c r="AG319" s="1" t="s">
        <v>74</v>
      </c>
      <c r="AH319" s="1" t="s">
        <v>74</v>
      </c>
      <c r="AI319" s="1" t="s">
        <v>74</v>
      </c>
      <c r="AJ319" s="1" t="s">
        <v>74</v>
      </c>
      <c r="AK319" s="1" t="s">
        <v>74</v>
      </c>
      <c r="AL319" s="1" t="s">
        <v>74</v>
      </c>
      <c r="AM319" s="1" t="s">
        <v>74</v>
      </c>
      <c r="AN319" s="1" t="s">
        <v>74</v>
      </c>
      <c r="AO319" s="1" t="s">
        <v>3164</v>
      </c>
      <c r="AP319" s="1" t="s">
        <v>74</v>
      </c>
      <c r="AQ319" s="1" t="s">
        <v>74</v>
      </c>
      <c r="AR319" s="1" t="s">
        <v>74</v>
      </c>
      <c r="AS319" s="1" t="s">
        <v>74</v>
      </c>
      <c r="AT319" s="1" t="s">
        <v>74</v>
      </c>
      <c r="AU319" s="1">
        <v>1982.0</v>
      </c>
      <c r="AV319" s="1">
        <v>18.0</v>
      </c>
      <c r="AW319" s="1">
        <v>4.0</v>
      </c>
      <c r="AX319" s="1" t="s">
        <v>74</v>
      </c>
      <c r="AY319" s="1" t="s">
        <v>74</v>
      </c>
      <c r="AZ319" s="1" t="s">
        <v>74</v>
      </c>
      <c r="BA319" s="1" t="s">
        <v>74</v>
      </c>
      <c r="BB319" s="1">
        <v>319.0</v>
      </c>
      <c r="BC319" s="1">
        <v>322.0</v>
      </c>
      <c r="BD319" s="1" t="s">
        <v>74</v>
      </c>
      <c r="BE319" s="1" t="s">
        <v>3165</v>
      </c>
      <c r="BF319" s="2" t="str">
        <f>HYPERLINK("http://dx.doi.org/10.1016/0014-3057(82)90162-8","http://dx.doi.org/10.1016/0014-3057(82)90162-8")</f>
        <v>http://dx.doi.org/10.1016/0014-3057(82)90162-8</v>
      </c>
      <c r="BG319" s="1" t="s">
        <v>74</v>
      </c>
      <c r="BH319" s="1" t="s">
        <v>74</v>
      </c>
      <c r="BI319" s="1" t="s">
        <v>74</v>
      </c>
      <c r="BJ319" s="1" t="s">
        <v>74</v>
      </c>
      <c r="BK319" s="1" t="s">
        <v>74</v>
      </c>
      <c r="BL319" s="1" t="s">
        <v>74</v>
      </c>
      <c r="BM319" s="1" t="s">
        <v>74</v>
      </c>
      <c r="BN319" s="1" t="s">
        <v>74</v>
      </c>
      <c r="BO319" s="1" t="s">
        <v>74</v>
      </c>
      <c r="BP319" s="1" t="s">
        <v>74</v>
      </c>
      <c r="BQ319" s="1" t="s">
        <v>74</v>
      </c>
      <c r="BR319" s="1" t="s">
        <v>74</v>
      </c>
      <c r="BS319" s="1" t="s">
        <v>3166</v>
      </c>
      <c r="BT319" s="1" t="str">
        <f>HYPERLINK("https%3A%2F%2Fwww.webofscience.com%2Fwos%2Fwoscc%2Ffull-record%2FWOS:A1982NN74600008","View Full Record in Web of Science")</f>
        <v>View Full Record in Web of Science</v>
      </c>
    </row>
    <row r="320" ht="12.75" customHeight="1">
      <c r="A320" s="1" t="s">
        <v>72</v>
      </c>
      <c r="B320" s="1" t="s">
        <v>3167</v>
      </c>
      <c r="C320" s="1" t="s">
        <v>74</v>
      </c>
      <c r="D320" s="1" t="s">
        <v>74</v>
      </c>
      <c r="E320" s="1" t="s">
        <v>74</v>
      </c>
      <c r="F320" s="1" t="s">
        <v>3168</v>
      </c>
      <c r="G320" s="1" t="s">
        <v>74</v>
      </c>
      <c r="H320" s="1" t="s">
        <v>74</v>
      </c>
      <c r="I320" s="1" t="s">
        <v>3169</v>
      </c>
      <c r="J320" s="1" t="s">
        <v>3170</v>
      </c>
      <c r="K320" s="1" t="s">
        <v>74</v>
      </c>
      <c r="L320" s="1" t="s">
        <v>74</v>
      </c>
      <c r="M320" s="1" t="s">
        <v>74</v>
      </c>
      <c r="N320" s="1" t="s">
        <v>74</v>
      </c>
      <c r="O320" s="1" t="s">
        <v>74</v>
      </c>
      <c r="P320" s="1" t="s">
        <v>74</v>
      </c>
      <c r="Q320" s="1" t="s">
        <v>74</v>
      </c>
      <c r="R320" s="1" t="s">
        <v>74</v>
      </c>
      <c r="S320" s="1" t="s">
        <v>74</v>
      </c>
      <c r="T320" s="1" t="s">
        <v>74</v>
      </c>
      <c r="U320" s="1" t="s">
        <v>74</v>
      </c>
      <c r="V320" s="1" t="s">
        <v>3171</v>
      </c>
      <c r="W320" s="1" t="s">
        <v>74</v>
      </c>
      <c r="X320" s="1" t="s">
        <v>74</v>
      </c>
      <c r="Y320" s="1" t="s">
        <v>74</v>
      </c>
      <c r="Z320" s="1" t="s">
        <v>74</v>
      </c>
      <c r="AA320" s="1" t="s">
        <v>3172</v>
      </c>
      <c r="AB320" s="1" t="s">
        <v>74</v>
      </c>
      <c r="AC320" s="1" t="s">
        <v>74</v>
      </c>
      <c r="AD320" s="1" t="s">
        <v>74</v>
      </c>
      <c r="AE320" s="1" t="s">
        <v>74</v>
      </c>
      <c r="AF320" s="1" t="s">
        <v>74</v>
      </c>
      <c r="AG320" s="1" t="s">
        <v>74</v>
      </c>
      <c r="AH320" s="1" t="s">
        <v>74</v>
      </c>
      <c r="AI320" s="1" t="s">
        <v>74</v>
      </c>
      <c r="AJ320" s="1" t="s">
        <v>74</v>
      </c>
      <c r="AK320" s="1" t="s">
        <v>74</v>
      </c>
      <c r="AL320" s="1" t="s">
        <v>74</v>
      </c>
      <c r="AM320" s="1" t="s">
        <v>74</v>
      </c>
      <c r="AN320" s="1" t="s">
        <v>74</v>
      </c>
      <c r="AO320" s="1" t="s">
        <v>3173</v>
      </c>
      <c r="AP320" s="1" t="s">
        <v>3174</v>
      </c>
      <c r="AQ320" s="1" t="s">
        <v>74</v>
      </c>
      <c r="AR320" s="1" t="s">
        <v>74</v>
      </c>
      <c r="AS320" s="1" t="s">
        <v>74</v>
      </c>
      <c r="AT320" s="1" t="s">
        <v>3175</v>
      </c>
      <c r="AU320" s="1">
        <v>2025.0</v>
      </c>
      <c r="AV320" s="1" t="s">
        <v>74</v>
      </c>
      <c r="AW320" s="1" t="s">
        <v>74</v>
      </c>
      <c r="AX320" s="1" t="s">
        <v>74</v>
      </c>
      <c r="AY320" s="1" t="s">
        <v>74</v>
      </c>
      <c r="AZ320" s="1" t="s">
        <v>74</v>
      </c>
      <c r="BA320" s="1" t="s">
        <v>74</v>
      </c>
      <c r="BB320" s="1" t="s">
        <v>74</v>
      </c>
      <c r="BC320" s="1" t="s">
        <v>74</v>
      </c>
      <c r="BD320" s="1" t="s">
        <v>74</v>
      </c>
      <c r="BE320" s="1" t="s">
        <v>3176</v>
      </c>
      <c r="BF320" s="2" t="str">
        <f>HYPERLINK("http://dx.doi.org/10.1177/09217134251317876","http://dx.doi.org/10.1177/09217134251317876")</f>
        <v>http://dx.doi.org/10.1177/09217134251317876</v>
      </c>
      <c r="BG320" s="1" t="s">
        <v>74</v>
      </c>
      <c r="BH320" s="1" t="s">
        <v>3177</v>
      </c>
      <c r="BI320" s="1" t="s">
        <v>74</v>
      </c>
      <c r="BJ320" s="1" t="s">
        <v>74</v>
      </c>
      <c r="BK320" s="1" t="s">
        <v>74</v>
      </c>
      <c r="BL320" s="1" t="s">
        <v>74</v>
      </c>
      <c r="BM320" s="1" t="s">
        <v>74</v>
      </c>
      <c r="BN320" s="1" t="s">
        <v>74</v>
      </c>
      <c r="BO320" s="1" t="s">
        <v>74</v>
      </c>
      <c r="BP320" s="1" t="s">
        <v>74</v>
      </c>
      <c r="BQ320" s="1" t="s">
        <v>74</v>
      </c>
      <c r="BR320" s="1" t="s">
        <v>74</v>
      </c>
      <c r="BS320" s="1" t="s">
        <v>3178</v>
      </c>
      <c r="BT320" s="1" t="str">
        <f>HYPERLINK("https%3A%2F%2Fwww.webofscience.com%2Fwos%2Fwoscc%2Ffull-record%2FWOS:001458551700001","View Full Record in Web of Science")</f>
        <v>View Full Record in Web of Science</v>
      </c>
    </row>
    <row r="321" ht="12.75" customHeight="1">
      <c r="A321" s="1" t="s">
        <v>72</v>
      </c>
      <c r="B321" s="1" t="s">
        <v>3179</v>
      </c>
      <c r="C321" s="1" t="s">
        <v>74</v>
      </c>
      <c r="D321" s="1" t="s">
        <v>74</v>
      </c>
      <c r="E321" s="1" t="s">
        <v>74</v>
      </c>
      <c r="F321" s="1" t="s">
        <v>3180</v>
      </c>
      <c r="G321" s="1" t="s">
        <v>74</v>
      </c>
      <c r="H321" s="1" t="s">
        <v>74</v>
      </c>
      <c r="I321" s="1" t="s">
        <v>3181</v>
      </c>
      <c r="J321" s="1" t="s">
        <v>1709</v>
      </c>
      <c r="K321" s="1" t="s">
        <v>74</v>
      </c>
      <c r="L321" s="1" t="s">
        <v>74</v>
      </c>
      <c r="M321" s="1" t="s">
        <v>74</v>
      </c>
      <c r="N321" s="1" t="s">
        <v>74</v>
      </c>
      <c r="O321" s="1" t="s">
        <v>74</v>
      </c>
      <c r="P321" s="1" t="s">
        <v>74</v>
      </c>
      <c r="Q321" s="1" t="s">
        <v>74</v>
      </c>
      <c r="R321" s="1" t="s">
        <v>74</v>
      </c>
      <c r="S321" s="1" t="s">
        <v>74</v>
      </c>
      <c r="T321" s="1" t="s">
        <v>74</v>
      </c>
      <c r="U321" s="1" t="s">
        <v>74</v>
      </c>
      <c r="V321" s="1" t="s">
        <v>3182</v>
      </c>
      <c r="W321" s="1" t="s">
        <v>74</v>
      </c>
      <c r="X321" s="1" t="s">
        <v>74</v>
      </c>
      <c r="Y321" s="1" t="s">
        <v>74</v>
      </c>
      <c r="Z321" s="1" t="s">
        <v>74</v>
      </c>
      <c r="AA321" s="1" t="s">
        <v>3183</v>
      </c>
      <c r="AB321" s="1" t="s">
        <v>843</v>
      </c>
      <c r="AC321" s="1" t="s">
        <v>74</v>
      </c>
      <c r="AD321" s="1" t="s">
        <v>74</v>
      </c>
      <c r="AE321" s="1" t="s">
        <v>74</v>
      </c>
      <c r="AF321" s="1" t="s">
        <v>74</v>
      </c>
      <c r="AG321" s="1" t="s">
        <v>74</v>
      </c>
      <c r="AH321" s="1" t="s">
        <v>74</v>
      </c>
      <c r="AI321" s="1" t="s">
        <v>74</v>
      </c>
      <c r="AJ321" s="1" t="s">
        <v>74</v>
      </c>
      <c r="AK321" s="1" t="s">
        <v>74</v>
      </c>
      <c r="AL321" s="1" t="s">
        <v>74</v>
      </c>
      <c r="AM321" s="1" t="s">
        <v>74</v>
      </c>
      <c r="AN321" s="1" t="s">
        <v>74</v>
      </c>
      <c r="AO321" s="1" t="s">
        <v>74</v>
      </c>
      <c r="AP321" s="1" t="s">
        <v>1712</v>
      </c>
      <c r="AQ321" s="1" t="s">
        <v>74</v>
      </c>
      <c r="AR321" s="1" t="s">
        <v>74</v>
      </c>
      <c r="AS321" s="1" t="s">
        <v>74</v>
      </c>
      <c r="AT321" s="1" t="s">
        <v>360</v>
      </c>
      <c r="AU321" s="1">
        <v>2025.0</v>
      </c>
      <c r="AV321" s="1">
        <v>13.0</v>
      </c>
      <c r="AW321" s="1">
        <v>3.0</v>
      </c>
      <c r="AX321" s="1" t="s">
        <v>74</v>
      </c>
      <c r="AY321" s="1" t="s">
        <v>74</v>
      </c>
      <c r="AZ321" s="1" t="s">
        <v>74</v>
      </c>
      <c r="BA321" s="1" t="s">
        <v>74</v>
      </c>
      <c r="BB321" s="1" t="s">
        <v>74</v>
      </c>
      <c r="BC321" s="1" t="s">
        <v>74</v>
      </c>
      <c r="BD321" s="1">
        <v>518.0</v>
      </c>
      <c r="BE321" s="1" t="s">
        <v>3184</v>
      </c>
      <c r="BF321" s="2" t="str">
        <f>HYPERLINK("http://dx.doi.org/10.3390/math13030518","http://dx.doi.org/10.3390/math13030518")</f>
        <v>http://dx.doi.org/10.3390/math13030518</v>
      </c>
      <c r="BG321" s="1" t="s">
        <v>74</v>
      </c>
      <c r="BH321" s="1" t="s">
        <v>74</v>
      </c>
      <c r="BI321" s="1" t="s">
        <v>74</v>
      </c>
      <c r="BJ321" s="1" t="s">
        <v>74</v>
      </c>
      <c r="BK321" s="1" t="s">
        <v>74</v>
      </c>
      <c r="BL321" s="1" t="s">
        <v>74</v>
      </c>
      <c r="BM321" s="1" t="s">
        <v>74</v>
      </c>
      <c r="BN321" s="1" t="s">
        <v>74</v>
      </c>
      <c r="BO321" s="1" t="s">
        <v>74</v>
      </c>
      <c r="BP321" s="1" t="s">
        <v>74</v>
      </c>
      <c r="BQ321" s="1" t="s">
        <v>74</v>
      </c>
      <c r="BR321" s="1" t="s">
        <v>74</v>
      </c>
      <c r="BS321" s="1" t="s">
        <v>3185</v>
      </c>
      <c r="BT321" s="1" t="str">
        <f>HYPERLINK("https%3A%2F%2Fwww.webofscience.com%2Fwos%2Fwoscc%2Ffull-record%2FWOS:001418632300001","View Full Record in Web of Science")</f>
        <v>View Full Record in Web of Science</v>
      </c>
    </row>
    <row r="322" ht="12.75" customHeight="1">
      <c r="A322" s="1" t="s">
        <v>72</v>
      </c>
      <c r="B322" s="1" t="s">
        <v>3186</v>
      </c>
      <c r="C322" s="1" t="s">
        <v>74</v>
      </c>
      <c r="D322" s="1" t="s">
        <v>74</v>
      </c>
      <c r="E322" s="1" t="s">
        <v>74</v>
      </c>
      <c r="F322" s="1" t="s">
        <v>3187</v>
      </c>
      <c r="G322" s="1" t="s">
        <v>74</v>
      </c>
      <c r="H322" s="1" t="s">
        <v>74</v>
      </c>
      <c r="I322" s="1" t="s">
        <v>3188</v>
      </c>
      <c r="J322" s="1" t="s">
        <v>1709</v>
      </c>
      <c r="K322" s="1" t="s">
        <v>74</v>
      </c>
      <c r="L322" s="1" t="s">
        <v>74</v>
      </c>
      <c r="M322" s="1" t="s">
        <v>74</v>
      </c>
      <c r="N322" s="1" t="s">
        <v>74</v>
      </c>
      <c r="O322" s="1" t="s">
        <v>74</v>
      </c>
      <c r="P322" s="1" t="s">
        <v>74</v>
      </c>
      <c r="Q322" s="1" t="s">
        <v>74</v>
      </c>
      <c r="R322" s="1" t="s">
        <v>74</v>
      </c>
      <c r="S322" s="1" t="s">
        <v>74</v>
      </c>
      <c r="T322" s="1" t="s">
        <v>74</v>
      </c>
      <c r="U322" s="1" t="s">
        <v>74</v>
      </c>
      <c r="V322" s="1" t="s">
        <v>3189</v>
      </c>
      <c r="W322" s="1" t="s">
        <v>74</v>
      </c>
      <c r="X322" s="1" t="s">
        <v>74</v>
      </c>
      <c r="Y322" s="1" t="s">
        <v>74</v>
      </c>
      <c r="Z322" s="1" t="s">
        <v>74</v>
      </c>
      <c r="AA322" s="1" t="s">
        <v>3190</v>
      </c>
      <c r="AB322" s="1" t="s">
        <v>3191</v>
      </c>
      <c r="AC322" s="1" t="s">
        <v>74</v>
      </c>
      <c r="AD322" s="1" t="s">
        <v>74</v>
      </c>
      <c r="AE322" s="1" t="s">
        <v>74</v>
      </c>
      <c r="AF322" s="1" t="s">
        <v>74</v>
      </c>
      <c r="AG322" s="1" t="s">
        <v>74</v>
      </c>
      <c r="AH322" s="1" t="s">
        <v>74</v>
      </c>
      <c r="AI322" s="1" t="s">
        <v>74</v>
      </c>
      <c r="AJ322" s="1" t="s">
        <v>74</v>
      </c>
      <c r="AK322" s="1" t="s">
        <v>74</v>
      </c>
      <c r="AL322" s="1" t="s">
        <v>74</v>
      </c>
      <c r="AM322" s="1" t="s">
        <v>74</v>
      </c>
      <c r="AN322" s="1" t="s">
        <v>74</v>
      </c>
      <c r="AO322" s="1" t="s">
        <v>74</v>
      </c>
      <c r="AP322" s="1" t="s">
        <v>1712</v>
      </c>
      <c r="AQ322" s="1" t="s">
        <v>74</v>
      </c>
      <c r="AR322" s="1" t="s">
        <v>74</v>
      </c>
      <c r="AS322" s="1" t="s">
        <v>74</v>
      </c>
      <c r="AT322" s="1" t="s">
        <v>360</v>
      </c>
      <c r="AU322" s="1">
        <v>2025.0</v>
      </c>
      <c r="AV322" s="1">
        <v>13.0</v>
      </c>
      <c r="AW322" s="1">
        <v>3.0</v>
      </c>
      <c r="AX322" s="1" t="s">
        <v>74</v>
      </c>
      <c r="AY322" s="1" t="s">
        <v>74</v>
      </c>
      <c r="AZ322" s="1" t="s">
        <v>74</v>
      </c>
      <c r="BA322" s="1" t="s">
        <v>74</v>
      </c>
      <c r="BB322" s="1" t="s">
        <v>74</v>
      </c>
      <c r="BC322" s="1" t="s">
        <v>74</v>
      </c>
      <c r="BD322" s="1">
        <v>418.0</v>
      </c>
      <c r="BE322" s="1" t="s">
        <v>3192</v>
      </c>
      <c r="BF322" s="2" t="str">
        <f>HYPERLINK("http://dx.doi.org/10.3390/math13030418","http://dx.doi.org/10.3390/math13030418")</f>
        <v>http://dx.doi.org/10.3390/math13030418</v>
      </c>
      <c r="BG322" s="1" t="s">
        <v>74</v>
      </c>
      <c r="BH322" s="1" t="s">
        <v>74</v>
      </c>
      <c r="BI322" s="1" t="s">
        <v>74</v>
      </c>
      <c r="BJ322" s="1" t="s">
        <v>74</v>
      </c>
      <c r="BK322" s="1" t="s">
        <v>74</v>
      </c>
      <c r="BL322" s="1" t="s">
        <v>74</v>
      </c>
      <c r="BM322" s="1" t="s">
        <v>74</v>
      </c>
      <c r="BN322" s="1" t="s">
        <v>74</v>
      </c>
      <c r="BO322" s="1" t="s">
        <v>74</v>
      </c>
      <c r="BP322" s="1" t="s">
        <v>74</v>
      </c>
      <c r="BQ322" s="1" t="s">
        <v>74</v>
      </c>
      <c r="BR322" s="1" t="s">
        <v>74</v>
      </c>
      <c r="BS322" s="1" t="s">
        <v>3193</v>
      </c>
      <c r="BT322" s="1" t="str">
        <f>HYPERLINK("https%3A%2F%2Fwww.webofscience.com%2Fwos%2Fwoscc%2Ffull-record%2FWOS:001418593300001","View Full Record in Web of Science")</f>
        <v>View Full Record in Web of Science</v>
      </c>
    </row>
    <row r="323" ht="12.75" customHeight="1">
      <c r="A323" s="1" t="s">
        <v>72</v>
      </c>
      <c r="B323" s="1" t="s">
        <v>3194</v>
      </c>
      <c r="C323" s="1" t="s">
        <v>74</v>
      </c>
      <c r="D323" s="1" t="s">
        <v>74</v>
      </c>
      <c r="E323" s="1" t="s">
        <v>74</v>
      </c>
      <c r="F323" s="1" t="s">
        <v>3195</v>
      </c>
      <c r="G323" s="1" t="s">
        <v>74</v>
      </c>
      <c r="H323" s="1" t="s">
        <v>74</v>
      </c>
      <c r="I323" s="1" t="s">
        <v>3196</v>
      </c>
      <c r="J323" s="1" t="s">
        <v>3197</v>
      </c>
      <c r="K323" s="1" t="s">
        <v>74</v>
      </c>
      <c r="L323" s="1" t="s">
        <v>74</v>
      </c>
      <c r="M323" s="1" t="s">
        <v>74</v>
      </c>
      <c r="N323" s="1" t="s">
        <v>74</v>
      </c>
      <c r="O323" s="1" t="s">
        <v>74</v>
      </c>
      <c r="P323" s="1" t="s">
        <v>74</v>
      </c>
      <c r="Q323" s="1" t="s">
        <v>74</v>
      </c>
      <c r="R323" s="1" t="s">
        <v>74</v>
      </c>
      <c r="S323" s="1" t="s">
        <v>74</v>
      </c>
      <c r="T323" s="1" t="s">
        <v>74</v>
      </c>
      <c r="U323" s="1" t="s">
        <v>74</v>
      </c>
      <c r="V323" s="1" t="s">
        <v>3198</v>
      </c>
      <c r="W323" s="1" t="s">
        <v>74</v>
      </c>
      <c r="X323" s="1" t="s">
        <v>74</v>
      </c>
      <c r="Y323" s="1" t="s">
        <v>74</v>
      </c>
      <c r="Z323" s="1" t="s">
        <v>74</v>
      </c>
      <c r="AA323" s="1" t="s">
        <v>3199</v>
      </c>
      <c r="AB323" s="1" t="s">
        <v>1098</v>
      </c>
      <c r="AC323" s="1" t="s">
        <v>74</v>
      </c>
      <c r="AD323" s="1" t="s">
        <v>74</v>
      </c>
      <c r="AE323" s="1" t="s">
        <v>74</v>
      </c>
      <c r="AF323" s="1" t="s">
        <v>74</v>
      </c>
      <c r="AG323" s="1" t="s">
        <v>74</v>
      </c>
      <c r="AH323" s="1" t="s">
        <v>74</v>
      </c>
      <c r="AI323" s="1" t="s">
        <v>74</v>
      </c>
      <c r="AJ323" s="1" t="s">
        <v>74</v>
      </c>
      <c r="AK323" s="1" t="s">
        <v>74</v>
      </c>
      <c r="AL323" s="1" t="s">
        <v>74</v>
      </c>
      <c r="AM323" s="1" t="s">
        <v>74</v>
      </c>
      <c r="AN323" s="1" t="s">
        <v>74</v>
      </c>
      <c r="AO323" s="1" t="s">
        <v>3200</v>
      </c>
      <c r="AP323" s="1" t="s">
        <v>74</v>
      </c>
      <c r="AQ323" s="1" t="s">
        <v>74</v>
      </c>
      <c r="AR323" s="1" t="s">
        <v>74</v>
      </c>
      <c r="AS323" s="1" t="s">
        <v>74</v>
      </c>
      <c r="AT323" s="1" t="s">
        <v>1049</v>
      </c>
      <c r="AU323" s="1">
        <v>2024.0</v>
      </c>
      <c r="AV323" s="1">
        <v>67.0</v>
      </c>
      <c r="AW323" s="1" t="s">
        <v>74</v>
      </c>
      <c r="AX323" s="1" t="s">
        <v>74</v>
      </c>
      <c r="AY323" s="1" t="s">
        <v>74</v>
      </c>
      <c r="AZ323" s="1" t="s">
        <v>74</v>
      </c>
      <c r="BA323" s="1" t="s">
        <v>74</v>
      </c>
      <c r="BB323" s="1" t="s">
        <v>74</v>
      </c>
      <c r="BC323" s="1" t="s">
        <v>74</v>
      </c>
      <c r="BD323" s="1">
        <v>106232.0</v>
      </c>
      <c r="BE323" s="1" t="s">
        <v>3201</v>
      </c>
      <c r="BF323" s="2" t="str">
        <f>HYPERLINK("http://dx.doi.org/10.1016/j.jwpe.2024.106232","http://dx.doi.org/10.1016/j.jwpe.2024.106232")</f>
        <v>http://dx.doi.org/10.1016/j.jwpe.2024.106232</v>
      </c>
      <c r="BG323" s="1" t="s">
        <v>74</v>
      </c>
      <c r="BH323" s="1" t="s">
        <v>916</v>
      </c>
      <c r="BI323" s="1" t="s">
        <v>74</v>
      </c>
      <c r="BJ323" s="1" t="s">
        <v>74</v>
      </c>
      <c r="BK323" s="1" t="s">
        <v>74</v>
      </c>
      <c r="BL323" s="1" t="s">
        <v>74</v>
      </c>
      <c r="BM323" s="1" t="s">
        <v>74</v>
      </c>
      <c r="BN323" s="1" t="s">
        <v>74</v>
      </c>
      <c r="BO323" s="1" t="s">
        <v>74</v>
      </c>
      <c r="BP323" s="1" t="s">
        <v>74</v>
      </c>
      <c r="BQ323" s="1" t="s">
        <v>74</v>
      </c>
      <c r="BR323" s="1" t="s">
        <v>74</v>
      </c>
      <c r="BS323" s="1" t="s">
        <v>3202</v>
      </c>
      <c r="BT323" s="1" t="str">
        <f>HYPERLINK("https%3A%2F%2Fwww.webofscience.com%2Fwos%2Fwoscc%2Ffull-record%2FWOS:001331120700001","View Full Record in Web of Science")</f>
        <v>View Full Record in Web of Science</v>
      </c>
    </row>
    <row r="324" ht="12.75" customHeight="1">
      <c r="A324" s="1" t="s">
        <v>72</v>
      </c>
      <c r="B324" s="1" t="s">
        <v>3203</v>
      </c>
      <c r="C324" s="1" t="s">
        <v>74</v>
      </c>
      <c r="D324" s="1" t="s">
        <v>74</v>
      </c>
      <c r="E324" s="1" t="s">
        <v>74</v>
      </c>
      <c r="F324" s="1" t="s">
        <v>3204</v>
      </c>
      <c r="G324" s="1" t="s">
        <v>74</v>
      </c>
      <c r="H324" s="1" t="s">
        <v>74</v>
      </c>
      <c r="I324" s="1" t="s">
        <v>3205</v>
      </c>
      <c r="J324" s="1" t="s">
        <v>1239</v>
      </c>
      <c r="K324" s="1" t="s">
        <v>74</v>
      </c>
      <c r="L324" s="1" t="s">
        <v>74</v>
      </c>
      <c r="M324" s="1" t="s">
        <v>74</v>
      </c>
      <c r="N324" s="1" t="s">
        <v>74</v>
      </c>
      <c r="O324" s="1" t="s">
        <v>74</v>
      </c>
      <c r="P324" s="1" t="s">
        <v>74</v>
      </c>
      <c r="Q324" s="1" t="s">
        <v>74</v>
      </c>
      <c r="R324" s="1" t="s">
        <v>74</v>
      </c>
      <c r="S324" s="1" t="s">
        <v>74</v>
      </c>
      <c r="T324" s="1" t="s">
        <v>74</v>
      </c>
      <c r="U324" s="1" t="s">
        <v>74</v>
      </c>
      <c r="V324" s="1" t="s">
        <v>3206</v>
      </c>
      <c r="W324" s="1" t="s">
        <v>74</v>
      </c>
      <c r="X324" s="1" t="s">
        <v>74</v>
      </c>
      <c r="Y324" s="1" t="s">
        <v>74</v>
      </c>
      <c r="Z324" s="1" t="s">
        <v>74</v>
      </c>
      <c r="AA324" s="1" t="s">
        <v>3207</v>
      </c>
      <c r="AB324" s="1" t="s">
        <v>3208</v>
      </c>
      <c r="AC324" s="1" t="s">
        <v>74</v>
      </c>
      <c r="AD324" s="1" t="s">
        <v>74</v>
      </c>
      <c r="AE324" s="1" t="s">
        <v>74</v>
      </c>
      <c r="AF324" s="1" t="s">
        <v>74</v>
      </c>
      <c r="AG324" s="1" t="s">
        <v>74</v>
      </c>
      <c r="AH324" s="1" t="s">
        <v>74</v>
      </c>
      <c r="AI324" s="1" t="s">
        <v>74</v>
      </c>
      <c r="AJ324" s="1" t="s">
        <v>74</v>
      </c>
      <c r="AK324" s="1" t="s">
        <v>74</v>
      </c>
      <c r="AL324" s="1" t="s">
        <v>74</v>
      </c>
      <c r="AM324" s="1" t="s">
        <v>74</v>
      </c>
      <c r="AN324" s="1" t="s">
        <v>74</v>
      </c>
      <c r="AO324" s="1" t="s">
        <v>74</v>
      </c>
      <c r="AP324" s="1" t="s">
        <v>1243</v>
      </c>
      <c r="AQ324" s="1" t="s">
        <v>74</v>
      </c>
      <c r="AR324" s="1" t="s">
        <v>74</v>
      </c>
      <c r="AS324" s="1" t="s">
        <v>74</v>
      </c>
      <c r="AT324" s="1" t="s">
        <v>180</v>
      </c>
      <c r="AU324" s="1">
        <v>2024.0</v>
      </c>
      <c r="AV324" s="1">
        <v>16.0</v>
      </c>
      <c r="AW324" s="1">
        <v>10.0</v>
      </c>
      <c r="AX324" s="1" t="s">
        <v>74</v>
      </c>
      <c r="AY324" s="1" t="s">
        <v>74</v>
      </c>
      <c r="AZ324" s="1" t="s">
        <v>74</v>
      </c>
      <c r="BA324" s="1" t="s">
        <v>74</v>
      </c>
      <c r="BB324" s="1" t="s">
        <v>74</v>
      </c>
      <c r="BC324" s="1" t="s">
        <v>74</v>
      </c>
      <c r="BD324" s="1">
        <v>4187.0</v>
      </c>
      <c r="BE324" s="1" t="s">
        <v>3209</v>
      </c>
      <c r="BF324" s="2" t="str">
        <f>HYPERLINK("http://dx.doi.org/10.3390/su16104187","http://dx.doi.org/10.3390/su16104187")</f>
        <v>http://dx.doi.org/10.3390/su16104187</v>
      </c>
      <c r="BG324" s="1" t="s">
        <v>74</v>
      </c>
      <c r="BH324" s="1" t="s">
        <v>74</v>
      </c>
      <c r="BI324" s="1" t="s">
        <v>74</v>
      </c>
      <c r="BJ324" s="1" t="s">
        <v>74</v>
      </c>
      <c r="BK324" s="1" t="s">
        <v>74</v>
      </c>
      <c r="BL324" s="1" t="s">
        <v>74</v>
      </c>
      <c r="BM324" s="1" t="s">
        <v>74</v>
      </c>
      <c r="BN324" s="1" t="s">
        <v>74</v>
      </c>
      <c r="BO324" s="1" t="s">
        <v>74</v>
      </c>
      <c r="BP324" s="1" t="s">
        <v>74</v>
      </c>
      <c r="BQ324" s="1" t="s">
        <v>74</v>
      </c>
      <c r="BR324" s="1" t="s">
        <v>74</v>
      </c>
      <c r="BS324" s="1" t="s">
        <v>3210</v>
      </c>
      <c r="BT324" s="1" t="str">
        <f>HYPERLINK("https%3A%2F%2Fwww.webofscience.com%2Fwos%2Fwoscc%2Ffull-record%2FWOS:001231476900001","View Full Record in Web of Science")</f>
        <v>View Full Record in Web of Science</v>
      </c>
    </row>
    <row r="325" ht="12.75" customHeight="1">
      <c r="A325" s="1" t="s">
        <v>251</v>
      </c>
      <c r="B325" s="1" t="s">
        <v>3211</v>
      </c>
      <c r="C325" s="1" t="s">
        <v>74</v>
      </c>
      <c r="D325" s="1" t="s">
        <v>74</v>
      </c>
      <c r="E325" s="1" t="s">
        <v>253</v>
      </c>
      <c r="F325" s="1" t="s">
        <v>3212</v>
      </c>
      <c r="G325" s="1" t="s">
        <v>74</v>
      </c>
      <c r="H325" s="1" t="s">
        <v>74</v>
      </c>
      <c r="I325" s="1" t="s">
        <v>3213</v>
      </c>
      <c r="J325" s="1" t="s">
        <v>3214</v>
      </c>
      <c r="K325" s="1" t="s">
        <v>3215</v>
      </c>
      <c r="L325" s="1" t="s">
        <v>74</v>
      </c>
      <c r="M325" s="1" t="s">
        <v>74</v>
      </c>
      <c r="N325" s="1" t="s">
        <v>74</v>
      </c>
      <c r="O325" s="1" t="s">
        <v>3216</v>
      </c>
      <c r="P325" s="1" t="s">
        <v>3217</v>
      </c>
      <c r="Q325" s="1" t="s">
        <v>3218</v>
      </c>
      <c r="R325" s="1" t="s">
        <v>3219</v>
      </c>
      <c r="S325" s="1" t="s">
        <v>74</v>
      </c>
      <c r="T325" s="1" t="s">
        <v>74</v>
      </c>
      <c r="U325" s="1" t="s">
        <v>74</v>
      </c>
      <c r="V325" s="1" t="s">
        <v>3220</v>
      </c>
      <c r="W325" s="1" t="s">
        <v>74</v>
      </c>
      <c r="X325" s="1" t="s">
        <v>74</v>
      </c>
      <c r="Y325" s="1" t="s">
        <v>74</v>
      </c>
      <c r="Z325" s="1" t="s">
        <v>74</v>
      </c>
      <c r="AA325" s="1" t="s">
        <v>3221</v>
      </c>
      <c r="AB325" s="1" t="s">
        <v>74</v>
      </c>
      <c r="AC325" s="1" t="s">
        <v>74</v>
      </c>
      <c r="AD325" s="1" t="s">
        <v>74</v>
      </c>
      <c r="AE325" s="1" t="s">
        <v>74</v>
      </c>
      <c r="AF325" s="1" t="s">
        <v>74</v>
      </c>
      <c r="AG325" s="1" t="s">
        <v>74</v>
      </c>
      <c r="AH325" s="1" t="s">
        <v>74</v>
      </c>
      <c r="AI325" s="1" t="s">
        <v>74</v>
      </c>
      <c r="AJ325" s="1" t="s">
        <v>74</v>
      </c>
      <c r="AK325" s="1" t="s">
        <v>74</v>
      </c>
      <c r="AL325" s="1" t="s">
        <v>74</v>
      </c>
      <c r="AM325" s="1" t="s">
        <v>74</v>
      </c>
      <c r="AN325" s="1" t="s">
        <v>74</v>
      </c>
      <c r="AO325" s="1" t="s">
        <v>3222</v>
      </c>
      <c r="AP325" s="1" t="s">
        <v>74</v>
      </c>
      <c r="AQ325" s="1" t="s">
        <v>3223</v>
      </c>
      <c r="AR325" s="1" t="s">
        <v>74</v>
      </c>
      <c r="AS325" s="1" t="s">
        <v>74</v>
      </c>
      <c r="AT325" s="1" t="s">
        <v>74</v>
      </c>
      <c r="AU325" s="1">
        <v>2024.0</v>
      </c>
      <c r="AV325" s="1" t="s">
        <v>74</v>
      </c>
      <c r="AW325" s="1" t="s">
        <v>74</v>
      </c>
      <c r="AX325" s="1" t="s">
        <v>74</v>
      </c>
      <c r="AY325" s="1" t="s">
        <v>74</v>
      </c>
      <c r="AZ325" s="1" t="s">
        <v>74</v>
      </c>
      <c r="BA325" s="1" t="s">
        <v>74</v>
      </c>
      <c r="BB325" s="1" t="s">
        <v>74</v>
      </c>
      <c r="BC325" s="1" t="s">
        <v>74</v>
      </c>
      <c r="BD325" s="1" t="s">
        <v>74</v>
      </c>
      <c r="BE325" s="1" t="s">
        <v>3224</v>
      </c>
      <c r="BF325" s="2" t="str">
        <f>HYPERLINK("http://dx.doi.org/10.1109/EEM60825.2024.10609008","http://dx.doi.org/10.1109/EEM60825.2024.10609008")</f>
        <v>http://dx.doi.org/10.1109/EEM60825.2024.10609008</v>
      </c>
      <c r="BG325" s="1" t="s">
        <v>74</v>
      </c>
      <c r="BH325" s="1" t="s">
        <v>74</v>
      </c>
      <c r="BI325" s="1" t="s">
        <v>74</v>
      </c>
      <c r="BJ325" s="1" t="s">
        <v>74</v>
      </c>
      <c r="BK325" s="1" t="s">
        <v>74</v>
      </c>
      <c r="BL325" s="1" t="s">
        <v>74</v>
      </c>
      <c r="BM325" s="1" t="s">
        <v>74</v>
      </c>
      <c r="BN325" s="1" t="s">
        <v>74</v>
      </c>
      <c r="BO325" s="1" t="s">
        <v>74</v>
      </c>
      <c r="BP325" s="1" t="s">
        <v>74</v>
      </c>
      <c r="BQ325" s="1" t="s">
        <v>74</v>
      </c>
      <c r="BR325" s="1" t="s">
        <v>74</v>
      </c>
      <c r="BS325" s="1" t="s">
        <v>3225</v>
      </c>
      <c r="BT325" s="1" t="str">
        <f>HYPERLINK("https%3A%2F%2Fwww.webofscience.com%2Fwos%2Fwoscc%2Ffull-record%2FWOS:001293146800149","View Full Record in Web of Science")</f>
        <v>View Full Record in Web of Science</v>
      </c>
    </row>
    <row r="326" ht="12.75" customHeight="1">
      <c r="A326" s="1" t="s">
        <v>72</v>
      </c>
      <c r="B326" s="1" t="s">
        <v>3226</v>
      </c>
      <c r="C326" s="1" t="s">
        <v>74</v>
      </c>
      <c r="D326" s="1" t="s">
        <v>74</v>
      </c>
      <c r="E326" s="1" t="s">
        <v>74</v>
      </c>
      <c r="F326" s="1" t="s">
        <v>3227</v>
      </c>
      <c r="G326" s="1" t="s">
        <v>74</v>
      </c>
      <c r="H326" s="1" t="s">
        <v>74</v>
      </c>
      <c r="I326" s="1" t="s">
        <v>3228</v>
      </c>
      <c r="J326" s="1" t="s">
        <v>3229</v>
      </c>
      <c r="K326" s="1" t="s">
        <v>74</v>
      </c>
      <c r="L326" s="1" t="s">
        <v>74</v>
      </c>
      <c r="M326" s="1" t="s">
        <v>74</v>
      </c>
      <c r="N326" s="1" t="s">
        <v>74</v>
      </c>
      <c r="O326" s="1" t="s">
        <v>74</v>
      </c>
      <c r="P326" s="1" t="s">
        <v>74</v>
      </c>
      <c r="Q326" s="1" t="s">
        <v>74</v>
      </c>
      <c r="R326" s="1" t="s">
        <v>74</v>
      </c>
      <c r="S326" s="1" t="s">
        <v>74</v>
      </c>
      <c r="T326" s="1" t="s">
        <v>74</v>
      </c>
      <c r="U326" s="1" t="s">
        <v>74</v>
      </c>
      <c r="V326" s="1" t="s">
        <v>3230</v>
      </c>
      <c r="W326" s="1" t="s">
        <v>74</v>
      </c>
      <c r="X326" s="1" t="s">
        <v>74</v>
      </c>
      <c r="Y326" s="1" t="s">
        <v>74</v>
      </c>
      <c r="Z326" s="1" t="s">
        <v>74</v>
      </c>
      <c r="AA326" s="1" t="s">
        <v>74</v>
      </c>
      <c r="AB326" s="1" t="s">
        <v>3231</v>
      </c>
      <c r="AC326" s="1" t="s">
        <v>74</v>
      </c>
      <c r="AD326" s="1" t="s">
        <v>74</v>
      </c>
      <c r="AE326" s="1" t="s">
        <v>74</v>
      </c>
      <c r="AF326" s="1" t="s">
        <v>74</v>
      </c>
      <c r="AG326" s="1" t="s">
        <v>74</v>
      </c>
      <c r="AH326" s="1" t="s">
        <v>74</v>
      </c>
      <c r="AI326" s="1" t="s">
        <v>74</v>
      </c>
      <c r="AJ326" s="1" t="s">
        <v>74</v>
      </c>
      <c r="AK326" s="1" t="s">
        <v>74</v>
      </c>
      <c r="AL326" s="1" t="s">
        <v>74</v>
      </c>
      <c r="AM326" s="1" t="s">
        <v>74</v>
      </c>
      <c r="AN326" s="1" t="s">
        <v>74</v>
      </c>
      <c r="AO326" s="1" t="s">
        <v>3232</v>
      </c>
      <c r="AP326" s="1" t="s">
        <v>3233</v>
      </c>
      <c r="AQ326" s="1" t="s">
        <v>74</v>
      </c>
      <c r="AR326" s="1" t="s">
        <v>74</v>
      </c>
      <c r="AS326" s="1" t="s">
        <v>74</v>
      </c>
      <c r="AT326" s="1" t="s">
        <v>1829</v>
      </c>
      <c r="AU326" s="1">
        <v>2024.0</v>
      </c>
      <c r="AV326" s="1" t="s">
        <v>74</v>
      </c>
      <c r="AW326" s="1">
        <v>32.0</v>
      </c>
      <c r="AX326" s="1" t="s">
        <v>74</v>
      </c>
      <c r="AY326" s="1" t="s">
        <v>74</v>
      </c>
      <c r="AZ326" s="1" t="s">
        <v>74</v>
      </c>
      <c r="BA326" s="1" t="s">
        <v>74</v>
      </c>
      <c r="BB326" s="1">
        <v>262.0</v>
      </c>
      <c r="BC326" s="1">
        <v>285.0</v>
      </c>
      <c r="BD326" s="1" t="s">
        <v>74</v>
      </c>
      <c r="BE326" s="1" t="s">
        <v>74</v>
      </c>
      <c r="BF326" s="1" t="s">
        <v>74</v>
      </c>
      <c r="BG326" s="1" t="s">
        <v>74</v>
      </c>
      <c r="BH326" s="1" t="s">
        <v>74</v>
      </c>
      <c r="BI326" s="1" t="s">
        <v>74</v>
      </c>
      <c r="BJ326" s="1" t="s">
        <v>74</v>
      </c>
      <c r="BK326" s="1" t="s">
        <v>74</v>
      </c>
      <c r="BL326" s="1" t="s">
        <v>74</v>
      </c>
      <c r="BM326" s="1" t="s">
        <v>74</v>
      </c>
      <c r="BN326" s="1" t="s">
        <v>74</v>
      </c>
      <c r="BO326" s="1" t="s">
        <v>74</v>
      </c>
      <c r="BP326" s="1" t="s">
        <v>74</v>
      </c>
      <c r="BQ326" s="1" t="s">
        <v>74</v>
      </c>
      <c r="BR326" s="1" t="s">
        <v>74</v>
      </c>
      <c r="BS326" s="1" t="s">
        <v>3234</v>
      </c>
      <c r="BT326" s="1" t="str">
        <f>HYPERLINK("https%3A%2F%2Fwww.webofscience.com%2Fwos%2Fwoscc%2Ffull-record%2FWOS:001339596200011","View Full Record in Web of Science")</f>
        <v>View Full Record in Web of Science</v>
      </c>
    </row>
    <row r="327" ht="12.75" customHeight="1">
      <c r="A327" s="1" t="s">
        <v>72</v>
      </c>
      <c r="B327" s="1" t="s">
        <v>3235</v>
      </c>
      <c r="C327" s="1" t="s">
        <v>74</v>
      </c>
      <c r="D327" s="1" t="s">
        <v>74</v>
      </c>
      <c r="E327" s="1" t="s">
        <v>74</v>
      </c>
      <c r="F327" s="1" t="s">
        <v>3236</v>
      </c>
      <c r="G327" s="1" t="s">
        <v>74</v>
      </c>
      <c r="H327" s="1" t="s">
        <v>74</v>
      </c>
      <c r="I327" s="1" t="s">
        <v>3237</v>
      </c>
      <c r="J327" s="1" t="s">
        <v>3238</v>
      </c>
      <c r="K327" s="1" t="s">
        <v>74</v>
      </c>
      <c r="L327" s="1" t="s">
        <v>74</v>
      </c>
      <c r="M327" s="1" t="s">
        <v>74</v>
      </c>
      <c r="N327" s="1" t="s">
        <v>74</v>
      </c>
      <c r="O327" s="1" t="s">
        <v>74</v>
      </c>
      <c r="P327" s="1" t="s">
        <v>74</v>
      </c>
      <c r="Q327" s="1" t="s">
        <v>74</v>
      </c>
      <c r="R327" s="1" t="s">
        <v>74</v>
      </c>
      <c r="S327" s="1" t="s">
        <v>74</v>
      </c>
      <c r="T327" s="1" t="s">
        <v>74</v>
      </c>
      <c r="U327" s="1" t="s">
        <v>74</v>
      </c>
      <c r="V327" s="1" t="s">
        <v>3239</v>
      </c>
      <c r="W327" s="1" t="s">
        <v>74</v>
      </c>
      <c r="X327" s="1" t="s">
        <v>74</v>
      </c>
      <c r="Y327" s="1" t="s">
        <v>74</v>
      </c>
      <c r="Z327" s="1" t="s">
        <v>74</v>
      </c>
      <c r="AA327" s="1" t="s">
        <v>74</v>
      </c>
      <c r="AB327" s="1" t="s">
        <v>74</v>
      </c>
      <c r="AC327" s="1" t="s">
        <v>74</v>
      </c>
      <c r="AD327" s="1" t="s">
        <v>74</v>
      </c>
      <c r="AE327" s="1" t="s">
        <v>74</v>
      </c>
      <c r="AF327" s="1" t="s">
        <v>74</v>
      </c>
      <c r="AG327" s="1" t="s">
        <v>74</v>
      </c>
      <c r="AH327" s="1" t="s">
        <v>74</v>
      </c>
      <c r="AI327" s="1" t="s">
        <v>74</v>
      </c>
      <c r="AJ327" s="1" t="s">
        <v>74</v>
      </c>
      <c r="AK327" s="1" t="s">
        <v>74</v>
      </c>
      <c r="AL327" s="1" t="s">
        <v>74</v>
      </c>
      <c r="AM327" s="1" t="s">
        <v>74</v>
      </c>
      <c r="AN327" s="1" t="s">
        <v>74</v>
      </c>
      <c r="AO327" s="1" t="s">
        <v>3240</v>
      </c>
      <c r="AP327" s="1" t="s">
        <v>3241</v>
      </c>
      <c r="AQ327" s="1" t="s">
        <v>74</v>
      </c>
      <c r="AR327" s="1" t="s">
        <v>74</v>
      </c>
      <c r="AS327" s="1" t="s">
        <v>74</v>
      </c>
      <c r="AT327" s="1" t="s">
        <v>320</v>
      </c>
      <c r="AU327" s="1">
        <v>2023.0</v>
      </c>
      <c r="AV327" s="1">
        <v>64.0</v>
      </c>
      <c r="AW327" s="1">
        <v>2.0</v>
      </c>
      <c r="AX327" s="1" t="s">
        <v>74</v>
      </c>
      <c r="AY327" s="1" t="s">
        <v>74</v>
      </c>
      <c r="AZ327" s="1" t="s">
        <v>74</v>
      </c>
      <c r="BA327" s="1" t="s">
        <v>74</v>
      </c>
      <c r="BB327" s="1" t="s">
        <v>74</v>
      </c>
      <c r="BC327" s="1" t="s">
        <v>74</v>
      </c>
      <c r="BD327" s="1" t="s">
        <v>74</v>
      </c>
      <c r="BE327" s="1" t="s">
        <v>74</v>
      </c>
      <c r="BF327" s="1" t="s">
        <v>74</v>
      </c>
      <c r="BG327" s="1" t="s">
        <v>74</v>
      </c>
      <c r="BH327" s="1" t="s">
        <v>74</v>
      </c>
      <c r="BI327" s="1" t="s">
        <v>74</v>
      </c>
      <c r="BJ327" s="1" t="s">
        <v>74</v>
      </c>
      <c r="BK327" s="1" t="s">
        <v>74</v>
      </c>
      <c r="BL327" s="1" t="s">
        <v>74</v>
      </c>
      <c r="BM327" s="1" t="s">
        <v>74</v>
      </c>
      <c r="BN327" s="1" t="s">
        <v>74</v>
      </c>
      <c r="BO327" s="1" t="s">
        <v>74</v>
      </c>
      <c r="BP327" s="1" t="s">
        <v>74</v>
      </c>
      <c r="BQ327" s="1" t="s">
        <v>74</v>
      </c>
      <c r="BR327" s="1" t="s">
        <v>74</v>
      </c>
      <c r="BS327" s="1" t="s">
        <v>3242</v>
      </c>
      <c r="BT327" s="1" t="str">
        <f>HYPERLINK("https%3A%2F%2Fwww.webofscience.com%2Fwos%2Fwoscc%2Ffull-record%2FWOS:001399855800015","View Full Record in Web of Science")</f>
        <v>View Full Record in Web of Science</v>
      </c>
    </row>
    <row r="328" ht="12.75" customHeight="1">
      <c r="A328" s="1" t="s">
        <v>72</v>
      </c>
      <c r="B328" s="1" t="s">
        <v>2443</v>
      </c>
      <c r="C328" s="1" t="s">
        <v>74</v>
      </c>
      <c r="D328" s="1" t="s">
        <v>74</v>
      </c>
      <c r="E328" s="1" t="s">
        <v>74</v>
      </c>
      <c r="F328" s="1" t="s">
        <v>2444</v>
      </c>
      <c r="G328" s="1" t="s">
        <v>74</v>
      </c>
      <c r="H328" s="1" t="s">
        <v>74</v>
      </c>
      <c r="I328" s="1" t="s">
        <v>3243</v>
      </c>
      <c r="J328" s="1" t="s">
        <v>1486</v>
      </c>
      <c r="K328" s="1" t="s">
        <v>74</v>
      </c>
      <c r="L328" s="1" t="s">
        <v>74</v>
      </c>
      <c r="M328" s="1" t="s">
        <v>74</v>
      </c>
      <c r="N328" s="1" t="s">
        <v>74</v>
      </c>
      <c r="O328" s="1" t="s">
        <v>74</v>
      </c>
      <c r="P328" s="1" t="s">
        <v>74</v>
      </c>
      <c r="Q328" s="1" t="s">
        <v>74</v>
      </c>
      <c r="R328" s="1" t="s">
        <v>74</v>
      </c>
      <c r="S328" s="1" t="s">
        <v>74</v>
      </c>
      <c r="T328" s="1" t="s">
        <v>74</v>
      </c>
      <c r="U328" s="1" t="s">
        <v>74</v>
      </c>
      <c r="V328" s="1" t="s">
        <v>3244</v>
      </c>
      <c r="W328" s="1" t="s">
        <v>74</v>
      </c>
      <c r="X328" s="1" t="s">
        <v>74</v>
      </c>
      <c r="Y328" s="1" t="s">
        <v>74</v>
      </c>
      <c r="Z328" s="1" t="s">
        <v>74</v>
      </c>
      <c r="AA328" s="1" t="s">
        <v>2447</v>
      </c>
      <c r="AB328" s="1" t="s">
        <v>74</v>
      </c>
      <c r="AC328" s="1" t="s">
        <v>74</v>
      </c>
      <c r="AD328" s="1" t="s">
        <v>74</v>
      </c>
      <c r="AE328" s="1" t="s">
        <v>74</v>
      </c>
      <c r="AF328" s="1" t="s">
        <v>74</v>
      </c>
      <c r="AG328" s="1" t="s">
        <v>74</v>
      </c>
      <c r="AH328" s="1" t="s">
        <v>74</v>
      </c>
      <c r="AI328" s="1" t="s">
        <v>74</v>
      </c>
      <c r="AJ328" s="1" t="s">
        <v>74</v>
      </c>
      <c r="AK328" s="1" t="s">
        <v>74</v>
      </c>
      <c r="AL328" s="1" t="s">
        <v>74</v>
      </c>
      <c r="AM328" s="1" t="s">
        <v>74</v>
      </c>
      <c r="AN328" s="1" t="s">
        <v>74</v>
      </c>
      <c r="AO328" s="1" t="s">
        <v>1489</v>
      </c>
      <c r="AP328" s="1" t="s">
        <v>3245</v>
      </c>
      <c r="AQ328" s="1" t="s">
        <v>74</v>
      </c>
      <c r="AR328" s="1" t="s">
        <v>74</v>
      </c>
      <c r="AS328" s="1" t="s">
        <v>74</v>
      </c>
      <c r="AT328" s="1" t="s">
        <v>180</v>
      </c>
      <c r="AU328" s="1">
        <v>2023.0</v>
      </c>
      <c r="AV328" s="1">
        <v>151.0</v>
      </c>
      <c r="AW328" s="1">
        <v>5.0</v>
      </c>
      <c r="AX328" s="1" t="s">
        <v>74</v>
      </c>
      <c r="AY328" s="1" t="s">
        <v>74</v>
      </c>
      <c r="AZ328" s="1" t="s">
        <v>74</v>
      </c>
      <c r="BA328" s="1" t="s">
        <v>74</v>
      </c>
      <c r="BB328" s="1">
        <v>1987.0</v>
      </c>
      <c r="BC328" s="1">
        <v>1999.0</v>
      </c>
      <c r="BD328" s="1" t="s">
        <v>74</v>
      </c>
      <c r="BE328" s="1" t="s">
        <v>3246</v>
      </c>
      <c r="BF328" s="2" t="str">
        <f>HYPERLINK("http://dx.doi.org/10.1090/proc/16231","http://dx.doi.org/10.1090/proc/16231")</f>
        <v>http://dx.doi.org/10.1090/proc/16231</v>
      </c>
      <c r="BG328" s="1" t="s">
        <v>74</v>
      </c>
      <c r="BH328" s="1" t="s">
        <v>74</v>
      </c>
      <c r="BI328" s="1" t="s">
        <v>74</v>
      </c>
      <c r="BJ328" s="1" t="s">
        <v>74</v>
      </c>
      <c r="BK328" s="1" t="s">
        <v>74</v>
      </c>
      <c r="BL328" s="1" t="s">
        <v>74</v>
      </c>
      <c r="BM328" s="1" t="s">
        <v>74</v>
      </c>
      <c r="BN328" s="1" t="s">
        <v>74</v>
      </c>
      <c r="BO328" s="1" t="s">
        <v>74</v>
      </c>
      <c r="BP328" s="1" t="s">
        <v>74</v>
      </c>
      <c r="BQ328" s="1" t="s">
        <v>74</v>
      </c>
      <c r="BR328" s="1" t="s">
        <v>74</v>
      </c>
      <c r="BS328" s="1" t="s">
        <v>3247</v>
      </c>
      <c r="BT328" s="1" t="str">
        <f>HYPERLINK("https%3A%2F%2Fwww.webofscience.com%2Fwos%2Fwoscc%2Ffull-record%2FWOS:000992714500006","View Full Record in Web of Science")</f>
        <v>View Full Record in Web of Science</v>
      </c>
    </row>
    <row r="329" ht="12.75" customHeight="1">
      <c r="A329" s="1" t="s">
        <v>72</v>
      </c>
      <c r="B329" s="1" t="s">
        <v>3248</v>
      </c>
      <c r="C329" s="1" t="s">
        <v>74</v>
      </c>
      <c r="D329" s="1" t="s">
        <v>74</v>
      </c>
      <c r="E329" s="1" t="s">
        <v>74</v>
      </c>
      <c r="F329" s="1" t="s">
        <v>3249</v>
      </c>
      <c r="G329" s="1" t="s">
        <v>74</v>
      </c>
      <c r="H329" s="1" t="s">
        <v>74</v>
      </c>
      <c r="I329" s="1" t="s">
        <v>3250</v>
      </c>
      <c r="J329" s="1" t="s">
        <v>3251</v>
      </c>
      <c r="K329" s="1" t="s">
        <v>74</v>
      </c>
      <c r="L329" s="1" t="s">
        <v>74</v>
      </c>
      <c r="M329" s="1" t="s">
        <v>74</v>
      </c>
      <c r="N329" s="1" t="s">
        <v>74</v>
      </c>
      <c r="O329" s="1" t="s">
        <v>74</v>
      </c>
      <c r="P329" s="1" t="s">
        <v>74</v>
      </c>
      <c r="Q329" s="1" t="s">
        <v>74</v>
      </c>
      <c r="R329" s="1" t="s">
        <v>74</v>
      </c>
      <c r="S329" s="1" t="s">
        <v>74</v>
      </c>
      <c r="T329" s="1" t="s">
        <v>74</v>
      </c>
      <c r="U329" s="1" t="s">
        <v>74</v>
      </c>
      <c r="V329" s="1" t="s">
        <v>3252</v>
      </c>
      <c r="W329" s="1" t="s">
        <v>74</v>
      </c>
      <c r="X329" s="1" t="s">
        <v>74</v>
      </c>
      <c r="Y329" s="1" t="s">
        <v>74</v>
      </c>
      <c r="Z329" s="1" t="s">
        <v>74</v>
      </c>
      <c r="AA329" s="1" t="s">
        <v>2710</v>
      </c>
      <c r="AB329" s="1" t="s">
        <v>3253</v>
      </c>
      <c r="AC329" s="1" t="s">
        <v>74</v>
      </c>
      <c r="AD329" s="1" t="s">
        <v>74</v>
      </c>
      <c r="AE329" s="1" t="s">
        <v>74</v>
      </c>
      <c r="AF329" s="1" t="s">
        <v>74</v>
      </c>
      <c r="AG329" s="1" t="s">
        <v>74</v>
      </c>
      <c r="AH329" s="1" t="s">
        <v>74</v>
      </c>
      <c r="AI329" s="1" t="s">
        <v>74</v>
      </c>
      <c r="AJ329" s="1" t="s">
        <v>74</v>
      </c>
      <c r="AK329" s="1" t="s">
        <v>74</v>
      </c>
      <c r="AL329" s="1" t="s">
        <v>74</v>
      </c>
      <c r="AM329" s="1" t="s">
        <v>74</v>
      </c>
      <c r="AN329" s="1" t="s">
        <v>74</v>
      </c>
      <c r="AO329" s="1" t="s">
        <v>3254</v>
      </c>
      <c r="AP329" s="1" t="s">
        <v>3255</v>
      </c>
      <c r="AQ329" s="1" t="s">
        <v>74</v>
      </c>
      <c r="AR329" s="1" t="s">
        <v>74</v>
      </c>
      <c r="AS329" s="1" t="s">
        <v>74</v>
      </c>
      <c r="AT329" s="1" t="s">
        <v>310</v>
      </c>
      <c r="AU329" s="1">
        <v>2023.0</v>
      </c>
      <c r="AV329" s="1">
        <v>29.0</v>
      </c>
      <c r="AW329" s="1">
        <v>5.0</v>
      </c>
      <c r="AX329" s="1" t="s">
        <v>74</v>
      </c>
      <c r="AY329" s="1" t="s">
        <v>74</v>
      </c>
      <c r="AZ329" s="1" t="s">
        <v>74</v>
      </c>
      <c r="BA329" s="1" t="s">
        <v>74</v>
      </c>
      <c r="BB329" s="1">
        <v>2235.0</v>
      </c>
      <c r="BC329" s="1">
        <v>2250.0</v>
      </c>
      <c r="BD329" s="1" t="s">
        <v>74</v>
      </c>
      <c r="BE329" s="1" t="s">
        <v>3256</v>
      </c>
      <c r="BF329" s="2" t="str">
        <f>HYPERLINK("http://dx.doi.org/10.1007/s11276-023-03295-8","http://dx.doi.org/10.1007/s11276-023-03295-8")</f>
        <v>http://dx.doi.org/10.1007/s11276-023-03295-8</v>
      </c>
      <c r="BG329" s="1" t="s">
        <v>74</v>
      </c>
      <c r="BH329" s="1" t="s">
        <v>3257</v>
      </c>
      <c r="BI329" s="1" t="s">
        <v>74</v>
      </c>
      <c r="BJ329" s="1" t="s">
        <v>74</v>
      </c>
      <c r="BK329" s="1" t="s">
        <v>74</v>
      </c>
      <c r="BL329" s="1" t="s">
        <v>74</v>
      </c>
      <c r="BM329" s="1" t="s">
        <v>74</v>
      </c>
      <c r="BN329" s="1" t="s">
        <v>74</v>
      </c>
      <c r="BO329" s="1" t="s">
        <v>74</v>
      </c>
      <c r="BP329" s="1" t="s">
        <v>74</v>
      </c>
      <c r="BQ329" s="1" t="s">
        <v>74</v>
      </c>
      <c r="BR329" s="1" t="s">
        <v>74</v>
      </c>
      <c r="BS329" s="1" t="s">
        <v>3258</v>
      </c>
      <c r="BT329" s="1" t="str">
        <f>HYPERLINK("https%3A%2F%2Fwww.webofscience.com%2Fwos%2Fwoscc%2Ffull-record%2FWOS:000949741100004","View Full Record in Web of Science")</f>
        <v>View Full Record in Web of Science</v>
      </c>
    </row>
    <row r="330" ht="12.75" customHeight="1">
      <c r="A330" s="1" t="s">
        <v>72</v>
      </c>
      <c r="B330" s="1" t="s">
        <v>3259</v>
      </c>
      <c r="C330" s="1" t="s">
        <v>74</v>
      </c>
      <c r="D330" s="1" t="s">
        <v>74</v>
      </c>
      <c r="E330" s="1" t="s">
        <v>74</v>
      </c>
      <c r="F330" s="1" t="s">
        <v>3260</v>
      </c>
      <c r="G330" s="1" t="s">
        <v>74</v>
      </c>
      <c r="H330" s="1" t="s">
        <v>74</v>
      </c>
      <c r="I330" s="1" t="s">
        <v>3261</v>
      </c>
      <c r="J330" s="1" t="s">
        <v>2569</v>
      </c>
      <c r="K330" s="1" t="s">
        <v>74</v>
      </c>
      <c r="L330" s="1" t="s">
        <v>74</v>
      </c>
      <c r="M330" s="1" t="s">
        <v>74</v>
      </c>
      <c r="N330" s="1" t="s">
        <v>74</v>
      </c>
      <c r="O330" s="1" t="s">
        <v>74</v>
      </c>
      <c r="P330" s="1" t="s">
        <v>74</v>
      </c>
      <c r="Q330" s="1" t="s">
        <v>74</v>
      </c>
      <c r="R330" s="1" t="s">
        <v>74</v>
      </c>
      <c r="S330" s="1" t="s">
        <v>74</v>
      </c>
      <c r="T330" s="1" t="s">
        <v>74</v>
      </c>
      <c r="U330" s="1" t="s">
        <v>74</v>
      </c>
      <c r="V330" s="1" t="s">
        <v>3262</v>
      </c>
      <c r="W330" s="1" t="s">
        <v>74</v>
      </c>
      <c r="X330" s="1" t="s">
        <v>74</v>
      </c>
      <c r="Y330" s="1" t="s">
        <v>74</v>
      </c>
      <c r="Z330" s="1" t="s">
        <v>74</v>
      </c>
      <c r="AA330" s="1" t="s">
        <v>74</v>
      </c>
      <c r="AB330" s="1" t="s">
        <v>74</v>
      </c>
      <c r="AC330" s="1" t="s">
        <v>74</v>
      </c>
      <c r="AD330" s="1" t="s">
        <v>74</v>
      </c>
      <c r="AE330" s="1" t="s">
        <v>74</v>
      </c>
      <c r="AF330" s="1" t="s">
        <v>74</v>
      </c>
      <c r="AG330" s="1" t="s">
        <v>74</v>
      </c>
      <c r="AH330" s="1" t="s">
        <v>74</v>
      </c>
      <c r="AI330" s="1" t="s">
        <v>74</v>
      </c>
      <c r="AJ330" s="1" t="s">
        <v>74</v>
      </c>
      <c r="AK330" s="1" t="s">
        <v>74</v>
      </c>
      <c r="AL330" s="1" t="s">
        <v>74</v>
      </c>
      <c r="AM330" s="1" t="s">
        <v>74</v>
      </c>
      <c r="AN330" s="1" t="s">
        <v>74</v>
      </c>
      <c r="AO330" s="1" t="s">
        <v>2571</v>
      </c>
      <c r="AP330" s="1" t="s">
        <v>2572</v>
      </c>
      <c r="AQ330" s="1" t="s">
        <v>74</v>
      </c>
      <c r="AR330" s="1" t="s">
        <v>74</v>
      </c>
      <c r="AS330" s="1" t="s">
        <v>74</v>
      </c>
      <c r="AT330" s="1" t="s">
        <v>88</v>
      </c>
      <c r="AU330" s="1">
        <v>2023.0</v>
      </c>
      <c r="AV330" s="1">
        <v>25.0</v>
      </c>
      <c r="AW330" s="1">
        <v>2.0</v>
      </c>
      <c r="AX330" s="1" t="s">
        <v>74</v>
      </c>
      <c r="AY330" s="1" t="s">
        <v>74</v>
      </c>
      <c r="AZ330" s="1" t="s">
        <v>74</v>
      </c>
      <c r="BA330" s="1" t="s">
        <v>74</v>
      </c>
      <c r="BB330" s="1">
        <v>223.0</v>
      </c>
      <c r="BC330" s="1">
        <v>234.0</v>
      </c>
      <c r="BD330" s="1" t="s">
        <v>74</v>
      </c>
      <c r="BE330" s="1" t="s">
        <v>3263</v>
      </c>
      <c r="BF330" s="2" t="str">
        <f>HYPERLINK("http://dx.doi.org/10.1007/s10126-023-10196-6","http://dx.doi.org/10.1007/s10126-023-10196-6")</f>
        <v>http://dx.doi.org/10.1007/s10126-023-10196-6</v>
      </c>
      <c r="BG330" s="1" t="s">
        <v>74</v>
      </c>
      <c r="BH330" s="1" t="s">
        <v>3264</v>
      </c>
      <c r="BI330" s="1" t="s">
        <v>74</v>
      </c>
      <c r="BJ330" s="1" t="s">
        <v>74</v>
      </c>
      <c r="BK330" s="1" t="s">
        <v>74</v>
      </c>
      <c r="BL330" s="1" t="s">
        <v>74</v>
      </c>
      <c r="BM330" s="1" t="s">
        <v>74</v>
      </c>
      <c r="BN330" s="1">
        <v>3.6629943E7</v>
      </c>
      <c r="BO330" s="1" t="s">
        <v>74</v>
      </c>
      <c r="BP330" s="1" t="s">
        <v>74</v>
      </c>
      <c r="BQ330" s="1" t="s">
        <v>74</v>
      </c>
      <c r="BR330" s="1" t="s">
        <v>74</v>
      </c>
      <c r="BS330" s="1" t="s">
        <v>3265</v>
      </c>
      <c r="BT330" s="1" t="str">
        <f>HYPERLINK("https%3A%2F%2Fwww.webofscience.com%2Fwos%2Fwoscc%2Ffull-record%2FWOS:000913839500001","View Full Record in Web of Science")</f>
        <v>View Full Record in Web of Science</v>
      </c>
    </row>
    <row r="331" ht="12.75" customHeight="1">
      <c r="A331" s="1" t="s">
        <v>72</v>
      </c>
      <c r="B331" s="1" t="s">
        <v>3266</v>
      </c>
      <c r="C331" s="1" t="s">
        <v>74</v>
      </c>
      <c r="D331" s="1" t="s">
        <v>74</v>
      </c>
      <c r="E331" s="1" t="s">
        <v>74</v>
      </c>
      <c r="F331" s="1" t="s">
        <v>3267</v>
      </c>
      <c r="G331" s="1" t="s">
        <v>74</v>
      </c>
      <c r="H331" s="1" t="s">
        <v>74</v>
      </c>
      <c r="I331" s="1" t="s">
        <v>3268</v>
      </c>
      <c r="J331" s="1" t="s">
        <v>3269</v>
      </c>
      <c r="K331" s="1" t="s">
        <v>74</v>
      </c>
      <c r="L331" s="1" t="s">
        <v>74</v>
      </c>
      <c r="M331" s="1" t="s">
        <v>74</v>
      </c>
      <c r="N331" s="1" t="s">
        <v>74</v>
      </c>
      <c r="O331" s="1" t="s">
        <v>74</v>
      </c>
      <c r="P331" s="1" t="s">
        <v>74</v>
      </c>
      <c r="Q331" s="1" t="s">
        <v>74</v>
      </c>
      <c r="R331" s="1" t="s">
        <v>74</v>
      </c>
      <c r="S331" s="1" t="s">
        <v>74</v>
      </c>
      <c r="T331" s="1" t="s">
        <v>74</v>
      </c>
      <c r="U331" s="1" t="s">
        <v>74</v>
      </c>
      <c r="V331" s="1" t="s">
        <v>3270</v>
      </c>
      <c r="W331" s="1" t="s">
        <v>74</v>
      </c>
      <c r="X331" s="1" t="s">
        <v>74</v>
      </c>
      <c r="Y331" s="1" t="s">
        <v>74</v>
      </c>
      <c r="Z331" s="1" t="s">
        <v>74</v>
      </c>
      <c r="AA331" s="1" t="s">
        <v>3271</v>
      </c>
      <c r="AB331" s="1" t="s">
        <v>3272</v>
      </c>
      <c r="AC331" s="1" t="s">
        <v>74</v>
      </c>
      <c r="AD331" s="1" t="s">
        <v>74</v>
      </c>
      <c r="AE331" s="1" t="s">
        <v>74</v>
      </c>
      <c r="AF331" s="1" t="s">
        <v>74</v>
      </c>
      <c r="AG331" s="1" t="s">
        <v>74</v>
      </c>
      <c r="AH331" s="1" t="s">
        <v>74</v>
      </c>
      <c r="AI331" s="1" t="s">
        <v>74</v>
      </c>
      <c r="AJ331" s="1" t="s">
        <v>74</v>
      </c>
      <c r="AK331" s="1" t="s">
        <v>74</v>
      </c>
      <c r="AL331" s="1" t="s">
        <v>74</v>
      </c>
      <c r="AM331" s="1" t="s">
        <v>74</v>
      </c>
      <c r="AN331" s="1" t="s">
        <v>74</v>
      </c>
      <c r="AO331" s="1" t="s">
        <v>3273</v>
      </c>
      <c r="AP331" s="1" t="s">
        <v>3274</v>
      </c>
      <c r="AQ331" s="1" t="s">
        <v>74</v>
      </c>
      <c r="AR331" s="1" t="s">
        <v>74</v>
      </c>
      <c r="AS331" s="1" t="s">
        <v>74</v>
      </c>
      <c r="AT331" s="1" t="s">
        <v>3275</v>
      </c>
      <c r="AU331" s="1">
        <v>2023.0</v>
      </c>
      <c r="AV331" s="1">
        <v>1240.0</v>
      </c>
      <c r="AW331" s="1" t="s">
        <v>74</v>
      </c>
      <c r="AX331" s="1" t="s">
        <v>74</v>
      </c>
      <c r="AY331" s="1" t="s">
        <v>74</v>
      </c>
      <c r="AZ331" s="1" t="s">
        <v>74</v>
      </c>
      <c r="BA331" s="1" t="s">
        <v>74</v>
      </c>
      <c r="BB331" s="1" t="s">
        <v>74</v>
      </c>
      <c r="BC331" s="1" t="s">
        <v>74</v>
      </c>
      <c r="BD331" s="1">
        <v>340745.0</v>
      </c>
      <c r="BE331" s="1" t="s">
        <v>3276</v>
      </c>
      <c r="BF331" s="2" t="str">
        <f>HYPERLINK("http://dx.doi.org/10.1016/j.aca.2022.340745","http://dx.doi.org/10.1016/j.aca.2022.340745")</f>
        <v>http://dx.doi.org/10.1016/j.aca.2022.340745</v>
      </c>
      <c r="BG331" s="1" t="s">
        <v>74</v>
      </c>
      <c r="BH331" s="1" t="s">
        <v>3277</v>
      </c>
      <c r="BI331" s="1" t="s">
        <v>74</v>
      </c>
      <c r="BJ331" s="1" t="s">
        <v>74</v>
      </c>
      <c r="BK331" s="1" t="s">
        <v>74</v>
      </c>
      <c r="BL331" s="1" t="s">
        <v>74</v>
      </c>
      <c r="BM331" s="1" t="s">
        <v>74</v>
      </c>
      <c r="BN331" s="1">
        <v>3.6641154E7</v>
      </c>
      <c r="BO331" s="1" t="s">
        <v>74</v>
      </c>
      <c r="BP331" s="1" t="s">
        <v>74</v>
      </c>
      <c r="BQ331" s="1" t="s">
        <v>74</v>
      </c>
      <c r="BR331" s="1" t="s">
        <v>74</v>
      </c>
      <c r="BS331" s="1" t="s">
        <v>3278</v>
      </c>
      <c r="BT331" s="1" t="str">
        <f>HYPERLINK("https%3A%2F%2Fwww.webofscience.com%2Fwos%2Fwoscc%2Ffull-record%2FWOS:000923166000001","View Full Record in Web of Science")</f>
        <v>View Full Record in Web of Science</v>
      </c>
    </row>
    <row r="332" ht="12.75" customHeight="1">
      <c r="A332" s="1" t="s">
        <v>72</v>
      </c>
      <c r="B332" s="1" t="s">
        <v>2443</v>
      </c>
      <c r="C332" s="1" t="s">
        <v>74</v>
      </c>
      <c r="D332" s="1" t="s">
        <v>74</v>
      </c>
      <c r="E332" s="1" t="s">
        <v>74</v>
      </c>
      <c r="F332" s="1" t="s">
        <v>2444</v>
      </c>
      <c r="G332" s="1" t="s">
        <v>74</v>
      </c>
      <c r="H332" s="1" t="s">
        <v>74</v>
      </c>
      <c r="I332" s="1" t="s">
        <v>3279</v>
      </c>
      <c r="J332" s="1" t="s">
        <v>689</v>
      </c>
      <c r="K332" s="1" t="s">
        <v>74</v>
      </c>
      <c r="L332" s="1" t="s">
        <v>74</v>
      </c>
      <c r="M332" s="1" t="s">
        <v>74</v>
      </c>
      <c r="N332" s="1" t="s">
        <v>74</v>
      </c>
      <c r="O332" s="1" t="s">
        <v>74</v>
      </c>
      <c r="P332" s="1" t="s">
        <v>74</v>
      </c>
      <c r="Q332" s="1" t="s">
        <v>74</v>
      </c>
      <c r="R332" s="1" t="s">
        <v>74</v>
      </c>
      <c r="S332" s="1" t="s">
        <v>74</v>
      </c>
      <c r="T332" s="1" t="s">
        <v>74</v>
      </c>
      <c r="U332" s="1" t="s">
        <v>74</v>
      </c>
      <c r="V332" s="1" t="s">
        <v>3280</v>
      </c>
      <c r="W332" s="1" t="s">
        <v>74</v>
      </c>
      <c r="X332" s="1" t="s">
        <v>74</v>
      </c>
      <c r="Y332" s="1" t="s">
        <v>74</v>
      </c>
      <c r="Z332" s="1" t="s">
        <v>74</v>
      </c>
      <c r="AA332" s="1" t="s">
        <v>3281</v>
      </c>
      <c r="AB332" s="1" t="s">
        <v>3282</v>
      </c>
      <c r="AC332" s="1" t="s">
        <v>74</v>
      </c>
      <c r="AD332" s="1" t="s">
        <v>74</v>
      </c>
      <c r="AE332" s="1" t="s">
        <v>74</v>
      </c>
      <c r="AF332" s="1" t="s">
        <v>74</v>
      </c>
      <c r="AG332" s="1" t="s">
        <v>74</v>
      </c>
      <c r="AH332" s="1" t="s">
        <v>74</v>
      </c>
      <c r="AI332" s="1" t="s">
        <v>74</v>
      </c>
      <c r="AJ332" s="1" t="s">
        <v>74</v>
      </c>
      <c r="AK332" s="1" t="s">
        <v>74</v>
      </c>
      <c r="AL332" s="1" t="s">
        <v>74</v>
      </c>
      <c r="AM332" s="1" t="s">
        <v>74</v>
      </c>
      <c r="AN332" s="1" t="s">
        <v>74</v>
      </c>
      <c r="AO332" s="1" t="s">
        <v>692</v>
      </c>
      <c r="AP332" s="1" t="s">
        <v>693</v>
      </c>
      <c r="AQ332" s="1" t="s">
        <v>74</v>
      </c>
      <c r="AR332" s="1" t="s">
        <v>74</v>
      </c>
      <c r="AS332" s="1" t="s">
        <v>74</v>
      </c>
      <c r="AT332" s="1" t="s">
        <v>2668</v>
      </c>
      <c r="AU332" s="1">
        <v>2022.0</v>
      </c>
      <c r="AV332" s="1">
        <v>511.0</v>
      </c>
      <c r="AW332" s="1">
        <v>1.0</v>
      </c>
      <c r="AX332" s="1" t="s">
        <v>74</v>
      </c>
      <c r="AY332" s="1" t="s">
        <v>74</v>
      </c>
      <c r="AZ332" s="1" t="s">
        <v>74</v>
      </c>
      <c r="BA332" s="1" t="s">
        <v>74</v>
      </c>
      <c r="BB332" s="1" t="s">
        <v>74</v>
      </c>
      <c r="BC332" s="1" t="s">
        <v>74</v>
      </c>
      <c r="BD332" s="1">
        <v>126051.0</v>
      </c>
      <c r="BE332" s="1" t="s">
        <v>3283</v>
      </c>
      <c r="BF332" s="2" t="str">
        <f>HYPERLINK("http://dx.doi.org/10.1016/j.jmaa.2022.126051","http://dx.doi.org/10.1016/j.jmaa.2022.126051")</f>
        <v>http://dx.doi.org/10.1016/j.jmaa.2022.126051</v>
      </c>
      <c r="BG332" s="1" t="s">
        <v>74</v>
      </c>
      <c r="BH332" s="1" t="s">
        <v>3284</v>
      </c>
      <c r="BI332" s="1" t="s">
        <v>74</v>
      </c>
      <c r="BJ332" s="1" t="s">
        <v>74</v>
      </c>
      <c r="BK332" s="1" t="s">
        <v>74</v>
      </c>
      <c r="BL332" s="1" t="s">
        <v>74</v>
      </c>
      <c r="BM332" s="1" t="s">
        <v>74</v>
      </c>
      <c r="BN332" s="1" t="s">
        <v>74</v>
      </c>
      <c r="BO332" s="1" t="s">
        <v>74</v>
      </c>
      <c r="BP332" s="1" t="s">
        <v>74</v>
      </c>
      <c r="BQ332" s="1" t="s">
        <v>74</v>
      </c>
      <c r="BR332" s="1" t="s">
        <v>74</v>
      </c>
      <c r="BS332" s="1" t="s">
        <v>3285</v>
      </c>
      <c r="BT332" s="1" t="str">
        <f>HYPERLINK("https%3A%2F%2Fwww.webofscience.com%2Fwos%2Fwoscc%2Ffull-record%2FWOS:000792720200016","View Full Record in Web of Science")</f>
        <v>View Full Record in Web of Science</v>
      </c>
    </row>
    <row r="333" ht="12.75" customHeight="1">
      <c r="A333" s="1" t="s">
        <v>72</v>
      </c>
      <c r="B333" s="1" t="s">
        <v>3286</v>
      </c>
      <c r="C333" s="1" t="s">
        <v>74</v>
      </c>
      <c r="D333" s="1" t="s">
        <v>74</v>
      </c>
      <c r="E333" s="1" t="s">
        <v>74</v>
      </c>
      <c r="F333" s="1" t="s">
        <v>3287</v>
      </c>
      <c r="G333" s="1" t="s">
        <v>74</v>
      </c>
      <c r="H333" s="1" t="s">
        <v>74</v>
      </c>
      <c r="I333" s="1" t="s">
        <v>3288</v>
      </c>
      <c r="J333" s="1" t="s">
        <v>3289</v>
      </c>
      <c r="K333" s="1" t="s">
        <v>74</v>
      </c>
      <c r="L333" s="1" t="s">
        <v>74</v>
      </c>
      <c r="M333" s="1" t="s">
        <v>74</v>
      </c>
      <c r="N333" s="1" t="s">
        <v>74</v>
      </c>
      <c r="O333" s="1" t="s">
        <v>74</v>
      </c>
      <c r="P333" s="1" t="s">
        <v>74</v>
      </c>
      <c r="Q333" s="1" t="s">
        <v>74</v>
      </c>
      <c r="R333" s="1" t="s">
        <v>74</v>
      </c>
      <c r="S333" s="1" t="s">
        <v>74</v>
      </c>
      <c r="T333" s="1" t="s">
        <v>74</v>
      </c>
      <c r="U333" s="1" t="s">
        <v>74</v>
      </c>
      <c r="V333" s="1" t="s">
        <v>3290</v>
      </c>
      <c r="W333" s="1" t="s">
        <v>74</v>
      </c>
      <c r="X333" s="1" t="s">
        <v>74</v>
      </c>
      <c r="Y333" s="1" t="s">
        <v>74</v>
      </c>
      <c r="Z333" s="1" t="s">
        <v>74</v>
      </c>
      <c r="AA333" s="1" t="s">
        <v>3291</v>
      </c>
      <c r="AB333" s="1" t="s">
        <v>3292</v>
      </c>
      <c r="AC333" s="1" t="s">
        <v>74</v>
      </c>
      <c r="AD333" s="1" t="s">
        <v>74</v>
      </c>
      <c r="AE333" s="1" t="s">
        <v>74</v>
      </c>
      <c r="AF333" s="1" t="s">
        <v>74</v>
      </c>
      <c r="AG333" s="1" t="s">
        <v>74</v>
      </c>
      <c r="AH333" s="1" t="s">
        <v>74</v>
      </c>
      <c r="AI333" s="1" t="s">
        <v>74</v>
      </c>
      <c r="AJ333" s="1" t="s">
        <v>74</v>
      </c>
      <c r="AK333" s="1" t="s">
        <v>74</v>
      </c>
      <c r="AL333" s="1" t="s">
        <v>74</v>
      </c>
      <c r="AM333" s="1" t="s">
        <v>74</v>
      </c>
      <c r="AN333" s="1" t="s">
        <v>74</v>
      </c>
      <c r="AO333" s="1" t="s">
        <v>3293</v>
      </c>
      <c r="AP333" s="1" t="s">
        <v>3294</v>
      </c>
      <c r="AQ333" s="1" t="s">
        <v>74</v>
      </c>
      <c r="AR333" s="1" t="s">
        <v>74</v>
      </c>
      <c r="AS333" s="1" t="s">
        <v>74</v>
      </c>
      <c r="AT333" s="1" t="s">
        <v>88</v>
      </c>
      <c r="AU333" s="1">
        <v>2022.0</v>
      </c>
      <c r="AV333" s="1">
        <v>116.0</v>
      </c>
      <c r="AW333" s="1" t="s">
        <v>74</v>
      </c>
      <c r="AX333" s="1" t="s">
        <v>74</v>
      </c>
      <c r="AY333" s="1" t="s">
        <v>74</v>
      </c>
      <c r="AZ333" s="1" t="s">
        <v>74</v>
      </c>
      <c r="BA333" s="1" t="s">
        <v>74</v>
      </c>
      <c r="BB333" s="1" t="s">
        <v>74</v>
      </c>
      <c r="BC333" s="1" t="s">
        <v>74</v>
      </c>
      <c r="BD333" s="1">
        <v>102466.0</v>
      </c>
      <c r="BE333" s="1" t="s">
        <v>3295</v>
      </c>
      <c r="BF333" s="2" t="str">
        <f>HYPERLINK("http://dx.doi.org/10.1016/j.simpat.2021.102466","http://dx.doi.org/10.1016/j.simpat.2021.102466")</f>
        <v>http://dx.doi.org/10.1016/j.simpat.2021.102466</v>
      </c>
      <c r="BG333" s="1" t="s">
        <v>74</v>
      </c>
      <c r="BH333" s="1" t="s">
        <v>3296</v>
      </c>
      <c r="BI333" s="1" t="s">
        <v>74</v>
      </c>
      <c r="BJ333" s="1" t="s">
        <v>74</v>
      </c>
      <c r="BK333" s="1" t="s">
        <v>74</v>
      </c>
      <c r="BL333" s="1" t="s">
        <v>74</v>
      </c>
      <c r="BM333" s="1" t="s">
        <v>74</v>
      </c>
      <c r="BN333" s="1" t="s">
        <v>74</v>
      </c>
      <c r="BO333" s="1" t="s">
        <v>74</v>
      </c>
      <c r="BP333" s="1" t="s">
        <v>74</v>
      </c>
      <c r="BQ333" s="1" t="s">
        <v>74</v>
      </c>
      <c r="BR333" s="1" t="s">
        <v>74</v>
      </c>
      <c r="BS333" s="1" t="s">
        <v>3297</v>
      </c>
      <c r="BT333" s="1" t="str">
        <f>HYPERLINK("https%3A%2F%2Fwww.webofscience.com%2Fwos%2Fwoscc%2Ffull-record%2FWOS:000774204800001","View Full Record in Web of Science")</f>
        <v>View Full Record in Web of Science</v>
      </c>
    </row>
    <row r="334" ht="12.75" customHeight="1">
      <c r="A334" s="1" t="s">
        <v>251</v>
      </c>
      <c r="B334" s="1" t="s">
        <v>3298</v>
      </c>
      <c r="C334" s="1" t="s">
        <v>74</v>
      </c>
      <c r="D334" s="1" t="s">
        <v>3299</v>
      </c>
      <c r="E334" s="1" t="s">
        <v>74</v>
      </c>
      <c r="F334" s="1" t="s">
        <v>3300</v>
      </c>
      <c r="G334" s="1" t="s">
        <v>74</v>
      </c>
      <c r="H334" s="1" t="s">
        <v>74</v>
      </c>
      <c r="I334" s="1" t="s">
        <v>3301</v>
      </c>
      <c r="J334" s="1" t="s">
        <v>3302</v>
      </c>
      <c r="K334" s="1" t="s">
        <v>3303</v>
      </c>
      <c r="L334" s="1" t="s">
        <v>74</v>
      </c>
      <c r="M334" s="1" t="s">
        <v>74</v>
      </c>
      <c r="N334" s="1" t="s">
        <v>74</v>
      </c>
      <c r="O334" s="1" t="s">
        <v>3304</v>
      </c>
      <c r="P334" s="1" t="s">
        <v>3305</v>
      </c>
      <c r="Q334" s="1" t="s">
        <v>3306</v>
      </c>
      <c r="R334" s="1" t="s">
        <v>74</v>
      </c>
      <c r="S334" s="1" t="s">
        <v>74</v>
      </c>
      <c r="T334" s="1" t="s">
        <v>74</v>
      </c>
      <c r="U334" s="1" t="s">
        <v>74</v>
      </c>
      <c r="V334" s="1" t="s">
        <v>3307</v>
      </c>
      <c r="W334" s="1" t="s">
        <v>74</v>
      </c>
      <c r="X334" s="1" t="s">
        <v>74</v>
      </c>
      <c r="Y334" s="1" t="s">
        <v>74</v>
      </c>
      <c r="Z334" s="1" t="s">
        <v>74</v>
      </c>
      <c r="AA334" s="1" t="s">
        <v>3308</v>
      </c>
      <c r="AB334" s="1" t="s">
        <v>3309</v>
      </c>
      <c r="AC334" s="1" t="s">
        <v>74</v>
      </c>
      <c r="AD334" s="1" t="s">
        <v>74</v>
      </c>
      <c r="AE334" s="1" t="s">
        <v>74</v>
      </c>
      <c r="AF334" s="1" t="s">
        <v>74</v>
      </c>
      <c r="AG334" s="1" t="s">
        <v>74</v>
      </c>
      <c r="AH334" s="1" t="s">
        <v>74</v>
      </c>
      <c r="AI334" s="1" t="s">
        <v>74</v>
      </c>
      <c r="AJ334" s="1" t="s">
        <v>74</v>
      </c>
      <c r="AK334" s="1" t="s">
        <v>74</v>
      </c>
      <c r="AL334" s="1" t="s">
        <v>74</v>
      </c>
      <c r="AM334" s="1" t="s">
        <v>74</v>
      </c>
      <c r="AN334" s="1" t="s">
        <v>74</v>
      </c>
      <c r="AO334" s="1" t="s">
        <v>3310</v>
      </c>
      <c r="AP334" s="1" t="s">
        <v>3311</v>
      </c>
      <c r="AQ334" s="1" t="s">
        <v>3312</v>
      </c>
      <c r="AR334" s="1" t="s">
        <v>74</v>
      </c>
      <c r="AS334" s="1" t="s">
        <v>74</v>
      </c>
      <c r="AT334" s="1" t="s">
        <v>74</v>
      </c>
      <c r="AU334" s="1">
        <v>2022.0</v>
      </c>
      <c r="AV334" s="1">
        <v>259.0</v>
      </c>
      <c r="AW334" s="1" t="s">
        <v>74</v>
      </c>
      <c r="AX334" s="1" t="s">
        <v>74</v>
      </c>
      <c r="AY334" s="1" t="s">
        <v>74</v>
      </c>
      <c r="AZ334" s="1" t="s">
        <v>74</v>
      </c>
      <c r="BA334" s="1" t="s">
        <v>74</v>
      </c>
      <c r="BB334" s="1">
        <v>216.0</v>
      </c>
      <c r="BC334" s="1">
        <v>226.0</v>
      </c>
      <c r="BD334" s="1" t="s">
        <v>74</v>
      </c>
      <c r="BE334" s="1" t="s">
        <v>3313</v>
      </c>
      <c r="BF334" s="2" t="str">
        <f>HYPERLINK("http://dx.doi.org/10.1007/978-981-16-5792-4_22","http://dx.doi.org/10.1007/978-981-16-5792-4_22")</f>
        <v>http://dx.doi.org/10.1007/978-981-16-5792-4_22</v>
      </c>
      <c r="BG334" s="1" t="s">
        <v>74</v>
      </c>
      <c r="BH334" s="1" t="s">
        <v>74</v>
      </c>
      <c r="BI334" s="1" t="s">
        <v>74</v>
      </c>
      <c r="BJ334" s="1" t="s">
        <v>74</v>
      </c>
      <c r="BK334" s="1" t="s">
        <v>74</v>
      </c>
      <c r="BL334" s="1" t="s">
        <v>74</v>
      </c>
      <c r="BM334" s="1" t="s">
        <v>74</v>
      </c>
      <c r="BN334" s="1" t="s">
        <v>74</v>
      </c>
      <c r="BO334" s="1" t="s">
        <v>74</v>
      </c>
      <c r="BP334" s="1" t="s">
        <v>74</v>
      </c>
      <c r="BQ334" s="1" t="s">
        <v>74</v>
      </c>
      <c r="BR334" s="1" t="s">
        <v>74</v>
      </c>
      <c r="BS334" s="1" t="s">
        <v>3314</v>
      </c>
      <c r="BT334" s="1" t="str">
        <f>HYPERLINK("https%3A%2F%2Fwww.webofscience.com%2Fwos%2Fwoscc%2Ffull-record%2FWOS:000867637000022","View Full Record in Web of Science")</f>
        <v>View Full Record in Web of Science</v>
      </c>
    </row>
    <row r="335" ht="12.75" customHeight="1">
      <c r="A335" s="1" t="s">
        <v>72</v>
      </c>
      <c r="B335" s="1" t="s">
        <v>3315</v>
      </c>
      <c r="C335" s="1" t="s">
        <v>74</v>
      </c>
      <c r="D335" s="1" t="s">
        <v>74</v>
      </c>
      <c r="E335" s="1" t="s">
        <v>74</v>
      </c>
      <c r="F335" s="1" t="s">
        <v>3316</v>
      </c>
      <c r="G335" s="1" t="s">
        <v>74</v>
      </c>
      <c r="H335" s="1" t="s">
        <v>74</v>
      </c>
      <c r="I335" s="1" t="s">
        <v>3317</v>
      </c>
      <c r="J335" s="1" t="s">
        <v>3318</v>
      </c>
      <c r="K335" s="1" t="s">
        <v>74</v>
      </c>
      <c r="L335" s="1" t="s">
        <v>74</v>
      </c>
      <c r="M335" s="1" t="s">
        <v>74</v>
      </c>
      <c r="N335" s="1" t="s">
        <v>74</v>
      </c>
      <c r="O335" s="1" t="s">
        <v>74</v>
      </c>
      <c r="P335" s="1" t="s">
        <v>74</v>
      </c>
      <c r="Q335" s="1" t="s">
        <v>74</v>
      </c>
      <c r="R335" s="1" t="s">
        <v>74</v>
      </c>
      <c r="S335" s="1" t="s">
        <v>74</v>
      </c>
      <c r="T335" s="1" t="s">
        <v>74</v>
      </c>
      <c r="U335" s="1" t="s">
        <v>74</v>
      </c>
      <c r="V335" s="1" t="s">
        <v>3319</v>
      </c>
      <c r="W335" s="1" t="s">
        <v>74</v>
      </c>
      <c r="X335" s="1" t="s">
        <v>74</v>
      </c>
      <c r="Y335" s="1" t="s">
        <v>74</v>
      </c>
      <c r="Z335" s="1" t="s">
        <v>74</v>
      </c>
      <c r="AA335" s="1" t="s">
        <v>3320</v>
      </c>
      <c r="AB335" s="1" t="s">
        <v>74</v>
      </c>
      <c r="AC335" s="1" t="s">
        <v>74</v>
      </c>
      <c r="AD335" s="1" t="s">
        <v>74</v>
      </c>
      <c r="AE335" s="1" t="s">
        <v>74</v>
      </c>
      <c r="AF335" s="1" t="s">
        <v>74</v>
      </c>
      <c r="AG335" s="1" t="s">
        <v>74</v>
      </c>
      <c r="AH335" s="1" t="s">
        <v>74</v>
      </c>
      <c r="AI335" s="1" t="s">
        <v>74</v>
      </c>
      <c r="AJ335" s="1" t="s">
        <v>74</v>
      </c>
      <c r="AK335" s="1" t="s">
        <v>74</v>
      </c>
      <c r="AL335" s="1" t="s">
        <v>74</v>
      </c>
      <c r="AM335" s="1" t="s">
        <v>74</v>
      </c>
      <c r="AN335" s="1" t="s">
        <v>74</v>
      </c>
      <c r="AO335" s="1" t="s">
        <v>3321</v>
      </c>
      <c r="AP335" s="1" t="s">
        <v>74</v>
      </c>
      <c r="AQ335" s="1" t="s">
        <v>74</v>
      </c>
      <c r="AR335" s="1" t="s">
        <v>74</v>
      </c>
      <c r="AS335" s="1" t="s">
        <v>74</v>
      </c>
      <c r="AT335" s="1" t="s">
        <v>110</v>
      </c>
      <c r="AU335" s="1">
        <v>2021.0</v>
      </c>
      <c r="AV335" s="1" t="s">
        <v>74</v>
      </c>
      <c r="AW335" s="1">
        <v>524.0</v>
      </c>
      <c r="AX335" s="1" t="s">
        <v>74</v>
      </c>
      <c r="AY335" s="1" t="s">
        <v>74</v>
      </c>
      <c r="AZ335" s="1" t="s">
        <v>74</v>
      </c>
      <c r="BA335" s="1" t="s">
        <v>74</v>
      </c>
      <c r="BB335" s="1">
        <v>175.0</v>
      </c>
      <c r="BC335" s="1">
        <v>194.0</v>
      </c>
      <c r="BD335" s="1" t="s">
        <v>74</v>
      </c>
      <c r="BE335" s="1" t="s">
        <v>3322</v>
      </c>
      <c r="BF335" s="2" t="str">
        <f>HYPERLINK("http://dx.doi.org/10.29393/At524-10EGTT20010","http://dx.doi.org/10.29393/At524-10EGTT20010")</f>
        <v>http://dx.doi.org/10.29393/At524-10EGTT20010</v>
      </c>
      <c r="BG335" s="1" t="s">
        <v>74</v>
      </c>
      <c r="BH335" s="1" t="s">
        <v>74</v>
      </c>
      <c r="BI335" s="1" t="s">
        <v>74</v>
      </c>
      <c r="BJ335" s="1" t="s">
        <v>74</v>
      </c>
      <c r="BK335" s="1" t="s">
        <v>74</v>
      </c>
      <c r="BL335" s="1" t="s">
        <v>74</v>
      </c>
      <c r="BM335" s="1" t="s">
        <v>74</v>
      </c>
      <c r="BN335" s="1" t="s">
        <v>74</v>
      </c>
      <c r="BO335" s="1" t="s">
        <v>74</v>
      </c>
      <c r="BP335" s="1" t="s">
        <v>74</v>
      </c>
      <c r="BQ335" s="1" t="s">
        <v>74</v>
      </c>
      <c r="BR335" s="1" t="s">
        <v>74</v>
      </c>
      <c r="BS335" s="1" t="s">
        <v>3323</v>
      </c>
      <c r="BT335" s="1" t="str">
        <f>HYPERLINK("https%3A%2F%2Fwww.webofscience.com%2Fwos%2Fwoscc%2Ffull-record%2FWOS:000747390900010","View Full Record in Web of Science")</f>
        <v>View Full Record in Web of Science</v>
      </c>
    </row>
    <row r="336" ht="12.75" customHeight="1">
      <c r="A336" s="1" t="s">
        <v>72</v>
      </c>
      <c r="B336" s="1" t="s">
        <v>3324</v>
      </c>
      <c r="C336" s="1" t="s">
        <v>74</v>
      </c>
      <c r="D336" s="1" t="s">
        <v>74</v>
      </c>
      <c r="E336" s="1" t="s">
        <v>74</v>
      </c>
      <c r="F336" s="1" t="s">
        <v>3325</v>
      </c>
      <c r="G336" s="1" t="s">
        <v>74</v>
      </c>
      <c r="H336" s="1" t="s">
        <v>74</v>
      </c>
      <c r="I336" s="1" t="s">
        <v>3326</v>
      </c>
      <c r="J336" s="1" t="s">
        <v>3327</v>
      </c>
      <c r="K336" s="1" t="s">
        <v>74</v>
      </c>
      <c r="L336" s="1" t="s">
        <v>74</v>
      </c>
      <c r="M336" s="1" t="s">
        <v>74</v>
      </c>
      <c r="N336" s="1" t="s">
        <v>74</v>
      </c>
      <c r="O336" s="1" t="s">
        <v>74</v>
      </c>
      <c r="P336" s="1" t="s">
        <v>74</v>
      </c>
      <c r="Q336" s="1" t="s">
        <v>74</v>
      </c>
      <c r="R336" s="1" t="s">
        <v>74</v>
      </c>
      <c r="S336" s="1" t="s">
        <v>74</v>
      </c>
      <c r="T336" s="1" t="s">
        <v>74</v>
      </c>
      <c r="U336" s="1" t="s">
        <v>74</v>
      </c>
      <c r="V336" s="1" t="s">
        <v>74</v>
      </c>
      <c r="W336" s="1" t="s">
        <v>74</v>
      </c>
      <c r="X336" s="1" t="s">
        <v>74</v>
      </c>
      <c r="Y336" s="1" t="s">
        <v>74</v>
      </c>
      <c r="Z336" s="1" t="s">
        <v>74</v>
      </c>
      <c r="AA336" s="1" t="s">
        <v>74</v>
      </c>
      <c r="AB336" s="1" t="s">
        <v>74</v>
      </c>
      <c r="AC336" s="1" t="s">
        <v>74</v>
      </c>
      <c r="AD336" s="1" t="s">
        <v>74</v>
      </c>
      <c r="AE336" s="1" t="s">
        <v>74</v>
      </c>
      <c r="AF336" s="1" t="s">
        <v>74</v>
      </c>
      <c r="AG336" s="1" t="s">
        <v>74</v>
      </c>
      <c r="AH336" s="1" t="s">
        <v>74</v>
      </c>
      <c r="AI336" s="1" t="s">
        <v>74</v>
      </c>
      <c r="AJ336" s="1" t="s">
        <v>74</v>
      </c>
      <c r="AK336" s="1" t="s">
        <v>74</v>
      </c>
      <c r="AL336" s="1" t="s">
        <v>74</v>
      </c>
      <c r="AM336" s="1" t="s">
        <v>74</v>
      </c>
      <c r="AN336" s="1" t="s">
        <v>74</v>
      </c>
      <c r="AO336" s="1" t="s">
        <v>3328</v>
      </c>
      <c r="AP336" s="1" t="s">
        <v>3329</v>
      </c>
      <c r="AQ336" s="1" t="s">
        <v>74</v>
      </c>
      <c r="AR336" s="1" t="s">
        <v>74</v>
      </c>
      <c r="AS336" s="1" t="s">
        <v>74</v>
      </c>
      <c r="AT336" s="1" t="s">
        <v>459</v>
      </c>
      <c r="AU336" s="1">
        <v>2021.0</v>
      </c>
      <c r="AV336" s="1">
        <v>40.0</v>
      </c>
      <c r="AW336" s="1">
        <v>4.0</v>
      </c>
      <c r="AX336" s="1" t="s">
        <v>74</v>
      </c>
      <c r="AY336" s="1" t="s">
        <v>74</v>
      </c>
      <c r="AZ336" s="1" t="s">
        <v>411</v>
      </c>
      <c r="BA336" s="1" t="s">
        <v>74</v>
      </c>
      <c r="BB336" s="1">
        <v>617.0</v>
      </c>
      <c r="BC336" s="1">
        <v>618.0</v>
      </c>
      <c r="BD336" s="1" t="s">
        <v>74</v>
      </c>
      <c r="BE336" s="1" t="s">
        <v>3330</v>
      </c>
      <c r="BF336" s="2" t="str">
        <f>HYPERLINK("http://dx.doi.org/10.1111/blar.13305","http://dx.doi.org/10.1111/blar.13305")</f>
        <v>http://dx.doi.org/10.1111/blar.13305</v>
      </c>
      <c r="BG336" s="1" t="s">
        <v>74</v>
      </c>
      <c r="BH336" s="1" t="s">
        <v>74</v>
      </c>
      <c r="BI336" s="1" t="s">
        <v>74</v>
      </c>
      <c r="BJ336" s="1" t="s">
        <v>74</v>
      </c>
      <c r="BK336" s="1" t="s">
        <v>74</v>
      </c>
      <c r="BL336" s="1" t="s">
        <v>74</v>
      </c>
      <c r="BM336" s="1" t="s">
        <v>74</v>
      </c>
      <c r="BN336" s="1" t="s">
        <v>74</v>
      </c>
      <c r="BO336" s="1" t="s">
        <v>74</v>
      </c>
      <c r="BP336" s="1" t="s">
        <v>74</v>
      </c>
      <c r="BQ336" s="1" t="s">
        <v>74</v>
      </c>
      <c r="BR336" s="1" t="s">
        <v>74</v>
      </c>
      <c r="BS336" s="1" t="s">
        <v>3331</v>
      </c>
      <c r="BT336" s="1" t="str">
        <f>HYPERLINK("https%3A%2F%2Fwww.webofscience.com%2Fwos%2Fwoscc%2Ffull-record%2FWOS:000703883800014","View Full Record in Web of Science")</f>
        <v>View Full Record in Web of Science</v>
      </c>
    </row>
    <row r="337" ht="12.75" customHeight="1">
      <c r="A337" s="1" t="s">
        <v>72</v>
      </c>
      <c r="B337" s="1" t="s">
        <v>3332</v>
      </c>
      <c r="C337" s="1" t="s">
        <v>74</v>
      </c>
      <c r="D337" s="1" t="s">
        <v>74</v>
      </c>
      <c r="E337" s="1" t="s">
        <v>74</v>
      </c>
      <c r="F337" s="1" t="s">
        <v>3333</v>
      </c>
      <c r="G337" s="1" t="s">
        <v>74</v>
      </c>
      <c r="H337" s="1" t="s">
        <v>74</v>
      </c>
      <c r="I337" s="1" t="s">
        <v>3334</v>
      </c>
      <c r="J337" s="1" t="s">
        <v>3335</v>
      </c>
      <c r="K337" s="1" t="s">
        <v>74</v>
      </c>
      <c r="L337" s="1" t="s">
        <v>74</v>
      </c>
      <c r="M337" s="1" t="s">
        <v>74</v>
      </c>
      <c r="N337" s="1" t="s">
        <v>74</v>
      </c>
      <c r="O337" s="1" t="s">
        <v>74</v>
      </c>
      <c r="P337" s="1" t="s">
        <v>74</v>
      </c>
      <c r="Q337" s="1" t="s">
        <v>74</v>
      </c>
      <c r="R337" s="1" t="s">
        <v>74</v>
      </c>
      <c r="S337" s="1" t="s">
        <v>74</v>
      </c>
      <c r="T337" s="1" t="s">
        <v>74</v>
      </c>
      <c r="U337" s="1" t="s">
        <v>74</v>
      </c>
      <c r="V337" s="1" t="s">
        <v>3336</v>
      </c>
      <c r="W337" s="1" t="s">
        <v>74</v>
      </c>
      <c r="X337" s="1" t="s">
        <v>74</v>
      </c>
      <c r="Y337" s="1" t="s">
        <v>74</v>
      </c>
      <c r="Z337" s="1" t="s">
        <v>74</v>
      </c>
      <c r="AA337" s="1" t="s">
        <v>3337</v>
      </c>
      <c r="AB337" s="1" t="s">
        <v>3338</v>
      </c>
      <c r="AC337" s="1" t="s">
        <v>74</v>
      </c>
      <c r="AD337" s="1" t="s">
        <v>74</v>
      </c>
      <c r="AE337" s="1" t="s">
        <v>74</v>
      </c>
      <c r="AF337" s="1" t="s">
        <v>74</v>
      </c>
      <c r="AG337" s="1" t="s">
        <v>74</v>
      </c>
      <c r="AH337" s="1" t="s">
        <v>74</v>
      </c>
      <c r="AI337" s="1" t="s">
        <v>74</v>
      </c>
      <c r="AJ337" s="1" t="s">
        <v>74</v>
      </c>
      <c r="AK337" s="1" t="s">
        <v>74</v>
      </c>
      <c r="AL337" s="1" t="s">
        <v>74</v>
      </c>
      <c r="AM337" s="1" t="s">
        <v>74</v>
      </c>
      <c r="AN337" s="1" t="s">
        <v>74</v>
      </c>
      <c r="AO337" s="1" t="s">
        <v>3339</v>
      </c>
      <c r="AP337" s="1" t="s">
        <v>3340</v>
      </c>
      <c r="AQ337" s="1" t="s">
        <v>74</v>
      </c>
      <c r="AR337" s="1" t="s">
        <v>74</v>
      </c>
      <c r="AS337" s="1" t="s">
        <v>74</v>
      </c>
      <c r="AT337" s="1" t="s">
        <v>215</v>
      </c>
      <c r="AU337" s="1">
        <v>2021.0</v>
      </c>
      <c r="AV337" s="1">
        <v>29.0</v>
      </c>
      <c r="AW337" s="1">
        <v>2.0</v>
      </c>
      <c r="AX337" s="1" t="s">
        <v>74</v>
      </c>
      <c r="AY337" s="1" t="s">
        <v>74</v>
      </c>
      <c r="AZ337" s="1" t="s">
        <v>74</v>
      </c>
      <c r="BA337" s="1" t="s">
        <v>74</v>
      </c>
      <c r="BB337" s="1">
        <v>589.0</v>
      </c>
      <c r="BC337" s="1">
        <v>609.0</v>
      </c>
      <c r="BD337" s="1" t="s">
        <v>74</v>
      </c>
      <c r="BE337" s="1" t="s">
        <v>3341</v>
      </c>
      <c r="BF337" s="2" t="str">
        <f>HYPERLINK("http://dx.doi.org/10.1007/s10100-018-0569-0","http://dx.doi.org/10.1007/s10100-018-0569-0")</f>
        <v>http://dx.doi.org/10.1007/s10100-018-0569-0</v>
      </c>
      <c r="BG337" s="1" t="s">
        <v>74</v>
      </c>
      <c r="BH337" s="1" t="s">
        <v>74</v>
      </c>
      <c r="BI337" s="1" t="s">
        <v>74</v>
      </c>
      <c r="BJ337" s="1" t="s">
        <v>74</v>
      </c>
      <c r="BK337" s="1" t="s">
        <v>74</v>
      </c>
      <c r="BL337" s="1" t="s">
        <v>74</v>
      </c>
      <c r="BM337" s="1" t="s">
        <v>74</v>
      </c>
      <c r="BN337" s="1" t="s">
        <v>74</v>
      </c>
      <c r="BO337" s="1" t="s">
        <v>74</v>
      </c>
      <c r="BP337" s="1" t="s">
        <v>74</v>
      </c>
      <c r="BQ337" s="1" t="s">
        <v>74</v>
      </c>
      <c r="BR337" s="1" t="s">
        <v>74</v>
      </c>
      <c r="BS337" s="1" t="s">
        <v>3342</v>
      </c>
      <c r="BT337" s="1" t="str">
        <f>HYPERLINK("https%3A%2F%2Fwww.webofscience.com%2Fwos%2Fwoscc%2Ffull-record%2FWOS:000644963900001","View Full Record in Web of Science")</f>
        <v>View Full Record in Web of Science</v>
      </c>
    </row>
    <row r="338" ht="12.75" customHeight="1">
      <c r="A338" s="1" t="s">
        <v>72</v>
      </c>
      <c r="B338" s="1" t="s">
        <v>3343</v>
      </c>
      <c r="C338" s="1" t="s">
        <v>74</v>
      </c>
      <c r="D338" s="1" t="s">
        <v>74</v>
      </c>
      <c r="E338" s="1" t="s">
        <v>74</v>
      </c>
      <c r="F338" s="1" t="s">
        <v>3344</v>
      </c>
      <c r="G338" s="1" t="s">
        <v>74</v>
      </c>
      <c r="H338" s="1" t="s">
        <v>74</v>
      </c>
      <c r="I338" s="1" t="s">
        <v>3345</v>
      </c>
      <c r="J338" s="1" t="s">
        <v>3346</v>
      </c>
      <c r="K338" s="1" t="s">
        <v>74</v>
      </c>
      <c r="L338" s="1" t="s">
        <v>74</v>
      </c>
      <c r="M338" s="1" t="s">
        <v>74</v>
      </c>
      <c r="N338" s="1" t="s">
        <v>74</v>
      </c>
      <c r="O338" s="1" t="s">
        <v>74</v>
      </c>
      <c r="P338" s="1" t="s">
        <v>74</v>
      </c>
      <c r="Q338" s="1" t="s">
        <v>74</v>
      </c>
      <c r="R338" s="1" t="s">
        <v>74</v>
      </c>
      <c r="S338" s="1" t="s">
        <v>74</v>
      </c>
      <c r="T338" s="1" t="s">
        <v>74</v>
      </c>
      <c r="U338" s="1" t="s">
        <v>74</v>
      </c>
      <c r="V338" s="1" t="s">
        <v>3347</v>
      </c>
      <c r="W338" s="1" t="s">
        <v>74</v>
      </c>
      <c r="X338" s="1" t="s">
        <v>74</v>
      </c>
      <c r="Y338" s="1" t="s">
        <v>74</v>
      </c>
      <c r="Z338" s="1" t="s">
        <v>74</v>
      </c>
      <c r="AA338" s="1" t="s">
        <v>3348</v>
      </c>
      <c r="AB338" s="1" t="s">
        <v>3349</v>
      </c>
      <c r="AC338" s="1" t="s">
        <v>74</v>
      </c>
      <c r="AD338" s="1" t="s">
        <v>74</v>
      </c>
      <c r="AE338" s="1" t="s">
        <v>74</v>
      </c>
      <c r="AF338" s="1" t="s">
        <v>74</v>
      </c>
      <c r="AG338" s="1" t="s">
        <v>74</v>
      </c>
      <c r="AH338" s="1" t="s">
        <v>74</v>
      </c>
      <c r="AI338" s="1" t="s">
        <v>74</v>
      </c>
      <c r="AJ338" s="1" t="s">
        <v>74</v>
      </c>
      <c r="AK338" s="1" t="s">
        <v>74</v>
      </c>
      <c r="AL338" s="1" t="s">
        <v>74</v>
      </c>
      <c r="AM338" s="1" t="s">
        <v>74</v>
      </c>
      <c r="AN338" s="1" t="s">
        <v>74</v>
      </c>
      <c r="AO338" s="1" t="s">
        <v>3350</v>
      </c>
      <c r="AP338" s="1" t="s">
        <v>3351</v>
      </c>
      <c r="AQ338" s="1" t="s">
        <v>74</v>
      </c>
      <c r="AR338" s="1" t="s">
        <v>74</v>
      </c>
      <c r="AS338" s="1" t="s">
        <v>74</v>
      </c>
      <c r="AT338" s="1" t="s">
        <v>650</v>
      </c>
      <c r="AU338" s="1">
        <v>2021.0</v>
      </c>
      <c r="AV338" s="1">
        <v>33.0</v>
      </c>
      <c r="AW338" s="1">
        <v>3.0</v>
      </c>
      <c r="AX338" s="1" t="s">
        <v>74</v>
      </c>
      <c r="AY338" s="1" t="s">
        <v>74</v>
      </c>
      <c r="AZ338" s="1" t="s">
        <v>74</v>
      </c>
      <c r="BA338" s="1" t="s">
        <v>74</v>
      </c>
      <c r="BB338" s="1" t="s">
        <v>74</v>
      </c>
      <c r="BC338" s="1" t="s">
        <v>74</v>
      </c>
      <c r="BD338" s="1">
        <v>33111.0</v>
      </c>
      <c r="BE338" s="1" t="s">
        <v>3352</v>
      </c>
      <c r="BF338" s="2" t="str">
        <f>HYPERLINK("http://dx.doi.org/10.1063/5.0044682","http://dx.doi.org/10.1063/5.0044682")</f>
        <v>http://dx.doi.org/10.1063/5.0044682</v>
      </c>
      <c r="BG338" s="1" t="s">
        <v>74</v>
      </c>
      <c r="BH338" s="1" t="s">
        <v>74</v>
      </c>
      <c r="BI338" s="1" t="s">
        <v>74</v>
      </c>
      <c r="BJ338" s="1" t="s">
        <v>74</v>
      </c>
      <c r="BK338" s="1" t="s">
        <v>74</v>
      </c>
      <c r="BL338" s="1" t="s">
        <v>74</v>
      </c>
      <c r="BM338" s="1" t="s">
        <v>74</v>
      </c>
      <c r="BN338" s="1" t="s">
        <v>74</v>
      </c>
      <c r="BO338" s="1" t="s">
        <v>74</v>
      </c>
      <c r="BP338" s="1" t="s">
        <v>74</v>
      </c>
      <c r="BQ338" s="1" t="s">
        <v>74</v>
      </c>
      <c r="BR338" s="1" t="s">
        <v>74</v>
      </c>
      <c r="BS338" s="1" t="s">
        <v>3353</v>
      </c>
      <c r="BT338" s="1" t="str">
        <f>HYPERLINK("https%3A%2F%2Fwww.webofscience.com%2Fwos%2Fwoscc%2Ffull-record%2FWOS:000632903300001","View Full Record in Web of Science")</f>
        <v>View Full Record in Web of Science</v>
      </c>
    </row>
    <row r="339" ht="12.75" customHeight="1">
      <c r="A339" s="1" t="s">
        <v>251</v>
      </c>
      <c r="B339" s="1" t="s">
        <v>3354</v>
      </c>
      <c r="C339" s="1" t="s">
        <v>74</v>
      </c>
      <c r="D339" s="1" t="s">
        <v>74</v>
      </c>
      <c r="E339" s="1" t="s">
        <v>253</v>
      </c>
      <c r="F339" s="1" t="s">
        <v>3355</v>
      </c>
      <c r="G339" s="1" t="s">
        <v>74</v>
      </c>
      <c r="H339" s="1" t="s">
        <v>74</v>
      </c>
      <c r="I339" s="1" t="s">
        <v>3356</v>
      </c>
      <c r="J339" s="1" t="s">
        <v>3357</v>
      </c>
      <c r="K339" s="1" t="s">
        <v>74</v>
      </c>
      <c r="L339" s="1" t="s">
        <v>74</v>
      </c>
      <c r="M339" s="1" t="s">
        <v>74</v>
      </c>
      <c r="N339" s="1" t="s">
        <v>74</v>
      </c>
      <c r="O339" s="1" t="s">
        <v>3358</v>
      </c>
      <c r="P339" s="1" t="s">
        <v>3359</v>
      </c>
      <c r="Q339" s="1" t="s">
        <v>3360</v>
      </c>
      <c r="R339" s="1" t="s">
        <v>3361</v>
      </c>
      <c r="S339" s="1" t="s">
        <v>3362</v>
      </c>
      <c r="T339" s="1" t="s">
        <v>74</v>
      </c>
      <c r="U339" s="1" t="s">
        <v>74</v>
      </c>
      <c r="V339" s="1" t="s">
        <v>3363</v>
      </c>
      <c r="W339" s="1" t="s">
        <v>74</v>
      </c>
      <c r="X339" s="1" t="s">
        <v>74</v>
      </c>
      <c r="Y339" s="1" t="s">
        <v>74</v>
      </c>
      <c r="Z339" s="1" t="s">
        <v>74</v>
      </c>
      <c r="AA339" s="1" t="s">
        <v>3364</v>
      </c>
      <c r="AB339" s="1" t="s">
        <v>3365</v>
      </c>
      <c r="AC339" s="1" t="s">
        <v>74</v>
      </c>
      <c r="AD339" s="1" t="s">
        <v>74</v>
      </c>
      <c r="AE339" s="1" t="s">
        <v>74</v>
      </c>
      <c r="AF339" s="1" t="s">
        <v>74</v>
      </c>
      <c r="AG339" s="1" t="s">
        <v>74</v>
      </c>
      <c r="AH339" s="1" t="s">
        <v>74</v>
      </c>
      <c r="AI339" s="1" t="s">
        <v>74</v>
      </c>
      <c r="AJ339" s="1" t="s">
        <v>74</v>
      </c>
      <c r="AK339" s="1" t="s">
        <v>74</v>
      </c>
      <c r="AL339" s="1" t="s">
        <v>74</v>
      </c>
      <c r="AM339" s="1" t="s">
        <v>74</v>
      </c>
      <c r="AN339" s="1" t="s">
        <v>74</v>
      </c>
      <c r="AO339" s="1" t="s">
        <v>74</v>
      </c>
      <c r="AP339" s="1" t="s">
        <v>74</v>
      </c>
      <c r="AQ339" s="1" t="s">
        <v>3366</v>
      </c>
      <c r="AR339" s="1" t="s">
        <v>74</v>
      </c>
      <c r="AS339" s="1" t="s">
        <v>74</v>
      </c>
      <c r="AT339" s="1" t="s">
        <v>74</v>
      </c>
      <c r="AU339" s="1">
        <v>2021.0</v>
      </c>
      <c r="AV339" s="1" t="s">
        <v>74</v>
      </c>
      <c r="AW339" s="1" t="s">
        <v>74</v>
      </c>
      <c r="AX339" s="1" t="s">
        <v>74</v>
      </c>
      <c r="AY339" s="1" t="s">
        <v>74</v>
      </c>
      <c r="AZ339" s="1" t="s">
        <v>74</v>
      </c>
      <c r="BA339" s="1" t="s">
        <v>74</v>
      </c>
      <c r="BB339" s="1" t="s">
        <v>74</v>
      </c>
      <c r="BC339" s="1" t="s">
        <v>74</v>
      </c>
      <c r="BD339" s="1" t="s">
        <v>74</v>
      </c>
      <c r="BE339" s="1" t="s">
        <v>3367</v>
      </c>
      <c r="BF339" s="2" t="str">
        <f>HYPERLINK("http://dx.doi.org/10.1109/SCCC54552.2021.9650429","http://dx.doi.org/10.1109/SCCC54552.2021.9650429")</f>
        <v>http://dx.doi.org/10.1109/SCCC54552.2021.9650429</v>
      </c>
      <c r="BG339" s="1" t="s">
        <v>74</v>
      </c>
      <c r="BH339" s="1" t="s">
        <v>74</v>
      </c>
      <c r="BI339" s="1" t="s">
        <v>74</v>
      </c>
      <c r="BJ339" s="1" t="s">
        <v>74</v>
      </c>
      <c r="BK339" s="1" t="s">
        <v>74</v>
      </c>
      <c r="BL339" s="1" t="s">
        <v>74</v>
      </c>
      <c r="BM339" s="1" t="s">
        <v>74</v>
      </c>
      <c r="BN339" s="1" t="s">
        <v>74</v>
      </c>
      <c r="BO339" s="1" t="s">
        <v>74</v>
      </c>
      <c r="BP339" s="1" t="s">
        <v>74</v>
      </c>
      <c r="BQ339" s="1" t="s">
        <v>74</v>
      </c>
      <c r="BR339" s="1" t="s">
        <v>74</v>
      </c>
      <c r="BS339" s="1" t="s">
        <v>3368</v>
      </c>
      <c r="BT339" s="1" t="str">
        <f>HYPERLINK("https%3A%2F%2Fwww.webofscience.com%2Fwos%2Fwoscc%2Ffull-record%2FWOS:000765927700040","View Full Record in Web of Science")</f>
        <v>View Full Record in Web of Science</v>
      </c>
    </row>
    <row r="340" ht="12.75" customHeight="1">
      <c r="A340" s="1" t="s">
        <v>72</v>
      </c>
      <c r="B340" s="1" t="s">
        <v>3369</v>
      </c>
      <c r="C340" s="1" t="s">
        <v>74</v>
      </c>
      <c r="D340" s="1" t="s">
        <v>74</v>
      </c>
      <c r="E340" s="1" t="s">
        <v>74</v>
      </c>
      <c r="F340" s="1" t="s">
        <v>3370</v>
      </c>
      <c r="G340" s="1" t="s">
        <v>74</v>
      </c>
      <c r="H340" s="1" t="s">
        <v>74</v>
      </c>
      <c r="I340" s="1" t="s">
        <v>3371</v>
      </c>
      <c r="J340" s="1" t="s">
        <v>3372</v>
      </c>
      <c r="K340" s="1" t="s">
        <v>74</v>
      </c>
      <c r="L340" s="1" t="s">
        <v>74</v>
      </c>
      <c r="M340" s="1" t="s">
        <v>74</v>
      </c>
      <c r="N340" s="1" t="s">
        <v>74</v>
      </c>
      <c r="O340" s="1" t="s">
        <v>74</v>
      </c>
      <c r="P340" s="1" t="s">
        <v>74</v>
      </c>
      <c r="Q340" s="1" t="s">
        <v>74</v>
      </c>
      <c r="R340" s="1" t="s">
        <v>74</v>
      </c>
      <c r="S340" s="1" t="s">
        <v>74</v>
      </c>
      <c r="T340" s="1" t="s">
        <v>74</v>
      </c>
      <c r="U340" s="1" t="s">
        <v>74</v>
      </c>
      <c r="V340" s="1" t="s">
        <v>3373</v>
      </c>
      <c r="W340" s="1" t="s">
        <v>74</v>
      </c>
      <c r="X340" s="1" t="s">
        <v>74</v>
      </c>
      <c r="Y340" s="1" t="s">
        <v>74</v>
      </c>
      <c r="Z340" s="1" t="s">
        <v>74</v>
      </c>
      <c r="AA340" s="1" t="s">
        <v>3374</v>
      </c>
      <c r="AB340" s="1" t="s">
        <v>74</v>
      </c>
      <c r="AC340" s="1" t="s">
        <v>74</v>
      </c>
      <c r="AD340" s="1" t="s">
        <v>74</v>
      </c>
      <c r="AE340" s="1" t="s">
        <v>74</v>
      </c>
      <c r="AF340" s="1" t="s">
        <v>74</v>
      </c>
      <c r="AG340" s="1" t="s">
        <v>74</v>
      </c>
      <c r="AH340" s="1" t="s">
        <v>74</v>
      </c>
      <c r="AI340" s="1" t="s">
        <v>74</v>
      </c>
      <c r="AJ340" s="1" t="s">
        <v>74</v>
      </c>
      <c r="AK340" s="1" t="s">
        <v>74</v>
      </c>
      <c r="AL340" s="1" t="s">
        <v>74</v>
      </c>
      <c r="AM340" s="1" t="s">
        <v>74</v>
      </c>
      <c r="AN340" s="1" t="s">
        <v>74</v>
      </c>
      <c r="AO340" s="1" t="s">
        <v>3375</v>
      </c>
      <c r="AP340" s="1" t="s">
        <v>3376</v>
      </c>
      <c r="AQ340" s="1" t="s">
        <v>74</v>
      </c>
      <c r="AR340" s="1" t="s">
        <v>74</v>
      </c>
      <c r="AS340" s="1" t="s">
        <v>74</v>
      </c>
      <c r="AT340" s="1" t="s">
        <v>74</v>
      </c>
      <c r="AU340" s="1">
        <v>2021.0</v>
      </c>
      <c r="AV340" s="1" t="s">
        <v>74</v>
      </c>
      <c r="AW340" s="1">
        <v>137.0</v>
      </c>
      <c r="AX340" s="1" t="s">
        <v>74</v>
      </c>
      <c r="AY340" s="1" t="s">
        <v>74</v>
      </c>
      <c r="AZ340" s="1" t="s">
        <v>74</v>
      </c>
      <c r="BA340" s="1" t="s">
        <v>74</v>
      </c>
      <c r="BB340" s="1" t="s">
        <v>74</v>
      </c>
      <c r="BC340" s="1" t="s">
        <v>74</v>
      </c>
      <c r="BD340" s="1" t="s">
        <v>3377</v>
      </c>
      <c r="BE340" s="1" t="s">
        <v>3378</v>
      </c>
      <c r="BF340" s="2" t="str">
        <f>HYPERLINK("http://dx.doi.org/10.5209/REVE.73862","http://dx.doi.org/10.5209/REVE.73862")</f>
        <v>http://dx.doi.org/10.5209/REVE.73862</v>
      </c>
      <c r="BG340" s="1" t="s">
        <v>74</v>
      </c>
      <c r="BH340" s="1" t="s">
        <v>74</v>
      </c>
      <c r="BI340" s="1" t="s">
        <v>74</v>
      </c>
      <c r="BJ340" s="1" t="s">
        <v>74</v>
      </c>
      <c r="BK340" s="1" t="s">
        <v>74</v>
      </c>
      <c r="BL340" s="1" t="s">
        <v>74</v>
      </c>
      <c r="BM340" s="1" t="s">
        <v>74</v>
      </c>
      <c r="BN340" s="1" t="s">
        <v>74</v>
      </c>
      <c r="BO340" s="1" t="s">
        <v>74</v>
      </c>
      <c r="BP340" s="1" t="s">
        <v>74</v>
      </c>
      <c r="BQ340" s="1" t="s">
        <v>74</v>
      </c>
      <c r="BR340" s="1" t="s">
        <v>74</v>
      </c>
      <c r="BS340" s="1" t="s">
        <v>3379</v>
      </c>
      <c r="BT340" s="1" t="str">
        <f>HYPERLINK("https%3A%2F%2Fwww.webofscience.com%2Fwos%2Fwoscc%2Ffull-record%2FWOS:000625393400006","View Full Record in Web of Science")</f>
        <v>View Full Record in Web of Science</v>
      </c>
    </row>
    <row r="341" ht="12.75" customHeight="1">
      <c r="A341" s="1" t="s">
        <v>72</v>
      </c>
      <c r="B341" s="1" t="s">
        <v>3380</v>
      </c>
      <c r="C341" s="1" t="s">
        <v>74</v>
      </c>
      <c r="D341" s="1" t="s">
        <v>74</v>
      </c>
      <c r="E341" s="1" t="s">
        <v>74</v>
      </c>
      <c r="F341" s="1" t="s">
        <v>3381</v>
      </c>
      <c r="G341" s="1" t="s">
        <v>74</v>
      </c>
      <c r="H341" s="1" t="s">
        <v>74</v>
      </c>
      <c r="I341" s="1" t="s">
        <v>3382</v>
      </c>
      <c r="J341" s="1" t="s">
        <v>3383</v>
      </c>
      <c r="K341" s="1" t="s">
        <v>74</v>
      </c>
      <c r="L341" s="1" t="s">
        <v>74</v>
      </c>
      <c r="M341" s="1" t="s">
        <v>74</v>
      </c>
      <c r="N341" s="1" t="s">
        <v>74</v>
      </c>
      <c r="O341" s="1" t="s">
        <v>74</v>
      </c>
      <c r="P341" s="1" t="s">
        <v>74</v>
      </c>
      <c r="Q341" s="1" t="s">
        <v>74</v>
      </c>
      <c r="R341" s="1" t="s">
        <v>74</v>
      </c>
      <c r="S341" s="1" t="s">
        <v>74</v>
      </c>
      <c r="T341" s="1" t="s">
        <v>74</v>
      </c>
      <c r="U341" s="1" t="s">
        <v>74</v>
      </c>
      <c r="V341" s="1" t="s">
        <v>3384</v>
      </c>
      <c r="W341" s="1" t="s">
        <v>74</v>
      </c>
      <c r="X341" s="1" t="s">
        <v>74</v>
      </c>
      <c r="Y341" s="1" t="s">
        <v>74</v>
      </c>
      <c r="Z341" s="1" t="s">
        <v>74</v>
      </c>
      <c r="AA341" s="1" t="s">
        <v>3385</v>
      </c>
      <c r="AB341" s="1" t="s">
        <v>3386</v>
      </c>
      <c r="AC341" s="1" t="s">
        <v>74</v>
      </c>
      <c r="AD341" s="1" t="s">
        <v>74</v>
      </c>
      <c r="AE341" s="1" t="s">
        <v>74</v>
      </c>
      <c r="AF341" s="1" t="s">
        <v>74</v>
      </c>
      <c r="AG341" s="1" t="s">
        <v>74</v>
      </c>
      <c r="AH341" s="1" t="s">
        <v>74</v>
      </c>
      <c r="AI341" s="1" t="s">
        <v>74</v>
      </c>
      <c r="AJ341" s="1" t="s">
        <v>74</v>
      </c>
      <c r="AK341" s="1" t="s">
        <v>74</v>
      </c>
      <c r="AL341" s="1" t="s">
        <v>74</v>
      </c>
      <c r="AM341" s="1" t="s">
        <v>74</v>
      </c>
      <c r="AN341" s="1" t="s">
        <v>74</v>
      </c>
      <c r="AO341" s="1" t="s">
        <v>3387</v>
      </c>
      <c r="AP341" s="1" t="s">
        <v>3388</v>
      </c>
      <c r="AQ341" s="1" t="s">
        <v>74</v>
      </c>
      <c r="AR341" s="1" t="s">
        <v>74</v>
      </c>
      <c r="AS341" s="1" t="s">
        <v>74</v>
      </c>
      <c r="AT341" s="1" t="s">
        <v>2356</v>
      </c>
      <c r="AU341" s="1">
        <v>2020.0</v>
      </c>
      <c r="AV341" s="1">
        <v>22.0</v>
      </c>
      <c r="AW341" s="1">
        <v>37.0</v>
      </c>
      <c r="AX341" s="1" t="s">
        <v>74</v>
      </c>
      <c r="AY341" s="1" t="s">
        <v>74</v>
      </c>
      <c r="AZ341" s="1" t="s">
        <v>74</v>
      </c>
      <c r="BA341" s="1" t="s">
        <v>74</v>
      </c>
      <c r="BB341" s="1">
        <v>21267.0</v>
      </c>
      <c r="BC341" s="1">
        <v>21274.0</v>
      </c>
      <c r="BD341" s="1" t="s">
        <v>74</v>
      </c>
      <c r="BE341" s="1" t="s">
        <v>3389</v>
      </c>
      <c r="BF341" s="2" t="str">
        <f>HYPERLINK("http://dx.doi.org/10.1039/d0cp03272g","http://dx.doi.org/10.1039/d0cp03272g")</f>
        <v>http://dx.doi.org/10.1039/d0cp03272g</v>
      </c>
      <c r="BG341" s="1" t="s">
        <v>74</v>
      </c>
      <c r="BH341" s="1" t="s">
        <v>74</v>
      </c>
      <c r="BI341" s="1" t="s">
        <v>74</v>
      </c>
      <c r="BJ341" s="1" t="s">
        <v>74</v>
      </c>
      <c r="BK341" s="1" t="s">
        <v>74</v>
      </c>
      <c r="BL341" s="1" t="s">
        <v>74</v>
      </c>
      <c r="BM341" s="1" t="s">
        <v>74</v>
      </c>
      <c r="BN341" s="1">
        <v>3.2935691E7</v>
      </c>
      <c r="BO341" s="1" t="s">
        <v>74</v>
      </c>
      <c r="BP341" s="1" t="s">
        <v>74</v>
      </c>
      <c r="BQ341" s="1" t="s">
        <v>74</v>
      </c>
      <c r="BR341" s="1" t="s">
        <v>74</v>
      </c>
      <c r="BS341" s="1" t="s">
        <v>3390</v>
      </c>
      <c r="BT341" s="1" t="str">
        <f>HYPERLINK("https%3A%2F%2Fwww.webofscience.com%2Fwos%2Fwoscc%2Ffull-record%2FWOS:000573875300027","View Full Record in Web of Science")</f>
        <v>View Full Record in Web of Science</v>
      </c>
    </row>
    <row r="342" ht="12.75" customHeight="1">
      <c r="A342" s="1" t="s">
        <v>72</v>
      </c>
      <c r="B342" s="1" t="s">
        <v>3391</v>
      </c>
      <c r="C342" s="1" t="s">
        <v>74</v>
      </c>
      <c r="D342" s="1" t="s">
        <v>74</v>
      </c>
      <c r="E342" s="1" t="s">
        <v>74</v>
      </c>
      <c r="F342" s="1" t="s">
        <v>3392</v>
      </c>
      <c r="G342" s="1" t="s">
        <v>74</v>
      </c>
      <c r="H342" s="1" t="s">
        <v>74</v>
      </c>
      <c r="I342" s="1" t="s">
        <v>3393</v>
      </c>
      <c r="J342" s="1" t="s">
        <v>3394</v>
      </c>
      <c r="K342" s="1" t="s">
        <v>74</v>
      </c>
      <c r="L342" s="1" t="s">
        <v>74</v>
      </c>
      <c r="M342" s="1" t="s">
        <v>74</v>
      </c>
      <c r="N342" s="1" t="s">
        <v>74</v>
      </c>
      <c r="O342" s="1" t="s">
        <v>74</v>
      </c>
      <c r="P342" s="1" t="s">
        <v>74</v>
      </c>
      <c r="Q342" s="1" t="s">
        <v>74</v>
      </c>
      <c r="R342" s="1" t="s">
        <v>74</v>
      </c>
      <c r="S342" s="1" t="s">
        <v>74</v>
      </c>
      <c r="T342" s="1" t="s">
        <v>74</v>
      </c>
      <c r="U342" s="1" t="s">
        <v>74</v>
      </c>
      <c r="V342" s="1" t="s">
        <v>3395</v>
      </c>
      <c r="W342" s="1" t="s">
        <v>74</v>
      </c>
      <c r="X342" s="1" t="s">
        <v>74</v>
      </c>
      <c r="Y342" s="1" t="s">
        <v>74</v>
      </c>
      <c r="Z342" s="1" t="s">
        <v>74</v>
      </c>
      <c r="AA342" s="1" t="s">
        <v>3396</v>
      </c>
      <c r="AB342" s="1" t="s">
        <v>3397</v>
      </c>
      <c r="AC342" s="1" t="s">
        <v>74</v>
      </c>
      <c r="AD342" s="1" t="s">
        <v>74</v>
      </c>
      <c r="AE342" s="1" t="s">
        <v>74</v>
      </c>
      <c r="AF342" s="1" t="s">
        <v>74</v>
      </c>
      <c r="AG342" s="1" t="s">
        <v>74</v>
      </c>
      <c r="AH342" s="1" t="s">
        <v>74</v>
      </c>
      <c r="AI342" s="1" t="s">
        <v>74</v>
      </c>
      <c r="AJ342" s="1" t="s">
        <v>74</v>
      </c>
      <c r="AK342" s="1" t="s">
        <v>74</v>
      </c>
      <c r="AL342" s="1" t="s">
        <v>74</v>
      </c>
      <c r="AM342" s="1" t="s">
        <v>74</v>
      </c>
      <c r="AN342" s="1" t="s">
        <v>74</v>
      </c>
      <c r="AO342" s="1" t="s">
        <v>3398</v>
      </c>
      <c r="AP342" s="1" t="s">
        <v>3399</v>
      </c>
      <c r="AQ342" s="1" t="s">
        <v>74</v>
      </c>
      <c r="AR342" s="1" t="s">
        <v>74</v>
      </c>
      <c r="AS342" s="1" t="s">
        <v>74</v>
      </c>
      <c r="AT342" s="1" t="s">
        <v>1122</v>
      </c>
      <c r="AU342" s="1">
        <v>2020.0</v>
      </c>
      <c r="AV342" s="1">
        <v>102.0</v>
      </c>
      <c r="AW342" s="1">
        <v>2.0</v>
      </c>
      <c r="AX342" s="1" t="s">
        <v>74</v>
      </c>
      <c r="AY342" s="1" t="s">
        <v>74</v>
      </c>
      <c r="AZ342" s="1" t="s">
        <v>74</v>
      </c>
      <c r="BA342" s="1" t="s">
        <v>74</v>
      </c>
      <c r="BB342" s="1" t="s">
        <v>74</v>
      </c>
      <c r="BC342" s="1" t="s">
        <v>74</v>
      </c>
      <c r="BD342" s="1">
        <v>23508.0</v>
      </c>
      <c r="BE342" s="1" t="s">
        <v>3400</v>
      </c>
      <c r="BF342" s="2" t="str">
        <f>HYPERLINK("http://dx.doi.org/10.1103/PhysRevD.102.023508","http://dx.doi.org/10.1103/PhysRevD.102.023508")</f>
        <v>http://dx.doi.org/10.1103/PhysRevD.102.023508</v>
      </c>
      <c r="BG342" s="1" t="s">
        <v>74</v>
      </c>
      <c r="BH342" s="1" t="s">
        <v>74</v>
      </c>
      <c r="BI342" s="1" t="s">
        <v>74</v>
      </c>
      <c r="BJ342" s="1" t="s">
        <v>74</v>
      </c>
      <c r="BK342" s="1" t="s">
        <v>74</v>
      </c>
      <c r="BL342" s="1" t="s">
        <v>74</v>
      </c>
      <c r="BM342" s="1" t="s">
        <v>74</v>
      </c>
      <c r="BN342" s="1" t="s">
        <v>74</v>
      </c>
      <c r="BO342" s="1" t="s">
        <v>74</v>
      </c>
      <c r="BP342" s="1" t="s">
        <v>74</v>
      </c>
      <c r="BQ342" s="1" t="s">
        <v>74</v>
      </c>
      <c r="BR342" s="1" t="s">
        <v>74</v>
      </c>
      <c r="BS342" s="1" t="s">
        <v>3401</v>
      </c>
      <c r="BT342" s="1" t="str">
        <f>HYPERLINK("https%3A%2F%2Fwww.webofscience.com%2Fwos%2Fwoscc%2Ffull-record%2FWOS:000544851600008","View Full Record in Web of Science")</f>
        <v>View Full Record in Web of Science</v>
      </c>
    </row>
    <row r="343" ht="12.75" customHeight="1">
      <c r="A343" s="1" t="s">
        <v>72</v>
      </c>
      <c r="B343" s="1" t="s">
        <v>3402</v>
      </c>
      <c r="C343" s="1" t="s">
        <v>74</v>
      </c>
      <c r="D343" s="1" t="s">
        <v>74</v>
      </c>
      <c r="E343" s="1" t="s">
        <v>74</v>
      </c>
      <c r="F343" s="1" t="s">
        <v>3403</v>
      </c>
      <c r="G343" s="1" t="s">
        <v>74</v>
      </c>
      <c r="H343" s="1" t="s">
        <v>74</v>
      </c>
      <c r="I343" s="1" t="s">
        <v>3404</v>
      </c>
      <c r="J343" s="1" t="s">
        <v>3405</v>
      </c>
      <c r="K343" s="1" t="s">
        <v>74</v>
      </c>
      <c r="L343" s="1" t="s">
        <v>74</v>
      </c>
      <c r="M343" s="1" t="s">
        <v>74</v>
      </c>
      <c r="N343" s="1" t="s">
        <v>74</v>
      </c>
      <c r="O343" s="1" t="s">
        <v>74</v>
      </c>
      <c r="P343" s="1" t="s">
        <v>74</v>
      </c>
      <c r="Q343" s="1" t="s">
        <v>74</v>
      </c>
      <c r="R343" s="1" t="s">
        <v>74</v>
      </c>
      <c r="S343" s="1" t="s">
        <v>74</v>
      </c>
      <c r="T343" s="1" t="s">
        <v>74</v>
      </c>
      <c r="U343" s="1" t="s">
        <v>74</v>
      </c>
      <c r="V343" s="1" t="s">
        <v>3406</v>
      </c>
      <c r="W343" s="1" t="s">
        <v>74</v>
      </c>
      <c r="X343" s="1" t="s">
        <v>74</v>
      </c>
      <c r="Y343" s="1" t="s">
        <v>74</v>
      </c>
      <c r="Z343" s="1" t="s">
        <v>74</v>
      </c>
      <c r="AA343" s="1" t="s">
        <v>3407</v>
      </c>
      <c r="AB343" s="1" t="s">
        <v>296</v>
      </c>
      <c r="AC343" s="1" t="s">
        <v>74</v>
      </c>
      <c r="AD343" s="1" t="s">
        <v>74</v>
      </c>
      <c r="AE343" s="1" t="s">
        <v>74</v>
      </c>
      <c r="AF343" s="1" t="s">
        <v>74</v>
      </c>
      <c r="AG343" s="1" t="s">
        <v>74</v>
      </c>
      <c r="AH343" s="1" t="s">
        <v>74</v>
      </c>
      <c r="AI343" s="1" t="s">
        <v>74</v>
      </c>
      <c r="AJ343" s="1" t="s">
        <v>74</v>
      </c>
      <c r="AK343" s="1" t="s">
        <v>74</v>
      </c>
      <c r="AL343" s="1" t="s">
        <v>74</v>
      </c>
      <c r="AM343" s="1" t="s">
        <v>74</v>
      </c>
      <c r="AN343" s="1" t="s">
        <v>74</v>
      </c>
      <c r="AO343" s="1" t="s">
        <v>3408</v>
      </c>
      <c r="AP343" s="1" t="s">
        <v>3409</v>
      </c>
      <c r="AQ343" s="1" t="s">
        <v>74</v>
      </c>
      <c r="AR343" s="1" t="s">
        <v>74</v>
      </c>
      <c r="AS343" s="1" t="s">
        <v>74</v>
      </c>
      <c r="AT343" s="1" t="s">
        <v>88</v>
      </c>
      <c r="AU343" s="1">
        <v>2023.0</v>
      </c>
      <c r="AV343" s="1">
        <v>24.0</v>
      </c>
      <c r="AW343" s="1">
        <v>2.0</v>
      </c>
      <c r="AX343" s="1" t="s">
        <v>74</v>
      </c>
      <c r="AY343" s="1" t="s">
        <v>74</v>
      </c>
      <c r="AZ343" s="1" t="s">
        <v>74</v>
      </c>
      <c r="BA343" s="1" t="s">
        <v>74</v>
      </c>
      <c r="BB343" s="1">
        <v>229.0</v>
      </c>
      <c r="BC343" s="1">
        <v>242.0</v>
      </c>
      <c r="BD343" s="1">
        <v>9.72150920909002E14</v>
      </c>
      <c r="BE343" s="1" t="s">
        <v>3410</v>
      </c>
      <c r="BF343" s="2" t="str">
        <f>HYPERLINK("http://dx.doi.org/10.1177/0972150920909002","http://dx.doi.org/10.1177/0972150920909002")</f>
        <v>http://dx.doi.org/10.1177/0972150920909002</v>
      </c>
      <c r="BG343" s="1" t="s">
        <v>74</v>
      </c>
      <c r="BH343" s="1" t="s">
        <v>3411</v>
      </c>
      <c r="BI343" s="1" t="s">
        <v>74</v>
      </c>
      <c r="BJ343" s="1" t="s">
        <v>74</v>
      </c>
      <c r="BK343" s="1" t="s">
        <v>74</v>
      </c>
      <c r="BL343" s="1" t="s">
        <v>74</v>
      </c>
      <c r="BM343" s="1" t="s">
        <v>74</v>
      </c>
      <c r="BN343" s="1" t="s">
        <v>74</v>
      </c>
      <c r="BO343" s="1" t="s">
        <v>74</v>
      </c>
      <c r="BP343" s="1" t="s">
        <v>74</v>
      </c>
      <c r="BQ343" s="1" t="s">
        <v>74</v>
      </c>
      <c r="BR343" s="1" t="s">
        <v>74</v>
      </c>
      <c r="BS343" s="1" t="s">
        <v>3412</v>
      </c>
      <c r="BT343" s="1" t="str">
        <f>HYPERLINK("https%3A%2F%2Fwww.webofscience.com%2Fwos%2Fwoscc%2Ffull-record%2FWOS:000523547000001","View Full Record in Web of Science")</f>
        <v>View Full Record in Web of Science</v>
      </c>
    </row>
    <row r="344" ht="12.75" customHeight="1">
      <c r="A344" s="1" t="s">
        <v>72</v>
      </c>
      <c r="B344" s="1" t="s">
        <v>3413</v>
      </c>
      <c r="C344" s="1" t="s">
        <v>74</v>
      </c>
      <c r="D344" s="1" t="s">
        <v>74</v>
      </c>
      <c r="E344" s="1" t="s">
        <v>74</v>
      </c>
      <c r="F344" s="1" t="s">
        <v>3414</v>
      </c>
      <c r="G344" s="1" t="s">
        <v>74</v>
      </c>
      <c r="H344" s="1" t="s">
        <v>74</v>
      </c>
      <c r="I344" s="1" t="s">
        <v>3415</v>
      </c>
      <c r="J344" s="1" t="s">
        <v>3416</v>
      </c>
      <c r="K344" s="1" t="s">
        <v>74</v>
      </c>
      <c r="L344" s="1" t="s">
        <v>74</v>
      </c>
      <c r="M344" s="1" t="s">
        <v>74</v>
      </c>
      <c r="N344" s="1" t="s">
        <v>74</v>
      </c>
      <c r="O344" s="1" t="s">
        <v>74</v>
      </c>
      <c r="P344" s="1" t="s">
        <v>74</v>
      </c>
      <c r="Q344" s="1" t="s">
        <v>74</v>
      </c>
      <c r="R344" s="1" t="s">
        <v>74</v>
      </c>
      <c r="S344" s="1" t="s">
        <v>74</v>
      </c>
      <c r="T344" s="1" t="s">
        <v>74</v>
      </c>
      <c r="U344" s="1" t="s">
        <v>74</v>
      </c>
      <c r="V344" s="1" t="s">
        <v>3417</v>
      </c>
      <c r="W344" s="1" t="s">
        <v>74</v>
      </c>
      <c r="X344" s="1" t="s">
        <v>74</v>
      </c>
      <c r="Y344" s="1" t="s">
        <v>74</v>
      </c>
      <c r="Z344" s="1" t="s">
        <v>74</v>
      </c>
      <c r="AA344" s="1" t="s">
        <v>3418</v>
      </c>
      <c r="AB344" s="1" t="s">
        <v>3419</v>
      </c>
      <c r="AC344" s="1" t="s">
        <v>74</v>
      </c>
      <c r="AD344" s="1" t="s">
        <v>74</v>
      </c>
      <c r="AE344" s="1" t="s">
        <v>74</v>
      </c>
      <c r="AF344" s="1" t="s">
        <v>74</v>
      </c>
      <c r="AG344" s="1" t="s">
        <v>74</v>
      </c>
      <c r="AH344" s="1" t="s">
        <v>74</v>
      </c>
      <c r="AI344" s="1" t="s">
        <v>74</v>
      </c>
      <c r="AJ344" s="1" t="s">
        <v>74</v>
      </c>
      <c r="AK344" s="1" t="s">
        <v>74</v>
      </c>
      <c r="AL344" s="1" t="s">
        <v>74</v>
      </c>
      <c r="AM344" s="1" t="s">
        <v>74</v>
      </c>
      <c r="AN344" s="1" t="s">
        <v>74</v>
      </c>
      <c r="AO344" s="1" t="s">
        <v>3420</v>
      </c>
      <c r="AP344" s="1" t="s">
        <v>3421</v>
      </c>
      <c r="AQ344" s="1" t="s">
        <v>74</v>
      </c>
      <c r="AR344" s="1" t="s">
        <v>74</v>
      </c>
      <c r="AS344" s="1" t="s">
        <v>74</v>
      </c>
      <c r="AT344" s="1" t="s">
        <v>650</v>
      </c>
      <c r="AU344" s="1">
        <v>2020.0</v>
      </c>
      <c r="AV344" s="1">
        <v>98.0</v>
      </c>
      <c r="AW344" s="1" t="s">
        <v>74</v>
      </c>
      <c r="AX344" s="1" t="s">
        <v>74</v>
      </c>
      <c r="AY344" s="1" t="s">
        <v>74</v>
      </c>
      <c r="AZ344" s="1" t="s">
        <v>74</v>
      </c>
      <c r="BA344" s="1" t="s">
        <v>74</v>
      </c>
      <c r="BB344" s="1">
        <v>52.0</v>
      </c>
      <c r="BC344" s="1">
        <v>67.0</v>
      </c>
      <c r="BD344" s="1" t="s">
        <v>74</v>
      </c>
      <c r="BE344" s="1" t="s">
        <v>3422</v>
      </c>
      <c r="BF344" s="2" t="str">
        <f>HYPERLINK("http://dx.doi.org/10.1016/j.fsi.2019.12.093","http://dx.doi.org/10.1016/j.fsi.2019.12.093")</f>
        <v>http://dx.doi.org/10.1016/j.fsi.2019.12.093</v>
      </c>
      <c r="BG344" s="1" t="s">
        <v>74</v>
      </c>
      <c r="BH344" s="1" t="s">
        <v>74</v>
      </c>
      <c r="BI344" s="1" t="s">
        <v>74</v>
      </c>
      <c r="BJ344" s="1" t="s">
        <v>74</v>
      </c>
      <c r="BK344" s="1" t="s">
        <v>74</v>
      </c>
      <c r="BL344" s="1" t="s">
        <v>74</v>
      </c>
      <c r="BM344" s="1" t="s">
        <v>74</v>
      </c>
      <c r="BN344" s="1">
        <v>3.1899356E7</v>
      </c>
      <c r="BO344" s="1" t="s">
        <v>74</v>
      </c>
      <c r="BP344" s="1" t="s">
        <v>74</v>
      </c>
      <c r="BQ344" s="1" t="s">
        <v>74</v>
      </c>
      <c r="BR344" s="1" t="s">
        <v>74</v>
      </c>
      <c r="BS344" s="1" t="s">
        <v>3423</v>
      </c>
      <c r="BT344" s="1" t="str">
        <f>HYPERLINK("https%3A%2F%2Fwww.webofscience.com%2Fwos%2Fwoscc%2Ffull-record%2FWOS:000516880900007","View Full Record in Web of Science")</f>
        <v>View Full Record in Web of Science</v>
      </c>
    </row>
    <row r="345" ht="12.75" customHeight="1">
      <c r="A345" s="1" t="s">
        <v>242</v>
      </c>
      <c r="B345" s="1" t="s">
        <v>3424</v>
      </c>
      <c r="C345" s="1" t="s">
        <v>74</v>
      </c>
      <c r="D345" s="1" t="s">
        <v>3425</v>
      </c>
      <c r="E345" s="1" t="s">
        <v>74</v>
      </c>
      <c r="F345" s="1" t="s">
        <v>3426</v>
      </c>
      <c r="G345" s="1" t="s">
        <v>74</v>
      </c>
      <c r="H345" s="1" t="s">
        <v>74</v>
      </c>
      <c r="I345" s="1" t="s">
        <v>3427</v>
      </c>
      <c r="J345" s="1" t="s">
        <v>3428</v>
      </c>
      <c r="K345" s="1" t="s">
        <v>74</v>
      </c>
      <c r="L345" s="1" t="s">
        <v>74</v>
      </c>
      <c r="M345" s="1" t="s">
        <v>74</v>
      </c>
      <c r="N345" s="1" t="s">
        <v>74</v>
      </c>
      <c r="O345" s="1" t="s">
        <v>74</v>
      </c>
      <c r="P345" s="1" t="s">
        <v>74</v>
      </c>
      <c r="Q345" s="1" t="s">
        <v>74</v>
      </c>
      <c r="R345" s="1" t="s">
        <v>74</v>
      </c>
      <c r="S345" s="1" t="s">
        <v>74</v>
      </c>
      <c r="T345" s="1" t="s">
        <v>74</v>
      </c>
      <c r="U345" s="1" t="s">
        <v>74</v>
      </c>
      <c r="V345" s="1" t="s">
        <v>3429</v>
      </c>
      <c r="W345" s="1" t="s">
        <v>74</v>
      </c>
      <c r="X345" s="1" t="s">
        <v>74</v>
      </c>
      <c r="Y345" s="1" t="s">
        <v>74</v>
      </c>
      <c r="Z345" s="1" t="s">
        <v>74</v>
      </c>
      <c r="AA345" s="1" t="s">
        <v>74</v>
      </c>
      <c r="AB345" s="1" t="s">
        <v>74</v>
      </c>
      <c r="AC345" s="1" t="s">
        <v>74</v>
      </c>
      <c r="AD345" s="1" t="s">
        <v>74</v>
      </c>
      <c r="AE345" s="1" t="s">
        <v>74</v>
      </c>
      <c r="AF345" s="1" t="s">
        <v>74</v>
      </c>
      <c r="AG345" s="1" t="s">
        <v>74</v>
      </c>
      <c r="AH345" s="1" t="s">
        <v>74</v>
      </c>
      <c r="AI345" s="1" t="s">
        <v>74</v>
      </c>
      <c r="AJ345" s="1" t="s">
        <v>74</v>
      </c>
      <c r="AK345" s="1" t="s">
        <v>74</v>
      </c>
      <c r="AL345" s="1" t="s">
        <v>74</v>
      </c>
      <c r="AM345" s="1" t="s">
        <v>74</v>
      </c>
      <c r="AN345" s="1" t="s">
        <v>74</v>
      </c>
      <c r="AO345" s="1" t="s">
        <v>74</v>
      </c>
      <c r="AP345" s="1" t="s">
        <v>74</v>
      </c>
      <c r="AQ345" s="1" t="s">
        <v>3430</v>
      </c>
      <c r="AR345" s="1" t="s">
        <v>74</v>
      </c>
      <c r="AS345" s="1" t="s">
        <v>74</v>
      </c>
      <c r="AT345" s="1" t="s">
        <v>74</v>
      </c>
      <c r="AU345" s="1">
        <v>2020.0</v>
      </c>
      <c r="AV345" s="1" t="s">
        <v>74</v>
      </c>
      <c r="AW345" s="1" t="s">
        <v>74</v>
      </c>
      <c r="AX345" s="1" t="s">
        <v>74</v>
      </c>
      <c r="AY345" s="1" t="s">
        <v>74</v>
      </c>
      <c r="AZ345" s="1" t="s">
        <v>74</v>
      </c>
      <c r="BA345" s="1" t="s">
        <v>74</v>
      </c>
      <c r="BB345" s="1">
        <v>147.0</v>
      </c>
      <c r="BC345" s="1">
        <v>163.0</v>
      </c>
      <c r="BD345" s="1" t="s">
        <v>74</v>
      </c>
      <c r="BE345" s="1" t="s">
        <v>74</v>
      </c>
      <c r="BF345" s="1" t="s">
        <v>74</v>
      </c>
      <c r="BG345" s="1" t="s">
        <v>74</v>
      </c>
      <c r="BH345" s="1" t="s">
        <v>74</v>
      </c>
      <c r="BI345" s="1" t="s">
        <v>74</v>
      </c>
      <c r="BJ345" s="1" t="s">
        <v>74</v>
      </c>
      <c r="BK345" s="1" t="s">
        <v>74</v>
      </c>
      <c r="BL345" s="1" t="s">
        <v>74</v>
      </c>
      <c r="BM345" s="1" t="s">
        <v>74</v>
      </c>
      <c r="BN345" s="1" t="s">
        <v>74</v>
      </c>
      <c r="BO345" s="1" t="s">
        <v>74</v>
      </c>
      <c r="BP345" s="1" t="s">
        <v>74</v>
      </c>
      <c r="BQ345" s="1" t="s">
        <v>74</v>
      </c>
      <c r="BR345" s="1" t="s">
        <v>74</v>
      </c>
      <c r="BS345" s="1" t="s">
        <v>3431</v>
      </c>
      <c r="BT345" s="1" t="str">
        <f>HYPERLINK("https%3A%2F%2Fwww.webofscience.com%2Fwos%2Fwoscc%2Ffull-record%2FWOS:000608842500008","View Full Record in Web of Science")</f>
        <v>View Full Record in Web of Science</v>
      </c>
    </row>
    <row r="346" ht="12.75" customHeight="1">
      <c r="A346" s="1" t="s">
        <v>72</v>
      </c>
      <c r="B346" s="1" t="s">
        <v>3432</v>
      </c>
      <c r="C346" s="1" t="s">
        <v>74</v>
      </c>
      <c r="D346" s="1" t="s">
        <v>74</v>
      </c>
      <c r="E346" s="1" t="s">
        <v>74</v>
      </c>
      <c r="F346" s="1" t="s">
        <v>3433</v>
      </c>
      <c r="G346" s="1" t="s">
        <v>74</v>
      </c>
      <c r="H346" s="1" t="s">
        <v>74</v>
      </c>
      <c r="I346" s="1" t="s">
        <v>3434</v>
      </c>
      <c r="J346" s="1" t="s">
        <v>3435</v>
      </c>
      <c r="K346" s="1" t="s">
        <v>74</v>
      </c>
      <c r="L346" s="1" t="s">
        <v>74</v>
      </c>
      <c r="M346" s="1" t="s">
        <v>74</v>
      </c>
      <c r="N346" s="1" t="s">
        <v>74</v>
      </c>
      <c r="O346" s="1" t="s">
        <v>74</v>
      </c>
      <c r="P346" s="1" t="s">
        <v>74</v>
      </c>
      <c r="Q346" s="1" t="s">
        <v>74</v>
      </c>
      <c r="R346" s="1" t="s">
        <v>74</v>
      </c>
      <c r="S346" s="1" t="s">
        <v>74</v>
      </c>
      <c r="T346" s="1" t="s">
        <v>74</v>
      </c>
      <c r="U346" s="1" t="s">
        <v>74</v>
      </c>
      <c r="V346" s="1" t="s">
        <v>3436</v>
      </c>
      <c r="W346" s="1" t="s">
        <v>74</v>
      </c>
      <c r="X346" s="1" t="s">
        <v>74</v>
      </c>
      <c r="Y346" s="1" t="s">
        <v>74</v>
      </c>
      <c r="Z346" s="1" t="s">
        <v>74</v>
      </c>
      <c r="AA346" s="1" t="s">
        <v>3437</v>
      </c>
      <c r="AB346" s="1" t="s">
        <v>1098</v>
      </c>
      <c r="AC346" s="1" t="s">
        <v>74</v>
      </c>
      <c r="AD346" s="1" t="s">
        <v>74</v>
      </c>
      <c r="AE346" s="1" t="s">
        <v>74</v>
      </c>
      <c r="AF346" s="1" t="s">
        <v>74</v>
      </c>
      <c r="AG346" s="1" t="s">
        <v>74</v>
      </c>
      <c r="AH346" s="1" t="s">
        <v>74</v>
      </c>
      <c r="AI346" s="1" t="s">
        <v>74</v>
      </c>
      <c r="AJ346" s="1" t="s">
        <v>74</v>
      </c>
      <c r="AK346" s="1" t="s">
        <v>74</v>
      </c>
      <c r="AL346" s="1" t="s">
        <v>74</v>
      </c>
      <c r="AM346" s="1" t="s">
        <v>74</v>
      </c>
      <c r="AN346" s="1" t="s">
        <v>74</v>
      </c>
      <c r="AO346" s="1" t="s">
        <v>3438</v>
      </c>
      <c r="AP346" s="1" t="s">
        <v>3439</v>
      </c>
      <c r="AQ346" s="1" t="s">
        <v>74</v>
      </c>
      <c r="AR346" s="1" t="s">
        <v>74</v>
      </c>
      <c r="AS346" s="1" t="s">
        <v>74</v>
      </c>
      <c r="AT346" s="1" t="s">
        <v>3440</v>
      </c>
      <c r="AU346" s="1">
        <v>2019.0</v>
      </c>
      <c r="AV346" s="1">
        <v>136.0</v>
      </c>
      <c r="AW346" s="1">
        <v>45.0</v>
      </c>
      <c r="AX346" s="1" t="s">
        <v>74</v>
      </c>
      <c r="AY346" s="1" t="s">
        <v>74</v>
      </c>
      <c r="AZ346" s="1" t="s">
        <v>74</v>
      </c>
      <c r="BA346" s="1" t="s">
        <v>74</v>
      </c>
      <c r="BB346" s="1" t="s">
        <v>74</v>
      </c>
      <c r="BC346" s="1" t="s">
        <v>74</v>
      </c>
      <c r="BD346" s="1">
        <v>48184.0</v>
      </c>
      <c r="BE346" s="1" t="s">
        <v>3441</v>
      </c>
      <c r="BF346" s="2" t="str">
        <f>HYPERLINK("http://dx.doi.org/10.1002/app.48184","http://dx.doi.org/10.1002/app.48184")</f>
        <v>http://dx.doi.org/10.1002/app.48184</v>
      </c>
      <c r="BG346" s="1" t="s">
        <v>74</v>
      </c>
      <c r="BH346" s="1" t="s">
        <v>3442</v>
      </c>
      <c r="BI346" s="1" t="s">
        <v>74</v>
      </c>
      <c r="BJ346" s="1" t="s">
        <v>74</v>
      </c>
      <c r="BK346" s="1" t="s">
        <v>74</v>
      </c>
      <c r="BL346" s="1" t="s">
        <v>74</v>
      </c>
      <c r="BM346" s="1" t="s">
        <v>74</v>
      </c>
      <c r="BN346" s="1" t="s">
        <v>74</v>
      </c>
      <c r="BO346" s="1" t="s">
        <v>74</v>
      </c>
      <c r="BP346" s="1" t="s">
        <v>74</v>
      </c>
      <c r="BQ346" s="1" t="s">
        <v>74</v>
      </c>
      <c r="BR346" s="1" t="s">
        <v>74</v>
      </c>
      <c r="BS346" s="1" t="s">
        <v>3443</v>
      </c>
      <c r="BT346" s="1" t="str">
        <f>HYPERLINK("https%3A%2F%2Fwww.webofscience.com%2Fwos%2Fwoscc%2Ffull-record%2FWOS:000473554900001","View Full Record in Web of Science")</f>
        <v>View Full Record in Web of Science</v>
      </c>
    </row>
    <row r="347" ht="12.75" customHeight="1">
      <c r="A347" s="1" t="s">
        <v>242</v>
      </c>
      <c r="B347" s="1" t="s">
        <v>3444</v>
      </c>
      <c r="C347" s="1" t="s">
        <v>74</v>
      </c>
      <c r="D347" s="1" t="s">
        <v>3445</v>
      </c>
      <c r="E347" s="1" t="s">
        <v>74</v>
      </c>
      <c r="F347" s="1" t="s">
        <v>3446</v>
      </c>
      <c r="G347" s="1" t="s">
        <v>74</v>
      </c>
      <c r="H347" s="1" t="s">
        <v>74</v>
      </c>
      <c r="I347" s="1" t="s">
        <v>3447</v>
      </c>
      <c r="J347" s="1" t="s">
        <v>3448</v>
      </c>
      <c r="K347" s="1" t="s">
        <v>74</v>
      </c>
      <c r="L347" s="1" t="s">
        <v>74</v>
      </c>
      <c r="M347" s="1" t="s">
        <v>74</v>
      </c>
      <c r="N347" s="1" t="s">
        <v>74</v>
      </c>
      <c r="O347" s="1" t="s">
        <v>74</v>
      </c>
      <c r="P347" s="1" t="s">
        <v>74</v>
      </c>
      <c r="Q347" s="1" t="s">
        <v>74</v>
      </c>
      <c r="R347" s="1" t="s">
        <v>74</v>
      </c>
      <c r="S347" s="1" t="s">
        <v>74</v>
      </c>
      <c r="T347" s="1" t="s">
        <v>74</v>
      </c>
      <c r="U347" s="1" t="s">
        <v>74</v>
      </c>
      <c r="V347" s="1" t="s">
        <v>74</v>
      </c>
      <c r="W347" s="1" t="s">
        <v>74</v>
      </c>
      <c r="X347" s="1" t="s">
        <v>74</v>
      </c>
      <c r="Y347" s="1" t="s">
        <v>74</v>
      </c>
      <c r="Z347" s="1" t="s">
        <v>74</v>
      </c>
      <c r="AA347" s="1" t="s">
        <v>74</v>
      </c>
      <c r="AB347" s="1" t="s">
        <v>74</v>
      </c>
      <c r="AC347" s="1" t="s">
        <v>74</v>
      </c>
      <c r="AD347" s="1" t="s">
        <v>74</v>
      </c>
      <c r="AE347" s="1" t="s">
        <v>74</v>
      </c>
      <c r="AF347" s="1" t="s">
        <v>74</v>
      </c>
      <c r="AG347" s="1" t="s">
        <v>74</v>
      </c>
      <c r="AH347" s="1" t="s">
        <v>74</v>
      </c>
      <c r="AI347" s="1" t="s">
        <v>74</v>
      </c>
      <c r="AJ347" s="1" t="s">
        <v>74</v>
      </c>
      <c r="AK347" s="1" t="s">
        <v>74</v>
      </c>
      <c r="AL347" s="1" t="s">
        <v>74</v>
      </c>
      <c r="AM347" s="1" t="s">
        <v>74</v>
      </c>
      <c r="AN347" s="1" t="s">
        <v>74</v>
      </c>
      <c r="AO347" s="1" t="s">
        <v>74</v>
      </c>
      <c r="AP347" s="1" t="s">
        <v>74</v>
      </c>
      <c r="AQ347" s="1" t="s">
        <v>3449</v>
      </c>
      <c r="AR347" s="1" t="s">
        <v>74</v>
      </c>
      <c r="AS347" s="1" t="s">
        <v>74</v>
      </c>
      <c r="AT347" s="1" t="s">
        <v>74</v>
      </c>
      <c r="AU347" s="1">
        <v>2019.0</v>
      </c>
      <c r="AV347" s="1" t="s">
        <v>74</v>
      </c>
      <c r="AW347" s="1" t="s">
        <v>74</v>
      </c>
      <c r="AX347" s="1" t="s">
        <v>74</v>
      </c>
      <c r="AY347" s="1" t="s">
        <v>74</v>
      </c>
      <c r="AZ347" s="1" t="s">
        <v>74</v>
      </c>
      <c r="BA347" s="1" t="s">
        <v>74</v>
      </c>
      <c r="BB347" s="1">
        <v>67.0</v>
      </c>
      <c r="BC347" s="1">
        <v>88.0</v>
      </c>
      <c r="BD347" s="1" t="s">
        <v>74</v>
      </c>
      <c r="BE347" s="1" t="s">
        <v>74</v>
      </c>
      <c r="BF347" s="1" t="s">
        <v>74</v>
      </c>
      <c r="BG347" s="1" t="s">
        <v>74</v>
      </c>
      <c r="BH347" s="1" t="s">
        <v>74</v>
      </c>
      <c r="BI347" s="1" t="s">
        <v>74</v>
      </c>
      <c r="BJ347" s="1" t="s">
        <v>74</v>
      </c>
      <c r="BK347" s="1" t="s">
        <v>74</v>
      </c>
      <c r="BL347" s="1" t="s">
        <v>74</v>
      </c>
      <c r="BM347" s="1" t="s">
        <v>74</v>
      </c>
      <c r="BN347" s="1" t="s">
        <v>74</v>
      </c>
      <c r="BO347" s="1" t="s">
        <v>74</v>
      </c>
      <c r="BP347" s="1" t="s">
        <v>74</v>
      </c>
      <c r="BQ347" s="1" t="s">
        <v>74</v>
      </c>
      <c r="BR347" s="1" t="s">
        <v>74</v>
      </c>
      <c r="BS347" s="1" t="s">
        <v>3450</v>
      </c>
      <c r="BT347" s="1" t="str">
        <f>HYPERLINK("https%3A%2F%2Fwww.webofscience.com%2Fwos%2Fwoscc%2Ffull-record%2FWOS:000480324700005","View Full Record in Web of Science")</f>
        <v>View Full Record in Web of Science</v>
      </c>
    </row>
    <row r="348" ht="12.75" customHeight="1">
      <c r="A348" s="1" t="s">
        <v>242</v>
      </c>
      <c r="B348" s="1" t="s">
        <v>3451</v>
      </c>
      <c r="C348" s="1" t="s">
        <v>74</v>
      </c>
      <c r="D348" s="1" t="s">
        <v>3452</v>
      </c>
      <c r="E348" s="1" t="s">
        <v>74</v>
      </c>
      <c r="F348" s="1" t="s">
        <v>3453</v>
      </c>
      <c r="G348" s="1" t="s">
        <v>74</v>
      </c>
      <c r="H348" s="1" t="s">
        <v>74</v>
      </c>
      <c r="I348" s="1" t="s">
        <v>3454</v>
      </c>
      <c r="J348" s="1" t="s">
        <v>3455</v>
      </c>
      <c r="K348" s="1" t="s">
        <v>3456</v>
      </c>
      <c r="L348" s="1" t="s">
        <v>74</v>
      </c>
      <c r="M348" s="1" t="s">
        <v>74</v>
      </c>
      <c r="N348" s="1" t="s">
        <v>74</v>
      </c>
      <c r="O348" s="1" t="s">
        <v>74</v>
      </c>
      <c r="P348" s="1" t="s">
        <v>74</v>
      </c>
      <c r="Q348" s="1" t="s">
        <v>74</v>
      </c>
      <c r="R348" s="1" t="s">
        <v>74</v>
      </c>
      <c r="S348" s="1" t="s">
        <v>74</v>
      </c>
      <c r="T348" s="1" t="s">
        <v>74</v>
      </c>
      <c r="U348" s="1" t="s">
        <v>74</v>
      </c>
      <c r="V348" s="1" t="s">
        <v>74</v>
      </c>
      <c r="W348" s="1" t="s">
        <v>74</v>
      </c>
      <c r="X348" s="1" t="s">
        <v>74</v>
      </c>
      <c r="Y348" s="1" t="s">
        <v>74</v>
      </c>
      <c r="Z348" s="1" t="s">
        <v>74</v>
      </c>
      <c r="AA348" s="1" t="s">
        <v>3457</v>
      </c>
      <c r="AB348" s="1" t="s">
        <v>74</v>
      </c>
      <c r="AC348" s="1" t="s">
        <v>74</v>
      </c>
      <c r="AD348" s="1" t="s">
        <v>74</v>
      </c>
      <c r="AE348" s="1" t="s">
        <v>74</v>
      </c>
      <c r="AF348" s="1" t="s">
        <v>74</v>
      </c>
      <c r="AG348" s="1" t="s">
        <v>74</v>
      </c>
      <c r="AH348" s="1" t="s">
        <v>74</v>
      </c>
      <c r="AI348" s="1" t="s">
        <v>74</v>
      </c>
      <c r="AJ348" s="1" t="s">
        <v>74</v>
      </c>
      <c r="AK348" s="1" t="s">
        <v>74</v>
      </c>
      <c r="AL348" s="1" t="s">
        <v>74</v>
      </c>
      <c r="AM348" s="1" t="s">
        <v>74</v>
      </c>
      <c r="AN348" s="1" t="s">
        <v>74</v>
      </c>
      <c r="AO348" s="1" t="s">
        <v>74</v>
      </c>
      <c r="AP348" s="1" t="s">
        <v>74</v>
      </c>
      <c r="AQ348" s="1" t="s">
        <v>3458</v>
      </c>
      <c r="AR348" s="1" t="s">
        <v>74</v>
      </c>
      <c r="AS348" s="1" t="s">
        <v>74</v>
      </c>
      <c r="AT348" s="1" t="s">
        <v>74</v>
      </c>
      <c r="AU348" s="1">
        <v>2019.0</v>
      </c>
      <c r="AV348" s="1" t="s">
        <v>74</v>
      </c>
      <c r="AW348" s="1" t="s">
        <v>74</v>
      </c>
      <c r="AX348" s="1" t="s">
        <v>74</v>
      </c>
      <c r="AY348" s="1" t="s">
        <v>74</v>
      </c>
      <c r="AZ348" s="1" t="s">
        <v>74</v>
      </c>
      <c r="BA348" s="1" t="s">
        <v>74</v>
      </c>
      <c r="BB348" s="1">
        <v>447.0</v>
      </c>
      <c r="BC348" s="1">
        <v>488.0</v>
      </c>
      <c r="BD348" s="1" t="s">
        <v>74</v>
      </c>
      <c r="BE348" s="1" t="s">
        <v>3459</v>
      </c>
      <c r="BF348" s="2" t="str">
        <f>HYPERLINK("http://dx.doi.org/10.1016/B978-0-12-816771-7.00023-5","http://dx.doi.org/10.1016/B978-0-12-816771-7.00023-5")</f>
        <v>http://dx.doi.org/10.1016/B978-0-12-816771-7.00023-5</v>
      </c>
      <c r="BG348" s="1" t="s">
        <v>3460</v>
      </c>
      <c r="BH348" s="1" t="s">
        <v>74</v>
      </c>
      <c r="BI348" s="1" t="s">
        <v>74</v>
      </c>
      <c r="BJ348" s="1" t="s">
        <v>74</v>
      </c>
      <c r="BK348" s="1" t="s">
        <v>74</v>
      </c>
      <c r="BL348" s="1" t="s">
        <v>74</v>
      </c>
      <c r="BM348" s="1" t="s">
        <v>74</v>
      </c>
      <c r="BN348" s="1" t="s">
        <v>74</v>
      </c>
      <c r="BO348" s="1" t="s">
        <v>74</v>
      </c>
      <c r="BP348" s="1" t="s">
        <v>74</v>
      </c>
      <c r="BQ348" s="1" t="s">
        <v>74</v>
      </c>
      <c r="BR348" s="1" t="s">
        <v>74</v>
      </c>
      <c r="BS348" s="1" t="s">
        <v>3461</v>
      </c>
      <c r="BT348" s="1" t="str">
        <f>HYPERLINK("https%3A%2F%2Fwww.webofscience.com%2Fwos%2Fwoscc%2Ffull-record%2FWOS:000664842300023","View Full Record in Web of Science")</f>
        <v>View Full Record in Web of Science</v>
      </c>
    </row>
    <row r="349" ht="12.75" customHeight="1">
      <c r="A349" s="1" t="s">
        <v>72</v>
      </c>
      <c r="B349" s="1" t="s">
        <v>3462</v>
      </c>
      <c r="C349" s="1" t="s">
        <v>74</v>
      </c>
      <c r="D349" s="1" t="s">
        <v>74</v>
      </c>
      <c r="E349" s="1" t="s">
        <v>74</v>
      </c>
      <c r="F349" s="1" t="s">
        <v>3463</v>
      </c>
      <c r="G349" s="1" t="s">
        <v>74</v>
      </c>
      <c r="H349" s="1" t="s">
        <v>74</v>
      </c>
      <c r="I349" s="1" t="s">
        <v>3464</v>
      </c>
      <c r="J349" s="1" t="s">
        <v>1450</v>
      </c>
      <c r="K349" s="1" t="s">
        <v>74</v>
      </c>
      <c r="L349" s="1" t="s">
        <v>74</v>
      </c>
      <c r="M349" s="1" t="s">
        <v>74</v>
      </c>
      <c r="N349" s="1" t="s">
        <v>74</v>
      </c>
      <c r="O349" s="1" t="s">
        <v>74</v>
      </c>
      <c r="P349" s="1" t="s">
        <v>74</v>
      </c>
      <c r="Q349" s="1" t="s">
        <v>74</v>
      </c>
      <c r="R349" s="1" t="s">
        <v>74</v>
      </c>
      <c r="S349" s="1" t="s">
        <v>74</v>
      </c>
      <c r="T349" s="1" t="s">
        <v>74</v>
      </c>
      <c r="U349" s="1" t="s">
        <v>74</v>
      </c>
      <c r="V349" s="1" t="s">
        <v>3465</v>
      </c>
      <c r="W349" s="1" t="s">
        <v>74</v>
      </c>
      <c r="X349" s="1" t="s">
        <v>74</v>
      </c>
      <c r="Y349" s="1" t="s">
        <v>74</v>
      </c>
      <c r="Z349" s="1" t="s">
        <v>74</v>
      </c>
      <c r="AA349" s="1" t="s">
        <v>3466</v>
      </c>
      <c r="AB349" s="1" t="s">
        <v>3467</v>
      </c>
      <c r="AC349" s="1" t="s">
        <v>74</v>
      </c>
      <c r="AD349" s="1" t="s">
        <v>74</v>
      </c>
      <c r="AE349" s="1" t="s">
        <v>74</v>
      </c>
      <c r="AF349" s="1" t="s">
        <v>74</v>
      </c>
      <c r="AG349" s="1" t="s">
        <v>74</v>
      </c>
      <c r="AH349" s="1" t="s">
        <v>74</v>
      </c>
      <c r="AI349" s="1" t="s">
        <v>74</v>
      </c>
      <c r="AJ349" s="1" t="s">
        <v>74</v>
      </c>
      <c r="AK349" s="1" t="s">
        <v>74</v>
      </c>
      <c r="AL349" s="1" t="s">
        <v>74</v>
      </c>
      <c r="AM349" s="1" t="s">
        <v>74</v>
      </c>
      <c r="AN349" s="1" t="s">
        <v>74</v>
      </c>
      <c r="AO349" s="1" t="s">
        <v>1454</v>
      </c>
      <c r="AP349" s="1" t="s">
        <v>1455</v>
      </c>
      <c r="AQ349" s="1" t="s">
        <v>74</v>
      </c>
      <c r="AR349" s="1" t="s">
        <v>74</v>
      </c>
      <c r="AS349" s="1" t="s">
        <v>74</v>
      </c>
      <c r="AT349" s="1" t="s">
        <v>310</v>
      </c>
      <c r="AU349" s="1">
        <v>2018.0</v>
      </c>
      <c r="AV349" s="1">
        <v>59.0</v>
      </c>
      <c r="AW349" s="1" t="s">
        <v>74</v>
      </c>
      <c r="AX349" s="1" t="s">
        <v>74</v>
      </c>
      <c r="AY349" s="1" t="s">
        <v>74</v>
      </c>
      <c r="AZ349" s="1" t="s">
        <v>74</v>
      </c>
      <c r="BA349" s="1" t="s">
        <v>74</v>
      </c>
      <c r="BB349" s="1">
        <v>357.0</v>
      </c>
      <c r="BC349" s="1">
        <v>378.0</v>
      </c>
      <c r="BD349" s="1" t="s">
        <v>74</v>
      </c>
      <c r="BE349" s="1" t="s">
        <v>3468</v>
      </c>
      <c r="BF349" s="2" t="str">
        <f>HYPERLINK("http://dx.doi.org/10.1016/j.apm.2018.01.033","http://dx.doi.org/10.1016/j.apm.2018.01.033")</f>
        <v>http://dx.doi.org/10.1016/j.apm.2018.01.033</v>
      </c>
      <c r="BG349" s="1" t="s">
        <v>74</v>
      </c>
      <c r="BH349" s="1" t="s">
        <v>74</v>
      </c>
      <c r="BI349" s="1" t="s">
        <v>74</v>
      </c>
      <c r="BJ349" s="1" t="s">
        <v>74</v>
      </c>
      <c r="BK349" s="1" t="s">
        <v>74</v>
      </c>
      <c r="BL349" s="1" t="s">
        <v>74</v>
      </c>
      <c r="BM349" s="1" t="s">
        <v>74</v>
      </c>
      <c r="BN349" s="1" t="s">
        <v>74</v>
      </c>
      <c r="BO349" s="1" t="s">
        <v>74</v>
      </c>
      <c r="BP349" s="1" t="s">
        <v>74</v>
      </c>
      <c r="BQ349" s="1" t="s">
        <v>74</v>
      </c>
      <c r="BR349" s="1" t="s">
        <v>74</v>
      </c>
      <c r="BS349" s="1" t="s">
        <v>3469</v>
      </c>
      <c r="BT349" s="1" t="str">
        <f>HYPERLINK("https%3A%2F%2Fwww.webofscience.com%2Fwos%2Fwoscc%2Ffull-record%2FWOS:000431934400020","View Full Record in Web of Science")</f>
        <v>View Full Record in Web of Science</v>
      </c>
    </row>
    <row r="350" ht="12.75" customHeight="1">
      <c r="A350" s="1" t="s">
        <v>72</v>
      </c>
      <c r="B350" s="1" t="s">
        <v>3470</v>
      </c>
      <c r="C350" s="1" t="s">
        <v>74</v>
      </c>
      <c r="D350" s="1" t="s">
        <v>74</v>
      </c>
      <c r="E350" s="1" t="s">
        <v>74</v>
      </c>
      <c r="F350" s="1" t="s">
        <v>3471</v>
      </c>
      <c r="G350" s="1" t="s">
        <v>74</v>
      </c>
      <c r="H350" s="1" t="s">
        <v>74</v>
      </c>
      <c r="I350" s="1" t="s">
        <v>3472</v>
      </c>
      <c r="J350" s="1" t="s">
        <v>3473</v>
      </c>
      <c r="K350" s="1" t="s">
        <v>74</v>
      </c>
      <c r="L350" s="1" t="s">
        <v>74</v>
      </c>
      <c r="M350" s="1" t="s">
        <v>74</v>
      </c>
      <c r="N350" s="1" t="s">
        <v>74</v>
      </c>
      <c r="O350" s="1" t="s">
        <v>74</v>
      </c>
      <c r="P350" s="1" t="s">
        <v>74</v>
      </c>
      <c r="Q350" s="1" t="s">
        <v>74</v>
      </c>
      <c r="R350" s="1" t="s">
        <v>74</v>
      </c>
      <c r="S350" s="1" t="s">
        <v>74</v>
      </c>
      <c r="T350" s="1" t="s">
        <v>74</v>
      </c>
      <c r="U350" s="1" t="s">
        <v>74</v>
      </c>
      <c r="V350" s="1" t="s">
        <v>3474</v>
      </c>
      <c r="W350" s="1" t="s">
        <v>74</v>
      </c>
      <c r="X350" s="1" t="s">
        <v>74</v>
      </c>
      <c r="Y350" s="1" t="s">
        <v>74</v>
      </c>
      <c r="Z350" s="1" t="s">
        <v>74</v>
      </c>
      <c r="AA350" s="1" t="s">
        <v>3475</v>
      </c>
      <c r="AB350" s="1" t="s">
        <v>3476</v>
      </c>
      <c r="AC350" s="1" t="s">
        <v>74</v>
      </c>
      <c r="AD350" s="1" t="s">
        <v>74</v>
      </c>
      <c r="AE350" s="1" t="s">
        <v>74</v>
      </c>
      <c r="AF350" s="1" t="s">
        <v>74</v>
      </c>
      <c r="AG350" s="1" t="s">
        <v>74</v>
      </c>
      <c r="AH350" s="1" t="s">
        <v>74</v>
      </c>
      <c r="AI350" s="1" t="s">
        <v>74</v>
      </c>
      <c r="AJ350" s="1" t="s">
        <v>74</v>
      </c>
      <c r="AK350" s="1" t="s">
        <v>74</v>
      </c>
      <c r="AL350" s="1" t="s">
        <v>74</v>
      </c>
      <c r="AM350" s="1" t="s">
        <v>74</v>
      </c>
      <c r="AN350" s="1" t="s">
        <v>74</v>
      </c>
      <c r="AO350" s="1" t="s">
        <v>3477</v>
      </c>
      <c r="AP350" s="1" t="s">
        <v>3478</v>
      </c>
      <c r="AQ350" s="1" t="s">
        <v>74</v>
      </c>
      <c r="AR350" s="1" t="s">
        <v>74</v>
      </c>
      <c r="AS350" s="1" t="s">
        <v>74</v>
      </c>
      <c r="AT350" s="1" t="s">
        <v>215</v>
      </c>
      <c r="AU350" s="1">
        <v>2018.0</v>
      </c>
      <c r="AV350" s="1">
        <v>56.0</v>
      </c>
      <c r="AW350" s="1">
        <v>2.0</v>
      </c>
      <c r="AX350" s="1" t="s">
        <v>74</v>
      </c>
      <c r="AY350" s="1" t="s">
        <v>74</v>
      </c>
      <c r="AZ350" s="1" t="s">
        <v>74</v>
      </c>
      <c r="BA350" s="1" t="s">
        <v>74</v>
      </c>
      <c r="BB350" s="1">
        <v>209.0</v>
      </c>
      <c r="BC350" s="1">
        <v>229.0</v>
      </c>
      <c r="BD350" s="1" t="s">
        <v>74</v>
      </c>
      <c r="BE350" s="1" t="s">
        <v>3479</v>
      </c>
      <c r="BF350" s="2" t="str">
        <f>HYPERLINK("http://dx.doi.org/10.1007/s11024-017-9335-z","http://dx.doi.org/10.1007/s11024-017-9335-z")</f>
        <v>http://dx.doi.org/10.1007/s11024-017-9335-z</v>
      </c>
      <c r="BG350" s="1" t="s">
        <v>74</v>
      </c>
      <c r="BH350" s="1" t="s">
        <v>74</v>
      </c>
      <c r="BI350" s="1" t="s">
        <v>74</v>
      </c>
      <c r="BJ350" s="1" t="s">
        <v>74</v>
      </c>
      <c r="BK350" s="1" t="s">
        <v>74</v>
      </c>
      <c r="BL350" s="1" t="s">
        <v>74</v>
      </c>
      <c r="BM350" s="1" t="s">
        <v>74</v>
      </c>
      <c r="BN350" s="1" t="s">
        <v>74</v>
      </c>
      <c r="BO350" s="1" t="s">
        <v>74</v>
      </c>
      <c r="BP350" s="1" t="s">
        <v>74</v>
      </c>
      <c r="BQ350" s="1" t="s">
        <v>74</v>
      </c>
      <c r="BR350" s="1" t="s">
        <v>74</v>
      </c>
      <c r="BS350" s="1" t="s">
        <v>3480</v>
      </c>
      <c r="BT350" s="1" t="str">
        <f>HYPERLINK("https%3A%2F%2Fwww.webofscience.com%2Fwos%2Fwoscc%2Ffull-record%2FWOS:000431960500004","View Full Record in Web of Science")</f>
        <v>View Full Record in Web of Science</v>
      </c>
    </row>
    <row r="351" ht="12.75" customHeight="1">
      <c r="A351" s="1" t="s">
        <v>251</v>
      </c>
      <c r="B351" s="1" t="s">
        <v>3481</v>
      </c>
      <c r="C351" s="1" t="s">
        <v>74</v>
      </c>
      <c r="D351" s="1" t="s">
        <v>3482</v>
      </c>
      <c r="E351" s="1" t="s">
        <v>74</v>
      </c>
      <c r="F351" s="1" t="s">
        <v>3483</v>
      </c>
      <c r="G351" s="1" t="s">
        <v>74</v>
      </c>
      <c r="H351" s="1" t="s">
        <v>74</v>
      </c>
      <c r="I351" s="1" t="s">
        <v>3484</v>
      </c>
      <c r="J351" s="1" t="s">
        <v>3485</v>
      </c>
      <c r="K351" s="1" t="s">
        <v>3486</v>
      </c>
      <c r="L351" s="1" t="s">
        <v>74</v>
      </c>
      <c r="M351" s="1" t="s">
        <v>74</v>
      </c>
      <c r="N351" s="1" t="s">
        <v>74</v>
      </c>
      <c r="O351" s="1" t="s">
        <v>3487</v>
      </c>
      <c r="P351" s="1" t="s">
        <v>3488</v>
      </c>
      <c r="Q351" s="1" t="s">
        <v>3489</v>
      </c>
      <c r="R351" s="1" t="s">
        <v>74</v>
      </c>
      <c r="S351" s="1" t="s">
        <v>74</v>
      </c>
      <c r="T351" s="1" t="s">
        <v>74</v>
      </c>
      <c r="U351" s="1" t="s">
        <v>74</v>
      </c>
      <c r="V351" s="1" t="s">
        <v>3490</v>
      </c>
      <c r="W351" s="1" t="s">
        <v>74</v>
      </c>
      <c r="X351" s="1" t="s">
        <v>74</v>
      </c>
      <c r="Y351" s="1" t="s">
        <v>74</v>
      </c>
      <c r="Z351" s="1" t="s">
        <v>74</v>
      </c>
      <c r="AA351" s="1" t="s">
        <v>3491</v>
      </c>
      <c r="AB351" s="1" t="s">
        <v>3492</v>
      </c>
      <c r="AC351" s="1" t="s">
        <v>74</v>
      </c>
      <c r="AD351" s="1" t="s">
        <v>74</v>
      </c>
      <c r="AE351" s="1" t="s">
        <v>74</v>
      </c>
      <c r="AF351" s="1" t="s">
        <v>74</v>
      </c>
      <c r="AG351" s="1" t="s">
        <v>74</v>
      </c>
      <c r="AH351" s="1" t="s">
        <v>74</v>
      </c>
      <c r="AI351" s="1" t="s">
        <v>74</v>
      </c>
      <c r="AJ351" s="1" t="s">
        <v>74</v>
      </c>
      <c r="AK351" s="1" t="s">
        <v>74</v>
      </c>
      <c r="AL351" s="1" t="s">
        <v>74</v>
      </c>
      <c r="AM351" s="1" t="s">
        <v>74</v>
      </c>
      <c r="AN351" s="1" t="s">
        <v>74</v>
      </c>
      <c r="AO351" s="1" t="s">
        <v>3493</v>
      </c>
      <c r="AP351" s="1" t="s">
        <v>3494</v>
      </c>
      <c r="AQ351" s="1" t="s">
        <v>3495</v>
      </c>
      <c r="AR351" s="1" t="s">
        <v>74</v>
      </c>
      <c r="AS351" s="1" t="s">
        <v>74</v>
      </c>
      <c r="AT351" s="1" t="s">
        <v>74</v>
      </c>
      <c r="AU351" s="1">
        <v>2018.0</v>
      </c>
      <c r="AV351" s="1">
        <v>126.0</v>
      </c>
      <c r="AW351" s="1" t="s">
        <v>74</v>
      </c>
      <c r="AX351" s="1" t="s">
        <v>74</v>
      </c>
      <c r="AY351" s="1" t="s">
        <v>74</v>
      </c>
      <c r="AZ351" s="1" t="s">
        <v>74</v>
      </c>
      <c r="BA351" s="1" t="s">
        <v>74</v>
      </c>
      <c r="BB351" s="1">
        <v>153.0</v>
      </c>
      <c r="BC351" s="1">
        <v>157.0</v>
      </c>
      <c r="BD351" s="1" t="s">
        <v>74</v>
      </c>
      <c r="BE351" s="1" t="s">
        <v>3496</v>
      </c>
      <c r="BF351" s="2" t="str">
        <f>HYPERLINK("http://dx.doi.org/10.1007/978-3-319-65798-1_32","http://dx.doi.org/10.1007/978-3-319-65798-1_32")</f>
        <v>http://dx.doi.org/10.1007/978-3-319-65798-1_32</v>
      </c>
      <c r="BG351" s="1" t="s">
        <v>74</v>
      </c>
      <c r="BH351" s="1" t="s">
        <v>74</v>
      </c>
      <c r="BI351" s="1" t="s">
        <v>74</v>
      </c>
      <c r="BJ351" s="1" t="s">
        <v>74</v>
      </c>
      <c r="BK351" s="1" t="s">
        <v>74</v>
      </c>
      <c r="BL351" s="1" t="s">
        <v>74</v>
      </c>
      <c r="BM351" s="1" t="s">
        <v>74</v>
      </c>
      <c r="BN351" s="1">
        <v>2.9492552E7</v>
      </c>
      <c r="BO351" s="1" t="s">
        <v>74</v>
      </c>
      <c r="BP351" s="1" t="s">
        <v>74</v>
      </c>
      <c r="BQ351" s="1" t="s">
        <v>74</v>
      </c>
      <c r="BR351" s="1" t="s">
        <v>74</v>
      </c>
      <c r="BS351" s="1" t="s">
        <v>3497</v>
      </c>
      <c r="BT351" s="1" t="str">
        <f>HYPERLINK("https%3A%2F%2Fwww.webofscience.com%2Fwos%2Fwoscc%2Ffull-record%2FWOS:000505806100032","View Full Record in Web of Science")</f>
        <v>View Full Record in Web of Science</v>
      </c>
    </row>
    <row r="352" ht="12.75" customHeight="1">
      <c r="A352" s="1" t="s">
        <v>251</v>
      </c>
      <c r="B352" s="1" t="s">
        <v>3498</v>
      </c>
      <c r="C352" s="1" t="s">
        <v>74</v>
      </c>
      <c r="D352" s="1" t="s">
        <v>3499</v>
      </c>
      <c r="E352" s="1" t="s">
        <v>74</v>
      </c>
      <c r="F352" s="1" t="s">
        <v>3500</v>
      </c>
      <c r="G352" s="1" t="s">
        <v>74</v>
      </c>
      <c r="H352" s="1" t="s">
        <v>74</v>
      </c>
      <c r="I352" s="1" t="s">
        <v>3501</v>
      </c>
      <c r="J352" s="1" t="s">
        <v>3502</v>
      </c>
      <c r="K352" s="1" t="s">
        <v>74</v>
      </c>
      <c r="L352" s="1" t="s">
        <v>74</v>
      </c>
      <c r="M352" s="1" t="s">
        <v>74</v>
      </c>
      <c r="N352" s="1" t="s">
        <v>74</v>
      </c>
      <c r="O352" s="1" t="s">
        <v>3503</v>
      </c>
      <c r="P352" s="1" t="s">
        <v>3504</v>
      </c>
      <c r="Q352" s="1" t="s">
        <v>3505</v>
      </c>
      <c r="R352" s="1" t="s">
        <v>3506</v>
      </c>
      <c r="S352" s="1" t="s">
        <v>74</v>
      </c>
      <c r="T352" s="1" t="s">
        <v>74</v>
      </c>
      <c r="U352" s="1" t="s">
        <v>74</v>
      </c>
      <c r="V352" s="1" t="s">
        <v>3507</v>
      </c>
      <c r="W352" s="1" t="s">
        <v>74</v>
      </c>
      <c r="X352" s="1" t="s">
        <v>74</v>
      </c>
      <c r="Y352" s="1" t="s">
        <v>74</v>
      </c>
      <c r="Z352" s="1" t="s">
        <v>74</v>
      </c>
      <c r="AA352" s="1" t="s">
        <v>3508</v>
      </c>
      <c r="AB352" s="1" t="s">
        <v>3509</v>
      </c>
      <c r="AC352" s="1" t="s">
        <v>74</v>
      </c>
      <c r="AD352" s="1" t="s">
        <v>74</v>
      </c>
      <c r="AE352" s="1" t="s">
        <v>74</v>
      </c>
      <c r="AF352" s="1" t="s">
        <v>74</v>
      </c>
      <c r="AG352" s="1" t="s">
        <v>74</v>
      </c>
      <c r="AH352" s="1" t="s">
        <v>74</v>
      </c>
      <c r="AI352" s="1" t="s">
        <v>74</v>
      </c>
      <c r="AJ352" s="1" t="s">
        <v>74</v>
      </c>
      <c r="AK352" s="1" t="s">
        <v>74</v>
      </c>
      <c r="AL352" s="1" t="s">
        <v>74</v>
      </c>
      <c r="AM352" s="1" t="s">
        <v>74</v>
      </c>
      <c r="AN352" s="1" t="s">
        <v>74</v>
      </c>
      <c r="AO352" s="1" t="s">
        <v>74</v>
      </c>
      <c r="AP352" s="1" t="s">
        <v>74</v>
      </c>
      <c r="AQ352" s="1" t="s">
        <v>3510</v>
      </c>
      <c r="AR352" s="1" t="s">
        <v>74</v>
      </c>
      <c r="AS352" s="1" t="s">
        <v>74</v>
      </c>
      <c r="AT352" s="1" t="s">
        <v>74</v>
      </c>
      <c r="AU352" s="1">
        <v>2018.0</v>
      </c>
      <c r="AV352" s="1" t="s">
        <v>74</v>
      </c>
      <c r="AW352" s="1" t="s">
        <v>74</v>
      </c>
      <c r="AX352" s="1" t="s">
        <v>74</v>
      </c>
      <c r="AY352" s="1" t="s">
        <v>74</v>
      </c>
      <c r="AZ352" s="1" t="s">
        <v>74</v>
      </c>
      <c r="BA352" s="1" t="s">
        <v>74</v>
      </c>
      <c r="BB352" s="1" t="s">
        <v>74</v>
      </c>
      <c r="BC352" s="1" t="s">
        <v>74</v>
      </c>
      <c r="BD352" s="1" t="s">
        <v>74</v>
      </c>
      <c r="BE352" s="1" t="s">
        <v>74</v>
      </c>
      <c r="BF352" s="1" t="s">
        <v>74</v>
      </c>
      <c r="BG352" s="1" t="s">
        <v>74</v>
      </c>
      <c r="BH352" s="1" t="s">
        <v>74</v>
      </c>
      <c r="BI352" s="1" t="s">
        <v>74</v>
      </c>
      <c r="BJ352" s="1" t="s">
        <v>74</v>
      </c>
      <c r="BK352" s="1" t="s">
        <v>74</v>
      </c>
      <c r="BL352" s="1" t="s">
        <v>74</v>
      </c>
      <c r="BM352" s="1" t="s">
        <v>74</v>
      </c>
      <c r="BN352" s="1" t="s">
        <v>74</v>
      </c>
      <c r="BO352" s="1" t="s">
        <v>74</v>
      </c>
      <c r="BP352" s="1" t="s">
        <v>74</v>
      </c>
      <c r="BQ352" s="1" t="s">
        <v>74</v>
      </c>
      <c r="BR352" s="1" t="s">
        <v>74</v>
      </c>
      <c r="BS352" s="1" t="s">
        <v>3511</v>
      </c>
      <c r="BT352" s="1" t="str">
        <f>HYPERLINK("https%3A%2F%2Fwww.webofscience.com%2Fwos%2Fwoscc%2Ffull-record%2FWOS:000455022400059","View Full Record in Web of Science")</f>
        <v>View Full Record in Web of Science</v>
      </c>
    </row>
    <row r="353" ht="12.75" customHeight="1">
      <c r="A353" s="1" t="s">
        <v>72</v>
      </c>
      <c r="B353" s="1" t="s">
        <v>3512</v>
      </c>
      <c r="C353" s="1" t="s">
        <v>74</v>
      </c>
      <c r="D353" s="1" t="s">
        <v>74</v>
      </c>
      <c r="E353" s="1" t="s">
        <v>74</v>
      </c>
      <c r="F353" s="1" t="s">
        <v>3513</v>
      </c>
      <c r="G353" s="1" t="s">
        <v>74</v>
      </c>
      <c r="H353" s="1" t="s">
        <v>74</v>
      </c>
      <c r="I353" s="1" t="s">
        <v>3514</v>
      </c>
      <c r="J353" s="1" t="s">
        <v>417</v>
      </c>
      <c r="K353" s="1" t="s">
        <v>74</v>
      </c>
      <c r="L353" s="1" t="s">
        <v>74</v>
      </c>
      <c r="M353" s="1" t="s">
        <v>74</v>
      </c>
      <c r="N353" s="1" t="s">
        <v>74</v>
      </c>
      <c r="O353" s="1" t="s">
        <v>418</v>
      </c>
      <c r="P353" s="1" t="s">
        <v>419</v>
      </c>
      <c r="Q353" s="1" t="s">
        <v>420</v>
      </c>
      <c r="R353" s="1" t="s">
        <v>421</v>
      </c>
      <c r="S353" s="1" t="s">
        <v>74</v>
      </c>
      <c r="T353" s="1" t="s">
        <v>74</v>
      </c>
      <c r="U353" s="1" t="s">
        <v>74</v>
      </c>
      <c r="V353" s="1" t="s">
        <v>74</v>
      </c>
      <c r="W353" s="1" t="s">
        <v>74</v>
      </c>
      <c r="X353" s="1" t="s">
        <v>74</v>
      </c>
      <c r="Y353" s="1" t="s">
        <v>74</v>
      </c>
      <c r="Z353" s="1" t="s">
        <v>74</v>
      </c>
      <c r="AA353" s="1" t="s">
        <v>3515</v>
      </c>
      <c r="AB353" s="1" t="s">
        <v>423</v>
      </c>
      <c r="AC353" s="1" t="s">
        <v>74</v>
      </c>
      <c r="AD353" s="1" t="s">
        <v>74</v>
      </c>
      <c r="AE353" s="1" t="s">
        <v>74</v>
      </c>
      <c r="AF353" s="1" t="s">
        <v>74</v>
      </c>
      <c r="AG353" s="1" t="s">
        <v>74</v>
      </c>
      <c r="AH353" s="1" t="s">
        <v>74</v>
      </c>
      <c r="AI353" s="1" t="s">
        <v>74</v>
      </c>
      <c r="AJ353" s="1" t="s">
        <v>74</v>
      </c>
      <c r="AK353" s="1" t="s">
        <v>74</v>
      </c>
      <c r="AL353" s="1" t="s">
        <v>74</v>
      </c>
      <c r="AM353" s="1" t="s">
        <v>74</v>
      </c>
      <c r="AN353" s="1" t="s">
        <v>74</v>
      </c>
      <c r="AO353" s="1" t="s">
        <v>424</v>
      </c>
      <c r="AP353" s="1" t="s">
        <v>425</v>
      </c>
      <c r="AQ353" s="1" t="s">
        <v>74</v>
      </c>
      <c r="AR353" s="1" t="s">
        <v>74</v>
      </c>
      <c r="AS353" s="1" t="s">
        <v>74</v>
      </c>
      <c r="AT353" s="1" t="s">
        <v>180</v>
      </c>
      <c r="AU353" s="1">
        <v>2017.0</v>
      </c>
      <c r="AV353" s="1">
        <v>49.0</v>
      </c>
      <c r="AW353" s="1">
        <v>5.0</v>
      </c>
      <c r="AX353" s="1" t="s">
        <v>74</v>
      </c>
      <c r="AY353" s="1">
        <v>1.0</v>
      </c>
      <c r="AZ353" s="1" t="s">
        <v>74</v>
      </c>
      <c r="BA353" s="1">
        <v>3381.0</v>
      </c>
      <c r="BB353" s="1">
        <v>968.0</v>
      </c>
      <c r="BC353" s="1">
        <v>969.0</v>
      </c>
      <c r="BD353" s="1" t="s">
        <v>74</v>
      </c>
      <c r="BE353" s="1" t="s">
        <v>3516</v>
      </c>
      <c r="BF353" s="2" t="str">
        <f>HYPERLINK("http://dx.doi.org/10.1249/01.mss.0000519645.63976.08","http://dx.doi.org/10.1249/01.mss.0000519645.63976.08")</f>
        <v>http://dx.doi.org/10.1249/01.mss.0000519645.63976.08</v>
      </c>
      <c r="BG353" s="1" t="s">
        <v>74</v>
      </c>
      <c r="BH353" s="1" t="s">
        <v>74</v>
      </c>
      <c r="BI353" s="1" t="s">
        <v>74</v>
      </c>
      <c r="BJ353" s="1" t="s">
        <v>74</v>
      </c>
      <c r="BK353" s="1" t="s">
        <v>74</v>
      </c>
      <c r="BL353" s="1" t="s">
        <v>74</v>
      </c>
      <c r="BM353" s="1" t="s">
        <v>74</v>
      </c>
      <c r="BN353" s="1" t="s">
        <v>74</v>
      </c>
      <c r="BO353" s="1" t="s">
        <v>74</v>
      </c>
      <c r="BP353" s="1" t="s">
        <v>74</v>
      </c>
      <c r="BQ353" s="1" t="s">
        <v>74</v>
      </c>
      <c r="BR353" s="1" t="s">
        <v>74</v>
      </c>
      <c r="BS353" s="1" t="s">
        <v>3517</v>
      </c>
      <c r="BT353" s="1" t="str">
        <f>HYPERLINK("https%3A%2F%2Fwww.webofscience.com%2Fwos%2Fwoscc%2Ffull-record%2FWOS:000415216000433","View Full Record in Web of Science")</f>
        <v>View Full Record in Web of Science</v>
      </c>
    </row>
    <row r="354" ht="12.75" customHeight="1">
      <c r="A354" s="1" t="s">
        <v>72</v>
      </c>
      <c r="B354" s="1" t="s">
        <v>3518</v>
      </c>
      <c r="C354" s="1" t="s">
        <v>74</v>
      </c>
      <c r="D354" s="1" t="s">
        <v>74</v>
      </c>
      <c r="E354" s="1" t="s">
        <v>74</v>
      </c>
      <c r="F354" s="1" t="s">
        <v>3519</v>
      </c>
      <c r="G354" s="1" t="s">
        <v>74</v>
      </c>
      <c r="H354" s="1" t="s">
        <v>74</v>
      </c>
      <c r="I354" s="1" t="s">
        <v>3520</v>
      </c>
      <c r="J354" s="1" t="s">
        <v>417</v>
      </c>
      <c r="K354" s="1" t="s">
        <v>74</v>
      </c>
      <c r="L354" s="1" t="s">
        <v>74</v>
      </c>
      <c r="M354" s="1" t="s">
        <v>74</v>
      </c>
      <c r="N354" s="1" t="s">
        <v>74</v>
      </c>
      <c r="O354" s="1" t="s">
        <v>418</v>
      </c>
      <c r="P354" s="1" t="s">
        <v>419</v>
      </c>
      <c r="Q354" s="1" t="s">
        <v>420</v>
      </c>
      <c r="R354" s="1" t="s">
        <v>421</v>
      </c>
      <c r="S354" s="1" t="s">
        <v>74</v>
      </c>
      <c r="T354" s="1" t="s">
        <v>74</v>
      </c>
      <c r="U354" s="1" t="s">
        <v>74</v>
      </c>
      <c r="V354" s="1" t="s">
        <v>74</v>
      </c>
      <c r="W354" s="1" t="s">
        <v>74</v>
      </c>
      <c r="X354" s="1" t="s">
        <v>74</v>
      </c>
      <c r="Y354" s="1" t="s">
        <v>74</v>
      </c>
      <c r="Z354" s="1" t="s">
        <v>74</v>
      </c>
      <c r="AA354" s="1" t="s">
        <v>3521</v>
      </c>
      <c r="AB354" s="1" t="s">
        <v>3522</v>
      </c>
      <c r="AC354" s="1" t="s">
        <v>74</v>
      </c>
      <c r="AD354" s="1" t="s">
        <v>74</v>
      </c>
      <c r="AE354" s="1" t="s">
        <v>74</v>
      </c>
      <c r="AF354" s="1" t="s">
        <v>74</v>
      </c>
      <c r="AG354" s="1" t="s">
        <v>74</v>
      </c>
      <c r="AH354" s="1" t="s">
        <v>74</v>
      </c>
      <c r="AI354" s="1" t="s">
        <v>74</v>
      </c>
      <c r="AJ354" s="1" t="s">
        <v>74</v>
      </c>
      <c r="AK354" s="1" t="s">
        <v>74</v>
      </c>
      <c r="AL354" s="1" t="s">
        <v>74</v>
      </c>
      <c r="AM354" s="1" t="s">
        <v>74</v>
      </c>
      <c r="AN354" s="1" t="s">
        <v>74</v>
      </c>
      <c r="AO354" s="1" t="s">
        <v>424</v>
      </c>
      <c r="AP354" s="1" t="s">
        <v>425</v>
      </c>
      <c r="AQ354" s="1" t="s">
        <v>74</v>
      </c>
      <c r="AR354" s="1" t="s">
        <v>74</v>
      </c>
      <c r="AS354" s="1" t="s">
        <v>74</v>
      </c>
      <c r="AT354" s="1" t="s">
        <v>180</v>
      </c>
      <c r="AU354" s="1">
        <v>2017.0</v>
      </c>
      <c r="AV354" s="1">
        <v>49.0</v>
      </c>
      <c r="AW354" s="1">
        <v>5.0</v>
      </c>
      <c r="AX354" s="1" t="s">
        <v>74</v>
      </c>
      <c r="AY354" s="1">
        <v>1.0</v>
      </c>
      <c r="AZ354" s="1" t="s">
        <v>74</v>
      </c>
      <c r="BA354" s="1">
        <v>2801.0</v>
      </c>
      <c r="BB354" s="1">
        <v>806.0</v>
      </c>
      <c r="BC354" s="1">
        <v>806.0</v>
      </c>
      <c r="BD354" s="1" t="s">
        <v>74</v>
      </c>
      <c r="BE354" s="1" t="s">
        <v>3523</v>
      </c>
      <c r="BF354" s="2" t="str">
        <f>HYPERLINK("http://dx.doi.org/10.1249/01.mss.0000519158.22043.88","http://dx.doi.org/10.1249/01.mss.0000519158.22043.88")</f>
        <v>http://dx.doi.org/10.1249/01.mss.0000519158.22043.88</v>
      </c>
      <c r="BG354" s="1" t="s">
        <v>74</v>
      </c>
      <c r="BH354" s="1" t="s">
        <v>74</v>
      </c>
      <c r="BI354" s="1" t="s">
        <v>74</v>
      </c>
      <c r="BJ354" s="1" t="s">
        <v>74</v>
      </c>
      <c r="BK354" s="1" t="s">
        <v>74</v>
      </c>
      <c r="BL354" s="1" t="s">
        <v>74</v>
      </c>
      <c r="BM354" s="1" t="s">
        <v>74</v>
      </c>
      <c r="BN354" s="1" t="s">
        <v>74</v>
      </c>
      <c r="BO354" s="1" t="s">
        <v>74</v>
      </c>
      <c r="BP354" s="1" t="s">
        <v>74</v>
      </c>
      <c r="BQ354" s="1" t="s">
        <v>74</v>
      </c>
      <c r="BR354" s="1" t="s">
        <v>74</v>
      </c>
      <c r="BS354" s="1" t="s">
        <v>3524</v>
      </c>
      <c r="BT354" s="1" t="str">
        <f>HYPERLINK("https%3A%2F%2Fwww.webofscience.com%2Fwos%2Fwoscc%2Ffull-record%2FWOS:000415215700744","View Full Record in Web of Science")</f>
        <v>View Full Record in Web of Science</v>
      </c>
    </row>
    <row r="355" ht="12.75" customHeight="1">
      <c r="A355" s="1" t="s">
        <v>251</v>
      </c>
      <c r="B355" s="1" t="s">
        <v>3525</v>
      </c>
      <c r="C355" s="1" t="s">
        <v>74</v>
      </c>
      <c r="D355" s="1" t="s">
        <v>74</v>
      </c>
      <c r="E355" s="1" t="s">
        <v>253</v>
      </c>
      <c r="F355" s="1" t="s">
        <v>3526</v>
      </c>
      <c r="G355" s="1" t="s">
        <v>74</v>
      </c>
      <c r="H355" s="1" t="s">
        <v>74</v>
      </c>
      <c r="I355" s="1" t="s">
        <v>3527</v>
      </c>
      <c r="J355" s="1" t="s">
        <v>3528</v>
      </c>
      <c r="K355" s="1" t="s">
        <v>3529</v>
      </c>
      <c r="L355" s="1" t="s">
        <v>74</v>
      </c>
      <c r="M355" s="1" t="s">
        <v>74</v>
      </c>
      <c r="N355" s="1" t="s">
        <v>74</v>
      </c>
      <c r="O355" s="1" t="s">
        <v>3530</v>
      </c>
      <c r="P355" s="1" t="s">
        <v>3531</v>
      </c>
      <c r="Q355" s="1" t="s">
        <v>3532</v>
      </c>
      <c r="R355" s="1" t="s">
        <v>3533</v>
      </c>
      <c r="S355" s="1" t="s">
        <v>74</v>
      </c>
      <c r="T355" s="1" t="s">
        <v>74</v>
      </c>
      <c r="U355" s="1" t="s">
        <v>74</v>
      </c>
      <c r="V355" s="1" t="s">
        <v>3534</v>
      </c>
      <c r="W355" s="1" t="s">
        <v>74</v>
      </c>
      <c r="X355" s="1" t="s">
        <v>74</v>
      </c>
      <c r="Y355" s="1" t="s">
        <v>74</v>
      </c>
      <c r="Z355" s="1" t="s">
        <v>74</v>
      </c>
      <c r="AA355" s="1" t="s">
        <v>3535</v>
      </c>
      <c r="AB355" s="1" t="s">
        <v>3536</v>
      </c>
      <c r="AC355" s="1" t="s">
        <v>74</v>
      </c>
      <c r="AD355" s="1" t="s">
        <v>74</v>
      </c>
      <c r="AE355" s="1" t="s">
        <v>74</v>
      </c>
      <c r="AF355" s="1" t="s">
        <v>74</v>
      </c>
      <c r="AG355" s="1" t="s">
        <v>74</v>
      </c>
      <c r="AH355" s="1" t="s">
        <v>74</v>
      </c>
      <c r="AI355" s="1" t="s">
        <v>74</v>
      </c>
      <c r="AJ355" s="1" t="s">
        <v>74</v>
      </c>
      <c r="AK355" s="1" t="s">
        <v>74</v>
      </c>
      <c r="AL355" s="1" t="s">
        <v>74</v>
      </c>
      <c r="AM355" s="1" t="s">
        <v>74</v>
      </c>
      <c r="AN355" s="1" t="s">
        <v>74</v>
      </c>
      <c r="AO355" s="1" t="s">
        <v>74</v>
      </c>
      <c r="AP355" s="1" t="s">
        <v>74</v>
      </c>
      <c r="AQ355" s="1" t="s">
        <v>3537</v>
      </c>
      <c r="AR355" s="1" t="s">
        <v>74</v>
      </c>
      <c r="AS355" s="1" t="s">
        <v>74</v>
      </c>
      <c r="AT355" s="1" t="s">
        <v>74</v>
      </c>
      <c r="AU355" s="1">
        <v>2017.0</v>
      </c>
      <c r="AV355" s="1" t="s">
        <v>74</v>
      </c>
      <c r="AW355" s="1" t="s">
        <v>74</v>
      </c>
      <c r="AX355" s="1" t="s">
        <v>74</v>
      </c>
      <c r="AY355" s="1" t="s">
        <v>74</v>
      </c>
      <c r="AZ355" s="1" t="s">
        <v>74</v>
      </c>
      <c r="BA355" s="1" t="s">
        <v>74</v>
      </c>
      <c r="BB355" s="1">
        <v>1111.0</v>
      </c>
      <c r="BC355" s="1">
        <v>1118.0</v>
      </c>
      <c r="BD355" s="1" t="s">
        <v>74</v>
      </c>
      <c r="BE355" s="1" t="s">
        <v>74</v>
      </c>
      <c r="BF355" s="1" t="s">
        <v>74</v>
      </c>
      <c r="BG355" s="1" t="s">
        <v>74</v>
      </c>
      <c r="BH355" s="1" t="s">
        <v>74</v>
      </c>
      <c r="BI355" s="1" t="s">
        <v>74</v>
      </c>
      <c r="BJ355" s="1" t="s">
        <v>74</v>
      </c>
      <c r="BK355" s="1" t="s">
        <v>74</v>
      </c>
      <c r="BL355" s="1" t="s">
        <v>74</v>
      </c>
      <c r="BM355" s="1" t="s">
        <v>74</v>
      </c>
      <c r="BN355" s="1" t="s">
        <v>74</v>
      </c>
      <c r="BO355" s="1" t="s">
        <v>74</v>
      </c>
      <c r="BP355" s="1" t="s">
        <v>74</v>
      </c>
      <c r="BQ355" s="1" t="s">
        <v>74</v>
      </c>
      <c r="BR355" s="1" t="s">
        <v>74</v>
      </c>
      <c r="BS355" s="1" t="s">
        <v>3538</v>
      </c>
      <c r="BT355" s="1" t="str">
        <f>HYPERLINK("https%3A%2F%2Fwww.webofscience.com%2Fwos%2Fwoscc%2Ffull-record%2FWOS:000426929700144","View Full Record in Web of Science")</f>
        <v>View Full Record in Web of Science</v>
      </c>
    </row>
    <row r="356" ht="12.75" customHeight="1">
      <c r="A356" s="1" t="s">
        <v>72</v>
      </c>
      <c r="B356" s="1" t="s">
        <v>3539</v>
      </c>
      <c r="C356" s="1" t="s">
        <v>74</v>
      </c>
      <c r="D356" s="1" t="s">
        <v>74</v>
      </c>
      <c r="E356" s="1" t="s">
        <v>74</v>
      </c>
      <c r="F356" s="1" t="s">
        <v>3540</v>
      </c>
      <c r="G356" s="1" t="s">
        <v>74</v>
      </c>
      <c r="H356" s="1" t="s">
        <v>74</v>
      </c>
      <c r="I356" s="1" t="s">
        <v>3541</v>
      </c>
      <c r="J356" s="1" t="s">
        <v>3542</v>
      </c>
      <c r="K356" s="1" t="s">
        <v>74</v>
      </c>
      <c r="L356" s="1" t="s">
        <v>74</v>
      </c>
      <c r="M356" s="1" t="s">
        <v>74</v>
      </c>
      <c r="N356" s="1" t="s">
        <v>74</v>
      </c>
      <c r="O356" s="1" t="s">
        <v>74</v>
      </c>
      <c r="P356" s="1" t="s">
        <v>74</v>
      </c>
      <c r="Q356" s="1" t="s">
        <v>74</v>
      </c>
      <c r="R356" s="1" t="s">
        <v>74</v>
      </c>
      <c r="S356" s="1" t="s">
        <v>74</v>
      </c>
      <c r="T356" s="1" t="s">
        <v>74</v>
      </c>
      <c r="U356" s="1" t="s">
        <v>74</v>
      </c>
      <c r="V356" s="1" t="s">
        <v>74</v>
      </c>
      <c r="W356" s="1" t="s">
        <v>74</v>
      </c>
      <c r="X356" s="1" t="s">
        <v>74</v>
      </c>
      <c r="Y356" s="1" t="s">
        <v>74</v>
      </c>
      <c r="Z356" s="1" t="s">
        <v>74</v>
      </c>
      <c r="AA356" s="1" t="s">
        <v>74</v>
      </c>
      <c r="AB356" s="1" t="s">
        <v>74</v>
      </c>
      <c r="AC356" s="1" t="s">
        <v>74</v>
      </c>
      <c r="AD356" s="1" t="s">
        <v>74</v>
      </c>
      <c r="AE356" s="1" t="s">
        <v>74</v>
      </c>
      <c r="AF356" s="1" t="s">
        <v>74</v>
      </c>
      <c r="AG356" s="1" t="s">
        <v>74</v>
      </c>
      <c r="AH356" s="1" t="s">
        <v>74</v>
      </c>
      <c r="AI356" s="1" t="s">
        <v>74</v>
      </c>
      <c r="AJ356" s="1" t="s">
        <v>74</v>
      </c>
      <c r="AK356" s="1" t="s">
        <v>74</v>
      </c>
      <c r="AL356" s="1" t="s">
        <v>74</v>
      </c>
      <c r="AM356" s="1" t="s">
        <v>74</v>
      </c>
      <c r="AN356" s="1" t="s">
        <v>74</v>
      </c>
      <c r="AO356" s="1" t="s">
        <v>3543</v>
      </c>
      <c r="AP356" s="1" t="s">
        <v>3544</v>
      </c>
      <c r="AQ356" s="1" t="s">
        <v>74</v>
      </c>
      <c r="AR356" s="1" t="s">
        <v>74</v>
      </c>
      <c r="AS356" s="1" t="s">
        <v>74</v>
      </c>
      <c r="AT356" s="1" t="s">
        <v>74</v>
      </c>
      <c r="AU356" s="1">
        <v>2017.0</v>
      </c>
      <c r="AV356" s="1">
        <v>71.0</v>
      </c>
      <c r="AW356" s="1" t="s">
        <v>74</v>
      </c>
      <c r="AX356" s="1" t="s">
        <v>74</v>
      </c>
      <c r="AY356" s="1">
        <v>2.0</v>
      </c>
      <c r="AZ356" s="1" t="s">
        <v>74</v>
      </c>
      <c r="BA356" s="1" t="s">
        <v>3545</v>
      </c>
      <c r="BB356" s="1">
        <v>389.0</v>
      </c>
      <c r="BC356" s="1">
        <v>389.0</v>
      </c>
      <c r="BD356" s="1" t="s">
        <v>74</v>
      </c>
      <c r="BE356" s="1" t="s">
        <v>74</v>
      </c>
      <c r="BF356" s="1" t="s">
        <v>74</v>
      </c>
      <c r="BG356" s="1" t="s">
        <v>74</v>
      </c>
      <c r="BH356" s="1" t="s">
        <v>74</v>
      </c>
      <c r="BI356" s="1" t="s">
        <v>74</v>
      </c>
      <c r="BJ356" s="1" t="s">
        <v>74</v>
      </c>
      <c r="BK356" s="1" t="s">
        <v>74</v>
      </c>
      <c r="BL356" s="1" t="s">
        <v>74</v>
      </c>
      <c r="BM356" s="1" t="s">
        <v>74</v>
      </c>
      <c r="BN356" s="1" t="s">
        <v>74</v>
      </c>
      <c r="BO356" s="1" t="s">
        <v>74</v>
      </c>
      <c r="BP356" s="1" t="s">
        <v>74</v>
      </c>
      <c r="BQ356" s="1" t="s">
        <v>74</v>
      </c>
      <c r="BR356" s="1" t="s">
        <v>74</v>
      </c>
      <c r="BS356" s="1" t="s">
        <v>3546</v>
      </c>
      <c r="BT356" s="1" t="str">
        <f>HYPERLINK("https%3A%2F%2Fwww.webofscience.com%2Fwos%2Fwoscc%2Ffull-record%2FWOS:000415605300697","View Full Record in Web of Science")</f>
        <v>View Full Record in Web of Science</v>
      </c>
    </row>
    <row r="357" ht="12.75" customHeight="1">
      <c r="A357" s="1" t="s">
        <v>72</v>
      </c>
      <c r="B357" s="1" t="s">
        <v>3547</v>
      </c>
      <c r="C357" s="1" t="s">
        <v>74</v>
      </c>
      <c r="D357" s="1" t="s">
        <v>74</v>
      </c>
      <c r="E357" s="1" t="s">
        <v>74</v>
      </c>
      <c r="F357" s="1" t="s">
        <v>3548</v>
      </c>
      <c r="G357" s="1" t="s">
        <v>74</v>
      </c>
      <c r="H357" s="1" t="s">
        <v>74</v>
      </c>
      <c r="I357" s="1" t="s">
        <v>3549</v>
      </c>
      <c r="J357" s="1" t="s">
        <v>3550</v>
      </c>
      <c r="K357" s="1" t="s">
        <v>74</v>
      </c>
      <c r="L357" s="1" t="s">
        <v>74</v>
      </c>
      <c r="M357" s="1" t="s">
        <v>74</v>
      </c>
      <c r="N357" s="1" t="s">
        <v>74</v>
      </c>
      <c r="O357" s="1" t="s">
        <v>74</v>
      </c>
      <c r="P357" s="1" t="s">
        <v>74</v>
      </c>
      <c r="Q357" s="1" t="s">
        <v>74</v>
      </c>
      <c r="R357" s="1" t="s">
        <v>74</v>
      </c>
      <c r="S357" s="1" t="s">
        <v>74</v>
      </c>
      <c r="T357" s="1" t="s">
        <v>74</v>
      </c>
      <c r="U357" s="1" t="s">
        <v>74</v>
      </c>
      <c r="V357" s="1" t="s">
        <v>3551</v>
      </c>
      <c r="W357" s="1" t="s">
        <v>74</v>
      </c>
      <c r="X357" s="1" t="s">
        <v>74</v>
      </c>
      <c r="Y357" s="1" t="s">
        <v>74</v>
      </c>
      <c r="Z357" s="1" t="s">
        <v>74</v>
      </c>
      <c r="AA357" s="1" t="s">
        <v>3552</v>
      </c>
      <c r="AB357" s="1" t="s">
        <v>3553</v>
      </c>
      <c r="AC357" s="1" t="s">
        <v>74</v>
      </c>
      <c r="AD357" s="1" t="s">
        <v>74</v>
      </c>
      <c r="AE357" s="1" t="s">
        <v>74</v>
      </c>
      <c r="AF357" s="1" t="s">
        <v>74</v>
      </c>
      <c r="AG357" s="1" t="s">
        <v>74</v>
      </c>
      <c r="AH357" s="1" t="s">
        <v>74</v>
      </c>
      <c r="AI357" s="1" t="s">
        <v>74</v>
      </c>
      <c r="AJ357" s="1" t="s">
        <v>74</v>
      </c>
      <c r="AK357" s="1" t="s">
        <v>74</v>
      </c>
      <c r="AL357" s="1" t="s">
        <v>74</v>
      </c>
      <c r="AM357" s="1" t="s">
        <v>74</v>
      </c>
      <c r="AN357" s="1" t="s">
        <v>74</v>
      </c>
      <c r="AO357" s="1" t="s">
        <v>3554</v>
      </c>
      <c r="AP357" s="1" t="s">
        <v>3555</v>
      </c>
      <c r="AQ357" s="1" t="s">
        <v>74</v>
      </c>
      <c r="AR357" s="1" t="s">
        <v>74</v>
      </c>
      <c r="AS357" s="1" t="s">
        <v>74</v>
      </c>
      <c r="AT357" s="1" t="s">
        <v>110</v>
      </c>
      <c r="AU357" s="1">
        <v>2016.0</v>
      </c>
      <c r="AV357" s="1">
        <v>61.0</v>
      </c>
      <c r="AW357" s="1" t="s">
        <v>74</v>
      </c>
      <c r="AX357" s="1" t="s">
        <v>74</v>
      </c>
      <c r="AY357" s="1" t="s">
        <v>74</v>
      </c>
      <c r="AZ357" s="1" t="s">
        <v>74</v>
      </c>
      <c r="BA357" s="1" t="s">
        <v>74</v>
      </c>
      <c r="BB357" s="1">
        <v>851.0</v>
      </c>
      <c r="BC357" s="1">
        <v>857.0</v>
      </c>
      <c r="BD357" s="1" t="s">
        <v>74</v>
      </c>
      <c r="BE357" s="1" t="s">
        <v>3556</v>
      </c>
      <c r="BF357" s="2" t="str">
        <f>HYPERLINK("http://dx.doi.org/10.1016/j.foodhyd.2016.07.007","http://dx.doi.org/10.1016/j.foodhyd.2016.07.007")</f>
        <v>http://dx.doi.org/10.1016/j.foodhyd.2016.07.007</v>
      </c>
      <c r="BG357" s="1" t="s">
        <v>74</v>
      </c>
      <c r="BH357" s="1" t="s">
        <v>74</v>
      </c>
      <c r="BI357" s="1" t="s">
        <v>74</v>
      </c>
      <c r="BJ357" s="1" t="s">
        <v>74</v>
      </c>
      <c r="BK357" s="1" t="s">
        <v>74</v>
      </c>
      <c r="BL357" s="1" t="s">
        <v>74</v>
      </c>
      <c r="BM357" s="1" t="s">
        <v>74</v>
      </c>
      <c r="BN357" s="1" t="s">
        <v>74</v>
      </c>
      <c r="BO357" s="1" t="s">
        <v>74</v>
      </c>
      <c r="BP357" s="1" t="s">
        <v>74</v>
      </c>
      <c r="BQ357" s="1" t="s">
        <v>74</v>
      </c>
      <c r="BR357" s="1" t="s">
        <v>74</v>
      </c>
      <c r="BS357" s="1" t="s">
        <v>3557</v>
      </c>
      <c r="BT357" s="1" t="str">
        <f>HYPERLINK("https%3A%2F%2Fwww.webofscience.com%2Fwos%2Fwoscc%2Ffull-record%2FWOS:000382253400092","View Full Record in Web of Science")</f>
        <v>View Full Record in Web of Science</v>
      </c>
    </row>
    <row r="358" ht="12.75" customHeight="1">
      <c r="A358" s="1" t="s">
        <v>72</v>
      </c>
      <c r="B358" s="1" t="s">
        <v>3558</v>
      </c>
      <c r="C358" s="1" t="s">
        <v>74</v>
      </c>
      <c r="D358" s="1" t="s">
        <v>74</v>
      </c>
      <c r="E358" s="1" t="s">
        <v>74</v>
      </c>
      <c r="F358" s="1" t="s">
        <v>3559</v>
      </c>
      <c r="G358" s="1" t="s">
        <v>74</v>
      </c>
      <c r="H358" s="1" t="s">
        <v>74</v>
      </c>
      <c r="I358" s="1" t="s">
        <v>3560</v>
      </c>
      <c r="J358" s="1" t="s">
        <v>1395</v>
      </c>
      <c r="K358" s="1" t="s">
        <v>74</v>
      </c>
      <c r="L358" s="1" t="s">
        <v>74</v>
      </c>
      <c r="M358" s="1" t="s">
        <v>74</v>
      </c>
      <c r="N358" s="1" t="s">
        <v>74</v>
      </c>
      <c r="O358" s="1" t="s">
        <v>74</v>
      </c>
      <c r="P358" s="1" t="s">
        <v>74</v>
      </c>
      <c r="Q358" s="1" t="s">
        <v>74</v>
      </c>
      <c r="R358" s="1" t="s">
        <v>74</v>
      </c>
      <c r="S358" s="1" t="s">
        <v>74</v>
      </c>
      <c r="T358" s="1" t="s">
        <v>74</v>
      </c>
      <c r="U358" s="1" t="s">
        <v>74</v>
      </c>
      <c r="V358" s="1" t="s">
        <v>3561</v>
      </c>
      <c r="W358" s="1" t="s">
        <v>74</v>
      </c>
      <c r="X358" s="1" t="s">
        <v>74</v>
      </c>
      <c r="Y358" s="1" t="s">
        <v>74</v>
      </c>
      <c r="Z358" s="1" t="s">
        <v>74</v>
      </c>
      <c r="AA358" s="1" t="s">
        <v>3562</v>
      </c>
      <c r="AB358" s="1" t="s">
        <v>3563</v>
      </c>
      <c r="AC358" s="1" t="s">
        <v>74</v>
      </c>
      <c r="AD358" s="1" t="s">
        <v>74</v>
      </c>
      <c r="AE358" s="1" t="s">
        <v>74</v>
      </c>
      <c r="AF358" s="1" t="s">
        <v>74</v>
      </c>
      <c r="AG358" s="1" t="s">
        <v>74</v>
      </c>
      <c r="AH358" s="1" t="s">
        <v>74</v>
      </c>
      <c r="AI358" s="1" t="s">
        <v>74</v>
      </c>
      <c r="AJ358" s="1" t="s">
        <v>74</v>
      </c>
      <c r="AK358" s="1" t="s">
        <v>74</v>
      </c>
      <c r="AL358" s="1" t="s">
        <v>74</v>
      </c>
      <c r="AM358" s="1" t="s">
        <v>74</v>
      </c>
      <c r="AN358" s="1" t="s">
        <v>74</v>
      </c>
      <c r="AO358" s="1" t="s">
        <v>1399</v>
      </c>
      <c r="AP358" s="1" t="s">
        <v>1400</v>
      </c>
      <c r="AQ358" s="1" t="s">
        <v>74</v>
      </c>
      <c r="AR358" s="1" t="s">
        <v>74</v>
      </c>
      <c r="AS358" s="1" t="s">
        <v>74</v>
      </c>
      <c r="AT358" s="1" t="s">
        <v>310</v>
      </c>
      <c r="AU358" s="1">
        <v>2016.0</v>
      </c>
      <c r="AV358" s="1">
        <v>176.0</v>
      </c>
      <c r="AW358" s="1" t="s">
        <v>74</v>
      </c>
      <c r="AX358" s="1" t="s">
        <v>74</v>
      </c>
      <c r="AY358" s="1" t="s">
        <v>74</v>
      </c>
      <c r="AZ358" s="1" t="s">
        <v>74</v>
      </c>
      <c r="BA358" s="1" t="s">
        <v>74</v>
      </c>
      <c r="BB358" s="1">
        <v>30.0</v>
      </c>
      <c r="BC358" s="1">
        <v>37.0</v>
      </c>
      <c r="BD358" s="1" t="s">
        <v>74</v>
      </c>
      <c r="BE358" s="1" t="s">
        <v>3564</v>
      </c>
      <c r="BF358" s="2" t="str">
        <f>HYPERLINK("http://dx.doi.org/10.1016/j.aquatox.2016.04.015","http://dx.doi.org/10.1016/j.aquatox.2016.04.015")</f>
        <v>http://dx.doi.org/10.1016/j.aquatox.2016.04.015</v>
      </c>
      <c r="BG358" s="1" t="s">
        <v>74</v>
      </c>
      <c r="BH358" s="1" t="s">
        <v>74</v>
      </c>
      <c r="BI358" s="1" t="s">
        <v>74</v>
      </c>
      <c r="BJ358" s="1" t="s">
        <v>74</v>
      </c>
      <c r="BK358" s="1" t="s">
        <v>74</v>
      </c>
      <c r="BL358" s="1" t="s">
        <v>74</v>
      </c>
      <c r="BM358" s="1" t="s">
        <v>74</v>
      </c>
      <c r="BN358" s="1">
        <v>2.7107242E7</v>
      </c>
      <c r="BO358" s="1" t="s">
        <v>74</v>
      </c>
      <c r="BP358" s="1" t="s">
        <v>74</v>
      </c>
      <c r="BQ358" s="1" t="s">
        <v>74</v>
      </c>
      <c r="BR358" s="1" t="s">
        <v>74</v>
      </c>
      <c r="BS358" s="1" t="s">
        <v>3565</v>
      </c>
      <c r="BT358" s="1" t="str">
        <f>HYPERLINK("https%3A%2F%2Fwww.webofscience.com%2Fwos%2Fwoscc%2Ffull-record%2FWOS:000377734500004","View Full Record in Web of Science")</f>
        <v>View Full Record in Web of Science</v>
      </c>
    </row>
    <row r="359" ht="12.75" customHeight="1">
      <c r="A359" s="1" t="s">
        <v>72</v>
      </c>
      <c r="B359" s="1" t="s">
        <v>3566</v>
      </c>
      <c r="C359" s="1" t="s">
        <v>74</v>
      </c>
      <c r="D359" s="1" t="s">
        <v>74</v>
      </c>
      <c r="E359" s="1" t="s">
        <v>74</v>
      </c>
      <c r="F359" s="1" t="s">
        <v>3567</v>
      </c>
      <c r="G359" s="1" t="s">
        <v>74</v>
      </c>
      <c r="H359" s="1" t="s">
        <v>74</v>
      </c>
      <c r="I359" s="1" t="s">
        <v>3568</v>
      </c>
      <c r="J359" s="1" t="s">
        <v>3569</v>
      </c>
      <c r="K359" s="1" t="s">
        <v>74</v>
      </c>
      <c r="L359" s="1" t="s">
        <v>74</v>
      </c>
      <c r="M359" s="1" t="s">
        <v>74</v>
      </c>
      <c r="N359" s="1" t="s">
        <v>74</v>
      </c>
      <c r="O359" s="1" t="s">
        <v>74</v>
      </c>
      <c r="P359" s="1" t="s">
        <v>74</v>
      </c>
      <c r="Q359" s="1" t="s">
        <v>74</v>
      </c>
      <c r="R359" s="1" t="s">
        <v>74</v>
      </c>
      <c r="S359" s="1" t="s">
        <v>74</v>
      </c>
      <c r="T359" s="1" t="s">
        <v>74</v>
      </c>
      <c r="U359" s="1" t="s">
        <v>74</v>
      </c>
      <c r="V359" s="1" t="s">
        <v>3570</v>
      </c>
      <c r="W359" s="1" t="s">
        <v>74</v>
      </c>
      <c r="X359" s="1" t="s">
        <v>74</v>
      </c>
      <c r="Y359" s="1" t="s">
        <v>74</v>
      </c>
      <c r="Z359" s="1" t="s">
        <v>74</v>
      </c>
      <c r="AA359" s="1" t="s">
        <v>842</v>
      </c>
      <c r="AB359" s="1" t="s">
        <v>843</v>
      </c>
      <c r="AC359" s="1" t="s">
        <v>74</v>
      </c>
      <c r="AD359" s="1" t="s">
        <v>74</v>
      </c>
      <c r="AE359" s="1" t="s">
        <v>74</v>
      </c>
      <c r="AF359" s="1" t="s">
        <v>74</v>
      </c>
      <c r="AG359" s="1" t="s">
        <v>74</v>
      </c>
      <c r="AH359" s="1" t="s">
        <v>74</v>
      </c>
      <c r="AI359" s="1" t="s">
        <v>74</v>
      </c>
      <c r="AJ359" s="1" t="s">
        <v>74</v>
      </c>
      <c r="AK359" s="1" t="s">
        <v>74</v>
      </c>
      <c r="AL359" s="1" t="s">
        <v>74</v>
      </c>
      <c r="AM359" s="1" t="s">
        <v>74</v>
      </c>
      <c r="AN359" s="1" t="s">
        <v>74</v>
      </c>
      <c r="AO359" s="1" t="s">
        <v>3571</v>
      </c>
      <c r="AP359" s="1" t="s">
        <v>3572</v>
      </c>
      <c r="AQ359" s="1" t="s">
        <v>74</v>
      </c>
      <c r="AR359" s="1" t="s">
        <v>74</v>
      </c>
      <c r="AS359" s="1" t="s">
        <v>74</v>
      </c>
      <c r="AT359" s="1" t="s">
        <v>3573</v>
      </c>
      <c r="AU359" s="1">
        <v>2016.0</v>
      </c>
      <c r="AV359" s="1">
        <v>95.0</v>
      </c>
      <c r="AW359" s="1">
        <v>6.0</v>
      </c>
      <c r="AX359" s="1" t="s">
        <v>74</v>
      </c>
      <c r="AY359" s="1" t="s">
        <v>74</v>
      </c>
      <c r="AZ359" s="1" t="s">
        <v>74</v>
      </c>
      <c r="BA359" s="1" t="s">
        <v>74</v>
      </c>
      <c r="BB359" s="1">
        <v>1347.0</v>
      </c>
      <c r="BC359" s="1">
        <v>1369.0</v>
      </c>
      <c r="BD359" s="1" t="s">
        <v>74</v>
      </c>
      <c r="BE359" s="1" t="s">
        <v>3574</v>
      </c>
      <c r="BF359" s="2" t="str">
        <f>HYPERLINK("http://dx.doi.org/10.1080/00036811.2015.1064521","http://dx.doi.org/10.1080/00036811.2015.1064521")</f>
        <v>http://dx.doi.org/10.1080/00036811.2015.1064521</v>
      </c>
      <c r="BG359" s="1" t="s">
        <v>74</v>
      </c>
      <c r="BH359" s="1" t="s">
        <v>74</v>
      </c>
      <c r="BI359" s="1" t="s">
        <v>74</v>
      </c>
      <c r="BJ359" s="1" t="s">
        <v>74</v>
      </c>
      <c r="BK359" s="1" t="s">
        <v>74</v>
      </c>
      <c r="BL359" s="1" t="s">
        <v>74</v>
      </c>
      <c r="BM359" s="1" t="s">
        <v>74</v>
      </c>
      <c r="BN359" s="1" t="s">
        <v>74</v>
      </c>
      <c r="BO359" s="1" t="s">
        <v>74</v>
      </c>
      <c r="BP359" s="1" t="s">
        <v>74</v>
      </c>
      <c r="BQ359" s="1" t="s">
        <v>74</v>
      </c>
      <c r="BR359" s="1" t="s">
        <v>74</v>
      </c>
      <c r="BS359" s="1" t="s">
        <v>3575</v>
      </c>
      <c r="BT359" s="1" t="str">
        <f>HYPERLINK("https%3A%2F%2Fwww.webofscience.com%2Fwos%2Fwoscc%2Ffull-record%2FWOS:000372982900011","View Full Record in Web of Science")</f>
        <v>View Full Record in Web of Science</v>
      </c>
    </row>
    <row r="360" ht="12.75" customHeight="1">
      <c r="A360" s="1" t="s">
        <v>72</v>
      </c>
      <c r="B360" s="1" t="s">
        <v>3576</v>
      </c>
      <c r="C360" s="1" t="s">
        <v>74</v>
      </c>
      <c r="D360" s="1" t="s">
        <v>74</v>
      </c>
      <c r="E360" s="1" t="s">
        <v>74</v>
      </c>
      <c r="F360" s="1" t="s">
        <v>3577</v>
      </c>
      <c r="G360" s="1" t="s">
        <v>74</v>
      </c>
      <c r="H360" s="1" t="s">
        <v>74</v>
      </c>
      <c r="I360" s="1" t="s">
        <v>3578</v>
      </c>
      <c r="J360" s="1" t="s">
        <v>1197</v>
      </c>
      <c r="K360" s="1" t="s">
        <v>74</v>
      </c>
      <c r="L360" s="1" t="s">
        <v>74</v>
      </c>
      <c r="M360" s="1" t="s">
        <v>74</v>
      </c>
      <c r="N360" s="1" t="s">
        <v>74</v>
      </c>
      <c r="O360" s="1" t="s">
        <v>74</v>
      </c>
      <c r="P360" s="1" t="s">
        <v>74</v>
      </c>
      <c r="Q360" s="1" t="s">
        <v>74</v>
      </c>
      <c r="R360" s="1" t="s">
        <v>74</v>
      </c>
      <c r="S360" s="1" t="s">
        <v>74</v>
      </c>
      <c r="T360" s="1" t="s">
        <v>74</v>
      </c>
      <c r="U360" s="1" t="s">
        <v>74</v>
      </c>
      <c r="V360" s="1" t="s">
        <v>3579</v>
      </c>
      <c r="W360" s="1" t="s">
        <v>74</v>
      </c>
      <c r="X360" s="1" t="s">
        <v>74</v>
      </c>
      <c r="Y360" s="1" t="s">
        <v>74</v>
      </c>
      <c r="Z360" s="1" t="s">
        <v>74</v>
      </c>
      <c r="AA360" s="1" t="s">
        <v>74</v>
      </c>
      <c r="AB360" s="1" t="s">
        <v>604</v>
      </c>
      <c r="AC360" s="1" t="s">
        <v>74</v>
      </c>
      <c r="AD360" s="1" t="s">
        <v>74</v>
      </c>
      <c r="AE360" s="1" t="s">
        <v>74</v>
      </c>
      <c r="AF360" s="1" t="s">
        <v>74</v>
      </c>
      <c r="AG360" s="1" t="s">
        <v>74</v>
      </c>
      <c r="AH360" s="1" t="s">
        <v>74</v>
      </c>
      <c r="AI360" s="1" t="s">
        <v>74</v>
      </c>
      <c r="AJ360" s="1" t="s">
        <v>74</v>
      </c>
      <c r="AK360" s="1" t="s">
        <v>74</v>
      </c>
      <c r="AL360" s="1" t="s">
        <v>74</v>
      </c>
      <c r="AM360" s="1" t="s">
        <v>74</v>
      </c>
      <c r="AN360" s="1" t="s">
        <v>74</v>
      </c>
      <c r="AO360" s="1" t="s">
        <v>3580</v>
      </c>
      <c r="AP360" s="1" t="s">
        <v>1199</v>
      </c>
      <c r="AQ360" s="1" t="s">
        <v>74</v>
      </c>
      <c r="AR360" s="1" t="s">
        <v>74</v>
      </c>
      <c r="AS360" s="1" t="s">
        <v>74</v>
      </c>
      <c r="AT360" s="1" t="s">
        <v>74</v>
      </c>
      <c r="AU360" s="1">
        <v>2016.0</v>
      </c>
      <c r="AV360" s="1">
        <v>48.0</v>
      </c>
      <c r="AW360" s="1">
        <v>1.0</v>
      </c>
      <c r="AX360" s="1" t="s">
        <v>74</v>
      </c>
      <c r="AY360" s="1" t="s">
        <v>74</v>
      </c>
      <c r="AZ360" s="1" t="s">
        <v>74</v>
      </c>
      <c r="BA360" s="1" t="s">
        <v>74</v>
      </c>
      <c r="BB360" s="1">
        <v>239.0</v>
      </c>
      <c r="BC360" s="1">
        <v>251.0</v>
      </c>
      <c r="BD360" s="1" t="s">
        <v>74</v>
      </c>
      <c r="BE360" s="1" t="s">
        <v>74</v>
      </c>
      <c r="BF360" s="1" t="s">
        <v>74</v>
      </c>
      <c r="BG360" s="1" t="s">
        <v>74</v>
      </c>
      <c r="BH360" s="1" t="s">
        <v>74</v>
      </c>
      <c r="BI360" s="1" t="s">
        <v>74</v>
      </c>
      <c r="BJ360" s="1" t="s">
        <v>74</v>
      </c>
      <c r="BK360" s="1" t="s">
        <v>74</v>
      </c>
      <c r="BL360" s="1" t="s">
        <v>74</v>
      </c>
      <c r="BM360" s="1" t="s">
        <v>74</v>
      </c>
      <c r="BN360" s="1" t="s">
        <v>74</v>
      </c>
      <c r="BO360" s="1" t="s">
        <v>74</v>
      </c>
      <c r="BP360" s="1" t="s">
        <v>74</v>
      </c>
      <c r="BQ360" s="1" t="s">
        <v>74</v>
      </c>
      <c r="BR360" s="1" t="s">
        <v>74</v>
      </c>
      <c r="BS360" s="1" t="s">
        <v>3581</v>
      </c>
      <c r="BT360" s="1" t="str">
        <f>HYPERLINK("https%3A%2F%2Fwww.webofscience.com%2Fwos%2Fwoscc%2Ffull-record%2FWOS:000378604400017","View Full Record in Web of Science")</f>
        <v>View Full Record in Web of Science</v>
      </c>
    </row>
    <row r="361" ht="12.75" customHeight="1">
      <c r="A361" s="1" t="s">
        <v>251</v>
      </c>
      <c r="B361" s="1" t="s">
        <v>3582</v>
      </c>
      <c r="C361" s="1" t="s">
        <v>74</v>
      </c>
      <c r="D361" s="1" t="s">
        <v>74</v>
      </c>
      <c r="E361" s="1" t="s">
        <v>253</v>
      </c>
      <c r="F361" s="1" t="s">
        <v>3583</v>
      </c>
      <c r="G361" s="1" t="s">
        <v>74</v>
      </c>
      <c r="H361" s="1" t="s">
        <v>74</v>
      </c>
      <c r="I361" s="1" t="s">
        <v>3584</v>
      </c>
      <c r="J361" s="1" t="s">
        <v>3585</v>
      </c>
      <c r="K361" s="1" t="s">
        <v>74</v>
      </c>
      <c r="L361" s="1" t="s">
        <v>74</v>
      </c>
      <c r="M361" s="1" t="s">
        <v>74</v>
      </c>
      <c r="N361" s="1" t="s">
        <v>74</v>
      </c>
      <c r="O361" s="1" t="s">
        <v>3586</v>
      </c>
      <c r="P361" s="1" t="s">
        <v>3587</v>
      </c>
      <c r="Q361" s="1" t="s">
        <v>3588</v>
      </c>
      <c r="R361" s="1" t="s">
        <v>74</v>
      </c>
      <c r="S361" s="1" t="s">
        <v>74</v>
      </c>
      <c r="T361" s="1" t="s">
        <v>74</v>
      </c>
      <c r="U361" s="1" t="s">
        <v>74</v>
      </c>
      <c r="V361" s="1" t="s">
        <v>3589</v>
      </c>
      <c r="W361" s="1" t="s">
        <v>74</v>
      </c>
      <c r="X361" s="1" t="s">
        <v>74</v>
      </c>
      <c r="Y361" s="1" t="s">
        <v>74</v>
      </c>
      <c r="Z361" s="1" t="s">
        <v>74</v>
      </c>
      <c r="AA361" s="1" t="s">
        <v>74</v>
      </c>
      <c r="AB361" s="1" t="s">
        <v>3590</v>
      </c>
      <c r="AC361" s="1" t="s">
        <v>74</v>
      </c>
      <c r="AD361" s="1" t="s">
        <v>74</v>
      </c>
      <c r="AE361" s="1" t="s">
        <v>74</v>
      </c>
      <c r="AF361" s="1" t="s">
        <v>74</v>
      </c>
      <c r="AG361" s="1" t="s">
        <v>74</v>
      </c>
      <c r="AH361" s="1" t="s">
        <v>74</v>
      </c>
      <c r="AI361" s="1" t="s">
        <v>74</v>
      </c>
      <c r="AJ361" s="1" t="s">
        <v>74</v>
      </c>
      <c r="AK361" s="1" t="s">
        <v>74</v>
      </c>
      <c r="AL361" s="1" t="s">
        <v>74</v>
      </c>
      <c r="AM361" s="1" t="s">
        <v>74</v>
      </c>
      <c r="AN361" s="1" t="s">
        <v>74</v>
      </c>
      <c r="AO361" s="1" t="s">
        <v>74</v>
      </c>
      <c r="AP361" s="1" t="s">
        <v>74</v>
      </c>
      <c r="AQ361" s="1" t="s">
        <v>3591</v>
      </c>
      <c r="AR361" s="1" t="s">
        <v>74</v>
      </c>
      <c r="AS361" s="1" t="s">
        <v>74</v>
      </c>
      <c r="AT361" s="1" t="s">
        <v>74</v>
      </c>
      <c r="AU361" s="1">
        <v>2015.0</v>
      </c>
      <c r="AV361" s="1" t="s">
        <v>74</v>
      </c>
      <c r="AW361" s="1" t="s">
        <v>74</v>
      </c>
      <c r="AX361" s="1" t="s">
        <v>74</v>
      </c>
      <c r="AY361" s="1" t="s">
        <v>74</v>
      </c>
      <c r="AZ361" s="1" t="s">
        <v>74</v>
      </c>
      <c r="BA361" s="1" t="s">
        <v>74</v>
      </c>
      <c r="BB361" s="1" t="s">
        <v>74</v>
      </c>
      <c r="BC361" s="1" t="s">
        <v>74</v>
      </c>
      <c r="BD361" s="1" t="s">
        <v>74</v>
      </c>
      <c r="BE361" s="1" t="s">
        <v>74</v>
      </c>
      <c r="BF361" s="1" t="s">
        <v>74</v>
      </c>
      <c r="BG361" s="1" t="s">
        <v>74</v>
      </c>
      <c r="BH361" s="1" t="s">
        <v>74</v>
      </c>
      <c r="BI361" s="1" t="s">
        <v>74</v>
      </c>
      <c r="BJ361" s="1" t="s">
        <v>74</v>
      </c>
      <c r="BK361" s="1" t="s">
        <v>74</v>
      </c>
      <c r="BL361" s="1" t="s">
        <v>74</v>
      </c>
      <c r="BM361" s="1" t="s">
        <v>74</v>
      </c>
      <c r="BN361" s="1" t="s">
        <v>74</v>
      </c>
      <c r="BO361" s="1" t="s">
        <v>74</v>
      </c>
      <c r="BP361" s="1" t="s">
        <v>74</v>
      </c>
      <c r="BQ361" s="1" t="s">
        <v>74</v>
      </c>
      <c r="BR361" s="1" t="s">
        <v>74</v>
      </c>
      <c r="BS361" s="1" t="s">
        <v>3592</v>
      </c>
      <c r="BT361" s="1" t="str">
        <f>HYPERLINK("https%3A%2F%2Fwww.webofscience.com%2Fwos%2Fwoscc%2Ffull-record%2FWOS:000380546800455","View Full Record in Web of Science")</f>
        <v>View Full Record in Web of Science</v>
      </c>
    </row>
    <row r="362" ht="12.75" customHeight="1">
      <c r="A362" s="1" t="s">
        <v>72</v>
      </c>
      <c r="B362" s="1" t="s">
        <v>3593</v>
      </c>
      <c r="C362" s="1" t="s">
        <v>74</v>
      </c>
      <c r="D362" s="1" t="s">
        <v>74</v>
      </c>
      <c r="E362" s="1" t="s">
        <v>74</v>
      </c>
      <c r="F362" s="1" t="s">
        <v>3594</v>
      </c>
      <c r="G362" s="1" t="s">
        <v>74</v>
      </c>
      <c r="H362" s="1" t="s">
        <v>74</v>
      </c>
      <c r="I362" s="1" t="s">
        <v>3595</v>
      </c>
      <c r="J362" s="1" t="s">
        <v>3596</v>
      </c>
      <c r="K362" s="1" t="s">
        <v>74</v>
      </c>
      <c r="L362" s="1" t="s">
        <v>74</v>
      </c>
      <c r="M362" s="1" t="s">
        <v>74</v>
      </c>
      <c r="N362" s="1" t="s">
        <v>74</v>
      </c>
      <c r="O362" s="1" t="s">
        <v>74</v>
      </c>
      <c r="P362" s="1" t="s">
        <v>74</v>
      </c>
      <c r="Q362" s="1" t="s">
        <v>74</v>
      </c>
      <c r="R362" s="1" t="s">
        <v>74</v>
      </c>
      <c r="S362" s="1" t="s">
        <v>74</v>
      </c>
      <c r="T362" s="1" t="s">
        <v>74</v>
      </c>
      <c r="U362" s="1" t="s">
        <v>74</v>
      </c>
      <c r="V362" s="1" t="s">
        <v>3597</v>
      </c>
      <c r="W362" s="1" t="s">
        <v>74</v>
      </c>
      <c r="X362" s="1" t="s">
        <v>74</v>
      </c>
      <c r="Y362" s="1" t="s">
        <v>74</v>
      </c>
      <c r="Z362" s="1" t="s">
        <v>74</v>
      </c>
      <c r="AA362" s="1" t="s">
        <v>74</v>
      </c>
      <c r="AB362" s="1" t="s">
        <v>2147</v>
      </c>
      <c r="AC362" s="1" t="s">
        <v>74</v>
      </c>
      <c r="AD362" s="1" t="s">
        <v>74</v>
      </c>
      <c r="AE362" s="1" t="s">
        <v>74</v>
      </c>
      <c r="AF362" s="1" t="s">
        <v>74</v>
      </c>
      <c r="AG362" s="1" t="s">
        <v>74</v>
      </c>
      <c r="AH362" s="1" t="s">
        <v>74</v>
      </c>
      <c r="AI362" s="1" t="s">
        <v>74</v>
      </c>
      <c r="AJ362" s="1" t="s">
        <v>74</v>
      </c>
      <c r="AK362" s="1" t="s">
        <v>74</v>
      </c>
      <c r="AL362" s="1" t="s">
        <v>74</v>
      </c>
      <c r="AM362" s="1" t="s">
        <v>74</v>
      </c>
      <c r="AN362" s="1" t="s">
        <v>74</v>
      </c>
      <c r="AO362" s="1" t="s">
        <v>3598</v>
      </c>
      <c r="AP362" s="1" t="s">
        <v>3599</v>
      </c>
      <c r="AQ362" s="1" t="s">
        <v>74</v>
      </c>
      <c r="AR362" s="1" t="s">
        <v>74</v>
      </c>
      <c r="AS362" s="1" t="s">
        <v>74</v>
      </c>
      <c r="AT362" s="1" t="s">
        <v>215</v>
      </c>
      <c r="AU362" s="1">
        <v>2014.0</v>
      </c>
      <c r="AV362" s="1">
        <v>359.0</v>
      </c>
      <c r="AW362" s="1" t="s">
        <v>2150</v>
      </c>
      <c r="AX362" s="1" t="s">
        <v>74</v>
      </c>
      <c r="AY362" s="1" t="s">
        <v>74</v>
      </c>
      <c r="AZ362" s="1" t="s">
        <v>74</v>
      </c>
      <c r="BA362" s="1" t="s">
        <v>74</v>
      </c>
      <c r="BB362" s="1">
        <v>101.0</v>
      </c>
      <c r="BC362" s="1">
        <v>152.0</v>
      </c>
      <c r="BD362" s="1" t="s">
        <v>74</v>
      </c>
      <c r="BE362" s="1" t="s">
        <v>3600</v>
      </c>
      <c r="BF362" s="2" t="str">
        <f>HYPERLINK("http://dx.doi.org/10.1007/s00208-013-0995-1","http://dx.doi.org/10.1007/s00208-013-0995-1")</f>
        <v>http://dx.doi.org/10.1007/s00208-013-0995-1</v>
      </c>
      <c r="BG362" s="1" t="s">
        <v>74</v>
      </c>
      <c r="BH362" s="1" t="s">
        <v>74</v>
      </c>
      <c r="BI362" s="1" t="s">
        <v>74</v>
      </c>
      <c r="BJ362" s="1" t="s">
        <v>74</v>
      </c>
      <c r="BK362" s="1" t="s">
        <v>74</v>
      </c>
      <c r="BL362" s="1" t="s">
        <v>74</v>
      </c>
      <c r="BM362" s="1" t="s">
        <v>74</v>
      </c>
      <c r="BN362" s="1" t="s">
        <v>74</v>
      </c>
      <c r="BO362" s="1" t="s">
        <v>74</v>
      </c>
      <c r="BP362" s="1" t="s">
        <v>74</v>
      </c>
      <c r="BQ362" s="1" t="s">
        <v>74</v>
      </c>
      <c r="BR362" s="1" t="s">
        <v>74</v>
      </c>
      <c r="BS362" s="1" t="s">
        <v>3601</v>
      </c>
      <c r="BT362" s="1" t="str">
        <f>HYPERLINK("https%3A%2F%2Fwww.webofscience.com%2Fwos%2Fwoscc%2Ffull-record%2FWOS:000339343700004","View Full Record in Web of Science")</f>
        <v>View Full Record in Web of Science</v>
      </c>
    </row>
    <row r="363" ht="12.75" customHeight="1">
      <c r="A363" s="1" t="s">
        <v>72</v>
      </c>
      <c r="B363" s="1" t="s">
        <v>3602</v>
      </c>
      <c r="C363" s="1" t="s">
        <v>74</v>
      </c>
      <c r="D363" s="1" t="s">
        <v>74</v>
      </c>
      <c r="E363" s="1" t="s">
        <v>74</v>
      </c>
      <c r="F363" s="1" t="s">
        <v>3603</v>
      </c>
      <c r="G363" s="1" t="s">
        <v>74</v>
      </c>
      <c r="H363" s="1" t="s">
        <v>74</v>
      </c>
      <c r="I363" s="1" t="s">
        <v>3604</v>
      </c>
      <c r="J363" s="1" t="s">
        <v>3605</v>
      </c>
      <c r="K363" s="1" t="s">
        <v>74</v>
      </c>
      <c r="L363" s="1" t="s">
        <v>74</v>
      </c>
      <c r="M363" s="1" t="s">
        <v>74</v>
      </c>
      <c r="N363" s="1" t="s">
        <v>74</v>
      </c>
      <c r="O363" s="1" t="s">
        <v>74</v>
      </c>
      <c r="P363" s="1" t="s">
        <v>74</v>
      </c>
      <c r="Q363" s="1" t="s">
        <v>74</v>
      </c>
      <c r="R363" s="1" t="s">
        <v>74</v>
      </c>
      <c r="S363" s="1" t="s">
        <v>74</v>
      </c>
      <c r="T363" s="1" t="s">
        <v>74</v>
      </c>
      <c r="U363" s="1" t="s">
        <v>74</v>
      </c>
      <c r="V363" s="1" t="s">
        <v>3606</v>
      </c>
      <c r="W363" s="1" t="s">
        <v>74</v>
      </c>
      <c r="X363" s="1" t="s">
        <v>74</v>
      </c>
      <c r="Y363" s="1" t="s">
        <v>74</v>
      </c>
      <c r="Z363" s="1" t="s">
        <v>74</v>
      </c>
      <c r="AA363" s="1" t="s">
        <v>3607</v>
      </c>
      <c r="AB363" s="1" t="s">
        <v>3608</v>
      </c>
      <c r="AC363" s="1" t="s">
        <v>74</v>
      </c>
      <c r="AD363" s="1" t="s">
        <v>74</v>
      </c>
      <c r="AE363" s="1" t="s">
        <v>74</v>
      </c>
      <c r="AF363" s="1" t="s">
        <v>74</v>
      </c>
      <c r="AG363" s="1" t="s">
        <v>74</v>
      </c>
      <c r="AH363" s="1" t="s">
        <v>74</v>
      </c>
      <c r="AI363" s="1" t="s">
        <v>74</v>
      </c>
      <c r="AJ363" s="1" t="s">
        <v>74</v>
      </c>
      <c r="AK363" s="1" t="s">
        <v>74</v>
      </c>
      <c r="AL363" s="1" t="s">
        <v>74</v>
      </c>
      <c r="AM363" s="1" t="s">
        <v>74</v>
      </c>
      <c r="AN363" s="1" t="s">
        <v>74</v>
      </c>
      <c r="AO363" s="1" t="s">
        <v>3609</v>
      </c>
      <c r="AP363" s="1" t="s">
        <v>74</v>
      </c>
      <c r="AQ363" s="1" t="s">
        <v>74</v>
      </c>
      <c r="AR363" s="1" t="s">
        <v>74</v>
      </c>
      <c r="AS363" s="1" t="s">
        <v>74</v>
      </c>
      <c r="AT363" s="1" t="s">
        <v>3610</v>
      </c>
      <c r="AU363" s="1">
        <v>2014.0</v>
      </c>
      <c r="AV363" s="1">
        <v>17.0</v>
      </c>
      <c r="AW363" s="1">
        <v>3.0</v>
      </c>
      <c r="AX363" s="1" t="s">
        <v>74</v>
      </c>
      <c r="AY363" s="1" t="s">
        <v>74</v>
      </c>
      <c r="AZ363" s="1" t="s">
        <v>74</v>
      </c>
      <c r="BA363" s="1" t="s">
        <v>74</v>
      </c>
      <c r="BB363" s="1">
        <v>126.0</v>
      </c>
      <c r="BC363" s="1">
        <v>131.0</v>
      </c>
      <c r="BD363" s="1" t="s">
        <v>74</v>
      </c>
      <c r="BE363" s="1" t="s">
        <v>3611</v>
      </c>
      <c r="BF363" s="2" t="str">
        <f>HYPERLINK("http://dx.doi.org/10.1016/j.ejbt.2014.04.005","http://dx.doi.org/10.1016/j.ejbt.2014.04.005")</f>
        <v>http://dx.doi.org/10.1016/j.ejbt.2014.04.005</v>
      </c>
      <c r="BG363" s="1" t="s">
        <v>74</v>
      </c>
      <c r="BH363" s="1" t="s">
        <v>74</v>
      </c>
      <c r="BI363" s="1" t="s">
        <v>74</v>
      </c>
      <c r="BJ363" s="1" t="s">
        <v>74</v>
      </c>
      <c r="BK363" s="1" t="s">
        <v>74</v>
      </c>
      <c r="BL363" s="1" t="s">
        <v>74</v>
      </c>
      <c r="BM363" s="1" t="s">
        <v>74</v>
      </c>
      <c r="BN363" s="1" t="s">
        <v>74</v>
      </c>
      <c r="BO363" s="1" t="s">
        <v>74</v>
      </c>
      <c r="BP363" s="1" t="s">
        <v>74</v>
      </c>
      <c r="BQ363" s="1" t="s">
        <v>74</v>
      </c>
      <c r="BR363" s="1" t="s">
        <v>74</v>
      </c>
      <c r="BS363" s="1" t="s">
        <v>3612</v>
      </c>
      <c r="BT363" s="1" t="str">
        <f>HYPERLINK("https%3A%2F%2Fwww.webofscience.com%2Fwos%2Fwoscc%2Ffull-record%2FWOS:000342851400004","View Full Record in Web of Science")</f>
        <v>View Full Record in Web of Science</v>
      </c>
    </row>
    <row r="364" ht="12.75" customHeight="1">
      <c r="A364" s="1" t="s">
        <v>72</v>
      </c>
      <c r="B364" s="1" t="s">
        <v>3613</v>
      </c>
      <c r="C364" s="1" t="s">
        <v>74</v>
      </c>
      <c r="D364" s="1" t="s">
        <v>74</v>
      </c>
      <c r="E364" s="1" t="s">
        <v>74</v>
      </c>
      <c r="F364" s="1" t="s">
        <v>3614</v>
      </c>
      <c r="G364" s="1" t="s">
        <v>74</v>
      </c>
      <c r="H364" s="1" t="s">
        <v>74</v>
      </c>
      <c r="I364" s="1" t="s">
        <v>3615</v>
      </c>
      <c r="J364" s="1" t="s">
        <v>3616</v>
      </c>
      <c r="K364" s="1" t="s">
        <v>74</v>
      </c>
      <c r="L364" s="1" t="s">
        <v>74</v>
      </c>
      <c r="M364" s="1" t="s">
        <v>74</v>
      </c>
      <c r="N364" s="1" t="s">
        <v>74</v>
      </c>
      <c r="O364" s="1" t="s">
        <v>74</v>
      </c>
      <c r="P364" s="1" t="s">
        <v>74</v>
      </c>
      <c r="Q364" s="1" t="s">
        <v>74</v>
      </c>
      <c r="R364" s="1" t="s">
        <v>74</v>
      </c>
      <c r="S364" s="1" t="s">
        <v>74</v>
      </c>
      <c r="T364" s="1" t="s">
        <v>74</v>
      </c>
      <c r="U364" s="1" t="s">
        <v>74</v>
      </c>
      <c r="V364" s="1" t="s">
        <v>3617</v>
      </c>
      <c r="W364" s="1" t="s">
        <v>74</v>
      </c>
      <c r="X364" s="1" t="s">
        <v>74</v>
      </c>
      <c r="Y364" s="1" t="s">
        <v>74</v>
      </c>
      <c r="Z364" s="1" t="s">
        <v>74</v>
      </c>
      <c r="AA364" s="1" t="s">
        <v>3618</v>
      </c>
      <c r="AB364" s="1" t="s">
        <v>3619</v>
      </c>
      <c r="AC364" s="1" t="s">
        <v>74</v>
      </c>
      <c r="AD364" s="1" t="s">
        <v>74</v>
      </c>
      <c r="AE364" s="1" t="s">
        <v>74</v>
      </c>
      <c r="AF364" s="1" t="s">
        <v>74</v>
      </c>
      <c r="AG364" s="1" t="s">
        <v>74</v>
      </c>
      <c r="AH364" s="1" t="s">
        <v>74</v>
      </c>
      <c r="AI364" s="1" t="s">
        <v>74</v>
      </c>
      <c r="AJ364" s="1" t="s">
        <v>74</v>
      </c>
      <c r="AK364" s="1" t="s">
        <v>74</v>
      </c>
      <c r="AL364" s="1" t="s">
        <v>74</v>
      </c>
      <c r="AM364" s="1" t="s">
        <v>74</v>
      </c>
      <c r="AN364" s="1" t="s">
        <v>74</v>
      </c>
      <c r="AO364" s="1" t="s">
        <v>3620</v>
      </c>
      <c r="AP364" s="1" t="s">
        <v>74</v>
      </c>
      <c r="AQ364" s="1" t="s">
        <v>74</v>
      </c>
      <c r="AR364" s="1" t="s">
        <v>74</v>
      </c>
      <c r="AS364" s="1" t="s">
        <v>74</v>
      </c>
      <c r="AT364" s="1" t="s">
        <v>3621</v>
      </c>
      <c r="AU364" s="1">
        <v>2014.0</v>
      </c>
      <c r="AV364" s="1">
        <v>13.0</v>
      </c>
      <c r="AW364" s="1">
        <v>1.0</v>
      </c>
      <c r="AX364" s="1" t="s">
        <v>74</v>
      </c>
      <c r="AY364" s="1" t="s">
        <v>74</v>
      </c>
      <c r="AZ364" s="1" t="s">
        <v>74</v>
      </c>
      <c r="BA364" s="1" t="s">
        <v>74</v>
      </c>
      <c r="BB364" s="1">
        <v>47.0</v>
      </c>
      <c r="BC364" s="1">
        <v>60.0</v>
      </c>
      <c r="BD364" s="1" t="s">
        <v>74</v>
      </c>
      <c r="BE364" s="1" t="s">
        <v>74</v>
      </c>
      <c r="BF364" s="1" t="s">
        <v>74</v>
      </c>
      <c r="BG364" s="1" t="s">
        <v>74</v>
      </c>
      <c r="BH364" s="1" t="s">
        <v>74</v>
      </c>
      <c r="BI364" s="1" t="s">
        <v>74</v>
      </c>
      <c r="BJ364" s="1" t="s">
        <v>74</v>
      </c>
      <c r="BK364" s="1" t="s">
        <v>74</v>
      </c>
      <c r="BL364" s="1" t="s">
        <v>74</v>
      </c>
      <c r="BM364" s="1" t="s">
        <v>74</v>
      </c>
      <c r="BN364" s="1" t="s">
        <v>74</v>
      </c>
      <c r="BO364" s="1" t="s">
        <v>74</v>
      </c>
      <c r="BP364" s="1" t="s">
        <v>74</v>
      </c>
      <c r="BQ364" s="1" t="s">
        <v>74</v>
      </c>
      <c r="BR364" s="1" t="s">
        <v>74</v>
      </c>
      <c r="BS364" s="1" t="s">
        <v>3622</v>
      </c>
      <c r="BT364" s="1" t="str">
        <f>HYPERLINK("https%3A%2F%2Fwww.webofscience.com%2Fwos%2Fwoscc%2Ffull-record%2FWOS:000345097900005","View Full Record in Web of Science")</f>
        <v>View Full Record in Web of Science</v>
      </c>
    </row>
    <row r="365" ht="12.75" customHeight="1">
      <c r="A365" s="1" t="s">
        <v>72</v>
      </c>
      <c r="B365" s="1" t="s">
        <v>3623</v>
      </c>
      <c r="C365" s="1" t="s">
        <v>74</v>
      </c>
      <c r="D365" s="1" t="s">
        <v>74</v>
      </c>
      <c r="E365" s="1" t="s">
        <v>74</v>
      </c>
      <c r="F365" s="1" t="s">
        <v>3624</v>
      </c>
      <c r="G365" s="1" t="s">
        <v>74</v>
      </c>
      <c r="H365" s="1" t="s">
        <v>74</v>
      </c>
      <c r="I365" s="1" t="s">
        <v>3625</v>
      </c>
      <c r="J365" s="1" t="s">
        <v>3626</v>
      </c>
      <c r="K365" s="1" t="s">
        <v>74</v>
      </c>
      <c r="L365" s="1" t="s">
        <v>74</v>
      </c>
      <c r="M365" s="1" t="s">
        <v>74</v>
      </c>
      <c r="N365" s="1" t="s">
        <v>74</v>
      </c>
      <c r="O365" s="1" t="s">
        <v>74</v>
      </c>
      <c r="P365" s="1" t="s">
        <v>74</v>
      </c>
      <c r="Q365" s="1" t="s">
        <v>74</v>
      </c>
      <c r="R365" s="1" t="s">
        <v>74</v>
      </c>
      <c r="S365" s="1" t="s">
        <v>74</v>
      </c>
      <c r="T365" s="1" t="s">
        <v>74</v>
      </c>
      <c r="U365" s="1" t="s">
        <v>74</v>
      </c>
      <c r="V365" s="1" t="s">
        <v>3627</v>
      </c>
      <c r="W365" s="1" t="s">
        <v>74</v>
      </c>
      <c r="X365" s="1" t="s">
        <v>74</v>
      </c>
      <c r="Y365" s="1" t="s">
        <v>74</v>
      </c>
      <c r="Z365" s="1" t="s">
        <v>74</v>
      </c>
      <c r="AA365" s="1" t="s">
        <v>3628</v>
      </c>
      <c r="AB365" s="1" t="s">
        <v>3629</v>
      </c>
      <c r="AC365" s="1" t="s">
        <v>74</v>
      </c>
      <c r="AD365" s="1" t="s">
        <v>74</v>
      </c>
      <c r="AE365" s="1" t="s">
        <v>74</v>
      </c>
      <c r="AF365" s="1" t="s">
        <v>74</v>
      </c>
      <c r="AG365" s="1" t="s">
        <v>74</v>
      </c>
      <c r="AH365" s="1" t="s">
        <v>74</v>
      </c>
      <c r="AI365" s="1" t="s">
        <v>74</v>
      </c>
      <c r="AJ365" s="1" t="s">
        <v>74</v>
      </c>
      <c r="AK365" s="1" t="s">
        <v>74</v>
      </c>
      <c r="AL365" s="1" t="s">
        <v>74</v>
      </c>
      <c r="AM365" s="1" t="s">
        <v>74</v>
      </c>
      <c r="AN365" s="1" t="s">
        <v>74</v>
      </c>
      <c r="AO365" s="1" t="s">
        <v>3630</v>
      </c>
      <c r="AP365" s="1" t="s">
        <v>74</v>
      </c>
      <c r="AQ365" s="1" t="s">
        <v>74</v>
      </c>
      <c r="AR365" s="1" t="s">
        <v>74</v>
      </c>
      <c r="AS365" s="1" t="s">
        <v>74</v>
      </c>
      <c r="AT365" s="1" t="s">
        <v>3631</v>
      </c>
      <c r="AU365" s="1">
        <v>2013.0</v>
      </c>
      <c r="AV365" s="1">
        <v>52.0</v>
      </c>
      <c r="AW365" s="1">
        <v>16.0</v>
      </c>
      <c r="AX365" s="1" t="s">
        <v>74</v>
      </c>
      <c r="AY365" s="1" t="s">
        <v>74</v>
      </c>
      <c r="AZ365" s="1" t="s">
        <v>74</v>
      </c>
      <c r="BA365" s="1" t="s">
        <v>74</v>
      </c>
      <c r="BB365" s="1">
        <v>5713.0</v>
      </c>
      <c r="BC365" s="1">
        <v>5720.0</v>
      </c>
      <c r="BD365" s="1" t="s">
        <v>74</v>
      </c>
      <c r="BE365" s="1" t="s">
        <v>3632</v>
      </c>
      <c r="BF365" s="2" t="str">
        <f>HYPERLINK("http://dx.doi.org/10.1021/ie301859x","http://dx.doi.org/10.1021/ie301859x")</f>
        <v>http://dx.doi.org/10.1021/ie301859x</v>
      </c>
      <c r="BG365" s="1" t="s">
        <v>74</v>
      </c>
      <c r="BH365" s="1" t="s">
        <v>74</v>
      </c>
      <c r="BI365" s="1" t="s">
        <v>74</v>
      </c>
      <c r="BJ365" s="1" t="s">
        <v>74</v>
      </c>
      <c r="BK365" s="1" t="s">
        <v>74</v>
      </c>
      <c r="BL365" s="1" t="s">
        <v>74</v>
      </c>
      <c r="BM365" s="1" t="s">
        <v>74</v>
      </c>
      <c r="BN365" s="1" t="s">
        <v>74</v>
      </c>
      <c r="BO365" s="1" t="s">
        <v>74</v>
      </c>
      <c r="BP365" s="1" t="s">
        <v>74</v>
      </c>
      <c r="BQ365" s="1" t="s">
        <v>74</v>
      </c>
      <c r="BR365" s="1" t="s">
        <v>74</v>
      </c>
      <c r="BS365" s="1" t="s">
        <v>3633</v>
      </c>
      <c r="BT365" s="1" t="str">
        <f>HYPERLINK("https%3A%2F%2Fwww.webofscience.com%2Fwos%2Fwoscc%2Ffull-record%2FWOS:000318204900025","View Full Record in Web of Science")</f>
        <v>View Full Record in Web of Science</v>
      </c>
    </row>
    <row r="366" ht="12.75" customHeight="1">
      <c r="A366" s="1" t="s">
        <v>72</v>
      </c>
      <c r="B366" s="1" t="s">
        <v>3634</v>
      </c>
      <c r="C366" s="1" t="s">
        <v>74</v>
      </c>
      <c r="D366" s="1" t="s">
        <v>74</v>
      </c>
      <c r="E366" s="1" t="s">
        <v>74</v>
      </c>
      <c r="F366" s="1" t="s">
        <v>3635</v>
      </c>
      <c r="G366" s="1" t="s">
        <v>74</v>
      </c>
      <c r="H366" s="1" t="s">
        <v>74</v>
      </c>
      <c r="I366" s="1" t="s">
        <v>3636</v>
      </c>
      <c r="J366" s="1" t="s">
        <v>3637</v>
      </c>
      <c r="K366" s="1" t="s">
        <v>74</v>
      </c>
      <c r="L366" s="1" t="s">
        <v>74</v>
      </c>
      <c r="M366" s="1" t="s">
        <v>74</v>
      </c>
      <c r="N366" s="1" t="s">
        <v>74</v>
      </c>
      <c r="O366" s="1" t="s">
        <v>3638</v>
      </c>
      <c r="P366" s="1" t="s">
        <v>3639</v>
      </c>
      <c r="Q366" s="1" t="s">
        <v>3640</v>
      </c>
      <c r="R366" s="1" t="s">
        <v>74</v>
      </c>
      <c r="S366" s="1" t="s">
        <v>74</v>
      </c>
      <c r="T366" s="1" t="s">
        <v>74</v>
      </c>
      <c r="U366" s="1" t="s">
        <v>74</v>
      </c>
      <c r="V366" s="1" t="s">
        <v>3641</v>
      </c>
      <c r="W366" s="1" t="s">
        <v>74</v>
      </c>
      <c r="X366" s="1" t="s">
        <v>74</v>
      </c>
      <c r="Y366" s="1" t="s">
        <v>74</v>
      </c>
      <c r="Z366" s="1" t="s">
        <v>74</v>
      </c>
      <c r="AA366" s="1" t="s">
        <v>2710</v>
      </c>
      <c r="AB366" s="1" t="s">
        <v>3642</v>
      </c>
      <c r="AC366" s="1" t="s">
        <v>74</v>
      </c>
      <c r="AD366" s="1" t="s">
        <v>74</v>
      </c>
      <c r="AE366" s="1" t="s">
        <v>74</v>
      </c>
      <c r="AF366" s="1" t="s">
        <v>74</v>
      </c>
      <c r="AG366" s="1" t="s">
        <v>74</v>
      </c>
      <c r="AH366" s="1" t="s">
        <v>74</v>
      </c>
      <c r="AI366" s="1" t="s">
        <v>74</v>
      </c>
      <c r="AJ366" s="1" t="s">
        <v>74</v>
      </c>
      <c r="AK366" s="1" t="s">
        <v>74</v>
      </c>
      <c r="AL366" s="1" t="s">
        <v>74</v>
      </c>
      <c r="AM366" s="1" t="s">
        <v>74</v>
      </c>
      <c r="AN366" s="1" t="s">
        <v>74</v>
      </c>
      <c r="AO366" s="1" t="s">
        <v>3643</v>
      </c>
      <c r="AP366" s="1" t="s">
        <v>3644</v>
      </c>
      <c r="AQ366" s="1" t="s">
        <v>74</v>
      </c>
      <c r="AR366" s="1" t="s">
        <v>74</v>
      </c>
      <c r="AS366" s="1" t="s">
        <v>74</v>
      </c>
      <c r="AT366" s="1" t="s">
        <v>169</v>
      </c>
      <c r="AU366" s="1">
        <v>2012.0</v>
      </c>
      <c r="AV366" s="1">
        <v>59.0</v>
      </c>
      <c r="AW366" s="1">
        <v>1.0</v>
      </c>
      <c r="AX366" s="1" t="s">
        <v>74</v>
      </c>
      <c r="AY366" s="1" t="s">
        <v>74</v>
      </c>
      <c r="AZ366" s="1" t="s">
        <v>411</v>
      </c>
      <c r="BA366" s="1" t="s">
        <v>74</v>
      </c>
      <c r="BB366" s="1">
        <v>3.0</v>
      </c>
      <c r="BC366" s="1">
        <v>12.0</v>
      </c>
      <c r="BD366" s="1" t="s">
        <v>74</v>
      </c>
      <c r="BE366" s="1" t="s">
        <v>3645</v>
      </c>
      <c r="BF366" s="2" t="str">
        <f>HYPERLINK("http://dx.doi.org/10.1002/net.20475","http://dx.doi.org/10.1002/net.20475")</f>
        <v>http://dx.doi.org/10.1002/net.20475</v>
      </c>
      <c r="BG366" s="1" t="s">
        <v>74</v>
      </c>
      <c r="BH366" s="1" t="s">
        <v>74</v>
      </c>
      <c r="BI366" s="1" t="s">
        <v>74</v>
      </c>
      <c r="BJ366" s="1" t="s">
        <v>74</v>
      </c>
      <c r="BK366" s="1" t="s">
        <v>74</v>
      </c>
      <c r="BL366" s="1" t="s">
        <v>74</v>
      </c>
      <c r="BM366" s="1" t="s">
        <v>74</v>
      </c>
      <c r="BN366" s="1" t="s">
        <v>74</v>
      </c>
      <c r="BO366" s="1" t="s">
        <v>74</v>
      </c>
      <c r="BP366" s="1" t="s">
        <v>74</v>
      </c>
      <c r="BQ366" s="1" t="s">
        <v>74</v>
      </c>
      <c r="BR366" s="1" t="s">
        <v>74</v>
      </c>
      <c r="BS366" s="1" t="s">
        <v>3646</v>
      </c>
      <c r="BT366" s="1" t="str">
        <f>HYPERLINK("https%3A%2F%2Fwww.webofscience.com%2Fwos%2Fwoscc%2Ffull-record%2FWOS:000298087600002","View Full Record in Web of Science")</f>
        <v>View Full Record in Web of Science</v>
      </c>
    </row>
    <row r="367" ht="12.75" customHeight="1">
      <c r="A367" s="1" t="s">
        <v>72</v>
      </c>
      <c r="B367" s="1" t="s">
        <v>3647</v>
      </c>
      <c r="C367" s="1" t="s">
        <v>74</v>
      </c>
      <c r="D367" s="1" t="s">
        <v>74</v>
      </c>
      <c r="E367" s="1" t="s">
        <v>74</v>
      </c>
      <c r="F367" s="1" t="s">
        <v>3648</v>
      </c>
      <c r="G367" s="1" t="s">
        <v>74</v>
      </c>
      <c r="H367" s="1" t="s">
        <v>74</v>
      </c>
      <c r="I367" s="1" t="s">
        <v>3649</v>
      </c>
      <c r="J367" s="1" t="s">
        <v>3650</v>
      </c>
      <c r="K367" s="1" t="s">
        <v>74</v>
      </c>
      <c r="L367" s="1" t="s">
        <v>74</v>
      </c>
      <c r="M367" s="1" t="s">
        <v>74</v>
      </c>
      <c r="N367" s="1" t="s">
        <v>74</v>
      </c>
      <c r="O367" s="1" t="s">
        <v>74</v>
      </c>
      <c r="P367" s="1" t="s">
        <v>74</v>
      </c>
      <c r="Q367" s="1" t="s">
        <v>74</v>
      </c>
      <c r="R367" s="1" t="s">
        <v>74</v>
      </c>
      <c r="S367" s="1" t="s">
        <v>74</v>
      </c>
      <c r="T367" s="1" t="s">
        <v>74</v>
      </c>
      <c r="U367" s="1" t="s">
        <v>74</v>
      </c>
      <c r="V367" s="1" t="s">
        <v>3651</v>
      </c>
      <c r="W367" s="1" t="s">
        <v>74</v>
      </c>
      <c r="X367" s="1" t="s">
        <v>74</v>
      </c>
      <c r="Y367" s="1" t="s">
        <v>74</v>
      </c>
      <c r="Z367" s="1" t="s">
        <v>74</v>
      </c>
      <c r="AA367" s="1" t="s">
        <v>3652</v>
      </c>
      <c r="AB367" s="1" t="s">
        <v>3653</v>
      </c>
      <c r="AC367" s="1" t="s">
        <v>74</v>
      </c>
      <c r="AD367" s="1" t="s">
        <v>74</v>
      </c>
      <c r="AE367" s="1" t="s">
        <v>74</v>
      </c>
      <c r="AF367" s="1" t="s">
        <v>74</v>
      </c>
      <c r="AG367" s="1" t="s">
        <v>74</v>
      </c>
      <c r="AH367" s="1" t="s">
        <v>74</v>
      </c>
      <c r="AI367" s="1" t="s">
        <v>74</v>
      </c>
      <c r="AJ367" s="1" t="s">
        <v>74</v>
      </c>
      <c r="AK367" s="1" t="s">
        <v>74</v>
      </c>
      <c r="AL367" s="1" t="s">
        <v>74</v>
      </c>
      <c r="AM367" s="1" t="s">
        <v>74</v>
      </c>
      <c r="AN367" s="1" t="s">
        <v>74</v>
      </c>
      <c r="AO367" s="1" t="s">
        <v>3654</v>
      </c>
      <c r="AP367" s="1" t="s">
        <v>3655</v>
      </c>
      <c r="AQ367" s="1" t="s">
        <v>74</v>
      </c>
      <c r="AR367" s="1" t="s">
        <v>74</v>
      </c>
      <c r="AS367" s="1" t="s">
        <v>74</v>
      </c>
      <c r="AT367" s="1" t="s">
        <v>110</v>
      </c>
      <c r="AU367" s="1">
        <v>2011.0</v>
      </c>
      <c r="AV367" s="1">
        <v>131.0</v>
      </c>
      <c r="AW367" s="1">
        <v>12.0</v>
      </c>
      <c r="AX367" s="1" t="s">
        <v>74</v>
      </c>
      <c r="AY367" s="1" t="s">
        <v>74</v>
      </c>
      <c r="AZ367" s="1" t="s">
        <v>74</v>
      </c>
      <c r="BA367" s="1" t="s">
        <v>74</v>
      </c>
      <c r="BB367" s="1">
        <v>2468.0</v>
      </c>
      <c r="BC367" s="1">
        <v>2472.0</v>
      </c>
      <c r="BD367" s="1" t="s">
        <v>74</v>
      </c>
      <c r="BE367" s="1" t="s">
        <v>3656</v>
      </c>
      <c r="BF367" s="2" t="str">
        <f>HYPERLINK("http://dx.doi.org/10.1016/j.jlumin.2011.06.021","http://dx.doi.org/10.1016/j.jlumin.2011.06.021")</f>
        <v>http://dx.doi.org/10.1016/j.jlumin.2011.06.021</v>
      </c>
      <c r="BG367" s="1" t="s">
        <v>74</v>
      </c>
      <c r="BH367" s="1" t="s">
        <v>74</v>
      </c>
      <c r="BI367" s="1" t="s">
        <v>74</v>
      </c>
      <c r="BJ367" s="1" t="s">
        <v>74</v>
      </c>
      <c r="BK367" s="1" t="s">
        <v>74</v>
      </c>
      <c r="BL367" s="1" t="s">
        <v>74</v>
      </c>
      <c r="BM367" s="1" t="s">
        <v>74</v>
      </c>
      <c r="BN367" s="1" t="s">
        <v>74</v>
      </c>
      <c r="BO367" s="1" t="s">
        <v>74</v>
      </c>
      <c r="BP367" s="1" t="s">
        <v>74</v>
      </c>
      <c r="BQ367" s="1" t="s">
        <v>74</v>
      </c>
      <c r="BR367" s="1" t="s">
        <v>74</v>
      </c>
      <c r="BS367" s="1" t="s">
        <v>3657</v>
      </c>
      <c r="BT367" s="1" t="str">
        <f>HYPERLINK("https%3A%2F%2Fwww.webofscience.com%2Fwos%2Fwoscc%2Ffull-record%2FWOS:000294877500006","View Full Record in Web of Science")</f>
        <v>View Full Record in Web of Science</v>
      </c>
    </row>
    <row r="368" ht="12.75" customHeight="1">
      <c r="A368" s="1" t="s">
        <v>72</v>
      </c>
      <c r="B368" s="1" t="s">
        <v>3658</v>
      </c>
      <c r="C368" s="1" t="s">
        <v>74</v>
      </c>
      <c r="D368" s="1" t="s">
        <v>74</v>
      </c>
      <c r="E368" s="1" t="s">
        <v>74</v>
      </c>
      <c r="F368" s="1" t="s">
        <v>3659</v>
      </c>
      <c r="G368" s="1" t="s">
        <v>74</v>
      </c>
      <c r="H368" s="1" t="s">
        <v>74</v>
      </c>
      <c r="I368" s="1" t="s">
        <v>3660</v>
      </c>
      <c r="J368" s="1" t="s">
        <v>3661</v>
      </c>
      <c r="K368" s="1" t="s">
        <v>74</v>
      </c>
      <c r="L368" s="1" t="s">
        <v>74</v>
      </c>
      <c r="M368" s="1" t="s">
        <v>74</v>
      </c>
      <c r="N368" s="1" t="s">
        <v>74</v>
      </c>
      <c r="O368" s="1" t="s">
        <v>74</v>
      </c>
      <c r="P368" s="1" t="s">
        <v>74</v>
      </c>
      <c r="Q368" s="1" t="s">
        <v>74</v>
      </c>
      <c r="R368" s="1" t="s">
        <v>74</v>
      </c>
      <c r="S368" s="1" t="s">
        <v>74</v>
      </c>
      <c r="T368" s="1" t="s">
        <v>74</v>
      </c>
      <c r="U368" s="1" t="s">
        <v>74</v>
      </c>
      <c r="V368" s="1" t="s">
        <v>3662</v>
      </c>
      <c r="W368" s="1" t="s">
        <v>74</v>
      </c>
      <c r="X368" s="1" t="s">
        <v>74</v>
      </c>
      <c r="Y368" s="1" t="s">
        <v>74</v>
      </c>
      <c r="Z368" s="1" t="s">
        <v>74</v>
      </c>
      <c r="AA368" s="1" t="s">
        <v>3663</v>
      </c>
      <c r="AB368" s="1" t="s">
        <v>3664</v>
      </c>
      <c r="AC368" s="1" t="s">
        <v>74</v>
      </c>
      <c r="AD368" s="1" t="s">
        <v>74</v>
      </c>
      <c r="AE368" s="1" t="s">
        <v>74</v>
      </c>
      <c r="AF368" s="1" t="s">
        <v>74</v>
      </c>
      <c r="AG368" s="1" t="s">
        <v>74</v>
      </c>
      <c r="AH368" s="1" t="s">
        <v>74</v>
      </c>
      <c r="AI368" s="1" t="s">
        <v>74</v>
      </c>
      <c r="AJ368" s="1" t="s">
        <v>74</v>
      </c>
      <c r="AK368" s="1" t="s">
        <v>74</v>
      </c>
      <c r="AL368" s="1" t="s">
        <v>74</v>
      </c>
      <c r="AM368" s="1" t="s">
        <v>74</v>
      </c>
      <c r="AN368" s="1" t="s">
        <v>74</v>
      </c>
      <c r="AO368" s="1" t="s">
        <v>3665</v>
      </c>
      <c r="AP368" s="1" t="s">
        <v>3666</v>
      </c>
      <c r="AQ368" s="1" t="s">
        <v>74</v>
      </c>
      <c r="AR368" s="1" t="s">
        <v>74</v>
      </c>
      <c r="AS368" s="1" t="s">
        <v>74</v>
      </c>
      <c r="AT368" s="1" t="s">
        <v>74</v>
      </c>
      <c r="AU368" s="1">
        <v>2011.0</v>
      </c>
      <c r="AV368" s="1">
        <v>62.0</v>
      </c>
      <c r="AW368" s="1">
        <v>4.0</v>
      </c>
      <c r="AX368" s="1" t="s">
        <v>74</v>
      </c>
      <c r="AY368" s="1" t="s">
        <v>74</v>
      </c>
      <c r="AZ368" s="1" t="s">
        <v>74</v>
      </c>
      <c r="BA368" s="1" t="s">
        <v>74</v>
      </c>
      <c r="BB368" s="1">
        <v>542.0</v>
      </c>
      <c r="BC368" s="1">
        <v>546.0</v>
      </c>
      <c r="BD368" s="1" t="s">
        <v>74</v>
      </c>
      <c r="BE368" s="1" t="s">
        <v>3667</v>
      </c>
      <c r="BF368" s="2" t="str">
        <f>HYPERLINK("http://dx.doi.org/10.5344/ajev.2011.11034","http://dx.doi.org/10.5344/ajev.2011.11034")</f>
        <v>http://dx.doi.org/10.5344/ajev.2011.11034</v>
      </c>
      <c r="BG368" s="1" t="s">
        <v>74</v>
      </c>
      <c r="BH368" s="1" t="s">
        <v>74</v>
      </c>
      <c r="BI368" s="1" t="s">
        <v>74</v>
      </c>
      <c r="BJ368" s="1" t="s">
        <v>74</v>
      </c>
      <c r="BK368" s="1" t="s">
        <v>74</v>
      </c>
      <c r="BL368" s="1" t="s">
        <v>74</v>
      </c>
      <c r="BM368" s="1" t="s">
        <v>74</v>
      </c>
      <c r="BN368" s="1" t="s">
        <v>74</v>
      </c>
      <c r="BO368" s="1" t="s">
        <v>74</v>
      </c>
      <c r="BP368" s="1" t="s">
        <v>74</v>
      </c>
      <c r="BQ368" s="1" t="s">
        <v>74</v>
      </c>
      <c r="BR368" s="1" t="s">
        <v>74</v>
      </c>
      <c r="BS368" s="1" t="s">
        <v>3668</v>
      </c>
      <c r="BT368" s="1" t="str">
        <f>HYPERLINK("https%3A%2F%2Fwww.webofscience.com%2Fwos%2Fwoscc%2Ffull-record%2FWOS:000298125500014","View Full Record in Web of Science")</f>
        <v>View Full Record in Web of Science</v>
      </c>
    </row>
    <row r="369" ht="12.75" customHeight="1">
      <c r="A369" s="1" t="s">
        <v>72</v>
      </c>
      <c r="B369" s="1" t="s">
        <v>3669</v>
      </c>
      <c r="C369" s="1" t="s">
        <v>74</v>
      </c>
      <c r="D369" s="1" t="s">
        <v>74</v>
      </c>
      <c r="E369" s="1" t="s">
        <v>74</v>
      </c>
      <c r="F369" s="1" t="s">
        <v>3670</v>
      </c>
      <c r="G369" s="1" t="s">
        <v>74</v>
      </c>
      <c r="H369" s="1" t="s">
        <v>74</v>
      </c>
      <c r="I369" s="1" t="s">
        <v>3671</v>
      </c>
      <c r="J369" s="1" t="s">
        <v>3672</v>
      </c>
      <c r="K369" s="1" t="s">
        <v>74</v>
      </c>
      <c r="L369" s="1" t="s">
        <v>74</v>
      </c>
      <c r="M369" s="1" t="s">
        <v>74</v>
      </c>
      <c r="N369" s="1" t="s">
        <v>74</v>
      </c>
      <c r="O369" s="1" t="s">
        <v>74</v>
      </c>
      <c r="P369" s="1" t="s">
        <v>74</v>
      </c>
      <c r="Q369" s="1" t="s">
        <v>74</v>
      </c>
      <c r="R369" s="1" t="s">
        <v>74</v>
      </c>
      <c r="S369" s="1" t="s">
        <v>74</v>
      </c>
      <c r="T369" s="1" t="s">
        <v>74</v>
      </c>
      <c r="U369" s="1" t="s">
        <v>74</v>
      </c>
      <c r="V369" s="1" t="s">
        <v>3673</v>
      </c>
      <c r="W369" s="1" t="s">
        <v>74</v>
      </c>
      <c r="X369" s="1" t="s">
        <v>74</v>
      </c>
      <c r="Y369" s="1" t="s">
        <v>74</v>
      </c>
      <c r="Z369" s="1" t="s">
        <v>74</v>
      </c>
      <c r="AA369" s="1" t="s">
        <v>3674</v>
      </c>
      <c r="AB369" s="1" t="s">
        <v>3675</v>
      </c>
      <c r="AC369" s="1" t="s">
        <v>74</v>
      </c>
      <c r="AD369" s="1" t="s">
        <v>74</v>
      </c>
      <c r="AE369" s="1" t="s">
        <v>74</v>
      </c>
      <c r="AF369" s="1" t="s">
        <v>74</v>
      </c>
      <c r="AG369" s="1" t="s">
        <v>74</v>
      </c>
      <c r="AH369" s="1" t="s">
        <v>74</v>
      </c>
      <c r="AI369" s="1" t="s">
        <v>74</v>
      </c>
      <c r="AJ369" s="1" t="s">
        <v>74</v>
      </c>
      <c r="AK369" s="1" t="s">
        <v>74</v>
      </c>
      <c r="AL369" s="1" t="s">
        <v>74</v>
      </c>
      <c r="AM369" s="1" t="s">
        <v>74</v>
      </c>
      <c r="AN369" s="1" t="s">
        <v>74</v>
      </c>
      <c r="AO369" s="1" t="s">
        <v>3676</v>
      </c>
      <c r="AP369" s="1" t="s">
        <v>74</v>
      </c>
      <c r="AQ369" s="1" t="s">
        <v>74</v>
      </c>
      <c r="AR369" s="1" t="s">
        <v>74</v>
      </c>
      <c r="AS369" s="1" t="s">
        <v>74</v>
      </c>
      <c r="AT369" s="1" t="s">
        <v>852</v>
      </c>
      <c r="AU369" s="1">
        <v>2010.0</v>
      </c>
      <c r="AV369" s="1">
        <v>46.0</v>
      </c>
      <c r="AW369" s="1">
        <v>3.0</v>
      </c>
      <c r="AX369" s="1" t="s">
        <v>74</v>
      </c>
      <c r="AY369" s="1" t="s">
        <v>74</v>
      </c>
      <c r="AZ369" s="1" t="s">
        <v>74</v>
      </c>
      <c r="BA369" s="1" t="s">
        <v>74</v>
      </c>
      <c r="BB369" s="1">
        <v>240.0</v>
      </c>
      <c r="BC369" s="1">
        <v>248.0</v>
      </c>
      <c r="BD369" s="1" t="s">
        <v>74</v>
      </c>
      <c r="BE369" s="1" t="s">
        <v>3677</v>
      </c>
      <c r="BF369" s="2" t="str">
        <f>HYPERLINK("http://dx.doi.org/10.3989/revmetalm.0942","http://dx.doi.org/10.3989/revmetalm.0942")</f>
        <v>http://dx.doi.org/10.3989/revmetalm.0942</v>
      </c>
      <c r="BG369" s="1" t="s">
        <v>74</v>
      </c>
      <c r="BH369" s="1" t="s">
        <v>74</v>
      </c>
      <c r="BI369" s="1" t="s">
        <v>74</v>
      </c>
      <c r="BJ369" s="1" t="s">
        <v>74</v>
      </c>
      <c r="BK369" s="1" t="s">
        <v>74</v>
      </c>
      <c r="BL369" s="1" t="s">
        <v>74</v>
      </c>
      <c r="BM369" s="1" t="s">
        <v>74</v>
      </c>
      <c r="BN369" s="1" t="s">
        <v>74</v>
      </c>
      <c r="BO369" s="1" t="s">
        <v>74</v>
      </c>
      <c r="BP369" s="1" t="s">
        <v>74</v>
      </c>
      <c r="BQ369" s="1" t="s">
        <v>74</v>
      </c>
      <c r="BR369" s="1" t="s">
        <v>74</v>
      </c>
      <c r="BS369" s="1" t="s">
        <v>3678</v>
      </c>
      <c r="BT369" s="1" t="str">
        <f>HYPERLINK("https%3A%2F%2Fwww.webofscience.com%2Fwos%2Fwoscc%2Ffull-record%2FWOS:000282461300005","View Full Record in Web of Science")</f>
        <v>View Full Record in Web of Science</v>
      </c>
    </row>
    <row r="370" ht="12.75" customHeight="1">
      <c r="A370" s="1" t="s">
        <v>72</v>
      </c>
      <c r="B370" s="1" t="s">
        <v>3679</v>
      </c>
      <c r="C370" s="1" t="s">
        <v>74</v>
      </c>
      <c r="D370" s="1" t="s">
        <v>74</v>
      </c>
      <c r="E370" s="1" t="s">
        <v>74</v>
      </c>
      <c r="F370" s="1" t="s">
        <v>3680</v>
      </c>
      <c r="G370" s="1" t="s">
        <v>74</v>
      </c>
      <c r="H370" s="1" t="s">
        <v>74</v>
      </c>
      <c r="I370" s="1" t="s">
        <v>3681</v>
      </c>
      <c r="J370" s="1" t="s">
        <v>3682</v>
      </c>
      <c r="K370" s="1" t="s">
        <v>74</v>
      </c>
      <c r="L370" s="1" t="s">
        <v>74</v>
      </c>
      <c r="M370" s="1" t="s">
        <v>74</v>
      </c>
      <c r="N370" s="1" t="s">
        <v>74</v>
      </c>
      <c r="O370" s="1" t="s">
        <v>74</v>
      </c>
      <c r="P370" s="1" t="s">
        <v>74</v>
      </c>
      <c r="Q370" s="1" t="s">
        <v>74</v>
      </c>
      <c r="R370" s="1" t="s">
        <v>74</v>
      </c>
      <c r="S370" s="1" t="s">
        <v>74</v>
      </c>
      <c r="T370" s="1" t="s">
        <v>74</v>
      </c>
      <c r="U370" s="1" t="s">
        <v>74</v>
      </c>
      <c r="V370" s="1" t="s">
        <v>3683</v>
      </c>
      <c r="W370" s="1" t="s">
        <v>74</v>
      </c>
      <c r="X370" s="1" t="s">
        <v>74</v>
      </c>
      <c r="Y370" s="1" t="s">
        <v>74</v>
      </c>
      <c r="Z370" s="1" t="s">
        <v>74</v>
      </c>
      <c r="AA370" s="1" t="s">
        <v>2302</v>
      </c>
      <c r="AB370" s="1" t="s">
        <v>74</v>
      </c>
      <c r="AC370" s="1" t="s">
        <v>74</v>
      </c>
      <c r="AD370" s="1" t="s">
        <v>74</v>
      </c>
      <c r="AE370" s="1" t="s">
        <v>74</v>
      </c>
      <c r="AF370" s="1" t="s">
        <v>74</v>
      </c>
      <c r="AG370" s="1" t="s">
        <v>74</v>
      </c>
      <c r="AH370" s="1" t="s">
        <v>74</v>
      </c>
      <c r="AI370" s="1" t="s">
        <v>74</v>
      </c>
      <c r="AJ370" s="1" t="s">
        <v>74</v>
      </c>
      <c r="AK370" s="1" t="s">
        <v>74</v>
      </c>
      <c r="AL370" s="1" t="s">
        <v>74</v>
      </c>
      <c r="AM370" s="1" t="s">
        <v>74</v>
      </c>
      <c r="AN370" s="1" t="s">
        <v>74</v>
      </c>
      <c r="AO370" s="1" t="s">
        <v>3684</v>
      </c>
      <c r="AP370" s="1" t="s">
        <v>74</v>
      </c>
      <c r="AQ370" s="1" t="s">
        <v>74</v>
      </c>
      <c r="AR370" s="1" t="s">
        <v>74</v>
      </c>
      <c r="AS370" s="1" t="s">
        <v>74</v>
      </c>
      <c r="AT370" s="1" t="s">
        <v>88</v>
      </c>
      <c r="AU370" s="1">
        <v>2009.0</v>
      </c>
      <c r="AV370" s="1">
        <v>52.0</v>
      </c>
      <c r="AW370" s="1">
        <v>1.0</v>
      </c>
      <c r="AX370" s="1" t="s">
        <v>74</v>
      </c>
      <c r="AY370" s="1" t="s">
        <v>74</v>
      </c>
      <c r="AZ370" s="1" t="s">
        <v>74</v>
      </c>
      <c r="BA370" s="1" t="s">
        <v>74</v>
      </c>
      <c r="BB370" s="1">
        <v>113.0</v>
      </c>
      <c r="BC370" s="1">
        <v>137.0</v>
      </c>
      <c r="BD370" s="1" t="s">
        <v>74</v>
      </c>
      <c r="BE370" s="1" t="s">
        <v>74</v>
      </c>
      <c r="BF370" s="1" t="s">
        <v>74</v>
      </c>
      <c r="BG370" s="1" t="s">
        <v>74</v>
      </c>
      <c r="BH370" s="1" t="s">
        <v>74</v>
      </c>
      <c r="BI370" s="1" t="s">
        <v>74</v>
      </c>
      <c r="BJ370" s="1" t="s">
        <v>74</v>
      </c>
      <c r="BK370" s="1" t="s">
        <v>74</v>
      </c>
      <c r="BL370" s="1" t="s">
        <v>74</v>
      </c>
      <c r="BM370" s="1" t="s">
        <v>74</v>
      </c>
      <c r="BN370" s="1" t="s">
        <v>74</v>
      </c>
      <c r="BO370" s="1" t="s">
        <v>74</v>
      </c>
      <c r="BP370" s="1" t="s">
        <v>74</v>
      </c>
      <c r="BQ370" s="1" t="s">
        <v>74</v>
      </c>
      <c r="BR370" s="1" t="s">
        <v>74</v>
      </c>
      <c r="BS370" s="1" t="s">
        <v>3685</v>
      </c>
      <c r="BT370" s="1" t="str">
        <f>HYPERLINK("https%3A%2F%2Fwww.webofscience.com%2Fwos%2Fwoscc%2Ffull-record%2FWOS:000265283400007","View Full Record in Web of Science")</f>
        <v>View Full Record in Web of Science</v>
      </c>
    </row>
    <row r="371" ht="12.75" customHeight="1">
      <c r="A371" s="1" t="s">
        <v>1511</v>
      </c>
      <c r="B371" s="1" t="s">
        <v>3686</v>
      </c>
      <c r="C371" s="1" t="s">
        <v>74</v>
      </c>
      <c r="D371" s="1" t="s">
        <v>3687</v>
      </c>
      <c r="E371" s="1" t="s">
        <v>74</v>
      </c>
      <c r="F371" s="1" t="s">
        <v>3688</v>
      </c>
      <c r="G371" s="1" t="s">
        <v>74</v>
      </c>
      <c r="H371" s="1" t="s">
        <v>74</v>
      </c>
      <c r="I371" s="1" t="s">
        <v>3689</v>
      </c>
      <c r="J371" s="1" t="s">
        <v>3690</v>
      </c>
      <c r="K371" s="1" t="s">
        <v>3691</v>
      </c>
      <c r="L371" s="1" t="s">
        <v>74</v>
      </c>
      <c r="M371" s="1" t="s">
        <v>74</v>
      </c>
      <c r="N371" s="1" t="s">
        <v>74</v>
      </c>
      <c r="O371" s="1" t="s">
        <v>74</v>
      </c>
      <c r="P371" s="1" t="s">
        <v>74</v>
      </c>
      <c r="Q371" s="1" t="s">
        <v>74</v>
      </c>
      <c r="R371" s="1" t="s">
        <v>74</v>
      </c>
      <c r="S371" s="1" t="s">
        <v>74</v>
      </c>
      <c r="T371" s="1" t="s">
        <v>74</v>
      </c>
      <c r="U371" s="1" t="s">
        <v>74</v>
      </c>
      <c r="V371" s="1" t="s">
        <v>74</v>
      </c>
      <c r="W371" s="1" t="s">
        <v>74</v>
      </c>
      <c r="X371" s="1" t="s">
        <v>74</v>
      </c>
      <c r="Y371" s="1" t="s">
        <v>74</v>
      </c>
      <c r="Z371" s="1" t="s">
        <v>74</v>
      </c>
      <c r="AA371" s="1" t="s">
        <v>74</v>
      </c>
      <c r="AB371" s="1" t="s">
        <v>3692</v>
      </c>
      <c r="AC371" s="1" t="s">
        <v>74</v>
      </c>
      <c r="AD371" s="1" t="s">
        <v>74</v>
      </c>
      <c r="AE371" s="1" t="s">
        <v>74</v>
      </c>
      <c r="AF371" s="1" t="s">
        <v>74</v>
      </c>
      <c r="AG371" s="1" t="s">
        <v>74</v>
      </c>
      <c r="AH371" s="1" t="s">
        <v>74</v>
      </c>
      <c r="AI371" s="1" t="s">
        <v>74</v>
      </c>
      <c r="AJ371" s="1" t="s">
        <v>74</v>
      </c>
      <c r="AK371" s="1" t="s">
        <v>74</v>
      </c>
      <c r="AL371" s="1" t="s">
        <v>74</v>
      </c>
      <c r="AM371" s="1" t="s">
        <v>74</v>
      </c>
      <c r="AN371" s="1" t="s">
        <v>74</v>
      </c>
      <c r="AO371" s="1" t="s">
        <v>3693</v>
      </c>
      <c r="AP371" s="1" t="s">
        <v>74</v>
      </c>
      <c r="AQ371" s="1" t="s">
        <v>3694</v>
      </c>
      <c r="AR371" s="1" t="s">
        <v>74</v>
      </c>
      <c r="AS371" s="1" t="s">
        <v>74</v>
      </c>
      <c r="AT371" s="1" t="s">
        <v>74</v>
      </c>
      <c r="AU371" s="1">
        <v>2009.0</v>
      </c>
      <c r="AV371" s="1" t="s">
        <v>74</v>
      </c>
      <c r="AW371" s="1" t="s">
        <v>74</v>
      </c>
      <c r="AX371" s="1" t="s">
        <v>74</v>
      </c>
      <c r="AY371" s="1" t="s">
        <v>74</v>
      </c>
      <c r="AZ371" s="1" t="s">
        <v>74</v>
      </c>
      <c r="BA371" s="1" t="s">
        <v>74</v>
      </c>
      <c r="BB371" s="1">
        <v>81.0</v>
      </c>
      <c r="BC371" s="1">
        <v>113.0</v>
      </c>
      <c r="BD371" s="1" t="s">
        <v>74</v>
      </c>
      <c r="BE371" s="1" t="s">
        <v>74</v>
      </c>
      <c r="BF371" s="1" t="s">
        <v>74</v>
      </c>
      <c r="BG371" s="1" t="s">
        <v>74</v>
      </c>
      <c r="BH371" s="1" t="s">
        <v>74</v>
      </c>
      <c r="BI371" s="1" t="s">
        <v>74</v>
      </c>
      <c r="BJ371" s="1" t="s">
        <v>74</v>
      </c>
      <c r="BK371" s="1" t="s">
        <v>74</v>
      </c>
      <c r="BL371" s="1" t="s">
        <v>74</v>
      </c>
      <c r="BM371" s="1" t="s">
        <v>74</v>
      </c>
      <c r="BN371" s="1" t="s">
        <v>74</v>
      </c>
      <c r="BO371" s="1" t="s">
        <v>74</v>
      </c>
      <c r="BP371" s="1" t="s">
        <v>74</v>
      </c>
      <c r="BQ371" s="1" t="s">
        <v>74</v>
      </c>
      <c r="BR371" s="1" t="s">
        <v>74</v>
      </c>
      <c r="BS371" s="1" t="s">
        <v>3695</v>
      </c>
      <c r="BT371" s="1" t="str">
        <f>HYPERLINK("https%3A%2F%2Fwww.webofscience.com%2Fwos%2Fwoscc%2Ffull-record%2FWOS:000266750000005","View Full Record in Web of Science")</f>
        <v>View Full Record in Web of Science</v>
      </c>
    </row>
    <row r="372" ht="12.75" customHeight="1">
      <c r="A372" s="1" t="s">
        <v>72</v>
      </c>
      <c r="B372" s="1" t="s">
        <v>3696</v>
      </c>
      <c r="C372" s="1" t="s">
        <v>74</v>
      </c>
      <c r="D372" s="1" t="s">
        <v>74</v>
      </c>
      <c r="E372" s="1" t="s">
        <v>74</v>
      </c>
      <c r="F372" s="1" t="s">
        <v>3697</v>
      </c>
      <c r="G372" s="1" t="s">
        <v>74</v>
      </c>
      <c r="H372" s="1" t="s">
        <v>74</v>
      </c>
      <c r="I372" s="1" t="s">
        <v>3698</v>
      </c>
      <c r="J372" s="1" t="s">
        <v>3699</v>
      </c>
      <c r="K372" s="1" t="s">
        <v>74</v>
      </c>
      <c r="L372" s="1" t="s">
        <v>74</v>
      </c>
      <c r="M372" s="1" t="s">
        <v>74</v>
      </c>
      <c r="N372" s="1" t="s">
        <v>74</v>
      </c>
      <c r="O372" s="1" t="s">
        <v>74</v>
      </c>
      <c r="P372" s="1" t="s">
        <v>74</v>
      </c>
      <c r="Q372" s="1" t="s">
        <v>74</v>
      </c>
      <c r="R372" s="1" t="s">
        <v>74</v>
      </c>
      <c r="S372" s="1" t="s">
        <v>74</v>
      </c>
      <c r="T372" s="1" t="s">
        <v>74</v>
      </c>
      <c r="U372" s="1" t="s">
        <v>74</v>
      </c>
      <c r="V372" s="1" t="s">
        <v>3700</v>
      </c>
      <c r="W372" s="1" t="s">
        <v>74</v>
      </c>
      <c r="X372" s="1" t="s">
        <v>74</v>
      </c>
      <c r="Y372" s="1" t="s">
        <v>74</v>
      </c>
      <c r="Z372" s="1" t="s">
        <v>74</v>
      </c>
      <c r="AA372" s="1" t="s">
        <v>74</v>
      </c>
      <c r="AB372" s="1" t="s">
        <v>74</v>
      </c>
      <c r="AC372" s="1" t="s">
        <v>74</v>
      </c>
      <c r="AD372" s="1" t="s">
        <v>74</v>
      </c>
      <c r="AE372" s="1" t="s">
        <v>74</v>
      </c>
      <c r="AF372" s="1" t="s">
        <v>74</v>
      </c>
      <c r="AG372" s="1" t="s">
        <v>74</v>
      </c>
      <c r="AH372" s="1" t="s">
        <v>74</v>
      </c>
      <c r="AI372" s="1" t="s">
        <v>74</v>
      </c>
      <c r="AJ372" s="1" t="s">
        <v>74</v>
      </c>
      <c r="AK372" s="1" t="s">
        <v>74</v>
      </c>
      <c r="AL372" s="1" t="s">
        <v>74</v>
      </c>
      <c r="AM372" s="1" t="s">
        <v>74</v>
      </c>
      <c r="AN372" s="1" t="s">
        <v>74</v>
      </c>
      <c r="AO372" s="1" t="s">
        <v>3701</v>
      </c>
      <c r="AP372" s="1" t="s">
        <v>3702</v>
      </c>
      <c r="AQ372" s="1" t="s">
        <v>74</v>
      </c>
      <c r="AR372" s="1" t="s">
        <v>74</v>
      </c>
      <c r="AS372" s="1" t="s">
        <v>74</v>
      </c>
      <c r="AT372" s="1" t="s">
        <v>74</v>
      </c>
      <c r="AU372" s="1">
        <v>2009.0</v>
      </c>
      <c r="AV372" s="1">
        <v>5.0</v>
      </c>
      <c r="AW372" s="1">
        <v>10.0</v>
      </c>
      <c r="AX372" s="1" t="s">
        <v>74</v>
      </c>
      <c r="AY372" s="1" t="s">
        <v>74</v>
      </c>
      <c r="AZ372" s="1" t="s">
        <v>74</v>
      </c>
      <c r="BA372" s="1" t="s">
        <v>74</v>
      </c>
      <c r="BB372" s="1">
        <v>1963.0</v>
      </c>
      <c r="BC372" s="1">
        <v>1968.0</v>
      </c>
      <c r="BD372" s="1" t="s">
        <v>74</v>
      </c>
      <c r="BE372" s="1" t="s">
        <v>3703</v>
      </c>
      <c r="BF372" s="2" t="str">
        <f>HYPERLINK("http://dx.doi.org/10.1039/b817513f","http://dx.doi.org/10.1039/b817513f")</f>
        <v>http://dx.doi.org/10.1039/b817513f</v>
      </c>
      <c r="BG372" s="1" t="s">
        <v>74</v>
      </c>
      <c r="BH372" s="1" t="s">
        <v>74</v>
      </c>
      <c r="BI372" s="1" t="s">
        <v>74</v>
      </c>
      <c r="BJ372" s="1" t="s">
        <v>74</v>
      </c>
      <c r="BK372" s="1" t="s">
        <v>74</v>
      </c>
      <c r="BL372" s="1" t="s">
        <v>74</v>
      </c>
      <c r="BM372" s="1" t="s">
        <v>74</v>
      </c>
      <c r="BN372" s="1" t="s">
        <v>74</v>
      </c>
      <c r="BO372" s="1" t="s">
        <v>74</v>
      </c>
      <c r="BP372" s="1" t="s">
        <v>74</v>
      </c>
      <c r="BQ372" s="1" t="s">
        <v>74</v>
      </c>
      <c r="BR372" s="1" t="s">
        <v>74</v>
      </c>
      <c r="BS372" s="1" t="s">
        <v>3704</v>
      </c>
      <c r="BT372" s="1" t="str">
        <f>HYPERLINK("https%3A%2F%2Fwww.webofscience.com%2Fwos%2Fwoscc%2Ffull-record%2FWOS:000266005400002","View Full Record in Web of Science")</f>
        <v>View Full Record in Web of Science</v>
      </c>
    </row>
    <row r="373" ht="12.75" customHeight="1">
      <c r="A373" s="1" t="s">
        <v>72</v>
      </c>
      <c r="B373" s="1" t="s">
        <v>3705</v>
      </c>
      <c r="C373" s="1" t="s">
        <v>74</v>
      </c>
      <c r="D373" s="1" t="s">
        <v>74</v>
      </c>
      <c r="E373" s="1" t="s">
        <v>74</v>
      </c>
      <c r="F373" s="1" t="s">
        <v>3706</v>
      </c>
      <c r="G373" s="1" t="s">
        <v>74</v>
      </c>
      <c r="H373" s="1" t="s">
        <v>74</v>
      </c>
      <c r="I373" s="1" t="s">
        <v>3707</v>
      </c>
      <c r="J373" s="1" t="s">
        <v>3708</v>
      </c>
      <c r="K373" s="1" t="s">
        <v>74</v>
      </c>
      <c r="L373" s="1" t="s">
        <v>74</v>
      </c>
      <c r="M373" s="1" t="s">
        <v>74</v>
      </c>
      <c r="N373" s="1" t="s">
        <v>74</v>
      </c>
      <c r="O373" s="1" t="s">
        <v>74</v>
      </c>
      <c r="P373" s="1" t="s">
        <v>74</v>
      </c>
      <c r="Q373" s="1" t="s">
        <v>74</v>
      </c>
      <c r="R373" s="1" t="s">
        <v>74</v>
      </c>
      <c r="S373" s="1" t="s">
        <v>74</v>
      </c>
      <c r="T373" s="1" t="s">
        <v>74</v>
      </c>
      <c r="U373" s="1" t="s">
        <v>74</v>
      </c>
      <c r="V373" s="1" t="s">
        <v>3709</v>
      </c>
      <c r="W373" s="1" t="s">
        <v>74</v>
      </c>
      <c r="X373" s="1" t="s">
        <v>74</v>
      </c>
      <c r="Y373" s="1" t="s">
        <v>74</v>
      </c>
      <c r="Z373" s="1" t="s">
        <v>74</v>
      </c>
      <c r="AA373" s="1" t="s">
        <v>3710</v>
      </c>
      <c r="AB373" s="1" t="s">
        <v>3711</v>
      </c>
      <c r="AC373" s="1" t="s">
        <v>74</v>
      </c>
      <c r="AD373" s="1" t="s">
        <v>74</v>
      </c>
      <c r="AE373" s="1" t="s">
        <v>74</v>
      </c>
      <c r="AF373" s="1" t="s">
        <v>74</v>
      </c>
      <c r="AG373" s="1" t="s">
        <v>74</v>
      </c>
      <c r="AH373" s="1" t="s">
        <v>74</v>
      </c>
      <c r="AI373" s="1" t="s">
        <v>74</v>
      </c>
      <c r="AJ373" s="1" t="s">
        <v>74</v>
      </c>
      <c r="AK373" s="1" t="s">
        <v>74</v>
      </c>
      <c r="AL373" s="1" t="s">
        <v>74</v>
      </c>
      <c r="AM373" s="1" t="s">
        <v>74</v>
      </c>
      <c r="AN373" s="1" t="s">
        <v>74</v>
      </c>
      <c r="AO373" s="1" t="s">
        <v>3712</v>
      </c>
      <c r="AP373" s="1" t="s">
        <v>3713</v>
      </c>
      <c r="AQ373" s="1" t="s">
        <v>74</v>
      </c>
      <c r="AR373" s="1" t="s">
        <v>74</v>
      </c>
      <c r="AS373" s="1" t="s">
        <v>74</v>
      </c>
      <c r="AT373" s="1" t="s">
        <v>310</v>
      </c>
      <c r="AU373" s="1">
        <v>2008.0</v>
      </c>
      <c r="AV373" s="1">
        <v>17.0</v>
      </c>
      <c r="AW373" s="1">
        <v>4.0</v>
      </c>
      <c r="AX373" s="1" t="s">
        <v>74</v>
      </c>
      <c r="AY373" s="1" t="s">
        <v>74</v>
      </c>
      <c r="AZ373" s="1" t="s">
        <v>74</v>
      </c>
      <c r="BA373" s="1" t="s">
        <v>74</v>
      </c>
      <c r="BB373" s="1">
        <v>524.0</v>
      </c>
      <c r="BC373" s="1">
        <v>531.0</v>
      </c>
      <c r="BD373" s="1" t="s">
        <v>74</v>
      </c>
      <c r="BE373" s="1" t="s">
        <v>3714</v>
      </c>
      <c r="BF373" s="2" t="str">
        <f>HYPERLINK("http://dx.doi.org/10.1111/j.1466-8238.2008.00392.x","http://dx.doi.org/10.1111/j.1466-8238.2008.00392.x")</f>
        <v>http://dx.doi.org/10.1111/j.1466-8238.2008.00392.x</v>
      </c>
      <c r="BG373" s="1" t="s">
        <v>74</v>
      </c>
      <c r="BH373" s="1" t="s">
        <v>74</v>
      </c>
      <c r="BI373" s="1" t="s">
        <v>74</v>
      </c>
      <c r="BJ373" s="1" t="s">
        <v>74</v>
      </c>
      <c r="BK373" s="1" t="s">
        <v>74</v>
      </c>
      <c r="BL373" s="1" t="s">
        <v>74</v>
      </c>
      <c r="BM373" s="1" t="s">
        <v>74</v>
      </c>
      <c r="BN373" s="1" t="s">
        <v>74</v>
      </c>
      <c r="BO373" s="1" t="s">
        <v>74</v>
      </c>
      <c r="BP373" s="1" t="s">
        <v>74</v>
      </c>
      <c r="BQ373" s="1" t="s">
        <v>74</v>
      </c>
      <c r="BR373" s="1" t="s">
        <v>74</v>
      </c>
      <c r="BS373" s="1" t="s">
        <v>3715</v>
      </c>
      <c r="BT373" s="1" t="str">
        <f>HYPERLINK("https%3A%2F%2Fwww.webofscience.com%2Fwos%2Fwoscc%2Ffull-record%2FWOS:000256614700007","View Full Record in Web of Science")</f>
        <v>View Full Record in Web of Science</v>
      </c>
    </row>
    <row r="374" ht="12.75" customHeight="1">
      <c r="A374" s="1" t="s">
        <v>72</v>
      </c>
      <c r="B374" s="1" t="s">
        <v>3716</v>
      </c>
      <c r="C374" s="1" t="s">
        <v>74</v>
      </c>
      <c r="D374" s="1" t="s">
        <v>74</v>
      </c>
      <c r="E374" s="1" t="s">
        <v>74</v>
      </c>
      <c r="F374" s="1" t="s">
        <v>3717</v>
      </c>
      <c r="G374" s="1" t="s">
        <v>74</v>
      </c>
      <c r="H374" s="1" t="s">
        <v>74</v>
      </c>
      <c r="I374" s="1" t="s">
        <v>3718</v>
      </c>
      <c r="J374" s="1" t="s">
        <v>3719</v>
      </c>
      <c r="K374" s="1" t="s">
        <v>74</v>
      </c>
      <c r="L374" s="1" t="s">
        <v>74</v>
      </c>
      <c r="M374" s="1" t="s">
        <v>74</v>
      </c>
      <c r="N374" s="1" t="s">
        <v>74</v>
      </c>
      <c r="O374" s="1" t="s">
        <v>74</v>
      </c>
      <c r="P374" s="1" t="s">
        <v>74</v>
      </c>
      <c r="Q374" s="1" t="s">
        <v>74</v>
      </c>
      <c r="R374" s="1" t="s">
        <v>74</v>
      </c>
      <c r="S374" s="1" t="s">
        <v>74</v>
      </c>
      <c r="T374" s="1" t="s">
        <v>74</v>
      </c>
      <c r="U374" s="1" t="s">
        <v>74</v>
      </c>
      <c r="V374" s="1" t="s">
        <v>3720</v>
      </c>
      <c r="W374" s="1" t="s">
        <v>74</v>
      </c>
      <c r="X374" s="1" t="s">
        <v>74</v>
      </c>
      <c r="Y374" s="1" t="s">
        <v>74</v>
      </c>
      <c r="Z374" s="1" t="s">
        <v>74</v>
      </c>
      <c r="AA374" s="1" t="s">
        <v>74</v>
      </c>
      <c r="AB374" s="1" t="s">
        <v>74</v>
      </c>
      <c r="AC374" s="1" t="s">
        <v>74</v>
      </c>
      <c r="AD374" s="1" t="s">
        <v>74</v>
      </c>
      <c r="AE374" s="1" t="s">
        <v>74</v>
      </c>
      <c r="AF374" s="1" t="s">
        <v>74</v>
      </c>
      <c r="AG374" s="1" t="s">
        <v>74</v>
      </c>
      <c r="AH374" s="1" t="s">
        <v>74</v>
      </c>
      <c r="AI374" s="1" t="s">
        <v>74</v>
      </c>
      <c r="AJ374" s="1" t="s">
        <v>74</v>
      </c>
      <c r="AK374" s="1" t="s">
        <v>74</v>
      </c>
      <c r="AL374" s="1" t="s">
        <v>74</v>
      </c>
      <c r="AM374" s="1" t="s">
        <v>74</v>
      </c>
      <c r="AN374" s="1" t="s">
        <v>74</v>
      </c>
      <c r="AO374" s="1" t="s">
        <v>3721</v>
      </c>
      <c r="AP374" s="1" t="s">
        <v>3722</v>
      </c>
      <c r="AQ374" s="1" t="s">
        <v>74</v>
      </c>
      <c r="AR374" s="1" t="s">
        <v>74</v>
      </c>
      <c r="AS374" s="1" t="s">
        <v>74</v>
      </c>
      <c r="AT374" s="1" t="s">
        <v>1049</v>
      </c>
      <c r="AU374" s="1">
        <v>2007.0</v>
      </c>
      <c r="AV374" s="1">
        <v>45.0</v>
      </c>
      <c r="AW374" s="1">
        <v>11.0</v>
      </c>
      <c r="AX374" s="1" t="s">
        <v>74</v>
      </c>
      <c r="AY374" s="1" t="s">
        <v>74</v>
      </c>
      <c r="AZ374" s="1" t="s">
        <v>74</v>
      </c>
      <c r="BA374" s="1" t="s">
        <v>74</v>
      </c>
      <c r="BB374" s="1">
        <v>873.0</v>
      </c>
      <c r="BC374" s="1">
        <v>881.0</v>
      </c>
      <c r="BD374" s="1" t="s">
        <v>74</v>
      </c>
      <c r="BE374" s="1" t="s">
        <v>3723</v>
      </c>
      <c r="BF374" s="2" t="str">
        <f>HYPERLINK("http://dx.doi.org/10.1016/j.ijengsci.2007.07.002","http://dx.doi.org/10.1016/j.ijengsci.2007.07.002")</f>
        <v>http://dx.doi.org/10.1016/j.ijengsci.2007.07.002</v>
      </c>
      <c r="BG374" s="1" t="s">
        <v>74</v>
      </c>
      <c r="BH374" s="1" t="s">
        <v>74</v>
      </c>
      <c r="BI374" s="1" t="s">
        <v>74</v>
      </c>
      <c r="BJ374" s="1" t="s">
        <v>74</v>
      </c>
      <c r="BK374" s="1" t="s">
        <v>74</v>
      </c>
      <c r="BL374" s="1" t="s">
        <v>74</v>
      </c>
      <c r="BM374" s="1" t="s">
        <v>74</v>
      </c>
      <c r="BN374" s="1" t="s">
        <v>74</v>
      </c>
      <c r="BO374" s="1" t="s">
        <v>74</v>
      </c>
      <c r="BP374" s="1" t="s">
        <v>74</v>
      </c>
      <c r="BQ374" s="1" t="s">
        <v>74</v>
      </c>
      <c r="BR374" s="1" t="s">
        <v>74</v>
      </c>
      <c r="BS374" s="1" t="s">
        <v>3724</v>
      </c>
      <c r="BT374" s="1" t="str">
        <f>HYPERLINK("https%3A%2F%2Fwww.webofscience.com%2Fwos%2Fwoscc%2Ffull-record%2FWOS:000250590900001","View Full Record in Web of Science")</f>
        <v>View Full Record in Web of Science</v>
      </c>
    </row>
    <row r="375" ht="12.75" customHeight="1">
      <c r="A375" s="1" t="s">
        <v>72</v>
      </c>
      <c r="B375" s="1" t="s">
        <v>3725</v>
      </c>
      <c r="C375" s="1" t="s">
        <v>74</v>
      </c>
      <c r="D375" s="1" t="s">
        <v>74</v>
      </c>
      <c r="E375" s="1" t="s">
        <v>74</v>
      </c>
      <c r="F375" s="1" t="s">
        <v>3726</v>
      </c>
      <c r="G375" s="1" t="s">
        <v>74</v>
      </c>
      <c r="H375" s="1" t="s">
        <v>74</v>
      </c>
      <c r="I375" s="1" t="s">
        <v>3727</v>
      </c>
      <c r="J375" s="1" t="s">
        <v>3728</v>
      </c>
      <c r="K375" s="1" t="s">
        <v>74</v>
      </c>
      <c r="L375" s="1" t="s">
        <v>74</v>
      </c>
      <c r="M375" s="1" t="s">
        <v>74</v>
      </c>
      <c r="N375" s="1" t="s">
        <v>74</v>
      </c>
      <c r="O375" s="1" t="s">
        <v>74</v>
      </c>
      <c r="P375" s="1" t="s">
        <v>74</v>
      </c>
      <c r="Q375" s="1" t="s">
        <v>74</v>
      </c>
      <c r="R375" s="1" t="s">
        <v>74</v>
      </c>
      <c r="S375" s="1" t="s">
        <v>74</v>
      </c>
      <c r="T375" s="1" t="s">
        <v>74</v>
      </c>
      <c r="U375" s="1" t="s">
        <v>74</v>
      </c>
      <c r="V375" s="1" t="s">
        <v>74</v>
      </c>
      <c r="W375" s="1" t="s">
        <v>74</v>
      </c>
      <c r="X375" s="1" t="s">
        <v>74</v>
      </c>
      <c r="Y375" s="1" t="s">
        <v>74</v>
      </c>
      <c r="Z375" s="1" t="s">
        <v>74</v>
      </c>
      <c r="AA375" s="1" t="s">
        <v>74</v>
      </c>
      <c r="AB375" s="1" t="s">
        <v>74</v>
      </c>
      <c r="AC375" s="1" t="s">
        <v>74</v>
      </c>
      <c r="AD375" s="1" t="s">
        <v>74</v>
      </c>
      <c r="AE375" s="1" t="s">
        <v>74</v>
      </c>
      <c r="AF375" s="1" t="s">
        <v>74</v>
      </c>
      <c r="AG375" s="1" t="s">
        <v>74</v>
      </c>
      <c r="AH375" s="1" t="s">
        <v>74</v>
      </c>
      <c r="AI375" s="1" t="s">
        <v>74</v>
      </c>
      <c r="AJ375" s="1" t="s">
        <v>74</v>
      </c>
      <c r="AK375" s="1" t="s">
        <v>74</v>
      </c>
      <c r="AL375" s="1" t="s">
        <v>74</v>
      </c>
      <c r="AM375" s="1" t="s">
        <v>74</v>
      </c>
      <c r="AN375" s="1" t="s">
        <v>74</v>
      </c>
      <c r="AO375" s="1" t="s">
        <v>3729</v>
      </c>
      <c r="AP375" s="1" t="s">
        <v>74</v>
      </c>
      <c r="AQ375" s="1" t="s">
        <v>74</v>
      </c>
      <c r="AR375" s="1" t="s">
        <v>74</v>
      </c>
      <c r="AS375" s="1" t="s">
        <v>74</v>
      </c>
      <c r="AT375" s="1" t="s">
        <v>215</v>
      </c>
      <c r="AU375" s="1">
        <v>2007.0</v>
      </c>
      <c r="AV375" s="1">
        <v>119.0</v>
      </c>
      <c r="AW375" s="1">
        <v>7.0</v>
      </c>
      <c r="AX375" s="1" t="s">
        <v>74</v>
      </c>
      <c r="AY375" s="1" t="s">
        <v>74</v>
      </c>
      <c r="AZ375" s="1" t="s">
        <v>74</v>
      </c>
      <c r="BA375" s="1" t="s">
        <v>74</v>
      </c>
      <c r="BB375" s="1">
        <v>2316.0</v>
      </c>
      <c r="BC375" s="1">
        <v>2317.0</v>
      </c>
      <c r="BD375" s="1" t="s">
        <v>74</v>
      </c>
      <c r="BE375" s="1" t="s">
        <v>3730</v>
      </c>
      <c r="BF375" s="2" t="str">
        <f>HYPERLINK("http://dx.doi.org/10.1097/01.prs.0000261065.04552.8f","http://dx.doi.org/10.1097/01.prs.0000261065.04552.8f")</f>
        <v>http://dx.doi.org/10.1097/01.prs.0000261065.04552.8f</v>
      </c>
      <c r="BG375" s="1" t="s">
        <v>74</v>
      </c>
      <c r="BH375" s="1" t="s">
        <v>74</v>
      </c>
      <c r="BI375" s="1" t="s">
        <v>74</v>
      </c>
      <c r="BJ375" s="1" t="s">
        <v>74</v>
      </c>
      <c r="BK375" s="1" t="s">
        <v>74</v>
      </c>
      <c r="BL375" s="1" t="s">
        <v>74</v>
      </c>
      <c r="BM375" s="1" t="s">
        <v>74</v>
      </c>
      <c r="BN375" s="1" t="s">
        <v>74</v>
      </c>
      <c r="BO375" s="1" t="s">
        <v>74</v>
      </c>
      <c r="BP375" s="1" t="s">
        <v>74</v>
      </c>
      <c r="BQ375" s="1" t="s">
        <v>74</v>
      </c>
      <c r="BR375" s="1" t="s">
        <v>74</v>
      </c>
      <c r="BS375" s="1" t="s">
        <v>3731</v>
      </c>
      <c r="BT375" s="1" t="str">
        <f>HYPERLINK("https%3A%2F%2Fwww.webofscience.com%2Fwos%2Fwoscc%2Ffull-record%2FWOS:000246669000052","View Full Record in Web of Science")</f>
        <v>View Full Record in Web of Science</v>
      </c>
    </row>
    <row r="376" ht="12.75" customHeight="1">
      <c r="A376" s="1" t="s">
        <v>72</v>
      </c>
      <c r="B376" s="1" t="s">
        <v>3732</v>
      </c>
      <c r="C376" s="1" t="s">
        <v>74</v>
      </c>
      <c r="D376" s="1" t="s">
        <v>74</v>
      </c>
      <c r="E376" s="1" t="s">
        <v>74</v>
      </c>
      <c r="F376" s="1" t="s">
        <v>3733</v>
      </c>
      <c r="G376" s="1" t="s">
        <v>74</v>
      </c>
      <c r="H376" s="1" t="s">
        <v>74</v>
      </c>
      <c r="I376" s="1" t="s">
        <v>3734</v>
      </c>
      <c r="J376" s="1" t="s">
        <v>3735</v>
      </c>
      <c r="K376" s="1" t="s">
        <v>74</v>
      </c>
      <c r="L376" s="1" t="s">
        <v>74</v>
      </c>
      <c r="M376" s="1" t="s">
        <v>74</v>
      </c>
      <c r="N376" s="1" t="s">
        <v>74</v>
      </c>
      <c r="O376" s="1" t="s">
        <v>74</v>
      </c>
      <c r="P376" s="1" t="s">
        <v>74</v>
      </c>
      <c r="Q376" s="1" t="s">
        <v>74</v>
      </c>
      <c r="R376" s="1" t="s">
        <v>74</v>
      </c>
      <c r="S376" s="1" t="s">
        <v>74</v>
      </c>
      <c r="T376" s="1" t="s">
        <v>74</v>
      </c>
      <c r="U376" s="1" t="s">
        <v>74</v>
      </c>
      <c r="V376" s="1" t="s">
        <v>3736</v>
      </c>
      <c r="W376" s="1" t="s">
        <v>74</v>
      </c>
      <c r="X376" s="1" t="s">
        <v>74</v>
      </c>
      <c r="Y376" s="1" t="s">
        <v>74</v>
      </c>
      <c r="Z376" s="1" t="s">
        <v>74</v>
      </c>
      <c r="AA376" s="1" t="s">
        <v>3737</v>
      </c>
      <c r="AB376" s="1" t="s">
        <v>3738</v>
      </c>
      <c r="AC376" s="1" t="s">
        <v>74</v>
      </c>
      <c r="AD376" s="1" t="s">
        <v>74</v>
      </c>
      <c r="AE376" s="1" t="s">
        <v>74</v>
      </c>
      <c r="AF376" s="1" t="s">
        <v>74</v>
      </c>
      <c r="AG376" s="1" t="s">
        <v>74</v>
      </c>
      <c r="AH376" s="1" t="s">
        <v>74</v>
      </c>
      <c r="AI376" s="1" t="s">
        <v>74</v>
      </c>
      <c r="AJ376" s="1" t="s">
        <v>74</v>
      </c>
      <c r="AK376" s="1" t="s">
        <v>74</v>
      </c>
      <c r="AL376" s="1" t="s">
        <v>74</v>
      </c>
      <c r="AM376" s="1" t="s">
        <v>74</v>
      </c>
      <c r="AN376" s="1" t="s">
        <v>74</v>
      </c>
      <c r="AO376" s="1" t="s">
        <v>3739</v>
      </c>
      <c r="AP376" s="1" t="s">
        <v>74</v>
      </c>
      <c r="AQ376" s="1" t="s">
        <v>74</v>
      </c>
      <c r="AR376" s="1" t="s">
        <v>74</v>
      </c>
      <c r="AS376" s="1" t="s">
        <v>74</v>
      </c>
      <c r="AT376" s="1" t="s">
        <v>180</v>
      </c>
      <c r="AU376" s="1">
        <v>2007.0</v>
      </c>
      <c r="AV376" s="1">
        <v>117.0</v>
      </c>
      <c r="AW376" s="1">
        <v>5.0</v>
      </c>
      <c r="AX376" s="1" t="s">
        <v>74</v>
      </c>
      <c r="AY376" s="1" t="s">
        <v>74</v>
      </c>
      <c r="AZ376" s="1" t="s">
        <v>74</v>
      </c>
      <c r="BA376" s="1" t="s">
        <v>74</v>
      </c>
      <c r="BB376" s="1">
        <v>617.0</v>
      </c>
      <c r="BC376" s="1">
        <v>625.0</v>
      </c>
      <c r="BD376" s="1" t="s">
        <v>74</v>
      </c>
      <c r="BE376" s="1" t="s">
        <v>3740</v>
      </c>
      <c r="BF376" s="2" t="str">
        <f>HYPERLINK("http://dx.doi.org/10.1080/00207450600773806","http://dx.doi.org/10.1080/00207450600773806")</f>
        <v>http://dx.doi.org/10.1080/00207450600773806</v>
      </c>
      <c r="BG376" s="1" t="s">
        <v>74</v>
      </c>
      <c r="BH376" s="1" t="s">
        <v>74</v>
      </c>
      <c r="BI376" s="1" t="s">
        <v>74</v>
      </c>
      <c r="BJ376" s="1" t="s">
        <v>74</v>
      </c>
      <c r="BK376" s="1" t="s">
        <v>74</v>
      </c>
      <c r="BL376" s="1" t="s">
        <v>74</v>
      </c>
      <c r="BM376" s="1" t="s">
        <v>74</v>
      </c>
      <c r="BN376" s="1">
        <v>1.746478E7</v>
      </c>
      <c r="BO376" s="1" t="s">
        <v>74</v>
      </c>
      <c r="BP376" s="1" t="s">
        <v>74</v>
      </c>
      <c r="BQ376" s="1" t="s">
        <v>74</v>
      </c>
      <c r="BR376" s="1" t="s">
        <v>74</v>
      </c>
      <c r="BS376" s="1" t="s">
        <v>3741</v>
      </c>
      <c r="BT376" s="1" t="str">
        <f>HYPERLINK("https%3A%2F%2Fwww.webofscience.com%2Fwos%2Fwoscc%2Ffull-record%2FWOS:000246155400006","View Full Record in Web of Science")</f>
        <v>View Full Record in Web of Science</v>
      </c>
    </row>
    <row r="377" ht="12.75" customHeight="1">
      <c r="A377" s="1" t="s">
        <v>72</v>
      </c>
      <c r="B377" s="1" t="s">
        <v>3742</v>
      </c>
      <c r="C377" s="1" t="s">
        <v>74</v>
      </c>
      <c r="D377" s="1" t="s">
        <v>74</v>
      </c>
      <c r="E377" s="1" t="s">
        <v>74</v>
      </c>
      <c r="F377" s="1" t="s">
        <v>3743</v>
      </c>
      <c r="G377" s="1" t="s">
        <v>74</v>
      </c>
      <c r="H377" s="1" t="s">
        <v>74</v>
      </c>
      <c r="I377" s="1" t="s">
        <v>3744</v>
      </c>
      <c r="J377" s="1" t="s">
        <v>3745</v>
      </c>
      <c r="K377" s="1" t="s">
        <v>74</v>
      </c>
      <c r="L377" s="1" t="s">
        <v>74</v>
      </c>
      <c r="M377" s="1" t="s">
        <v>74</v>
      </c>
      <c r="N377" s="1" t="s">
        <v>74</v>
      </c>
      <c r="O377" s="1" t="s">
        <v>74</v>
      </c>
      <c r="P377" s="1" t="s">
        <v>74</v>
      </c>
      <c r="Q377" s="1" t="s">
        <v>74</v>
      </c>
      <c r="R377" s="1" t="s">
        <v>74</v>
      </c>
      <c r="S377" s="1" t="s">
        <v>74</v>
      </c>
      <c r="T377" s="1" t="s">
        <v>74</v>
      </c>
      <c r="U377" s="1" t="s">
        <v>74</v>
      </c>
      <c r="V377" s="1" t="s">
        <v>3746</v>
      </c>
      <c r="W377" s="1" t="s">
        <v>74</v>
      </c>
      <c r="X377" s="1" t="s">
        <v>74</v>
      </c>
      <c r="Y377" s="1" t="s">
        <v>74</v>
      </c>
      <c r="Z377" s="1" t="s">
        <v>74</v>
      </c>
      <c r="AA377" s="1" t="s">
        <v>3747</v>
      </c>
      <c r="AB377" s="1" t="s">
        <v>3748</v>
      </c>
      <c r="AC377" s="1" t="s">
        <v>74</v>
      </c>
      <c r="AD377" s="1" t="s">
        <v>74</v>
      </c>
      <c r="AE377" s="1" t="s">
        <v>74</v>
      </c>
      <c r="AF377" s="1" t="s">
        <v>74</v>
      </c>
      <c r="AG377" s="1" t="s">
        <v>74</v>
      </c>
      <c r="AH377" s="1" t="s">
        <v>74</v>
      </c>
      <c r="AI377" s="1" t="s">
        <v>74</v>
      </c>
      <c r="AJ377" s="1" t="s">
        <v>74</v>
      </c>
      <c r="AK377" s="1" t="s">
        <v>74</v>
      </c>
      <c r="AL377" s="1" t="s">
        <v>74</v>
      </c>
      <c r="AM377" s="1" t="s">
        <v>74</v>
      </c>
      <c r="AN377" s="1" t="s">
        <v>74</v>
      </c>
      <c r="AO377" s="1" t="s">
        <v>3749</v>
      </c>
      <c r="AP377" s="1" t="s">
        <v>3750</v>
      </c>
      <c r="AQ377" s="1" t="s">
        <v>74</v>
      </c>
      <c r="AR377" s="1" t="s">
        <v>74</v>
      </c>
      <c r="AS377" s="1" t="s">
        <v>74</v>
      </c>
      <c r="AT377" s="1" t="s">
        <v>3751</v>
      </c>
      <c r="AU377" s="1">
        <v>2007.0</v>
      </c>
      <c r="AV377" s="1">
        <v>90.0</v>
      </c>
      <c r="AW377" s="1">
        <v>10.0</v>
      </c>
      <c r="AX377" s="1" t="s">
        <v>74</v>
      </c>
      <c r="AY377" s="1" t="s">
        <v>74</v>
      </c>
      <c r="AZ377" s="1" t="s">
        <v>74</v>
      </c>
      <c r="BA377" s="1" t="s">
        <v>74</v>
      </c>
      <c r="BB377" s="1" t="s">
        <v>74</v>
      </c>
      <c r="BC377" s="1" t="s">
        <v>74</v>
      </c>
      <c r="BD377" s="1">
        <v>102501.0</v>
      </c>
      <c r="BE377" s="1" t="s">
        <v>3752</v>
      </c>
      <c r="BF377" s="2" t="str">
        <f>HYPERLINK("http://dx.doi.org/10.1063/1.2437655","http://dx.doi.org/10.1063/1.2437655")</f>
        <v>http://dx.doi.org/10.1063/1.2437655</v>
      </c>
      <c r="BG377" s="1" t="s">
        <v>74</v>
      </c>
      <c r="BH377" s="1" t="s">
        <v>74</v>
      </c>
      <c r="BI377" s="1" t="s">
        <v>74</v>
      </c>
      <c r="BJ377" s="1" t="s">
        <v>74</v>
      </c>
      <c r="BK377" s="1" t="s">
        <v>74</v>
      </c>
      <c r="BL377" s="1" t="s">
        <v>74</v>
      </c>
      <c r="BM377" s="1" t="s">
        <v>74</v>
      </c>
      <c r="BN377" s="1" t="s">
        <v>74</v>
      </c>
      <c r="BO377" s="1" t="s">
        <v>74</v>
      </c>
      <c r="BP377" s="1" t="s">
        <v>74</v>
      </c>
      <c r="BQ377" s="1" t="s">
        <v>74</v>
      </c>
      <c r="BR377" s="1" t="s">
        <v>74</v>
      </c>
      <c r="BS377" s="1" t="s">
        <v>3753</v>
      </c>
      <c r="BT377" s="1" t="str">
        <f>HYPERLINK("https%3A%2F%2Fwww.webofscience.com%2Fwos%2Fwoscc%2Ffull-record%2FWOS:000244791700063","View Full Record in Web of Science")</f>
        <v>View Full Record in Web of Science</v>
      </c>
    </row>
    <row r="378" ht="12.75" customHeight="1">
      <c r="A378" s="1" t="s">
        <v>72</v>
      </c>
      <c r="B378" s="1" t="s">
        <v>3754</v>
      </c>
      <c r="C378" s="1" t="s">
        <v>74</v>
      </c>
      <c r="D378" s="1" t="s">
        <v>74</v>
      </c>
      <c r="E378" s="1" t="s">
        <v>74</v>
      </c>
      <c r="F378" s="1" t="s">
        <v>3755</v>
      </c>
      <c r="G378" s="1" t="s">
        <v>74</v>
      </c>
      <c r="H378" s="1" t="s">
        <v>74</v>
      </c>
      <c r="I378" s="1" t="s">
        <v>3756</v>
      </c>
      <c r="J378" s="1" t="s">
        <v>3757</v>
      </c>
      <c r="K378" s="1" t="s">
        <v>74</v>
      </c>
      <c r="L378" s="1" t="s">
        <v>74</v>
      </c>
      <c r="M378" s="1" t="s">
        <v>74</v>
      </c>
      <c r="N378" s="1" t="s">
        <v>74</v>
      </c>
      <c r="O378" s="1" t="s">
        <v>74</v>
      </c>
      <c r="P378" s="1" t="s">
        <v>74</v>
      </c>
      <c r="Q378" s="1" t="s">
        <v>74</v>
      </c>
      <c r="R378" s="1" t="s">
        <v>74</v>
      </c>
      <c r="S378" s="1" t="s">
        <v>74</v>
      </c>
      <c r="T378" s="1" t="s">
        <v>74</v>
      </c>
      <c r="U378" s="1" t="s">
        <v>74</v>
      </c>
      <c r="V378" s="1" t="s">
        <v>3758</v>
      </c>
      <c r="W378" s="1" t="s">
        <v>74</v>
      </c>
      <c r="X378" s="1" t="s">
        <v>74</v>
      </c>
      <c r="Y378" s="1" t="s">
        <v>74</v>
      </c>
      <c r="Z378" s="1" t="s">
        <v>74</v>
      </c>
      <c r="AA378" s="1" t="s">
        <v>3759</v>
      </c>
      <c r="AB378" s="1" t="s">
        <v>3760</v>
      </c>
      <c r="AC378" s="1" t="s">
        <v>74</v>
      </c>
      <c r="AD378" s="1" t="s">
        <v>74</v>
      </c>
      <c r="AE378" s="1" t="s">
        <v>74</v>
      </c>
      <c r="AF378" s="1" t="s">
        <v>74</v>
      </c>
      <c r="AG378" s="1" t="s">
        <v>74</v>
      </c>
      <c r="AH378" s="1" t="s">
        <v>74</v>
      </c>
      <c r="AI378" s="1" t="s">
        <v>74</v>
      </c>
      <c r="AJ378" s="1" t="s">
        <v>74</v>
      </c>
      <c r="AK378" s="1" t="s">
        <v>74</v>
      </c>
      <c r="AL378" s="1" t="s">
        <v>74</v>
      </c>
      <c r="AM378" s="1" t="s">
        <v>74</v>
      </c>
      <c r="AN378" s="1" t="s">
        <v>74</v>
      </c>
      <c r="AO378" s="1" t="s">
        <v>3761</v>
      </c>
      <c r="AP378" s="1" t="s">
        <v>3762</v>
      </c>
      <c r="AQ378" s="1" t="s">
        <v>74</v>
      </c>
      <c r="AR378" s="1" t="s">
        <v>74</v>
      </c>
      <c r="AS378" s="1" t="s">
        <v>74</v>
      </c>
      <c r="AT378" s="1" t="s">
        <v>74</v>
      </c>
      <c r="AU378" s="1">
        <v>2007.0</v>
      </c>
      <c r="AV378" s="1">
        <v>10.0</v>
      </c>
      <c r="AW378" s="1">
        <v>8.0</v>
      </c>
      <c r="AX378" s="1" t="s">
        <v>74</v>
      </c>
      <c r="AY378" s="1" t="s">
        <v>74</v>
      </c>
      <c r="AZ378" s="1" t="s">
        <v>74</v>
      </c>
      <c r="BA378" s="1" t="s">
        <v>74</v>
      </c>
      <c r="BB378" s="1">
        <v>623.0</v>
      </c>
      <c r="BC378" s="1">
        <v>630.0</v>
      </c>
      <c r="BD378" s="1" t="s">
        <v>74</v>
      </c>
      <c r="BE378" s="1" t="s">
        <v>3763</v>
      </c>
      <c r="BF378" s="2" t="str">
        <f>HYPERLINK("http://dx.doi.org/10.1080/10937400701436445","http://dx.doi.org/10.1080/10937400701436445")</f>
        <v>http://dx.doi.org/10.1080/10937400701436445</v>
      </c>
      <c r="BG378" s="1" t="s">
        <v>74</v>
      </c>
      <c r="BH378" s="1" t="s">
        <v>74</v>
      </c>
      <c r="BI378" s="1" t="s">
        <v>74</v>
      </c>
      <c r="BJ378" s="1" t="s">
        <v>74</v>
      </c>
      <c r="BK378" s="1" t="s">
        <v>74</v>
      </c>
      <c r="BL378" s="1" t="s">
        <v>74</v>
      </c>
      <c r="BM378" s="1" t="s">
        <v>74</v>
      </c>
      <c r="BN378" s="1">
        <v>1.8049927E7</v>
      </c>
      <c r="BO378" s="1" t="s">
        <v>74</v>
      </c>
      <c r="BP378" s="1" t="s">
        <v>74</v>
      </c>
      <c r="BQ378" s="1" t="s">
        <v>74</v>
      </c>
      <c r="BR378" s="1" t="s">
        <v>74</v>
      </c>
      <c r="BS378" s="1" t="s">
        <v>3764</v>
      </c>
      <c r="BT378" s="1" t="str">
        <f>HYPERLINK("https%3A%2F%2Fwww.webofscience.com%2Fwos%2Fwoscc%2Ffull-record%2FWOS:000251287600005","View Full Record in Web of Science")</f>
        <v>View Full Record in Web of Science</v>
      </c>
    </row>
    <row r="379" ht="12.75" customHeight="1">
      <c r="A379" s="1" t="s">
        <v>72</v>
      </c>
      <c r="B379" s="1" t="s">
        <v>3765</v>
      </c>
      <c r="C379" s="1" t="s">
        <v>74</v>
      </c>
      <c r="D379" s="1" t="s">
        <v>74</v>
      </c>
      <c r="E379" s="1" t="s">
        <v>74</v>
      </c>
      <c r="F379" s="1" t="s">
        <v>3765</v>
      </c>
      <c r="G379" s="1" t="s">
        <v>74</v>
      </c>
      <c r="H379" s="1" t="s">
        <v>74</v>
      </c>
      <c r="I379" s="1" t="s">
        <v>3766</v>
      </c>
      <c r="J379" s="1" t="s">
        <v>3767</v>
      </c>
      <c r="K379" s="1" t="s">
        <v>74</v>
      </c>
      <c r="L379" s="1" t="s">
        <v>74</v>
      </c>
      <c r="M379" s="1" t="s">
        <v>74</v>
      </c>
      <c r="N379" s="1" t="s">
        <v>74</v>
      </c>
      <c r="O379" s="1" t="s">
        <v>3768</v>
      </c>
      <c r="P379" s="1" t="s">
        <v>3769</v>
      </c>
      <c r="Q379" s="1" t="s">
        <v>3770</v>
      </c>
      <c r="R379" s="1" t="s">
        <v>74</v>
      </c>
      <c r="S379" s="1" t="s">
        <v>3771</v>
      </c>
      <c r="T379" s="1" t="s">
        <v>74</v>
      </c>
      <c r="U379" s="1" t="s">
        <v>74</v>
      </c>
      <c r="V379" s="1" t="s">
        <v>3772</v>
      </c>
      <c r="W379" s="1" t="s">
        <v>74</v>
      </c>
      <c r="X379" s="1" t="s">
        <v>74</v>
      </c>
      <c r="Y379" s="1" t="s">
        <v>74</v>
      </c>
      <c r="Z379" s="1" t="s">
        <v>74</v>
      </c>
      <c r="AA379" s="1" t="s">
        <v>3773</v>
      </c>
      <c r="AB379" s="1" t="s">
        <v>74</v>
      </c>
      <c r="AC379" s="1" t="s">
        <v>74</v>
      </c>
      <c r="AD379" s="1" t="s">
        <v>74</v>
      </c>
      <c r="AE379" s="1" t="s">
        <v>74</v>
      </c>
      <c r="AF379" s="1" t="s">
        <v>74</v>
      </c>
      <c r="AG379" s="1" t="s">
        <v>74</v>
      </c>
      <c r="AH379" s="1" t="s">
        <v>74</v>
      </c>
      <c r="AI379" s="1" t="s">
        <v>74</v>
      </c>
      <c r="AJ379" s="1" t="s">
        <v>74</v>
      </c>
      <c r="AK379" s="1" t="s">
        <v>74</v>
      </c>
      <c r="AL379" s="1" t="s">
        <v>74</v>
      </c>
      <c r="AM379" s="1" t="s">
        <v>74</v>
      </c>
      <c r="AN379" s="1" t="s">
        <v>74</v>
      </c>
      <c r="AO379" s="1" t="s">
        <v>3774</v>
      </c>
      <c r="AP379" s="1" t="s">
        <v>3775</v>
      </c>
      <c r="AQ379" s="1" t="s">
        <v>74</v>
      </c>
      <c r="AR379" s="1" t="s">
        <v>74</v>
      </c>
      <c r="AS379" s="1" t="s">
        <v>74</v>
      </c>
      <c r="AT379" s="1" t="s">
        <v>158</v>
      </c>
      <c r="AU379" s="1">
        <v>2006.0</v>
      </c>
      <c r="AV379" s="1">
        <v>189.0</v>
      </c>
      <c r="AW379" s="1" t="s">
        <v>2150</v>
      </c>
      <c r="AX379" s="1" t="s">
        <v>74</v>
      </c>
      <c r="AY379" s="1" t="s">
        <v>74</v>
      </c>
      <c r="AZ379" s="1" t="s">
        <v>74</v>
      </c>
      <c r="BA379" s="1" t="s">
        <v>74</v>
      </c>
      <c r="BB379" s="1">
        <v>22.0</v>
      </c>
      <c r="BC379" s="1">
        <v>33.0</v>
      </c>
      <c r="BD379" s="1" t="s">
        <v>74</v>
      </c>
      <c r="BE379" s="1" t="s">
        <v>3776</v>
      </c>
      <c r="BF379" s="2" t="str">
        <f>HYPERLINK("http://dx.doi.org/10.1016/j.cam.2005.03.049","http://dx.doi.org/10.1016/j.cam.2005.03.049")</f>
        <v>http://dx.doi.org/10.1016/j.cam.2005.03.049</v>
      </c>
      <c r="BG379" s="1" t="s">
        <v>74</v>
      </c>
      <c r="BH379" s="1" t="s">
        <v>74</v>
      </c>
      <c r="BI379" s="1" t="s">
        <v>74</v>
      </c>
      <c r="BJ379" s="1" t="s">
        <v>74</v>
      </c>
      <c r="BK379" s="1" t="s">
        <v>74</v>
      </c>
      <c r="BL379" s="1" t="s">
        <v>74</v>
      </c>
      <c r="BM379" s="1" t="s">
        <v>74</v>
      </c>
      <c r="BN379" s="1" t="s">
        <v>74</v>
      </c>
      <c r="BO379" s="1" t="s">
        <v>74</v>
      </c>
      <c r="BP379" s="1" t="s">
        <v>74</v>
      </c>
      <c r="BQ379" s="1" t="s">
        <v>74</v>
      </c>
      <c r="BR379" s="1" t="s">
        <v>74</v>
      </c>
      <c r="BS379" s="1" t="s">
        <v>3777</v>
      </c>
      <c r="BT379" s="1" t="str">
        <f>HYPERLINK("https%3A%2F%2Fwww.webofscience.com%2Fwos%2Fwoscc%2Ffull-record%2FWOS:000235816600003","View Full Record in Web of Science")</f>
        <v>View Full Record in Web of Science</v>
      </c>
    </row>
    <row r="380" ht="12.75" customHeight="1">
      <c r="A380" s="1" t="s">
        <v>72</v>
      </c>
      <c r="B380" s="1" t="s">
        <v>3778</v>
      </c>
      <c r="C380" s="1" t="s">
        <v>74</v>
      </c>
      <c r="D380" s="1" t="s">
        <v>74</v>
      </c>
      <c r="E380" s="1" t="s">
        <v>74</v>
      </c>
      <c r="F380" s="1" t="s">
        <v>3778</v>
      </c>
      <c r="G380" s="1" t="s">
        <v>74</v>
      </c>
      <c r="H380" s="1" t="s">
        <v>74</v>
      </c>
      <c r="I380" s="1" t="s">
        <v>3779</v>
      </c>
      <c r="J380" s="1" t="s">
        <v>3780</v>
      </c>
      <c r="K380" s="1" t="s">
        <v>74</v>
      </c>
      <c r="L380" s="1" t="s">
        <v>74</v>
      </c>
      <c r="M380" s="1" t="s">
        <v>74</v>
      </c>
      <c r="N380" s="1" t="s">
        <v>74</v>
      </c>
      <c r="O380" s="1" t="s">
        <v>74</v>
      </c>
      <c r="P380" s="1" t="s">
        <v>74</v>
      </c>
      <c r="Q380" s="1" t="s">
        <v>74</v>
      </c>
      <c r="R380" s="1" t="s">
        <v>74</v>
      </c>
      <c r="S380" s="1" t="s">
        <v>74</v>
      </c>
      <c r="T380" s="1" t="s">
        <v>74</v>
      </c>
      <c r="U380" s="1" t="s">
        <v>74</v>
      </c>
      <c r="V380" s="1" t="s">
        <v>3781</v>
      </c>
      <c r="W380" s="1" t="s">
        <v>74</v>
      </c>
      <c r="X380" s="1" t="s">
        <v>74</v>
      </c>
      <c r="Y380" s="1" t="s">
        <v>74</v>
      </c>
      <c r="Z380" s="1" t="s">
        <v>74</v>
      </c>
      <c r="AA380" s="1" t="s">
        <v>3782</v>
      </c>
      <c r="AB380" s="1" t="s">
        <v>3783</v>
      </c>
      <c r="AC380" s="1" t="s">
        <v>74</v>
      </c>
      <c r="AD380" s="1" t="s">
        <v>74</v>
      </c>
      <c r="AE380" s="1" t="s">
        <v>74</v>
      </c>
      <c r="AF380" s="1" t="s">
        <v>74</v>
      </c>
      <c r="AG380" s="1" t="s">
        <v>74</v>
      </c>
      <c r="AH380" s="1" t="s">
        <v>74</v>
      </c>
      <c r="AI380" s="1" t="s">
        <v>74</v>
      </c>
      <c r="AJ380" s="1" t="s">
        <v>74</v>
      </c>
      <c r="AK380" s="1" t="s">
        <v>74</v>
      </c>
      <c r="AL380" s="1" t="s">
        <v>74</v>
      </c>
      <c r="AM380" s="1" t="s">
        <v>74</v>
      </c>
      <c r="AN380" s="1" t="s">
        <v>74</v>
      </c>
      <c r="AO380" s="1" t="s">
        <v>3784</v>
      </c>
      <c r="AP380" s="1" t="s">
        <v>74</v>
      </c>
      <c r="AQ380" s="1" t="s">
        <v>74</v>
      </c>
      <c r="AR380" s="1" t="s">
        <v>74</v>
      </c>
      <c r="AS380" s="1" t="s">
        <v>74</v>
      </c>
      <c r="AT380" s="1" t="s">
        <v>3785</v>
      </c>
      <c r="AU380" s="1">
        <v>2004.0</v>
      </c>
      <c r="AV380" s="1">
        <v>52.0</v>
      </c>
      <c r="AW380" s="1">
        <v>2.0</v>
      </c>
      <c r="AX380" s="1" t="s">
        <v>74</v>
      </c>
      <c r="AY380" s="1" t="s">
        <v>74</v>
      </c>
      <c r="AZ380" s="1" t="s">
        <v>74</v>
      </c>
      <c r="BA380" s="1" t="s">
        <v>74</v>
      </c>
      <c r="BB380" s="1">
        <v>259.0</v>
      </c>
      <c r="BC380" s="1">
        <v>266.0</v>
      </c>
      <c r="BD380" s="1" t="s">
        <v>74</v>
      </c>
      <c r="BE380" s="1" t="s">
        <v>74</v>
      </c>
      <c r="BF380" s="1" t="s">
        <v>74</v>
      </c>
      <c r="BG380" s="1" t="s">
        <v>74</v>
      </c>
      <c r="BH380" s="1" t="s">
        <v>74</v>
      </c>
      <c r="BI380" s="1" t="s">
        <v>74</v>
      </c>
      <c r="BJ380" s="1" t="s">
        <v>74</v>
      </c>
      <c r="BK380" s="1" t="s">
        <v>74</v>
      </c>
      <c r="BL380" s="1" t="s">
        <v>74</v>
      </c>
      <c r="BM380" s="1" t="s">
        <v>74</v>
      </c>
      <c r="BN380" s="1" t="s">
        <v>74</v>
      </c>
      <c r="BO380" s="1" t="s">
        <v>74</v>
      </c>
      <c r="BP380" s="1" t="s">
        <v>74</v>
      </c>
      <c r="BQ380" s="1" t="s">
        <v>74</v>
      </c>
      <c r="BR380" s="1" t="s">
        <v>74</v>
      </c>
      <c r="BS380" s="1" t="s">
        <v>3786</v>
      </c>
      <c r="BT380" s="1" t="str">
        <f>HYPERLINK("https%3A%2F%2Fwww.webofscience.com%2Fwos%2Fwoscc%2Ffull-record%2FWOS:000227462600003","View Full Record in Web of Science")</f>
        <v>View Full Record in Web of Science</v>
      </c>
    </row>
    <row r="381" ht="12.75" customHeight="1">
      <c r="A381" s="1" t="s">
        <v>72</v>
      </c>
      <c r="B381" s="1" t="s">
        <v>3787</v>
      </c>
      <c r="C381" s="1" t="s">
        <v>74</v>
      </c>
      <c r="D381" s="1" t="s">
        <v>74</v>
      </c>
      <c r="E381" s="1" t="s">
        <v>74</v>
      </c>
      <c r="F381" s="1" t="s">
        <v>3787</v>
      </c>
      <c r="G381" s="1" t="s">
        <v>74</v>
      </c>
      <c r="H381" s="1" t="s">
        <v>74</v>
      </c>
      <c r="I381" s="1" t="s">
        <v>3788</v>
      </c>
      <c r="J381" s="1" t="s">
        <v>3079</v>
      </c>
      <c r="K381" s="1" t="s">
        <v>74</v>
      </c>
      <c r="L381" s="1" t="s">
        <v>74</v>
      </c>
      <c r="M381" s="1" t="s">
        <v>74</v>
      </c>
      <c r="N381" s="1" t="s">
        <v>74</v>
      </c>
      <c r="O381" s="1" t="s">
        <v>74</v>
      </c>
      <c r="P381" s="1" t="s">
        <v>74</v>
      </c>
      <c r="Q381" s="1" t="s">
        <v>74</v>
      </c>
      <c r="R381" s="1" t="s">
        <v>74</v>
      </c>
      <c r="S381" s="1" t="s">
        <v>74</v>
      </c>
      <c r="T381" s="1" t="s">
        <v>74</v>
      </c>
      <c r="U381" s="1" t="s">
        <v>74</v>
      </c>
      <c r="V381" s="1" t="s">
        <v>3789</v>
      </c>
      <c r="W381" s="1" t="s">
        <v>74</v>
      </c>
      <c r="X381" s="1" t="s">
        <v>74</v>
      </c>
      <c r="Y381" s="1" t="s">
        <v>74</v>
      </c>
      <c r="Z381" s="1" t="s">
        <v>74</v>
      </c>
      <c r="AA381" s="1" t="s">
        <v>3790</v>
      </c>
      <c r="AB381" s="1" t="s">
        <v>3791</v>
      </c>
      <c r="AC381" s="1" t="s">
        <v>74</v>
      </c>
      <c r="AD381" s="1" t="s">
        <v>74</v>
      </c>
      <c r="AE381" s="1" t="s">
        <v>74</v>
      </c>
      <c r="AF381" s="1" t="s">
        <v>74</v>
      </c>
      <c r="AG381" s="1" t="s">
        <v>74</v>
      </c>
      <c r="AH381" s="1" t="s">
        <v>74</v>
      </c>
      <c r="AI381" s="1" t="s">
        <v>74</v>
      </c>
      <c r="AJ381" s="1" t="s">
        <v>74</v>
      </c>
      <c r="AK381" s="1" t="s">
        <v>74</v>
      </c>
      <c r="AL381" s="1" t="s">
        <v>74</v>
      </c>
      <c r="AM381" s="1" t="s">
        <v>74</v>
      </c>
      <c r="AN381" s="1" t="s">
        <v>74</v>
      </c>
      <c r="AO381" s="1" t="s">
        <v>3083</v>
      </c>
      <c r="AP381" s="1" t="s">
        <v>3084</v>
      </c>
      <c r="AQ381" s="1" t="s">
        <v>74</v>
      </c>
      <c r="AR381" s="1" t="s">
        <v>74</v>
      </c>
      <c r="AS381" s="1" t="s">
        <v>74</v>
      </c>
      <c r="AT381" s="1" t="s">
        <v>180</v>
      </c>
      <c r="AU381" s="1">
        <v>2002.0</v>
      </c>
      <c r="AV381" s="1">
        <v>65.0</v>
      </c>
      <c r="AW381" s="1">
        <v>5.0</v>
      </c>
      <c r="AX381" s="1" t="s">
        <v>3792</v>
      </c>
      <c r="AY381" s="1" t="s">
        <v>74</v>
      </c>
      <c r="AZ381" s="1" t="s">
        <v>74</v>
      </c>
      <c r="BA381" s="1" t="s">
        <v>74</v>
      </c>
      <c r="BB381" s="1" t="s">
        <v>74</v>
      </c>
      <c r="BC381" s="1" t="s">
        <v>74</v>
      </c>
      <c r="BD381" s="1">
        <v>52319.0</v>
      </c>
      <c r="BE381" s="1" t="s">
        <v>3793</v>
      </c>
      <c r="BF381" s="2" t="str">
        <f>HYPERLINK("http://dx.doi.org/10.1103/PhysRevA.65.052319","http://dx.doi.org/10.1103/PhysRevA.65.052319")</f>
        <v>http://dx.doi.org/10.1103/PhysRevA.65.052319</v>
      </c>
      <c r="BG381" s="1" t="s">
        <v>74</v>
      </c>
      <c r="BH381" s="1" t="s">
        <v>74</v>
      </c>
      <c r="BI381" s="1" t="s">
        <v>74</v>
      </c>
      <c r="BJ381" s="1" t="s">
        <v>74</v>
      </c>
      <c r="BK381" s="1" t="s">
        <v>74</v>
      </c>
      <c r="BL381" s="1" t="s">
        <v>74</v>
      </c>
      <c r="BM381" s="1" t="s">
        <v>74</v>
      </c>
      <c r="BN381" s="1" t="s">
        <v>74</v>
      </c>
      <c r="BO381" s="1" t="s">
        <v>74</v>
      </c>
      <c r="BP381" s="1" t="s">
        <v>74</v>
      </c>
      <c r="BQ381" s="1" t="s">
        <v>74</v>
      </c>
      <c r="BR381" s="1" t="s">
        <v>74</v>
      </c>
      <c r="BS381" s="1" t="s">
        <v>3794</v>
      </c>
      <c r="BT381" s="1" t="str">
        <f>HYPERLINK("https%3A%2F%2Fwww.webofscience.com%2Fwos%2Fwoscc%2Ffull-record%2FWOS:000175743800059","View Full Record in Web of Science")</f>
        <v>View Full Record in Web of Science</v>
      </c>
    </row>
    <row r="382" ht="12.75" customHeight="1">
      <c r="A382" s="1" t="s">
        <v>72</v>
      </c>
      <c r="B382" s="1" t="s">
        <v>3795</v>
      </c>
      <c r="C382" s="1" t="s">
        <v>74</v>
      </c>
      <c r="D382" s="1" t="s">
        <v>74</v>
      </c>
      <c r="E382" s="1" t="s">
        <v>74</v>
      </c>
      <c r="F382" s="1" t="s">
        <v>3795</v>
      </c>
      <c r="G382" s="1" t="s">
        <v>74</v>
      </c>
      <c r="H382" s="1" t="s">
        <v>74</v>
      </c>
      <c r="I382" s="1" t="s">
        <v>3796</v>
      </c>
      <c r="J382" s="1" t="s">
        <v>3797</v>
      </c>
      <c r="K382" s="1" t="s">
        <v>74</v>
      </c>
      <c r="L382" s="1" t="s">
        <v>74</v>
      </c>
      <c r="M382" s="1" t="s">
        <v>74</v>
      </c>
      <c r="N382" s="1" t="s">
        <v>74</v>
      </c>
      <c r="O382" s="1" t="s">
        <v>74</v>
      </c>
      <c r="P382" s="1" t="s">
        <v>74</v>
      </c>
      <c r="Q382" s="1" t="s">
        <v>74</v>
      </c>
      <c r="R382" s="1" t="s">
        <v>74</v>
      </c>
      <c r="S382" s="1" t="s">
        <v>74</v>
      </c>
      <c r="T382" s="1" t="s">
        <v>74</v>
      </c>
      <c r="U382" s="1" t="s">
        <v>74</v>
      </c>
      <c r="V382" s="1" t="s">
        <v>3798</v>
      </c>
      <c r="W382" s="1" t="s">
        <v>74</v>
      </c>
      <c r="X382" s="1" t="s">
        <v>74</v>
      </c>
      <c r="Y382" s="1" t="s">
        <v>74</v>
      </c>
      <c r="Z382" s="1" t="s">
        <v>74</v>
      </c>
      <c r="AA382" s="1" t="s">
        <v>3799</v>
      </c>
      <c r="AB382" s="1" t="s">
        <v>3800</v>
      </c>
      <c r="AC382" s="1" t="s">
        <v>74</v>
      </c>
      <c r="AD382" s="1" t="s">
        <v>74</v>
      </c>
      <c r="AE382" s="1" t="s">
        <v>74</v>
      </c>
      <c r="AF382" s="1" t="s">
        <v>74</v>
      </c>
      <c r="AG382" s="1" t="s">
        <v>74</v>
      </c>
      <c r="AH382" s="1" t="s">
        <v>74</v>
      </c>
      <c r="AI382" s="1" t="s">
        <v>74</v>
      </c>
      <c r="AJ382" s="1" t="s">
        <v>74</v>
      </c>
      <c r="AK382" s="1" t="s">
        <v>74</v>
      </c>
      <c r="AL382" s="1" t="s">
        <v>74</v>
      </c>
      <c r="AM382" s="1" t="s">
        <v>74</v>
      </c>
      <c r="AN382" s="1" t="s">
        <v>74</v>
      </c>
      <c r="AO382" s="1" t="s">
        <v>3801</v>
      </c>
      <c r="AP382" s="1" t="s">
        <v>74</v>
      </c>
      <c r="AQ382" s="1" t="s">
        <v>74</v>
      </c>
      <c r="AR382" s="1" t="s">
        <v>74</v>
      </c>
      <c r="AS382" s="1" t="s">
        <v>74</v>
      </c>
      <c r="AT382" s="1" t="s">
        <v>74</v>
      </c>
      <c r="AU382" s="1">
        <v>2001.0</v>
      </c>
      <c r="AV382" s="1">
        <v>31.0</v>
      </c>
      <c r="AW382" s="1">
        <v>12.0</v>
      </c>
      <c r="AX382" s="1" t="s">
        <v>74</v>
      </c>
      <c r="AY382" s="1" t="s">
        <v>74</v>
      </c>
      <c r="AZ382" s="1" t="s">
        <v>74</v>
      </c>
      <c r="BA382" s="1" t="s">
        <v>74</v>
      </c>
      <c r="BB382" s="1">
        <v>1933.0</v>
      </c>
      <c r="BC382" s="1">
        <v>1940.0</v>
      </c>
      <c r="BD382" s="1" t="s">
        <v>74</v>
      </c>
      <c r="BE382" s="1" t="s">
        <v>3802</v>
      </c>
      <c r="BF382" s="2" t="str">
        <f>HYPERLINK("http://dx.doi.org/10.1081/SCC-100104346","http://dx.doi.org/10.1081/SCC-100104346")</f>
        <v>http://dx.doi.org/10.1081/SCC-100104346</v>
      </c>
      <c r="BG382" s="1" t="s">
        <v>74</v>
      </c>
      <c r="BH382" s="1" t="s">
        <v>74</v>
      </c>
      <c r="BI382" s="1" t="s">
        <v>74</v>
      </c>
      <c r="BJ382" s="1" t="s">
        <v>74</v>
      </c>
      <c r="BK382" s="1" t="s">
        <v>74</v>
      </c>
      <c r="BL382" s="1" t="s">
        <v>74</v>
      </c>
      <c r="BM382" s="1" t="s">
        <v>74</v>
      </c>
      <c r="BN382" s="1" t="s">
        <v>74</v>
      </c>
      <c r="BO382" s="1" t="s">
        <v>74</v>
      </c>
      <c r="BP382" s="1" t="s">
        <v>74</v>
      </c>
      <c r="BQ382" s="1" t="s">
        <v>74</v>
      </c>
      <c r="BR382" s="1" t="s">
        <v>74</v>
      </c>
      <c r="BS382" s="1" t="s">
        <v>3803</v>
      </c>
      <c r="BT382" s="1" t="str">
        <f>HYPERLINK("https%3A%2F%2Fwww.webofscience.com%2Fwos%2Fwoscc%2Ffull-record%2FWOS:000170087700022","View Full Record in Web of Science")</f>
        <v>View Full Record in Web of Science</v>
      </c>
    </row>
    <row r="383" ht="12.75" customHeight="1">
      <c r="A383" s="1" t="s">
        <v>72</v>
      </c>
      <c r="B383" s="1" t="s">
        <v>3804</v>
      </c>
      <c r="C383" s="1" t="s">
        <v>74</v>
      </c>
      <c r="D383" s="1" t="s">
        <v>74</v>
      </c>
      <c r="E383" s="1" t="s">
        <v>74</v>
      </c>
      <c r="F383" s="1" t="s">
        <v>3804</v>
      </c>
      <c r="G383" s="1" t="s">
        <v>74</v>
      </c>
      <c r="H383" s="1" t="s">
        <v>74</v>
      </c>
      <c r="I383" s="1" t="s">
        <v>3805</v>
      </c>
      <c r="J383" s="1" t="s">
        <v>3806</v>
      </c>
      <c r="K383" s="1" t="s">
        <v>74</v>
      </c>
      <c r="L383" s="1" t="s">
        <v>74</v>
      </c>
      <c r="M383" s="1" t="s">
        <v>74</v>
      </c>
      <c r="N383" s="1" t="s">
        <v>74</v>
      </c>
      <c r="O383" s="1" t="s">
        <v>74</v>
      </c>
      <c r="P383" s="1" t="s">
        <v>74</v>
      </c>
      <c r="Q383" s="1" t="s">
        <v>74</v>
      </c>
      <c r="R383" s="1" t="s">
        <v>74</v>
      </c>
      <c r="S383" s="1" t="s">
        <v>74</v>
      </c>
      <c r="T383" s="1" t="s">
        <v>74</v>
      </c>
      <c r="U383" s="1" t="s">
        <v>74</v>
      </c>
      <c r="V383" s="1" t="s">
        <v>3807</v>
      </c>
      <c r="W383" s="1" t="s">
        <v>74</v>
      </c>
      <c r="X383" s="1" t="s">
        <v>74</v>
      </c>
      <c r="Y383" s="1" t="s">
        <v>74</v>
      </c>
      <c r="Z383" s="1" t="s">
        <v>74</v>
      </c>
      <c r="AA383" s="1" t="s">
        <v>3808</v>
      </c>
      <c r="AB383" s="1" t="s">
        <v>3809</v>
      </c>
      <c r="AC383" s="1" t="s">
        <v>74</v>
      </c>
      <c r="AD383" s="1" t="s">
        <v>74</v>
      </c>
      <c r="AE383" s="1" t="s">
        <v>74</v>
      </c>
      <c r="AF383" s="1" t="s">
        <v>74</v>
      </c>
      <c r="AG383" s="1" t="s">
        <v>74</v>
      </c>
      <c r="AH383" s="1" t="s">
        <v>74</v>
      </c>
      <c r="AI383" s="1" t="s">
        <v>74</v>
      </c>
      <c r="AJ383" s="1" t="s">
        <v>74</v>
      </c>
      <c r="AK383" s="1" t="s">
        <v>74</v>
      </c>
      <c r="AL383" s="1" t="s">
        <v>74</v>
      </c>
      <c r="AM383" s="1" t="s">
        <v>74</v>
      </c>
      <c r="AN383" s="1" t="s">
        <v>74</v>
      </c>
      <c r="AO383" s="1" t="s">
        <v>3810</v>
      </c>
      <c r="AP383" s="1" t="s">
        <v>74</v>
      </c>
      <c r="AQ383" s="1" t="s">
        <v>74</v>
      </c>
      <c r="AR383" s="1" t="s">
        <v>74</v>
      </c>
      <c r="AS383" s="1" t="s">
        <v>74</v>
      </c>
      <c r="AT383" s="1" t="s">
        <v>360</v>
      </c>
      <c r="AU383" s="1">
        <v>1997.0</v>
      </c>
      <c r="AV383" s="1">
        <v>48.0</v>
      </c>
      <c r="AW383" s="1">
        <v>2.0</v>
      </c>
      <c r="AX383" s="1" t="s">
        <v>74</v>
      </c>
      <c r="AY383" s="1" t="s">
        <v>74</v>
      </c>
      <c r="AZ383" s="1" t="s">
        <v>74</v>
      </c>
      <c r="BA383" s="1" t="s">
        <v>74</v>
      </c>
      <c r="BB383" s="1">
        <v>161.0</v>
      </c>
      <c r="BC383" s="1">
        <v>164.0</v>
      </c>
      <c r="BD383" s="1" t="s">
        <v>74</v>
      </c>
      <c r="BE383" s="1" t="s">
        <v>3811</v>
      </c>
      <c r="BF383" s="2" t="str">
        <f>HYPERLINK("http://dx.doi.org/10.1016/S0042-207X(96)00249-7","http://dx.doi.org/10.1016/S0042-207X(96)00249-7")</f>
        <v>http://dx.doi.org/10.1016/S0042-207X(96)00249-7</v>
      </c>
      <c r="BG383" s="1" t="s">
        <v>74</v>
      </c>
      <c r="BH383" s="1" t="s">
        <v>74</v>
      </c>
      <c r="BI383" s="1" t="s">
        <v>74</v>
      </c>
      <c r="BJ383" s="1" t="s">
        <v>74</v>
      </c>
      <c r="BK383" s="1" t="s">
        <v>74</v>
      </c>
      <c r="BL383" s="1" t="s">
        <v>74</v>
      </c>
      <c r="BM383" s="1" t="s">
        <v>74</v>
      </c>
      <c r="BN383" s="1" t="s">
        <v>74</v>
      </c>
      <c r="BO383" s="1" t="s">
        <v>74</v>
      </c>
      <c r="BP383" s="1" t="s">
        <v>74</v>
      </c>
      <c r="BQ383" s="1" t="s">
        <v>74</v>
      </c>
      <c r="BR383" s="1" t="s">
        <v>74</v>
      </c>
      <c r="BS383" s="1" t="s">
        <v>3812</v>
      </c>
      <c r="BT383" s="1" t="str">
        <f>HYPERLINK("https%3A%2F%2Fwww.webofscience.com%2Fwos%2Fwoscc%2Ffull-record%2FWOS:A1997WH19000010","View Full Record in Web of Science")</f>
        <v>View Full Record in Web of Science</v>
      </c>
    </row>
    <row r="384" ht="12.75" customHeight="1">
      <c r="A384" s="1" t="s">
        <v>72</v>
      </c>
      <c r="B384" s="1" t="s">
        <v>3813</v>
      </c>
      <c r="C384" s="1" t="s">
        <v>74</v>
      </c>
      <c r="D384" s="1" t="s">
        <v>74</v>
      </c>
      <c r="E384" s="1" t="s">
        <v>74</v>
      </c>
      <c r="F384" s="1" t="s">
        <v>3813</v>
      </c>
      <c r="G384" s="1" t="s">
        <v>74</v>
      </c>
      <c r="H384" s="1" t="s">
        <v>74</v>
      </c>
      <c r="I384" s="1" t="s">
        <v>3814</v>
      </c>
      <c r="J384" s="1" t="s">
        <v>3815</v>
      </c>
      <c r="K384" s="1" t="s">
        <v>74</v>
      </c>
      <c r="L384" s="1" t="s">
        <v>74</v>
      </c>
      <c r="M384" s="1" t="s">
        <v>74</v>
      </c>
      <c r="N384" s="1" t="s">
        <v>74</v>
      </c>
      <c r="O384" s="1" t="s">
        <v>74</v>
      </c>
      <c r="P384" s="1" t="s">
        <v>74</v>
      </c>
      <c r="Q384" s="1" t="s">
        <v>74</v>
      </c>
      <c r="R384" s="1" t="s">
        <v>74</v>
      </c>
      <c r="S384" s="1" t="s">
        <v>74</v>
      </c>
      <c r="T384" s="1" t="s">
        <v>74</v>
      </c>
      <c r="U384" s="1" t="s">
        <v>74</v>
      </c>
      <c r="V384" s="1" t="s">
        <v>3816</v>
      </c>
      <c r="W384" s="1" t="s">
        <v>74</v>
      </c>
      <c r="X384" s="1" t="s">
        <v>74</v>
      </c>
      <c r="Y384" s="1" t="s">
        <v>74</v>
      </c>
      <c r="Z384" s="1" t="s">
        <v>74</v>
      </c>
      <c r="AA384" s="1" t="s">
        <v>74</v>
      </c>
      <c r="AB384" s="1" t="s">
        <v>74</v>
      </c>
      <c r="AC384" s="1" t="s">
        <v>74</v>
      </c>
      <c r="AD384" s="1" t="s">
        <v>74</v>
      </c>
      <c r="AE384" s="1" t="s">
        <v>74</v>
      </c>
      <c r="AF384" s="1" t="s">
        <v>74</v>
      </c>
      <c r="AG384" s="1" t="s">
        <v>74</v>
      </c>
      <c r="AH384" s="1" t="s">
        <v>74</v>
      </c>
      <c r="AI384" s="1" t="s">
        <v>74</v>
      </c>
      <c r="AJ384" s="1" t="s">
        <v>74</v>
      </c>
      <c r="AK384" s="1" t="s">
        <v>74</v>
      </c>
      <c r="AL384" s="1" t="s">
        <v>74</v>
      </c>
      <c r="AM384" s="1" t="s">
        <v>74</v>
      </c>
      <c r="AN384" s="1" t="s">
        <v>74</v>
      </c>
      <c r="AO384" s="1" t="s">
        <v>3817</v>
      </c>
      <c r="AP384" s="1" t="s">
        <v>74</v>
      </c>
      <c r="AQ384" s="1" t="s">
        <v>74</v>
      </c>
      <c r="AR384" s="1" t="s">
        <v>74</v>
      </c>
      <c r="AS384" s="1" t="s">
        <v>74</v>
      </c>
      <c r="AT384" s="1" t="s">
        <v>3818</v>
      </c>
      <c r="AU384" s="1">
        <v>1996.0</v>
      </c>
      <c r="AV384" s="1">
        <v>321.0</v>
      </c>
      <c r="AW384" s="1">
        <v>1.0</v>
      </c>
      <c r="AX384" s="1" t="s">
        <v>74</v>
      </c>
      <c r="AY384" s="1" t="s">
        <v>74</v>
      </c>
      <c r="AZ384" s="1" t="s">
        <v>74</v>
      </c>
      <c r="BA384" s="1" t="s">
        <v>74</v>
      </c>
      <c r="BB384" s="1">
        <v>77.0</v>
      </c>
      <c r="BC384" s="1">
        <v>81.0</v>
      </c>
      <c r="BD384" s="1" t="s">
        <v>74</v>
      </c>
      <c r="BE384" s="1" t="s">
        <v>3819</v>
      </c>
      <c r="BF384" s="2" t="str">
        <f>HYPERLINK("http://dx.doi.org/10.1007/BF00018679","http://dx.doi.org/10.1007/BF00018679")</f>
        <v>http://dx.doi.org/10.1007/BF00018679</v>
      </c>
      <c r="BG384" s="1" t="s">
        <v>74</v>
      </c>
      <c r="BH384" s="1" t="s">
        <v>74</v>
      </c>
      <c r="BI384" s="1" t="s">
        <v>74</v>
      </c>
      <c r="BJ384" s="1" t="s">
        <v>74</v>
      </c>
      <c r="BK384" s="1" t="s">
        <v>74</v>
      </c>
      <c r="BL384" s="1" t="s">
        <v>74</v>
      </c>
      <c r="BM384" s="1" t="s">
        <v>74</v>
      </c>
      <c r="BN384" s="1" t="s">
        <v>74</v>
      </c>
      <c r="BO384" s="1" t="s">
        <v>74</v>
      </c>
      <c r="BP384" s="1" t="s">
        <v>74</v>
      </c>
      <c r="BQ384" s="1" t="s">
        <v>74</v>
      </c>
      <c r="BR384" s="1" t="s">
        <v>74</v>
      </c>
      <c r="BS384" s="1" t="s">
        <v>3820</v>
      </c>
      <c r="BT384" s="1" t="str">
        <f>HYPERLINK("https%3A%2F%2Fwww.webofscience.com%2Fwos%2Fwoscc%2Ffull-record%2FWOS:A1996UF88300009","View Full Record in Web of Science")</f>
        <v>View Full Record in Web of Science</v>
      </c>
    </row>
    <row r="385" ht="12.75" customHeight="1">
      <c r="A385" s="1" t="s">
        <v>72</v>
      </c>
      <c r="B385" s="1" t="s">
        <v>3821</v>
      </c>
      <c r="C385" s="1" t="s">
        <v>74</v>
      </c>
      <c r="D385" s="1" t="s">
        <v>74</v>
      </c>
      <c r="E385" s="1" t="s">
        <v>74</v>
      </c>
      <c r="F385" s="1" t="s">
        <v>3821</v>
      </c>
      <c r="G385" s="1" t="s">
        <v>74</v>
      </c>
      <c r="H385" s="1" t="s">
        <v>74</v>
      </c>
      <c r="I385" s="1" t="s">
        <v>3822</v>
      </c>
      <c r="J385" s="1" t="s">
        <v>2682</v>
      </c>
      <c r="K385" s="1" t="s">
        <v>74</v>
      </c>
      <c r="L385" s="1" t="s">
        <v>74</v>
      </c>
      <c r="M385" s="1" t="s">
        <v>74</v>
      </c>
      <c r="N385" s="1" t="s">
        <v>74</v>
      </c>
      <c r="O385" s="1" t="s">
        <v>74</v>
      </c>
      <c r="P385" s="1" t="s">
        <v>74</v>
      </c>
      <c r="Q385" s="1" t="s">
        <v>74</v>
      </c>
      <c r="R385" s="1" t="s">
        <v>74</v>
      </c>
      <c r="S385" s="1" t="s">
        <v>74</v>
      </c>
      <c r="T385" s="1" t="s">
        <v>74</v>
      </c>
      <c r="U385" s="1" t="s">
        <v>74</v>
      </c>
      <c r="V385" s="1" t="s">
        <v>3823</v>
      </c>
      <c r="W385" s="1" t="s">
        <v>74</v>
      </c>
      <c r="X385" s="1" t="s">
        <v>74</v>
      </c>
      <c r="Y385" s="1" t="s">
        <v>74</v>
      </c>
      <c r="Z385" s="1" t="s">
        <v>74</v>
      </c>
      <c r="AA385" s="1" t="s">
        <v>3824</v>
      </c>
      <c r="AB385" s="1" t="s">
        <v>3825</v>
      </c>
      <c r="AC385" s="1" t="s">
        <v>74</v>
      </c>
      <c r="AD385" s="1" t="s">
        <v>74</v>
      </c>
      <c r="AE385" s="1" t="s">
        <v>74</v>
      </c>
      <c r="AF385" s="1" t="s">
        <v>74</v>
      </c>
      <c r="AG385" s="1" t="s">
        <v>74</v>
      </c>
      <c r="AH385" s="1" t="s">
        <v>74</v>
      </c>
      <c r="AI385" s="1" t="s">
        <v>74</v>
      </c>
      <c r="AJ385" s="1" t="s">
        <v>74</v>
      </c>
      <c r="AK385" s="1" t="s">
        <v>74</v>
      </c>
      <c r="AL385" s="1" t="s">
        <v>74</v>
      </c>
      <c r="AM385" s="1" t="s">
        <v>74</v>
      </c>
      <c r="AN385" s="1" t="s">
        <v>74</v>
      </c>
      <c r="AO385" s="1" t="s">
        <v>2686</v>
      </c>
      <c r="AP385" s="1" t="s">
        <v>2687</v>
      </c>
      <c r="AQ385" s="1" t="s">
        <v>74</v>
      </c>
      <c r="AR385" s="1" t="s">
        <v>74</v>
      </c>
      <c r="AS385" s="1" t="s">
        <v>74</v>
      </c>
      <c r="AT385" s="1" t="s">
        <v>360</v>
      </c>
      <c r="AU385" s="1">
        <v>1996.0</v>
      </c>
      <c r="AV385" s="1">
        <v>65.0</v>
      </c>
      <c r="AW385" s="1">
        <v>2.0</v>
      </c>
      <c r="AX385" s="1" t="s">
        <v>74</v>
      </c>
      <c r="AY385" s="1" t="s">
        <v>74</v>
      </c>
      <c r="AZ385" s="1" t="s">
        <v>74</v>
      </c>
      <c r="BA385" s="1" t="s">
        <v>74</v>
      </c>
      <c r="BB385" s="1">
        <v>193.0</v>
      </c>
      <c r="BC385" s="1">
        <v>199.0</v>
      </c>
      <c r="BD385" s="1" t="s">
        <v>74</v>
      </c>
      <c r="BE385" s="1" t="s">
        <v>3826</v>
      </c>
      <c r="BF385" s="2" t="str">
        <f>HYPERLINK("http://dx.doi.org/10.1002/(SICI)1097-4660(199602)65:2&lt;193::AID-JCTB398&gt;3.0.CO;2-T","http://dx.doi.org/10.1002/(SICI)1097-4660(199602)65:2&lt;193::AID-JCTB398&gt;3.0.CO;2-T")</f>
        <v>http://dx.doi.org/10.1002/(SICI)1097-4660(199602)65:2&lt;193::AID-JCTB398&gt;3.0.CO;2-T</v>
      </c>
      <c r="BG385" s="1" t="s">
        <v>74</v>
      </c>
      <c r="BH385" s="1" t="s">
        <v>74</v>
      </c>
      <c r="BI385" s="1" t="s">
        <v>74</v>
      </c>
      <c r="BJ385" s="1" t="s">
        <v>74</v>
      </c>
      <c r="BK385" s="1" t="s">
        <v>74</v>
      </c>
      <c r="BL385" s="1" t="s">
        <v>74</v>
      </c>
      <c r="BM385" s="1" t="s">
        <v>74</v>
      </c>
      <c r="BN385" s="1" t="s">
        <v>74</v>
      </c>
      <c r="BO385" s="1" t="s">
        <v>74</v>
      </c>
      <c r="BP385" s="1" t="s">
        <v>74</v>
      </c>
      <c r="BQ385" s="1" t="s">
        <v>74</v>
      </c>
      <c r="BR385" s="1" t="s">
        <v>74</v>
      </c>
      <c r="BS385" s="1" t="s">
        <v>3827</v>
      </c>
      <c r="BT385" s="1" t="str">
        <f>HYPERLINK("https%3A%2F%2Fwww.webofscience.com%2Fwos%2Fwoscc%2Ffull-record%2FWOS:A1996TV53000013","View Full Record in Web of Science")</f>
        <v>View Full Record in Web of Science</v>
      </c>
    </row>
    <row r="386" ht="12.75" customHeight="1">
      <c r="A386" s="1" t="s">
        <v>72</v>
      </c>
      <c r="B386" s="1" t="s">
        <v>3828</v>
      </c>
      <c r="C386" s="1" t="s">
        <v>74</v>
      </c>
      <c r="D386" s="1" t="s">
        <v>74</v>
      </c>
      <c r="E386" s="1" t="s">
        <v>74</v>
      </c>
      <c r="F386" s="1" t="s">
        <v>3828</v>
      </c>
      <c r="G386" s="1" t="s">
        <v>74</v>
      </c>
      <c r="H386" s="1" t="s">
        <v>74</v>
      </c>
      <c r="I386" s="1" t="s">
        <v>3829</v>
      </c>
      <c r="J386" s="1" t="s">
        <v>3830</v>
      </c>
      <c r="K386" s="1" t="s">
        <v>74</v>
      </c>
      <c r="L386" s="1" t="s">
        <v>74</v>
      </c>
      <c r="M386" s="1" t="s">
        <v>74</v>
      </c>
      <c r="N386" s="1" t="s">
        <v>74</v>
      </c>
      <c r="O386" s="1" t="s">
        <v>74</v>
      </c>
      <c r="P386" s="1" t="s">
        <v>74</v>
      </c>
      <c r="Q386" s="1" t="s">
        <v>74</v>
      </c>
      <c r="R386" s="1" t="s">
        <v>74</v>
      </c>
      <c r="S386" s="1" t="s">
        <v>74</v>
      </c>
      <c r="T386" s="1" t="s">
        <v>74</v>
      </c>
      <c r="U386" s="1" t="s">
        <v>74</v>
      </c>
      <c r="V386" s="1" t="s">
        <v>3831</v>
      </c>
      <c r="W386" s="1" t="s">
        <v>74</v>
      </c>
      <c r="X386" s="1" t="s">
        <v>74</v>
      </c>
      <c r="Y386" s="1" t="s">
        <v>74</v>
      </c>
      <c r="Z386" s="1" t="s">
        <v>74</v>
      </c>
      <c r="AA386" s="1" t="s">
        <v>74</v>
      </c>
      <c r="AB386" s="1" t="s">
        <v>74</v>
      </c>
      <c r="AC386" s="1" t="s">
        <v>74</v>
      </c>
      <c r="AD386" s="1" t="s">
        <v>74</v>
      </c>
      <c r="AE386" s="1" t="s">
        <v>74</v>
      </c>
      <c r="AF386" s="1" t="s">
        <v>74</v>
      </c>
      <c r="AG386" s="1" t="s">
        <v>74</v>
      </c>
      <c r="AH386" s="1" t="s">
        <v>74</v>
      </c>
      <c r="AI386" s="1" t="s">
        <v>74</v>
      </c>
      <c r="AJ386" s="1" t="s">
        <v>74</v>
      </c>
      <c r="AK386" s="1" t="s">
        <v>74</v>
      </c>
      <c r="AL386" s="1" t="s">
        <v>74</v>
      </c>
      <c r="AM386" s="1" t="s">
        <v>74</v>
      </c>
      <c r="AN386" s="1" t="s">
        <v>74</v>
      </c>
      <c r="AO386" s="1" t="s">
        <v>3832</v>
      </c>
      <c r="AP386" s="1" t="s">
        <v>74</v>
      </c>
      <c r="AQ386" s="1" t="s">
        <v>74</v>
      </c>
      <c r="AR386" s="1" t="s">
        <v>74</v>
      </c>
      <c r="AS386" s="1" t="s">
        <v>74</v>
      </c>
      <c r="AT386" s="1" t="s">
        <v>215</v>
      </c>
      <c r="AU386" s="1">
        <v>1993.0</v>
      </c>
      <c r="AV386" s="1">
        <v>204.0</v>
      </c>
      <c r="AW386" s="1">
        <v>2.0</v>
      </c>
      <c r="AX386" s="1" t="s">
        <v>74</v>
      </c>
      <c r="AY386" s="1" t="s">
        <v>74</v>
      </c>
      <c r="AZ386" s="1" t="s">
        <v>74</v>
      </c>
      <c r="BA386" s="1" t="s">
        <v>74</v>
      </c>
      <c r="BB386" s="1">
        <v>175.0</v>
      </c>
      <c r="BC386" s="1">
        <v>179.0</v>
      </c>
      <c r="BD386" s="1" t="s">
        <v>74</v>
      </c>
      <c r="BE386" s="1" t="s">
        <v>3833</v>
      </c>
      <c r="BF386" s="2" t="str">
        <f>HYPERLINK("http://dx.doi.org/10.1007/BF00658021","http://dx.doi.org/10.1007/BF00658021")</f>
        <v>http://dx.doi.org/10.1007/BF00658021</v>
      </c>
      <c r="BG386" s="1" t="s">
        <v>74</v>
      </c>
      <c r="BH386" s="1" t="s">
        <v>74</v>
      </c>
      <c r="BI386" s="1" t="s">
        <v>74</v>
      </c>
      <c r="BJ386" s="1" t="s">
        <v>74</v>
      </c>
      <c r="BK386" s="1" t="s">
        <v>74</v>
      </c>
      <c r="BL386" s="1" t="s">
        <v>74</v>
      </c>
      <c r="BM386" s="1" t="s">
        <v>74</v>
      </c>
      <c r="BN386" s="1" t="s">
        <v>74</v>
      </c>
      <c r="BO386" s="1" t="s">
        <v>74</v>
      </c>
      <c r="BP386" s="1" t="s">
        <v>74</v>
      </c>
      <c r="BQ386" s="1" t="s">
        <v>74</v>
      </c>
      <c r="BR386" s="1" t="s">
        <v>74</v>
      </c>
      <c r="BS386" s="1" t="s">
        <v>3834</v>
      </c>
      <c r="BT386" s="1" t="str">
        <f>HYPERLINK("https%3A%2F%2Fwww.webofscience.com%2Fwos%2Fwoscc%2Ffull-record%2FWOS:A1993LV12800001","View Full Record in Web of Science")</f>
        <v>View Full Record in Web of Science</v>
      </c>
    </row>
    <row r="387" ht="12.75" customHeight="1">
      <c r="A387" s="1" t="s">
        <v>72</v>
      </c>
      <c r="B387" s="1" t="s">
        <v>3835</v>
      </c>
      <c r="C387" s="1" t="s">
        <v>74</v>
      </c>
      <c r="D387" s="1" t="s">
        <v>74</v>
      </c>
      <c r="E387" s="1" t="s">
        <v>74</v>
      </c>
      <c r="F387" s="1" t="s">
        <v>3835</v>
      </c>
      <c r="G387" s="1" t="s">
        <v>74</v>
      </c>
      <c r="H387" s="1" t="s">
        <v>74</v>
      </c>
      <c r="I387" s="1" t="s">
        <v>3836</v>
      </c>
      <c r="J387" s="1" t="s">
        <v>3837</v>
      </c>
      <c r="K387" s="1" t="s">
        <v>74</v>
      </c>
      <c r="L387" s="1" t="s">
        <v>74</v>
      </c>
      <c r="M387" s="1" t="s">
        <v>74</v>
      </c>
      <c r="N387" s="1" t="s">
        <v>74</v>
      </c>
      <c r="O387" s="1" t="s">
        <v>74</v>
      </c>
      <c r="P387" s="1" t="s">
        <v>74</v>
      </c>
      <c r="Q387" s="1" t="s">
        <v>74</v>
      </c>
      <c r="R387" s="1" t="s">
        <v>74</v>
      </c>
      <c r="S387" s="1" t="s">
        <v>74</v>
      </c>
      <c r="T387" s="1" t="s">
        <v>74</v>
      </c>
      <c r="U387" s="1" t="s">
        <v>74</v>
      </c>
      <c r="V387" s="1" t="s">
        <v>74</v>
      </c>
      <c r="W387" s="1" t="s">
        <v>74</v>
      </c>
      <c r="X387" s="1" t="s">
        <v>74</v>
      </c>
      <c r="Y387" s="1" t="s">
        <v>74</v>
      </c>
      <c r="Z387" s="1" t="s">
        <v>74</v>
      </c>
      <c r="AA387" s="1" t="s">
        <v>74</v>
      </c>
      <c r="AB387" s="1" t="s">
        <v>74</v>
      </c>
      <c r="AC387" s="1" t="s">
        <v>74</v>
      </c>
      <c r="AD387" s="1" t="s">
        <v>74</v>
      </c>
      <c r="AE387" s="1" t="s">
        <v>74</v>
      </c>
      <c r="AF387" s="1" t="s">
        <v>74</v>
      </c>
      <c r="AG387" s="1" t="s">
        <v>74</v>
      </c>
      <c r="AH387" s="1" t="s">
        <v>74</v>
      </c>
      <c r="AI387" s="1" t="s">
        <v>74</v>
      </c>
      <c r="AJ387" s="1" t="s">
        <v>74</v>
      </c>
      <c r="AK387" s="1" t="s">
        <v>74</v>
      </c>
      <c r="AL387" s="1" t="s">
        <v>74</v>
      </c>
      <c r="AM387" s="1" t="s">
        <v>74</v>
      </c>
      <c r="AN387" s="1" t="s">
        <v>74</v>
      </c>
      <c r="AO387" s="1" t="s">
        <v>3838</v>
      </c>
      <c r="AP387" s="1" t="s">
        <v>74</v>
      </c>
      <c r="AQ387" s="1" t="s">
        <v>74</v>
      </c>
      <c r="AR387" s="1" t="s">
        <v>74</v>
      </c>
      <c r="AS387" s="1" t="s">
        <v>74</v>
      </c>
      <c r="AT387" s="1" t="s">
        <v>74</v>
      </c>
      <c r="AU387" s="1">
        <v>1981.0</v>
      </c>
      <c r="AV387" s="1">
        <v>88.0</v>
      </c>
      <c r="AW387" s="1">
        <v>1.0</v>
      </c>
      <c r="AX387" s="1" t="s">
        <v>74</v>
      </c>
      <c r="AY387" s="1" t="s">
        <v>74</v>
      </c>
      <c r="AZ387" s="1" t="s">
        <v>74</v>
      </c>
      <c r="BA387" s="1" t="s">
        <v>74</v>
      </c>
      <c r="BB387" s="1">
        <v>135.0</v>
      </c>
      <c r="BC387" s="1">
        <v>138.0</v>
      </c>
      <c r="BD387" s="1" t="s">
        <v>74</v>
      </c>
      <c r="BE387" s="1" t="s">
        <v>3839</v>
      </c>
      <c r="BF387" s="2" t="str">
        <f>HYPERLINK("http://dx.doi.org/10.1016/S0008-6215(00)84607-8","http://dx.doi.org/10.1016/S0008-6215(00)84607-8")</f>
        <v>http://dx.doi.org/10.1016/S0008-6215(00)84607-8</v>
      </c>
      <c r="BG387" s="1" t="s">
        <v>74</v>
      </c>
      <c r="BH387" s="1" t="s">
        <v>74</v>
      </c>
      <c r="BI387" s="1" t="s">
        <v>74</v>
      </c>
      <c r="BJ387" s="1" t="s">
        <v>74</v>
      </c>
      <c r="BK387" s="1" t="s">
        <v>74</v>
      </c>
      <c r="BL387" s="1" t="s">
        <v>74</v>
      </c>
      <c r="BM387" s="1" t="s">
        <v>74</v>
      </c>
      <c r="BN387" s="1" t="s">
        <v>74</v>
      </c>
      <c r="BO387" s="1" t="s">
        <v>74</v>
      </c>
      <c r="BP387" s="1" t="s">
        <v>74</v>
      </c>
      <c r="BQ387" s="1" t="s">
        <v>74</v>
      </c>
      <c r="BR387" s="1" t="s">
        <v>74</v>
      </c>
      <c r="BS387" s="1" t="s">
        <v>3840</v>
      </c>
      <c r="BT387" s="1" t="str">
        <f>HYPERLINK("https%3A%2F%2Fwww.webofscience.com%2Fwos%2Fwoscc%2Ffull-record%2FWOS:A1981LB49700012","View Full Record in Web of Science")</f>
        <v>View Full Record in Web of Science</v>
      </c>
    </row>
    <row r="388" ht="12.75" customHeight="1">
      <c r="A388" s="1" t="s">
        <v>72</v>
      </c>
      <c r="B388" s="1" t="s">
        <v>3841</v>
      </c>
      <c r="C388" s="1" t="s">
        <v>74</v>
      </c>
      <c r="D388" s="1" t="s">
        <v>74</v>
      </c>
      <c r="E388" s="1" t="s">
        <v>74</v>
      </c>
      <c r="F388" s="1" t="s">
        <v>3841</v>
      </c>
      <c r="G388" s="1" t="s">
        <v>74</v>
      </c>
      <c r="H388" s="1" t="s">
        <v>74</v>
      </c>
      <c r="I388" s="1" t="s">
        <v>3842</v>
      </c>
      <c r="J388" s="1" t="s">
        <v>3843</v>
      </c>
      <c r="K388" s="1" t="s">
        <v>74</v>
      </c>
      <c r="L388" s="1" t="s">
        <v>74</v>
      </c>
      <c r="M388" s="1" t="s">
        <v>74</v>
      </c>
      <c r="N388" s="1" t="s">
        <v>74</v>
      </c>
      <c r="O388" s="1" t="s">
        <v>74</v>
      </c>
      <c r="P388" s="1" t="s">
        <v>74</v>
      </c>
      <c r="Q388" s="1" t="s">
        <v>74</v>
      </c>
      <c r="R388" s="1" t="s">
        <v>74</v>
      </c>
      <c r="S388" s="1" t="s">
        <v>74</v>
      </c>
      <c r="T388" s="1" t="s">
        <v>74</v>
      </c>
      <c r="U388" s="1" t="s">
        <v>74</v>
      </c>
      <c r="V388" s="1" t="s">
        <v>74</v>
      </c>
      <c r="W388" s="1" t="s">
        <v>74</v>
      </c>
      <c r="X388" s="1" t="s">
        <v>74</v>
      </c>
      <c r="Y388" s="1" t="s">
        <v>74</v>
      </c>
      <c r="Z388" s="1" t="s">
        <v>74</v>
      </c>
      <c r="AA388" s="1" t="s">
        <v>74</v>
      </c>
      <c r="AB388" s="1" t="s">
        <v>74</v>
      </c>
      <c r="AC388" s="1" t="s">
        <v>74</v>
      </c>
      <c r="AD388" s="1" t="s">
        <v>74</v>
      </c>
      <c r="AE388" s="1" t="s">
        <v>74</v>
      </c>
      <c r="AF388" s="1" t="s">
        <v>74</v>
      </c>
      <c r="AG388" s="1" t="s">
        <v>74</v>
      </c>
      <c r="AH388" s="1" t="s">
        <v>74</v>
      </c>
      <c r="AI388" s="1" t="s">
        <v>74</v>
      </c>
      <c r="AJ388" s="1" t="s">
        <v>74</v>
      </c>
      <c r="AK388" s="1" t="s">
        <v>74</v>
      </c>
      <c r="AL388" s="1" t="s">
        <v>74</v>
      </c>
      <c r="AM388" s="1" t="s">
        <v>74</v>
      </c>
      <c r="AN388" s="1" t="s">
        <v>74</v>
      </c>
      <c r="AO388" s="1" t="s">
        <v>3844</v>
      </c>
      <c r="AP388" s="1" t="s">
        <v>74</v>
      </c>
      <c r="AQ388" s="1" t="s">
        <v>74</v>
      </c>
      <c r="AR388" s="1" t="s">
        <v>74</v>
      </c>
      <c r="AS388" s="1" t="s">
        <v>74</v>
      </c>
      <c r="AT388" s="1" t="s">
        <v>74</v>
      </c>
      <c r="AU388" s="1">
        <v>1979.0</v>
      </c>
      <c r="AV388" s="1">
        <v>17.0</v>
      </c>
      <c r="AW388" s="1">
        <v>5.0</v>
      </c>
      <c r="AX388" s="1" t="s">
        <v>74</v>
      </c>
      <c r="AY388" s="1" t="s">
        <v>74</v>
      </c>
      <c r="AZ388" s="1" t="s">
        <v>74</v>
      </c>
      <c r="BA388" s="1" t="s">
        <v>74</v>
      </c>
      <c r="BB388" s="1">
        <v>329.0</v>
      </c>
      <c r="BC388" s="1">
        <v>332.0</v>
      </c>
      <c r="BD388" s="1" t="s">
        <v>74</v>
      </c>
      <c r="BE388" s="1" t="s">
        <v>3845</v>
      </c>
      <c r="BF388" s="2" t="str">
        <f>HYPERLINK("http://dx.doi.org/10.1002/pol.1979.130170514","http://dx.doi.org/10.1002/pol.1979.130170514")</f>
        <v>http://dx.doi.org/10.1002/pol.1979.130170514</v>
      </c>
      <c r="BG388" s="1" t="s">
        <v>74</v>
      </c>
      <c r="BH388" s="1" t="s">
        <v>74</v>
      </c>
      <c r="BI388" s="1" t="s">
        <v>74</v>
      </c>
      <c r="BJ388" s="1" t="s">
        <v>74</v>
      </c>
      <c r="BK388" s="1" t="s">
        <v>74</v>
      </c>
      <c r="BL388" s="1" t="s">
        <v>74</v>
      </c>
      <c r="BM388" s="1" t="s">
        <v>74</v>
      </c>
      <c r="BN388" s="1" t="s">
        <v>74</v>
      </c>
      <c r="BO388" s="1" t="s">
        <v>74</v>
      </c>
      <c r="BP388" s="1" t="s">
        <v>74</v>
      </c>
      <c r="BQ388" s="1" t="s">
        <v>74</v>
      </c>
      <c r="BR388" s="1" t="s">
        <v>74</v>
      </c>
      <c r="BS388" s="1" t="s">
        <v>3846</v>
      </c>
      <c r="BT388" s="1" t="str">
        <f>HYPERLINK("https%3A%2F%2Fwww.webofscience.com%2Fwos%2Fwoscc%2Ffull-record%2FWOS:A1979GS98100014","View Full Record in Web of Science")</f>
        <v>View Full Record in Web of Science</v>
      </c>
    </row>
    <row r="389" ht="12.75" customHeight="1">
      <c r="A389" s="1" t="s">
        <v>72</v>
      </c>
      <c r="B389" s="1" t="s">
        <v>3847</v>
      </c>
      <c r="C389" s="1" t="s">
        <v>74</v>
      </c>
      <c r="D389" s="1" t="s">
        <v>74</v>
      </c>
      <c r="E389" s="1" t="s">
        <v>74</v>
      </c>
      <c r="F389" s="1" t="s">
        <v>3848</v>
      </c>
      <c r="G389" s="1" t="s">
        <v>74</v>
      </c>
      <c r="H389" s="1" t="s">
        <v>74</v>
      </c>
      <c r="I389" s="1" t="s">
        <v>3849</v>
      </c>
      <c r="J389" s="1" t="s">
        <v>3850</v>
      </c>
      <c r="K389" s="1" t="s">
        <v>74</v>
      </c>
      <c r="L389" s="1" t="s">
        <v>74</v>
      </c>
      <c r="M389" s="1" t="s">
        <v>74</v>
      </c>
      <c r="N389" s="1" t="s">
        <v>74</v>
      </c>
      <c r="O389" s="1" t="s">
        <v>74</v>
      </c>
      <c r="P389" s="1" t="s">
        <v>74</v>
      </c>
      <c r="Q389" s="1" t="s">
        <v>74</v>
      </c>
      <c r="R389" s="1" t="s">
        <v>74</v>
      </c>
      <c r="S389" s="1" t="s">
        <v>74</v>
      </c>
      <c r="T389" s="1" t="s">
        <v>74</v>
      </c>
      <c r="U389" s="1" t="s">
        <v>74</v>
      </c>
      <c r="V389" s="1" t="s">
        <v>3851</v>
      </c>
      <c r="W389" s="1" t="s">
        <v>74</v>
      </c>
      <c r="X389" s="1" t="s">
        <v>74</v>
      </c>
      <c r="Y389" s="1" t="s">
        <v>74</v>
      </c>
      <c r="Z389" s="1" t="s">
        <v>74</v>
      </c>
      <c r="AA389" s="1" t="s">
        <v>3852</v>
      </c>
      <c r="AB389" s="1" t="s">
        <v>3853</v>
      </c>
      <c r="AC389" s="1" t="s">
        <v>74</v>
      </c>
      <c r="AD389" s="1" t="s">
        <v>74</v>
      </c>
      <c r="AE389" s="1" t="s">
        <v>74</v>
      </c>
      <c r="AF389" s="1" t="s">
        <v>74</v>
      </c>
      <c r="AG389" s="1" t="s">
        <v>74</v>
      </c>
      <c r="AH389" s="1" t="s">
        <v>74</v>
      </c>
      <c r="AI389" s="1" t="s">
        <v>74</v>
      </c>
      <c r="AJ389" s="1" t="s">
        <v>74</v>
      </c>
      <c r="AK389" s="1" t="s">
        <v>74</v>
      </c>
      <c r="AL389" s="1" t="s">
        <v>74</v>
      </c>
      <c r="AM389" s="1" t="s">
        <v>74</v>
      </c>
      <c r="AN389" s="1" t="s">
        <v>74</v>
      </c>
      <c r="AO389" s="1" t="s">
        <v>74</v>
      </c>
      <c r="AP389" s="1" t="s">
        <v>3854</v>
      </c>
      <c r="AQ389" s="1" t="s">
        <v>74</v>
      </c>
      <c r="AR389" s="1" t="s">
        <v>74</v>
      </c>
      <c r="AS389" s="1" t="s">
        <v>74</v>
      </c>
      <c r="AT389" s="1" t="s">
        <v>3855</v>
      </c>
      <c r="AU389" s="1">
        <v>2025.0</v>
      </c>
      <c r="AV389" s="1">
        <v>11.0</v>
      </c>
      <c r="AW389" s="1">
        <v>1.0</v>
      </c>
      <c r="AX389" s="1" t="s">
        <v>74</v>
      </c>
      <c r="AY389" s="1" t="s">
        <v>74</v>
      </c>
      <c r="AZ389" s="1" t="s">
        <v>74</v>
      </c>
      <c r="BA389" s="1" t="s">
        <v>74</v>
      </c>
      <c r="BB389" s="1" t="s">
        <v>74</v>
      </c>
      <c r="BC389" s="1" t="s">
        <v>74</v>
      </c>
      <c r="BD389" s="1">
        <v>43.0</v>
      </c>
      <c r="BE389" s="1" t="s">
        <v>3856</v>
      </c>
      <c r="BF389" s="2" t="str">
        <f>HYPERLINK("http://dx.doi.org/10.1038/s41534-025-01001-4","http://dx.doi.org/10.1038/s41534-025-01001-4")</f>
        <v>http://dx.doi.org/10.1038/s41534-025-01001-4</v>
      </c>
      <c r="BG389" s="1" t="s">
        <v>74</v>
      </c>
      <c r="BH389" s="1" t="s">
        <v>74</v>
      </c>
      <c r="BI389" s="1" t="s">
        <v>74</v>
      </c>
      <c r="BJ389" s="1" t="s">
        <v>74</v>
      </c>
      <c r="BK389" s="1" t="s">
        <v>74</v>
      </c>
      <c r="BL389" s="1" t="s">
        <v>74</v>
      </c>
      <c r="BM389" s="1" t="s">
        <v>74</v>
      </c>
      <c r="BN389" s="1" t="s">
        <v>74</v>
      </c>
      <c r="BO389" s="1" t="s">
        <v>74</v>
      </c>
      <c r="BP389" s="1" t="s">
        <v>74</v>
      </c>
      <c r="BQ389" s="1" t="s">
        <v>74</v>
      </c>
      <c r="BR389" s="1" t="s">
        <v>74</v>
      </c>
      <c r="BS389" s="1" t="s">
        <v>3857</v>
      </c>
      <c r="BT389" s="1" t="str">
        <f>HYPERLINK("https%3A%2F%2Fwww.webofscience.com%2Fwos%2Fwoscc%2Ffull-record%2FWOS:001441861800001","View Full Record in Web of Science")</f>
        <v>View Full Record in Web of Science</v>
      </c>
    </row>
    <row r="390" ht="12.75" customHeight="1">
      <c r="A390" s="1" t="s">
        <v>72</v>
      </c>
      <c r="B390" s="1" t="s">
        <v>3858</v>
      </c>
      <c r="C390" s="1" t="s">
        <v>74</v>
      </c>
      <c r="D390" s="1" t="s">
        <v>74</v>
      </c>
      <c r="E390" s="1" t="s">
        <v>74</v>
      </c>
      <c r="F390" s="1" t="s">
        <v>3859</v>
      </c>
      <c r="G390" s="1" t="s">
        <v>74</v>
      </c>
      <c r="H390" s="1" t="s">
        <v>74</v>
      </c>
      <c r="I390" s="1" t="s">
        <v>3860</v>
      </c>
      <c r="J390" s="1" t="s">
        <v>3861</v>
      </c>
      <c r="K390" s="1" t="s">
        <v>74</v>
      </c>
      <c r="L390" s="1" t="s">
        <v>74</v>
      </c>
      <c r="M390" s="1" t="s">
        <v>74</v>
      </c>
      <c r="N390" s="1" t="s">
        <v>74</v>
      </c>
      <c r="O390" s="1" t="s">
        <v>74</v>
      </c>
      <c r="P390" s="1" t="s">
        <v>74</v>
      </c>
      <c r="Q390" s="1" t="s">
        <v>74</v>
      </c>
      <c r="R390" s="1" t="s">
        <v>74</v>
      </c>
      <c r="S390" s="1" t="s">
        <v>74</v>
      </c>
      <c r="T390" s="1" t="s">
        <v>74</v>
      </c>
      <c r="U390" s="1" t="s">
        <v>74</v>
      </c>
      <c r="V390" s="1" t="s">
        <v>3862</v>
      </c>
      <c r="W390" s="1" t="s">
        <v>74</v>
      </c>
      <c r="X390" s="1" t="s">
        <v>74</v>
      </c>
      <c r="Y390" s="1" t="s">
        <v>74</v>
      </c>
      <c r="Z390" s="1" t="s">
        <v>74</v>
      </c>
      <c r="AA390" s="1" t="s">
        <v>3863</v>
      </c>
      <c r="AB390" s="1" t="s">
        <v>3864</v>
      </c>
      <c r="AC390" s="1" t="s">
        <v>74</v>
      </c>
      <c r="AD390" s="1" t="s">
        <v>74</v>
      </c>
      <c r="AE390" s="1" t="s">
        <v>74</v>
      </c>
      <c r="AF390" s="1" t="s">
        <v>74</v>
      </c>
      <c r="AG390" s="1" t="s">
        <v>74</v>
      </c>
      <c r="AH390" s="1" t="s">
        <v>74</v>
      </c>
      <c r="AI390" s="1" t="s">
        <v>74</v>
      </c>
      <c r="AJ390" s="1" t="s">
        <v>74</v>
      </c>
      <c r="AK390" s="1" t="s">
        <v>74</v>
      </c>
      <c r="AL390" s="1" t="s">
        <v>74</v>
      </c>
      <c r="AM390" s="1" t="s">
        <v>74</v>
      </c>
      <c r="AN390" s="1" t="s">
        <v>74</v>
      </c>
      <c r="AO390" s="1" t="s">
        <v>3865</v>
      </c>
      <c r="AP390" s="1" t="s">
        <v>3866</v>
      </c>
      <c r="AQ390" s="1" t="s">
        <v>74</v>
      </c>
      <c r="AR390" s="1" t="s">
        <v>74</v>
      </c>
      <c r="AS390" s="1" t="s">
        <v>74</v>
      </c>
      <c r="AT390" s="1" t="s">
        <v>360</v>
      </c>
      <c r="AU390" s="1">
        <v>2025.0</v>
      </c>
      <c r="AV390" s="1">
        <v>13.0</v>
      </c>
      <c r="AW390" s="1">
        <v>2.0</v>
      </c>
      <c r="AX390" s="1" t="s">
        <v>74</v>
      </c>
      <c r="AY390" s="1" t="s">
        <v>74</v>
      </c>
      <c r="AZ390" s="1" t="s">
        <v>74</v>
      </c>
      <c r="BA390" s="1" t="s">
        <v>74</v>
      </c>
      <c r="BB390" s="1" t="s">
        <v>74</v>
      </c>
      <c r="BC390" s="1" t="s">
        <v>74</v>
      </c>
      <c r="BD390" s="1">
        <v>67.0</v>
      </c>
      <c r="BE390" s="1" t="s">
        <v>3867</v>
      </c>
      <c r="BF390" s="2" t="str">
        <f>HYPERLINK("http://dx.doi.org/10.1007/s40435-024-01581-7","http://dx.doi.org/10.1007/s40435-024-01581-7")</f>
        <v>http://dx.doi.org/10.1007/s40435-024-01581-7</v>
      </c>
      <c r="BG390" s="1" t="s">
        <v>74</v>
      </c>
      <c r="BH390" s="1" t="s">
        <v>74</v>
      </c>
      <c r="BI390" s="1" t="s">
        <v>74</v>
      </c>
      <c r="BJ390" s="1" t="s">
        <v>74</v>
      </c>
      <c r="BK390" s="1" t="s">
        <v>74</v>
      </c>
      <c r="BL390" s="1" t="s">
        <v>74</v>
      </c>
      <c r="BM390" s="1" t="s">
        <v>74</v>
      </c>
      <c r="BN390" s="1" t="s">
        <v>74</v>
      </c>
      <c r="BO390" s="1" t="s">
        <v>74</v>
      </c>
      <c r="BP390" s="1" t="s">
        <v>74</v>
      </c>
      <c r="BQ390" s="1" t="s">
        <v>74</v>
      </c>
      <c r="BR390" s="1" t="s">
        <v>74</v>
      </c>
      <c r="BS390" s="1" t="s">
        <v>3868</v>
      </c>
      <c r="BT390" s="1" t="str">
        <f>HYPERLINK("https%3A%2F%2Fwww.webofscience.com%2Fwos%2Fwoscc%2Ffull-record%2FWOS:001398290100008","View Full Record in Web of Science")</f>
        <v>View Full Record in Web of Science</v>
      </c>
    </row>
    <row r="391" ht="12.75" customHeight="1">
      <c r="A391" s="1" t="s">
        <v>72</v>
      </c>
      <c r="B391" s="1" t="s">
        <v>3869</v>
      </c>
      <c r="C391" s="1" t="s">
        <v>74</v>
      </c>
      <c r="D391" s="1" t="s">
        <v>74</v>
      </c>
      <c r="E391" s="1" t="s">
        <v>74</v>
      </c>
      <c r="F391" s="1" t="s">
        <v>3870</v>
      </c>
      <c r="G391" s="1" t="s">
        <v>74</v>
      </c>
      <c r="H391" s="1" t="s">
        <v>74</v>
      </c>
      <c r="I391" s="1" t="s">
        <v>3871</v>
      </c>
      <c r="J391" s="1" t="s">
        <v>3872</v>
      </c>
      <c r="K391" s="1" t="s">
        <v>74</v>
      </c>
      <c r="L391" s="1" t="s">
        <v>74</v>
      </c>
      <c r="M391" s="1" t="s">
        <v>74</v>
      </c>
      <c r="N391" s="1" t="s">
        <v>74</v>
      </c>
      <c r="O391" s="1" t="s">
        <v>74</v>
      </c>
      <c r="P391" s="1" t="s">
        <v>74</v>
      </c>
      <c r="Q391" s="1" t="s">
        <v>74</v>
      </c>
      <c r="R391" s="1" t="s">
        <v>74</v>
      </c>
      <c r="S391" s="1" t="s">
        <v>74</v>
      </c>
      <c r="T391" s="1" t="s">
        <v>74</v>
      </c>
      <c r="U391" s="1" t="s">
        <v>74</v>
      </c>
      <c r="V391" s="1" t="s">
        <v>3873</v>
      </c>
      <c r="W391" s="1" t="s">
        <v>74</v>
      </c>
      <c r="X391" s="1" t="s">
        <v>74</v>
      </c>
      <c r="Y391" s="1" t="s">
        <v>74</v>
      </c>
      <c r="Z391" s="1" t="s">
        <v>74</v>
      </c>
      <c r="AA391" s="1" t="s">
        <v>3874</v>
      </c>
      <c r="AB391" s="1" t="s">
        <v>3875</v>
      </c>
      <c r="AC391" s="1" t="s">
        <v>74</v>
      </c>
      <c r="AD391" s="1" t="s">
        <v>74</v>
      </c>
      <c r="AE391" s="1" t="s">
        <v>74</v>
      </c>
      <c r="AF391" s="1" t="s">
        <v>74</v>
      </c>
      <c r="AG391" s="1" t="s">
        <v>74</v>
      </c>
      <c r="AH391" s="1" t="s">
        <v>74</v>
      </c>
      <c r="AI391" s="1" t="s">
        <v>74</v>
      </c>
      <c r="AJ391" s="1" t="s">
        <v>74</v>
      </c>
      <c r="AK391" s="1" t="s">
        <v>74</v>
      </c>
      <c r="AL391" s="1" t="s">
        <v>74</v>
      </c>
      <c r="AM391" s="1" t="s">
        <v>74</v>
      </c>
      <c r="AN391" s="1" t="s">
        <v>74</v>
      </c>
      <c r="AO391" s="1" t="s">
        <v>3876</v>
      </c>
      <c r="AP391" s="1" t="s">
        <v>3877</v>
      </c>
      <c r="AQ391" s="1" t="s">
        <v>74</v>
      </c>
      <c r="AR391" s="1" t="s">
        <v>74</v>
      </c>
      <c r="AS391" s="1" t="s">
        <v>74</v>
      </c>
      <c r="AT391" s="1" t="s">
        <v>169</v>
      </c>
      <c r="AU391" s="1">
        <v>2025.0</v>
      </c>
      <c r="AV391" s="1">
        <v>113.0</v>
      </c>
      <c r="AW391" s="1">
        <v>1.0</v>
      </c>
      <c r="AX391" s="1" t="s">
        <v>74</v>
      </c>
      <c r="AY391" s="1" t="s">
        <v>74</v>
      </c>
      <c r="AZ391" s="1" t="s">
        <v>74</v>
      </c>
      <c r="BA391" s="1" t="s">
        <v>74</v>
      </c>
      <c r="BB391" s="1">
        <v>47.0</v>
      </c>
      <c r="BC391" s="1">
        <v>62.0</v>
      </c>
      <c r="BD391" s="1" t="s">
        <v>74</v>
      </c>
      <c r="BE391" s="1" t="s">
        <v>3878</v>
      </c>
      <c r="BF391" s="2" t="str">
        <f>HYPERLINK("http://dx.doi.org/10.1007/s11071-024-10207-8","http://dx.doi.org/10.1007/s11071-024-10207-8")</f>
        <v>http://dx.doi.org/10.1007/s11071-024-10207-8</v>
      </c>
      <c r="BG391" s="1" t="s">
        <v>74</v>
      </c>
      <c r="BH391" s="1" t="s">
        <v>3879</v>
      </c>
      <c r="BI391" s="1" t="s">
        <v>74</v>
      </c>
      <c r="BJ391" s="1" t="s">
        <v>74</v>
      </c>
      <c r="BK391" s="1" t="s">
        <v>74</v>
      </c>
      <c r="BL391" s="1" t="s">
        <v>74</v>
      </c>
      <c r="BM391" s="1" t="s">
        <v>74</v>
      </c>
      <c r="BN391" s="1" t="s">
        <v>74</v>
      </c>
      <c r="BO391" s="1" t="s">
        <v>74</v>
      </c>
      <c r="BP391" s="1" t="s">
        <v>74</v>
      </c>
      <c r="BQ391" s="1" t="s">
        <v>74</v>
      </c>
      <c r="BR391" s="1" t="s">
        <v>74</v>
      </c>
      <c r="BS391" s="1" t="s">
        <v>3880</v>
      </c>
      <c r="BT391" s="1" t="str">
        <f>HYPERLINK("https%3A%2F%2Fwww.webofscience.com%2Fwos%2Fwoscc%2Ffull-record%2FWOS:001321444000001","View Full Record in Web of Science")</f>
        <v>View Full Record in Web of Science</v>
      </c>
    </row>
    <row r="392" ht="12.75" customHeight="1">
      <c r="A392" s="1" t="s">
        <v>72</v>
      </c>
      <c r="B392" s="1" t="s">
        <v>3881</v>
      </c>
      <c r="C392" s="1" t="s">
        <v>74</v>
      </c>
      <c r="D392" s="1" t="s">
        <v>74</v>
      </c>
      <c r="E392" s="1" t="s">
        <v>74</v>
      </c>
      <c r="F392" s="1" t="s">
        <v>3882</v>
      </c>
      <c r="G392" s="1" t="s">
        <v>74</v>
      </c>
      <c r="H392" s="1" t="s">
        <v>74</v>
      </c>
      <c r="I392" s="1" t="s">
        <v>3883</v>
      </c>
      <c r="J392" s="1" t="s">
        <v>994</v>
      </c>
      <c r="K392" s="1" t="s">
        <v>74</v>
      </c>
      <c r="L392" s="1" t="s">
        <v>74</v>
      </c>
      <c r="M392" s="1" t="s">
        <v>74</v>
      </c>
      <c r="N392" s="1" t="s">
        <v>74</v>
      </c>
      <c r="O392" s="1" t="s">
        <v>74</v>
      </c>
      <c r="P392" s="1" t="s">
        <v>74</v>
      </c>
      <c r="Q392" s="1" t="s">
        <v>74</v>
      </c>
      <c r="R392" s="1" t="s">
        <v>74</v>
      </c>
      <c r="S392" s="1" t="s">
        <v>74</v>
      </c>
      <c r="T392" s="1" t="s">
        <v>74</v>
      </c>
      <c r="U392" s="1" t="s">
        <v>74</v>
      </c>
      <c r="V392" s="1" t="s">
        <v>3884</v>
      </c>
      <c r="W392" s="1" t="s">
        <v>74</v>
      </c>
      <c r="X392" s="1" t="s">
        <v>74</v>
      </c>
      <c r="Y392" s="1" t="s">
        <v>74</v>
      </c>
      <c r="Z392" s="1" t="s">
        <v>74</v>
      </c>
      <c r="AA392" s="1" t="s">
        <v>74</v>
      </c>
      <c r="AB392" s="1" t="s">
        <v>74</v>
      </c>
      <c r="AC392" s="1" t="s">
        <v>74</v>
      </c>
      <c r="AD392" s="1" t="s">
        <v>74</v>
      </c>
      <c r="AE392" s="1" t="s">
        <v>74</v>
      </c>
      <c r="AF392" s="1" t="s">
        <v>74</v>
      </c>
      <c r="AG392" s="1" t="s">
        <v>74</v>
      </c>
      <c r="AH392" s="1" t="s">
        <v>74</v>
      </c>
      <c r="AI392" s="1" t="s">
        <v>74</v>
      </c>
      <c r="AJ392" s="1" t="s">
        <v>74</v>
      </c>
      <c r="AK392" s="1" t="s">
        <v>74</v>
      </c>
      <c r="AL392" s="1" t="s">
        <v>74</v>
      </c>
      <c r="AM392" s="1" t="s">
        <v>74</v>
      </c>
      <c r="AN392" s="1" t="s">
        <v>74</v>
      </c>
      <c r="AO392" s="1" t="s">
        <v>996</v>
      </c>
      <c r="AP392" s="1" t="s">
        <v>74</v>
      </c>
      <c r="AQ392" s="1" t="s">
        <v>74</v>
      </c>
      <c r="AR392" s="1" t="s">
        <v>74</v>
      </c>
      <c r="AS392" s="1" t="s">
        <v>74</v>
      </c>
      <c r="AT392" s="1" t="s">
        <v>459</v>
      </c>
      <c r="AU392" s="1">
        <v>2024.0</v>
      </c>
      <c r="AV392" s="1">
        <v>53.0</v>
      </c>
      <c r="AW392" s="1" t="s">
        <v>74</v>
      </c>
      <c r="AX392" s="1" t="s">
        <v>74</v>
      </c>
      <c r="AY392" s="1" t="s">
        <v>74</v>
      </c>
      <c r="AZ392" s="1" t="s">
        <v>74</v>
      </c>
      <c r="BA392" s="1" t="s">
        <v>74</v>
      </c>
      <c r="BB392" s="1">
        <v>20.0</v>
      </c>
      <c r="BC392" s="1">
        <v>29.0</v>
      </c>
      <c r="BD392" s="1" t="s">
        <v>74</v>
      </c>
      <c r="BE392" s="1" t="s">
        <v>74</v>
      </c>
      <c r="BF392" s="1" t="s">
        <v>74</v>
      </c>
      <c r="BG392" s="1" t="s">
        <v>74</v>
      </c>
      <c r="BH392" s="1" t="s">
        <v>74</v>
      </c>
      <c r="BI392" s="1" t="s">
        <v>74</v>
      </c>
      <c r="BJ392" s="1" t="s">
        <v>74</v>
      </c>
      <c r="BK392" s="1" t="s">
        <v>74</v>
      </c>
      <c r="BL392" s="1" t="s">
        <v>74</v>
      </c>
      <c r="BM392" s="1" t="s">
        <v>74</v>
      </c>
      <c r="BN392" s="1" t="s">
        <v>74</v>
      </c>
      <c r="BO392" s="1" t="s">
        <v>74</v>
      </c>
      <c r="BP392" s="1" t="s">
        <v>74</v>
      </c>
      <c r="BQ392" s="1" t="s">
        <v>74</v>
      </c>
      <c r="BR392" s="1" t="s">
        <v>74</v>
      </c>
      <c r="BS392" s="1" t="s">
        <v>3885</v>
      </c>
      <c r="BT392" s="1" t="str">
        <f>HYPERLINK("https%3A%2F%2Fwww.webofscience.com%2Fwos%2Fwoscc%2Ffull-record%2FWOS:001342497100002","View Full Record in Web of Science")</f>
        <v>View Full Record in Web of Science</v>
      </c>
    </row>
    <row r="393" ht="12.75" customHeight="1">
      <c r="A393" s="1" t="s">
        <v>72</v>
      </c>
      <c r="B393" s="1" t="s">
        <v>3886</v>
      </c>
      <c r="C393" s="1" t="s">
        <v>74</v>
      </c>
      <c r="D393" s="1" t="s">
        <v>74</v>
      </c>
      <c r="E393" s="1" t="s">
        <v>74</v>
      </c>
      <c r="F393" s="1" t="s">
        <v>3887</v>
      </c>
      <c r="G393" s="1" t="s">
        <v>74</v>
      </c>
      <c r="H393" s="1" t="s">
        <v>74</v>
      </c>
      <c r="I393" s="1" t="s">
        <v>3888</v>
      </c>
      <c r="J393" s="1" t="s">
        <v>3889</v>
      </c>
      <c r="K393" s="1" t="s">
        <v>74</v>
      </c>
      <c r="L393" s="1" t="s">
        <v>74</v>
      </c>
      <c r="M393" s="1" t="s">
        <v>74</v>
      </c>
      <c r="N393" s="1" t="s">
        <v>74</v>
      </c>
      <c r="O393" s="1" t="s">
        <v>74</v>
      </c>
      <c r="P393" s="1" t="s">
        <v>74</v>
      </c>
      <c r="Q393" s="1" t="s">
        <v>74</v>
      </c>
      <c r="R393" s="1" t="s">
        <v>74</v>
      </c>
      <c r="S393" s="1" t="s">
        <v>74</v>
      </c>
      <c r="T393" s="1" t="s">
        <v>74</v>
      </c>
      <c r="U393" s="1" t="s">
        <v>74</v>
      </c>
      <c r="V393" s="1" t="s">
        <v>3890</v>
      </c>
      <c r="W393" s="1" t="s">
        <v>74</v>
      </c>
      <c r="X393" s="1" t="s">
        <v>74</v>
      </c>
      <c r="Y393" s="1" t="s">
        <v>74</v>
      </c>
      <c r="Z393" s="1" t="s">
        <v>74</v>
      </c>
      <c r="AA393" s="1" t="s">
        <v>3891</v>
      </c>
      <c r="AB393" s="1" t="s">
        <v>3892</v>
      </c>
      <c r="AC393" s="1" t="s">
        <v>74</v>
      </c>
      <c r="AD393" s="1" t="s">
        <v>74</v>
      </c>
      <c r="AE393" s="1" t="s">
        <v>74</v>
      </c>
      <c r="AF393" s="1" t="s">
        <v>74</v>
      </c>
      <c r="AG393" s="1" t="s">
        <v>74</v>
      </c>
      <c r="AH393" s="1" t="s">
        <v>74</v>
      </c>
      <c r="AI393" s="1" t="s">
        <v>74</v>
      </c>
      <c r="AJ393" s="1" t="s">
        <v>74</v>
      </c>
      <c r="AK393" s="1" t="s">
        <v>74</v>
      </c>
      <c r="AL393" s="1" t="s">
        <v>74</v>
      </c>
      <c r="AM393" s="1" t="s">
        <v>74</v>
      </c>
      <c r="AN393" s="1" t="s">
        <v>74</v>
      </c>
      <c r="AO393" s="1" t="s">
        <v>3893</v>
      </c>
      <c r="AP393" s="1" t="s">
        <v>74</v>
      </c>
      <c r="AQ393" s="1" t="s">
        <v>74</v>
      </c>
      <c r="AR393" s="1" t="s">
        <v>74</v>
      </c>
      <c r="AS393" s="1" t="s">
        <v>74</v>
      </c>
      <c r="AT393" s="1" t="s">
        <v>135</v>
      </c>
      <c r="AU393" s="1">
        <v>2024.0</v>
      </c>
      <c r="AV393" s="1">
        <v>13.0</v>
      </c>
      <c r="AW393" s="1">
        <v>16.0</v>
      </c>
      <c r="AX393" s="1" t="s">
        <v>74</v>
      </c>
      <c r="AY393" s="1" t="s">
        <v>74</v>
      </c>
      <c r="AZ393" s="1" t="s">
        <v>74</v>
      </c>
      <c r="BA393" s="1" t="s">
        <v>74</v>
      </c>
      <c r="BB393" s="1" t="s">
        <v>74</v>
      </c>
      <c r="BC393" s="1" t="s">
        <v>74</v>
      </c>
      <c r="BD393" s="1">
        <v>2248.0</v>
      </c>
      <c r="BE393" s="1" t="s">
        <v>3894</v>
      </c>
      <c r="BF393" s="2" t="str">
        <f>HYPERLINK("http://dx.doi.org/10.3390/plants13162248","http://dx.doi.org/10.3390/plants13162248")</f>
        <v>http://dx.doi.org/10.3390/plants13162248</v>
      </c>
      <c r="BG393" s="1" t="s">
        <v>74</v>
      </c>
      <c r="BH393" s="1" t="s">
        <v>74</v>
      </c>
      <c r="BI393" s="1" t="s">
        <v>74</v>
      </c>
      <c r="BJ393" s="1" t="s">
        <v>74</v>
      </c>
      <c r="BK393" s="1" t="s">
        <v>74</v>
      </c>
      <c r="BL393" s="1" t="s">
        <v>74</v>
      </c>
      <c r="BM393" s="1" t="s">
        <v>74</v>
      </c>
      <c r="BN393" s="1">
        <v>3.9204684E7</v>
      </c>
      <c r="BO393" s="1" t="s">
        <v>74</v>
      </c>
      <c r="BP393" s="1" t="s">
        <v>74</v>
      </c>
      <c r="BQ393" s="1" t="s">
        <v>74</v>
      </c>
      <c r="BR393" s="1" t="s">
        <v>74</v>
      </c>
      <c r="BS393" s="1" t="s">
        <v>3895</v>
      </c>
      <c r="BT393" s="1" t="str">
        <f>HYPERLINK("https%3A%2F%2Fwww.webofscience.com%2Fwos%2Fwoscc%2Ffull-record%2FWOS:001307399900001","View Full Record in Web of Science")</f>
        <v>View Full Record in Web of Science</v>
      </c>
    </row>
    <row r="394" ht="12.75" customHeight="1">
      <c r="A394" s="1" t="s">
        <v>72</v>
      </c>
      <c r="B394" s="1" t="s">
        <v>3896</v>
      </c>
      <c r="C394" s="1" t="s">
        <v>74</v>
      </c>
      <c r="D394" s="1" t="s">
        <v>74</v>
      </c>
      <c r="E394" s="1" t="s">
        <v>74</v>
      </c>
      <c r="F394" s="1" t="s">
        <v>3897</v>
      </c>
      <c r="G394" s="1" t="s">
        <v>74</v>
      </c>
      <c r="H394" s="1" t="s">
        <v>74</v>
      </c>
      <c r="I394" s="1" t="s">
        <v>3898</v>
      </c>
      <c r="J394" s="1" t="s">
        <v>3899</v>
      </c>
      <c r="K394" s="1" t="s">
        <v>74</v>
      </c>
      <c r="L394" s="1" t="s">
        <v>74</v>
      </c>
      <c r="M394" s="1" t="s">
        <v>74</v>
      </c>
      <c r="N394" s="1" t="s">
        <v>74</v>
      </c>
      <c r="O394" s="1" t="s">
        <v>74</v>
      </c>
      <c r="P394" s="1" t="s">
        <v>74</v>
      </c>
      <c r="Q394" s="1" t="s">
        <v>74</v>
      </c>
      <c r="R394" s="1" t="s">
        <v>74</v>
      </c>
      <c r="S394" s="1" t="s">
        <v>74</v>
      </c>
      <c r="T394" s="1" t="s">
        <v>74</v>
      </c>
      <c r="U394" s="1" t="s">
        <v>74</v>
      </c>
      <c r="V394" s="1" t="s">
        <v>3900</v>
      </c>
      <c r="W394" s="1" t="s">
        <v>74</v>
      </c>
      <c r="X394" s="1" t="s">
        <v>74</v>
      </c>
      <c r="Y394" s="1" t="s">
        <v>74</v>
      </c>
      <c r="Z394" s="1" t="s">
        <v>74</v>
      </c>
      <c r="AA394" s="1" t="s">
        <v>3901</v>
      </c>
      <c r="AB394" s="1" t="s">
        <v>74</v>
      </c>
      <c r="AC394" s="1" t="s">
        <v>74</v>
      </c>
      <c r="AD394" s="1" t="s">
        <v>74</v>
      </c>
      <c r="AE394" s="1" t="s">
        <v>74</v>
      </c>
      <c r="AF394" s="1" t="s">
        <v>74</v>
      </c>
      <c r="AG394" s="1" t="s">
        <v>74</v>
      </c>
      <c r="AH394" s="1" t="s">
        <v>74</v>
      </c>
      <c r="AI394" s="1" t="s">
        <v>74</v>
      </c>
      <c r="AJ394" s="1" t="s">
        <v>74</v>
      </c>
      <c r="AK394" s="1" t="s">
        <v>74</v>
      </c>
      <c r="AL394" s="1" t="s">
        <v>74</v>
      </c>
      <c r="AM394" s="1" t="s">
        <v>74</v>
      </c>
      <c r="AN394" s="1" t="s">
        <v>74</v>
      </c>
      <c r="AO394" s="1" t="s">
        <v>3902</v>
      </c>
      <c r="AP394" s="1" t="s">
        <v>74</v>
      </c>
      <c r="AQ394" s="1" t="s">
        <v>74</v>
      </c>
      <c r="AR394" s="1" t="s">
        <v>74</v>
      </c>
      <c r="AS394" s="1" t="s">
        <v>74</v>
      </c>
      <c r="AT394" s="1" t="s">
        <v>3903</v>
      </c>
      <c r="AU394" s="1">
        <v>2024.0</v>
      </c>
      <c r="AV394" s="1">
        <v>11.0</v>
      </c>
      <c r="AW394" s="1">
        <v>13.0</v>
      </c>
      <c r="AX394" s="1" t="s">
        <v>74</v>
      </c>
      <c r="AY394" s="1" t="s">
        <v>74</v>
      </c>
      <c r="AZ394" s="1" t="s">
        <v>74</v>
      </c>
      <c r="BA394" s="1" t="s">
        <v>74</v>
      </c>
      <c r="BB394" s="1">
        <v>4033.0</v>
      </c>
      <c r="BC394" s="1">
        <v>4033.0</v>
      </c>
      <c r="BD394" s="1" t="s">
        <v>74</v>
      </c>
      <c r="BE394" s="1" t="s">
        <v>3904</v>
      </c>
      <c r="BF394" s="2" t="str">
        <f>HYPERLINK("http://dx.doi.org/10.1039/d4qi90040e","http://dx.doi.org/10.1039/d4qi90040e")</f>
        <v>http://dx.doi.org/10.1039/d4qi90040e</v>
      </c>
      <c r="BG394" s="1" t="s">
        <v>74</v>
      </c>
      <c r="BH394" s="1" t="s">
        <v>3905</v>
      </c>
      <c r="BI394" s="1" t="s">
        <v>74</v>
      </c>
      <c r="BJ394" s="1" t="s">
        <v>74</v>
      </c>
      <c r="BK394" s="1" t="s">
        <v>74</v>
      </c>
      <c r="BL394" s="1" t="s">
        <v>74</v>
      </c>
      <c r="BM394" s="1" t="s">
        <v>74</v>
      </c>
      <c r="BN394" s="1" t="s">
        <v>74</v>
      </c>
      <c r="BO394" s="1" t="s">
        <v>74</v>
      </c>
      <c r="BP394" s="1" t="s">
        <v>74</v>
      </c>
      <c r="BQ394" s="1" t="s">
        <v>74</v>
      </c>
      <c r="BR394" s="1" t="s">
        <v>74</v>
      </c>
      <c r="BS394" s="1" t="s">
        <v>3906</v>
      </c>
      <c r="BT394" s="1" t="str">
        <f>HYPERLINK("https%3A%2F%2Fwww.webofscience.com%2Fwos%2Fwoscc%2Ffull-record%2FWOS:001239556300001","View Full Record in Web of Science")</f>
        <v>View Full Record in Web of Science</v>
      </c>
    </row>
    <row r="395" ht="12.75" customHeight="1">
      <c r="A395" s="1" t="s">
        <v>72</v>
      </c>
      <c r="B395" s="1" t="s">
        <v>3907</v>
      </c>
      <c r="C395" s="1" t="s">
        <v>74</v>
      </c>
      <c r="D395" s="1" t="s">
        <v>74</v>
      </c>
      <c r="E395" s="1" t="s">
        <v>74</v>
      </c>
      <c r="F395" s="1" t="s">
        <v>3908</v>
      </c>
      <c r="G395" s="1" t="s">
        <v>74</v>
      </c>
      <c r="H395" s="1" t="s">
        <v>74</v>
      </c>
      <c r="I395" s="1" t="s">
        <v>3909</v>
      </c>
      <c r="J395" s="1" t="s">
        <v>130</v>
      </c>
      <c r="K395" s="1" t="s">
        <v>74</v>
      </c>
      <c r="L395" s="1" t="s">
        <v>74</v>
      </c>
      <c r="M395" s="1" t="s">
        <v>74</v>
      </c>
      <c r="N395" s="1" t="s">
        <v>74</v>
      </c>
      <c r="O395" s="1" t="s">
        <v>74</v>
      </c>
      <c r="P395" s="1" t="s">
        <v>74</v>
      </c>
      <c r="Q395" s="1" t="s">
        <v>74</v>
      </c>
      <c r="R395" s="1" t="s">
        <v>74</v>
      </c>
      <c r="S395" s="1" t="s">
        <v>74</v>
      </c>
      <c r="T395" s="1" t="s">
        <v>74</v>
      </c>
      <c r="U395" s="1" t="s">
        <v>74</v>
      </c>
      <c r="V395" s="1" t="s">
        <v>3910</v>
      </c>
      <c r="W395" s="1" t="s">
        <v>74</v>
      </c>
      <c r="X395" s="1" t="s">
        <v>74</v>
      </c>
      <c r="Y395" s="1" t="s">
        <v>74</v>
      </c>
      <c r="Z395" s="1" t="s">
        <v>74</v>
      </c>
      <c r="AA395" s="1" t="s">
        <v>307</v>
      </c>
      <c r="AB395" s="1" t="s">
        <v>3911</v>
      </c>
      <c r="AC395" s="1" t="s">
        <v>74</v>
      </c>
      <c r="AD395" s="1" t="s">
        <v>74</v>
      </c>
      <c r="AE395" s="1" t="s">
        <v>74</v>
      </c>
      <c r="AF395" s="1" t="s">
        <v>74</v>
      </c>
      <c r="AG395" s="1" t="s">
        <v>74</v>
      </c>
      <c r="AH395" s="1" t="s">
        <v>74</v>
      </c>
      <c r="AI395" s="1" t="s">
        <v>74</v>
      </c>
      <c r="AJ395" s="1" t="s">
        <v>74</v>
      </c>
      <c r="AK395" s="1" t="s">
        <v>74</v>
      </c>
      <c r="AL395" s="1" t="s">
        <v>74</v>
      </c>
      <c r="AM395" s="1" t="s">
        <v>74</v>
      </c>
      <c r="AN395" s="1" t="s">
        <v>74</v>
      </c>
      <c r="AO395" s="1" t="s">
        <v>133</v>
      </c>
      <c r="AP395" s="1" t="s">
        <v>134</v>
      </c>
      <c r="AQ395" s="1" t="s">
        <v>74</v>
      </c>
      <c r="AR395" s="1" t="s">
        <v>74</v>
      </c>
      <c r="AS395" s="1" t="s">
        <v>74</v>
      </c>
      <c r="AT395" s="1" t="s">
        <v>88</v>
      </c>
      <c r="AU395" s="1">
        <v>2024.0</v>
      </c>
      <c r="AV395" s="1">
        <v>25.0</v>
      </c>
      <c r="AW395" s="1">
        <v>7.0</v>
      </c>
      <c r="AX395" s="1" t="s">
        <v>74</v>
      </c>
      <c r="AY395" s="1" t="s">
        <v>74</v>
      </c>
      <c r="AZ395" s="1" t="s">
        <v>74</v>
      </c>
      <c r="BA395" s="1" t="s">
        <v>74</v>
      </c>
      <c r="BB395" s="1" t="s">
        <v>74</v>
      </c>
      <c r="BC395" s="1" t="s">
        <v>74</v>
      </c>
      <c r="BD395" s="1">
        <v>3700.0</v>
      </c>
      <c r="BE395" s="1" t="s">
        <v>3912</v>
      </c>
      <c r="BF395" s="2" t="str">
        <f>HYPERLINK("http://dx.doi.org/10.3390/ijms25073700","http://dx.doi.org/10.3390/ijms25073700")</f>
        <v>http://dx.doi.org/10.3390/ijms25073700</v>
      </c>
      <c r="BG395" s="1" t="s">
        <v>74</v>
      </c>
      <c r="BH395" s="1" t="s">
        <v>74</v>
      </c>
      <c r="BI395" s="1" t="s">
        <v>74</v>
      </c>
      <c r="BJ395" s="1" t="s">
        <v>74</v>
      </c>
      <c r="BK395" s="1" t="s">
        <v>74</v>
      </c>
      <c r="BL395" s="1" t="s">
        <v>74</v>
      </c>
      <c r="BM395" s="1" t="s">
        <v>74</v>
      </c>
      <c r="BN395" s="1">
        <v>3.8612511E7</v>
      </c>
      <c r="BO395" s="1" t="s">
        <v>74</v>
      </c>
      <c r="BP395" s="1" t="s">
        <v>74</v>
      </c>
      <c r="BQ395" s="1" t="s">
        <v>74</v>
      </c>
      <c r="BR395" s="1" t="s">
        <v>74</v>
      </c>
      <c r="BS395" s="1" t="s">
        <v>3913</v>
      </c>
      <c r="BT395" s="1" t="str">
        <f>HYPERLINK("https%3A%2F%2Fwww.webofscience.com%2Fwos%2Fwoscc%2Ffull-record%2FWOS:001201576600001","View Full Record in Web of Science")</f>
        <v>View Full Record in Web of Science</v>
      </c>
    </row>
    <row r="396" ht="12.75" customHeight="1">
      <c r="A396" s="1" t="s">
        <v>72</v>
      </c>
      <c r="B396" s="1" t="s">
        <v>3914</v>
      </c>
      <c r="C396" s="1" t="s">
        <v>74</v>
      </c>
      <c r="D396" s="1" t="s">
        <v>74</v>
      </c>
      <c r="E396" s="1" t="s">
        <v>74</v>
      </c>
      <c r="F396" s="1" t="s">
        <v>3915</v>
      </c>
      <c r="G396" s="1" t="s">
        <v>74</v>
      </c>
      <c r="H396" s="1" t="s">
        <v>74</v>
      </c>
      <c r="I396" s="1" t="s">
        <v>3916</v>
      </c>
      <c r="J396" s="1" t="s">
        <v>3917</v>
      </c>
      <c r="K396" s="1" t="s">
        <v>74</v>
      </c>
      <c r="L396" s="1" t="s">
        <v>74</v>
      </c>
      <c r="M396" s="1" t="s">
        <v>74</v>
      </c>
      <c r="N396" s="1" t="s">
        <v>74</v>
      </c>
      <c r="O396" s="1" t="s">
        <v>74</v>
      </c>
      <c r="P396" s="1" t="s">
        <v>74</v>
      </c>
      <c r="Q396" s="1" t="s">
        <v>74</v>
      </c>
      <c r="R396" s="1" t="s">
        <v>74</v>
      </c>
      <c r="S396" s="1" t="s">
        <v>74</v>
      </c>
      <c r="T396" s="1" t="s">
        <v>74</v>
      </c>
      <c r="U396" s="1" t="s">
        <v>74</v>
      </c>
      <c r="V396" s="1" t="s">
        <v>3918</v>
      </c>
      <c r="W396" s="1" t="s">
        <v>74</v>
      </c>
      <c r="X396" s="1" t="s">
        <v>74</v>
      </c>
      <c r="Y396" s="1" t="s">
        <v>74</v>
      </c>
      <c r="Z396" s="1" t="s">
        <v>74</v>
      </c>
      <c r="AA396" s="1" t="s">
        <v>3919</v>
      </c>
      <c r="AB396" s="1" t="s">
        <v>3920</v>
      </c>
      <c r="AC396" s="1" t="s">
        <v>74</v>
      </c>
      <c r="AD396" s="1" t="s">
        <v>74</v>
      </c>
      <c r="AE396" s="1" t="s">
        <v>74</v>
      </c>
      <c r="AF396" s="1" t="s">
        <v>74</v>
      </c>
      <c r="AG396" s="1" t="s">
        <v>74</v>
      </c>
      <c r="AH396" s="1" t="s">
        <v>74</v>
      </c>
      <c r="AI396" s="1" t="s">
        <v>74</v>
      </c>
      <c r="AJ396" s="1" t="s">
        <v>74</v>
      </c>
      <c r="AK396" s="1" t="s">
        <v>74</v>
      </c>
      <c r="AL396" s="1" t="s">
        <v>74</v>
      </c>
      <c r="AM396" s="1" t="s">
        <v>74</v>
      </c>
      <c r="AN396" s="1" t="s">
        <v>74</v>
      </c>
      <c r="AO396" s="1" t="s">
        <v>74</v>
      </c>
      <c r="AP396" s="1" t="s">
        <v>3921</v>
      </c>
      <c r="AQ396" s="1" t="s">
        <v>74</v>
      </c>
      <c r="AR396" s="1" t="s">
        <v>74</v>
      </c>
      <c r="AS396" s="1" t="s">
        <v>74</v>
      </c>
      <c r="AT396" s="1" t="s">
        <v>1829</v>
      </c>
      <c r="AU396" s="1">
        <v>2024.0</v>
      </c>
      <c r="AV396" s="1">
        <v>22.0</v>
      </c>
      <c r="AW396" s="1">
        <v>1.0</v>
      </c>
      <c r="AX396" s="1" t="s">
        <v>74</v>
      </c>
      <c r="AY396" s="1" t="s">
        <v>74</v>
      </c>
      <c r="AZ396" s="1" t="s">
        <v>74</v>
      </c>
      <c r="BA396" s="1" t="s">
        <v>74</v>
      </c>
      <c r="BB396" s="1">
        <v>187.0</v>
      </c>
      <c r="BC396" s="1">
        <v>202.0</v>
      </c>
      <c r="BD396" s="1" t="s">
        <v>74</v>
      </c>
      <c r="BE396" s="1" t="s">
        <v>3922</v>
      </c>
      <c r="BF396" s="2" t="str">
        <f>HYPERLINK("http://dx.doi.org/10.21500/22563202.6678","http://dx.doi.org/10.21500/22563202.6678")</f>
        <v>http://dx.doi.org/10.21500/22563202.6678</v>
      </c>
      <c r="BG396" s="1" t="s">
        <v>74</v>
      </c>
      <c r="BH396" s="1" t="s">
        <v>74</v>
      </c>
      <c r="BI396" s="1" t="s">
        <v>74</v>
      </c>
      <c r="BJ396" s="1" t="s">
        <v>74</v>
      </c>
      <c r="BK396" s="1" t="s">
        <v>74</v>
      </c>
      <c r="BL396" s="1" t="s">
        <v>74</v>
      </c>
      <c r="BM396" s="1" t="s">
        <v>74</v>
      </c>
      <c r="BN396" s="1" t="s">
        <v>74</v>
      </c>
      <c r="BO396" s="1" t="s">
        <v>74</v>
      </c>
      <c r="BP396" s="1" t="s">
        <v>74</v>
      </c>
      <c r="BQ396" s="1" t="s">
        <v>74</v>
      </c>
      <c r="BR396" s="1" t="s">
        <v>74</v>
      </c>
      <c r="BS396" s="1" t="s">
        <v>3923</v>
      </c>
      <c r="BT396" s="1" t="str">
        <f>HYPERLINK("https%3A%2F%2Fwww.webofscience.com%2Fwos%2Fwoscc%2Ffull-record%2FWOS:001309429600014","View Full Record in Web of Science")</f>
        <v>View Full Record in Web of Science</v>
      </c>
    </row>
    <row r="397" ht="12.75" customHeight="1">
      <c r="A397" s="1" t="s">
        <v>72</v>
      </c>
      <c r="B397" s="1" t="s">
        <v>3924</v>
      </c>
      <c r="C397" s="1" t="s">
        <v>74</v>
      </c>
      <c r="D397" s="1" t="s">
        <v>74</v>
      </c>
      <c r="E397" s="1" t="s">
        <v>74</v>
      </c>
      <c r="F397" s="1" t="s">
        <v>3925</v>
      </c>
      <c r="G397" s="1" t="s">
        <v>74</v>
      </c>
      <c r="H397" s="1" t="s">
        <v>74</v>
      </c>
      <c r="I397" s="1" t="s">
        <v>3926</v>
      </c>
      <c r="J397" s="1" t="s">
        <v>2313</v>
      </c>
      <c r="K397" s="1" t="s">
        <v>74</v>
      </c>
      <c r="L397" s="1" t="s">
        <v>74</v>
      </c>
      <c r="M397" s="1" t="s">
        <v>74</v>
      </c>
      <c r="N397" s="1" t="s">
        <v>74</v>
      </c>
      <c r="O397" s="1" t="s">
        <v>74</v>
      </c>
      <c r="P397" s="1" t="s">
        <v>74</v>
      </c>
      <c r="Q397" s="1" t="s">
        <v>74</v>
      </c>
      <c r="R397" s="1" t="s">
        <v>74</v>
      </c>
      <c r="S397" s="1" t="s">
        <v>74</v>
      </c>
      <c r="T397" s="1" t="s">
        <v>74</v>
      </c>
      <c r="U397" s="1" t="s">
        <v>74</v>
      </c>
      <c r="V397" s="1" t="s">
        <v>3927</v>
      </c>
      <c r="W397" s="1" t="s">
        <v>74</v>
      </c>
      <c r="X397" s="1" t="s">
        <v>74</v>
      </c>
      <c r="Y397" s="1" t="s">
        <v>74</v>
      </c>
      <c r="Z397" s="1" t="s">
        <v>74</v>
      </c>
      <c r="AA397" s="1" t="s">
        <v>3928</v>
      </c>
      <c r="AB397" s="1" t="s">
        <v>3929</v>
      </c>
      <c r="AC397" s="1" t="s">
        <v>74</v>
      </c>
      <c r="AD397" s="1" t="s">
        <v>74</v>
      </c>
      <c r="AE397" s="1" t="s">
        <v>74</v>
      </c>
      <c r="AF397" s="1" t="s">
        <v>74</v>
      </c>
      <c r="AG397" s="1" t="s">
        <v>74</v>
      </c>
      <c r="AH397" s="1" t="s">
        <v>74</v>
      </c>
      <c r="AI397" s="1" t="s">
        <v>74</v>
      </c>
      <c r="AJ397" s="1" t="s">
        <v>74</v>
      </c>
      <c r="AK397" s="1" t="s">
        <v>74</v>
      </c>
      <c r="AL397" s="1" t="s">
        <v>74</v>
      </c>
      <c r="AM397" s="1" t="s">
        <v>74</v>
      </c>
      <c r="AN397" s="1" t="s">
        <v>74</v>
      </c>
      <c r="AO397" s="1" t="s">
        <v>2317</v>
      </c>
      <c r="AP397" s="1" t="s">
        <v>2318</v>
      </c>
      <c r="AQ397" s="1" t="s">
        <v>74</v>
      </c>
      <c r="AR397" s="1" t="s">
        <v>74</v>
      </c>
      <c r="AS397" s="1" t="s">
        <v>74</v>
      </c>
      <c r="AT397" s="1" t="s">
        <v>3930</v>
      </c>
      <c r="AU397" s="1">
        <v>2023.0</v>
      </c>
      <c r="AV397" s="1">
        <v>844.0</v>
      </c>
      <c r="AW397" s="1" t="s">
        <v>74</v>
      </c>
      <c r="AX397" s="1" t="s">
        <v>74</v>
      </c>
      <c r="AY397" s="1" t="s">
        <v>74</v>
      </c>
      <c r="AZ397" s="1" t="s">
        <v>74</v>
      </c>
      <c r="BA397" s="1" t="s">
        <v>74</v>
      </c>
      <c r="BB397" s="1" t="s">
        <v>74</v>
      </c>
      <c r="BC397" s="1" t="s">
        <v>74</v>
      </c>
      <c r="BD397" s="1">
        <v>138119.0</v>
      </c>
      <c r="BE397" s="1" t="s">
        <v>3931</v>
      </c>
      <c r="BF397" s="2" t="str">
        <f>HYPERLINK("http://dx.doi.org/10.1016/j.physletb.2023.138119","http://dx.doi.org/10.1016/j.physletb.2023.138119")</f>
        <v>http://dx.doi.org/10.1016/j.physletb.2023.138119</v>
      </c>
      <c r="BG397" s="1" t="s">
        <v>74</v>
      </c>
      <c r="BH397" s="1" t="s">
        <v>3932</v>
      </c>
      <c r="BI397" s="1" t="s">
        <v>74</v>
      </c>
      <c r="BJ397" s="1" t="s">
        <v>74</v>
      </c>
      <c r="BK397" s="1" t="s">
        <v>74</v>
      </c>
      <c r="BL397" s="1" t="s">
        <v>74</v>
      </c>
      <c r="BM397" s="1" t="s">
        <v>74</v>
      </c>
      <c r="BN397" s="1" t="s">
        <v>74</v>
      </c>
      <c r="BO397" s="1" t="s">
        <v>74</v>
      </c>
      <c r="BP397" s="1" t="s">
        <v>74</v>
      </c>
      <c r="BQ397" s="1" t="s">
        <v>74</v>
      </c>
      <c r="BR397" s="1" t="s">
        <v>74</v>
      </c>
      <c r="BS397" s="1" t="s">
        <v>3933</v>
      </c>
      <c r="BT397" s="1" t="str">
        <f>HYPERLINK("https%3A%2F%2Fwww.webofscience.com%2Fwos%2Fwoscc%2Ffull-record%2FWOS:001122733000001","View Full Record in Web of Science")</f>
        <v>View Full Record in Web of Science</v>
      </c>
    </row>
    <row r="398" ht="12.75" customHeight="1">
      <c r="A398" s="1" t="s">
        <v>72</v>
      </c>
      <c r="B398" s="1" t="s">
        <v>3934</v>
      </c>
      <c r="C398" s="1" t="s">
        <v>74</v>
      </c>
      <c r="D398" s="1" t="s">
        <v>74</v>
      </c>
      <c r="E398" s="1" t="s">
        <v>74</v>
      </c>
      <c r="F398" s="1" t="s">
        <v>3935</v>
      </c>
      <c r="G398" s="1" t="s">
        <v>74</v>
      </c>
      <c r="H398" s="1" t="s">
        <v>74</v>
      </c>
      <c r="I398" s="1" t="s">
        <v>3936</v>
      </c>
      <c r="J398" s="1" t="s">
        <v>2272</v>
      </c>
      <c r="K398" s="1" t="s">
        <v>74</v>
      </c>
      <c r="L398" s="1" t="s">
        <v>74</v>
      </c>
      <c r="M398" s="1" t="s">
        <v>74</v>
      </c>
      <c r="N398" s="1" t="s">
        <v>74</v>
      </c>
      <c r="O398" s="1" t="s">
        <v>74</v>
      </c>
      <c r="P398" s="1" t="s">
        <v>74</v>
      </c>
      <c r="Q398" s="1" t="s">
        <v>74</v>
      </c>
      <c r="R398" s="1" t="s">
        <v>74</v>
      </c>
      <c r="S398" s="1" t="s">
        <v>74</v>
      </c>
      <c r="T398" s="1" t="s">
        <v>74</v>
      </c>
      <c r="U398" s="1" t="s">
        <v>74</v>
      </c>
      <c r="V398" s="1" t="s">
        <v>3937</v>
      </c>
      <c r="W398" s="1" t="s">
        <v>74</v>
      </c>
      <c r="X398" s="1" t="s">
        <v>74</v>
      </c>
      <c r="Y398" s="1" t="s">
        <v>74</v>
      </c>
      <c r="Z398" s="1" t="s">
        <v>74</v>
      </c>
      <c r="AA398" s="1" t="s">
        <v>3938</v>
      </c>
      <c r="AB398" s="1" t="s">
        <v>3939</v>
      </c>
      <c r="AC398" s="1" t="s">
        <v>74</v>
      </c>
      <c r="AD398" s="1" t="s">
        <v>74</v>
      </c>
      <c r="AE398" s="1" t="s">
        <v>74</v>
      </c>
      <c r="AF398" s="1" t="s">
        <v>74</v>
      </c>
      <c r="AG398" s="1" t="s">
        <v>74</v>
      </c>
      <c r="AH398" s="1" t="s">
        <v>74</v>
      </c>
      <c r="AI398" s="1" t="s">
        <v>74</v>
      </c>
      <c r="AJ398" s="1" t="s">
        <v>74</v>
      </c>
      <c r="AK398" s="1" t="s">
        <v>74</v>
      </c>
      <c r="AL398" s="1" t="s">
        <v>74</v>
      </c>
      <c r="AM398" s="1" t="s">
        <v>74</v>
      </c>
      <c r="AN398" s="1" t="s">
        <v>74</v>
      </c>
      <c r="AO398" s="1" t="s">
        <v>2275</v>
      </c>
      <c r="AP398" s="1" t="s">
        <v>2276</v>
      </c>
      <c r="AQ398" s="1" t="s">
        <v>74</v>
      </c>
      <c r="AR398" s="1" t="s">
        <v>74</v>
      </c>
      <c r="AS398" s="1" t="s">
        <v>74</v>
      </c>
      <c r="AT398" s="1" t="s">
        <v>110</v>
      </c>
      <c r="AU398" s="1">
        <v>2023.0</v>
      </c>
      <c r="AV398" s="1">
        <v>358.0</v>
      </c>
      <c r="AW398" s="1" t="s">
        <v>74</v>
      </c>
      <c r="AX398" s="1" t="s">
        <v>74</v>
      </c>
      <c r="AY398" s="1" t="s">
        <v>74</v>
      </c>
      <c r="AZ398" s="1" t="s">
        <v>74</v>
      </c>
      <c r="BA398" s="1" t="s">
        <v>74</v>
      </c>
      <c r="BB398" s="1" t="s">
        <v>74</v>
      </c>
      <c r="BC398" s="1" t="s">
        <v>74</v>
      </c>
      <c r="BD398" s="1">
        <v>111687.0</v>
      </c>
      <c r="BE398" s="1" t="s">
        <v>3940</v>
      </c>
      <c r="BF398" s="2" t="str">
        <f>HYPERLINK("http://dx.doi.org/10.1016/j.jfoodeng.2023.111687","http://dx.doi.org/10.1016/j.jfoodeng.2023.111687")</f>
        <v>http://dx.doi.org/10.1016/j.jfoodeng.2023.111687</v>
      </c>
      <c r="BG398" s="1" t="s">
        <v>74</v>
      </c>
      <c r="BH398" s="1" t="s">
        <v>3932</v>
      </c>
      <c r="BI398" s="1" t="s">
        <v>74</v>
      </c>
      <c r="BJ398" s="1" t="s">
        <v>74</v>
      </c>
      <c r="BK398" s="1" t="s">
        <v>74</v>
      </c>
      <c r="BL398" s="1" t="s">
        <v>74</v>
      </c>
      <c r="BM398" s="1" t="s">
        <v>74</v>
      </c>
      <c r="BN398" s="1" t="s">
        <v>74</v>
      </c>
      <c r="BO398" s="1" t="s">
        <v>74</v>
      </c>
      <c r="BP398" s="1" t="s">
        <v>74</v>
      </c>
      <c r="BQ398" s="1" t="s">
        <v>74</v>
      </c>
      <c r="BR398" s="1" t="s">
        <v>74</v>
      </c>
      <c r="BS398" s="1" t="s">
        <v>3941</v>
      </c>
      <c r="BT398" s="1" t="str">
        <f>HYPERLINK("https%3A%2F%2Fwww.webofscience.com%2Fwos%2Fwoscc%2Ffull-record%2FWOS:001065345700001","View Full Record in Web of Science")</f>
        <v>View Full Record in Web of Science</v>
      </c>
    </row>
    <row r="399" ht="12.75" customHeight="1">
      <c r="A399" s="1" t="s">
        <v>72</v>
      </c>
      <c r="B399" s="1" t="s">
        <v>3942</v>
      </c>
      <c r="C399" s="1" t="s">
        <v>74</v>
      </c>
      <c r="D399" s="1" t="s">
        <v>74</v>
      </c>
      <c r="E399" s="1" t="s">
        <v>74</v>
      </c>
      <c r="F399" s="1" t="s">
        <v>3943</v>
      </c>
      <c r="G399" s="1" t="s">
        <v>74</v>
      </c>
      <c r="H399" s="1" t="s">
        <v>74</v>
      </c>
      <c r="I399" s="1" t="s">
        <v>3944</v>
      </c>
      <c r="J399" s="1" t="s">
        <v>3945</v>
      </c>
      <c r="K399" s="1" t="s">
        <v>74</v>
      </c>
      <c r="L399" s="1" t="s">
        <v>74</v>
      </c>
      <c r="M399" s="1" t="s">
        <v>74</v>
      </c>
      <c r="N399" s="1" t="s">
        <v>74</v>
      </c>
      <c r="O399" s="1" t="s">
        <v>74</v>
      </c>
      <c r="P399" s="1" t="s">
        <v>74</v>
      </c>
      <c r="Q399" s="1" t="s">
        <v>74</v>
      </c>
      <c r="R399" s="1" t="s">
        <v>74</v>
      </c>
      <c r="S399" s="1" t="s">
        <v>74</v>
      </c>
      <c r="T399" s="1" t="s">
        <v>74</v>
      </c>
      <c r="U399" s="1" t="s">
        <v>74</v>
      </c>
      <c r="V399" s="1" t="s">
        <v>3946</v>
      </c>
      <c r="W399" s="1" t="s">
        <v>74</v>
      </c>
      <c r="X399" s="1" t="s">
        <v>74</v>
      </c>
      <c r="Y399" s="1" t="s">
        <v>74</v>
      </c>
      <c r="Z399" s="1" t="s">
        <v>74</v>
      </c>
      <c r="AA399" s="1" t="s">
        <v>3947</v>
      </c>
      <c r="AB399" s="1" t="s">
        <v>3948</v>
      </c>
      <c r="AC399" s="1" t="s">
        <v>74</v>
      </c>
      <c r="AD399" s="1" t="s">
        <v>74</v>
      </c>
      <c r="AE399" s="1" t="s">
        <v>74</v>
      </c>
      <c r="AF399" s="1" t="s">
        <v>74</v>
      </c>
      <c r="AG399" s="1" t="s">
        <v>74</v>
      </c>
      <c r="AH399" s="1" t="s">
        <v>74</v>
      </c>
      <c r="AI399" s="1" t="s">
        <v>74</v>
      </c>
      <c r="AJ399" s="1" t="s">
        <v>74</v>
      </c>
      <c r="AK399" s="1" t="s">
        <v>74</v>
      </c>
      <c r="AL399" s="1" t="s">
        <v>74</v>
      </c>
      <c r="AM399" s="1" t="s">
        <v>74</v>
      </c>
      <c r="AN399" s="1" t="s">
        <v>74</v>
      </c>
      <c r="AO399" s="1" t="s">
        <v>3949</v>
      </c>
      <c r="AP399" s="1" t="s">
        <v>74</v>
      </c>
      <c r="AQ399" s="1" t="s">
        <v>74</v>
      </c>
      <c r="AR399" s="1" t="s">
        <v>74</v>
      </c>
      <c r="AS399" s="1" t="s">
        <v>74</v>
      </c>
      <c r="AT399" s="1" t="s">
        <v>3950</v>
      </c>
      <c r="AU399" s="1">
        <v>2023.0</v>
      </c>
      <c r="AV399" s="1">
        <v>10.0</v>
      </c>
      <c r="AW399" s="1">
        <v>13.0</v>
      </c>
      <c r="AX399" s="1" t="s">
        <v>74</v>
      </c>
      <c r="AY399" s="1" t="s">
        <v>74</v>
      </c>
      <c r="AZ399" s="1" t="s">
        <v>74</v>
      </c>
      <c r="BA399" s="1" t="s">
        <v>74</v>
      </c>
      <c r="BB399" s="1">
        <v>3231.0</v>
      </c>
      <c r="BC399" s="1">
        <v>3238.0</v>
      </c>
      <c r="BD399" s="1" t="s">
        <v>74</v>
      </c>
      <c r="BE399" s="1" t="s">
        <v>3951</v>
      </c>
      <c r="BF399" s="2" t="str">
        <f>HYPERLINK("http://dx.doi.org/10.1039/d3qo00648d","http://dx.doi.org/10.1039/d3qo00648d")</f>
        <v>http://dx.doi.org/10.1039/d3qo00648d</v>
      </c>
      <c r="BG399" s="1" t="s">
        <v>74</v>
      </c>
      <c r="BH399" s="1" t="s">
        <v>1802</v>
      </c>
      <c r="BI399" s="1" t="s">
        <v>74</v>
      </c>
      <c r="BJ399" s="1" t="s">
        <v>74</v>
      </c>
      <c r="BK399" s="1" t="s">
        <v>74</v>
      </c>
      <c r="BL399" s="1" t="s">
        <v>74</v>
      </c>
      <c r="BM399" s="1" t="s">
        <v>74</v>
      </c>
      <c r="BN399" s="1" t="s">
        <v>74</v>
      </c>
      <c r="BO399" s="1" t="s">
        <v>74</v>
      </c>
      <c r="BP399" s="1" t="s">
        <v>74</v>
      </c>
      <c r="BQ399" s="1" t="s">
        <v>74</v>
      </c>
      <c r="BR399" s="1" t="s">
        <v>74</v>
      </c>
      <c r="BS399" s="1" t="s">
        <v>3952</v>
      </c>
      <c r="BT399" s="1" t="str">
        <f>HYPERLINK("https%3A%2F%2Fwww.webofscience.com%2Fwos%2Fwoscc%2Ffull-record%2FWOS:000997422700001","View Full Record in Web of Science")</f>
        <v>View Full Record in Web of Science</v>
      </c>
    </row>
    <row r="400" ht="12.75" customHeight="1">
      <c r="A400" s="1" t="s">
        <v>72</v>
      </c>
      <c r="B400" s="1" t="s">
        <v>3953</v>
      </c>
      <c r="C400" s="1" t="s">
        <v>74</v>
      </c>
      <c r="D400" s="1" t="s">
        <v>74</v>
      </c>
      <c r="E400" s="1" t="s">
        <v>74</v>
      </c>
      <c r="F400" s="1" t="s">
        <v>3954</v>
      </c>
      <c r="G400" s="1" t="s">
        <v>74</v>
      </c>
      <c r="H400" s="1" t="s">
        <v>74</v>
      </c>
      <c r="I400" s="1" t="s">
        <v>3955</v>
      </c>
      <c r="J400" s="1" t="s">
        <v>2524</v>
      </c>
      <c r="K400" s="1" t="s">
        <v>74</v>
      </c>
      <c r="L400" s="1" t="s">
        <v>74</v>
      </c>
      <c r="M400" s="1" t="s">
        <v>74</v>
      </c>
      <c r="N400" s="1" t="s">
        <v>74</v>
      </c>
      <c r="O400" s="1" t="s">
        <v>74</v>
      </c>
      <c r="P400" s="1" t="s">
        <v>74</v>
      </c>
      <c r="Q400" s="1" t="s">
        <v>74</v>
      </c>
      <c r="R400" s="1" t="s">
        <v>74</v>
      </c>
      <c r="S400" s="1" t="s">
        <v>74</v>
      </c>
      <c r="T400" s="1" t="s">
        <v>74</v>
      </c>
      <c r="U400" s="1" t="s">
        <v>74</v>
      </c>
      <c r="V400" s="1" t="s">
        <v>3956</v>
      </c>
      <c r="W400" s="1" t="s">
        <v>74</v>
      </c>
      <c r="X400" s="1" t="s">
        <v>74</v>
      </c>
      <c r="Y400" s="1" t="s">
        <v>74</v>
      </c>
      <c r="Z400" s="1" t="s">
        <v>74</v>
      </c>
      <c r="AA400" s="1" t="s">
        <v>3957</v>
      </c>
      <c r="AB400" s="1" t="s">
        <v>3958</v>
      </c>
      <c r="AC400" s="1" t="s">
        <v>74</v>
      </c>
      <c r="AD400" s="1" t="s">
        <v>74</v>
      </c>
      <c r="AE400" s="1" t="s">
        <v>74</v>
      </c>
      <c r="AF400" s="1" t="s">
        <v>74</v>
      </c>
      <c r="AG400" s="1" t="s">
        <v>74</v>
      </c>
      <c r="AH400" s="1" t="s">
        <v>74</v>
      </c>
      <c r="AI400" s="1" t="s">
        <v>74</v>
      </c>
      <c r="AJ400" s="1" t="s">
        <v>74</v>
      </c>
      <c r="AK400" s="1" t="s">
        <v>74</v>
      </c>
      <c r="AL400" s="1" t="s">
        <v>74</v>
      </c>
      <c r="AM400" s="1" t="s">
        <v>74</v>
      </c>
      <c r="AN400" s="1" t="s">
        <v>74</v>
      </c>
      <c r="AO400" s="1" t="s">
        <v>74</v>
      </c>
      <c r="AP400" s="1" t="s">
        <v>2528</v>
      </c>
      <c r="AQ400" s="1" t="s">
        <v>74</v>
      </c>
      <c r="AR400" s="1" t="s">
        <v>74</v>
      </c>
      <c r="AS400" s="1" t="s">
        <v>74</v>
      </c>
      <c r="AT400" s="1" t="s">
        <v>88</v>
      </c>
      <c r="AU400" s="1">
        <v>2023.0</v>
      </c>
      <c r="AV400" s="1">
        <v>13.0</v>
      </c>
      <c r="AW400" s="1">
        <v>4.0</v>
      </c>
      <c r="AX400" s="1" t="s">
        <v>74</v>
      </c>
      <c r="AY400" s="1" t="s">
        <v>74</v>
      </c>
      <c r="AZ400" s="1" t="s">
        <v>74</v>
      </c>
      <c r="BA400" s="1" t="s">
        <v>74</v>
      </c>
      <c r="BB400" s="1" t="s">
        <v>74</v>
      </c>
      <c r="BC400" s="1" t="s">
        <v>74</v>
      </c>
      <c r="BD400" s="1">
        <v>486.0</v>
      </c>
      <c r="BE400" s="1" t="s">
        <v>3959</v>
      </c>
      <c r="BF400" s="2" t="str">
        <f>HYPERLINK("http://dx.doi.org/10.3390/min13040486","http://dx.doi.org/10.3390/min13040486")</f>
        <v>http://dx.doi.org/10.3390/min13040486</v>
      </c>
      <c r="BG400" s="1" t="s">
        <v>74</v>
      </c>
      <c r="BH400" s="1" t="s">
        <v>74</v>
      </c>
      <c r="BI400" s="1" t="s">
        <v>74</v>
      </c>
      <c r="BJ400" s="1" t="s">
        <v>74</v>
      </c>
      <c r="BK400" s="1" t="s">
        <v>74</v>
      </c>
      <c r="BL400" s="1" t="s">
        <v>74</v>
      </c>
      <c r="BM400" s="1" t="s">
        <v>74</v>
      </c>
      <c r="BN400" s="1" t="s">
        <v>74</v>
      </c>
      <c r="BO400" s="1" t="s">
        <v>74</v>
      </c>
      <c r="BP400" s="1" t="s">
        <v>74</v>
      </c>
      <c r="BQ400" s="1" t="s">
        <v>74</v>
      </c>
      <c r="BR400" s="1" t="s">
        <v>74</v>
      </c>
      <c r="BS400" s="1" t="s">
        <v>3960</v>
      </c>
      <c r="BT400" s="1" t="str">
        <f>HYPERLINK("https%3A%2F%2Fwww.webofscience.com%2Fwos%2Fwoscc%2Ffull-record%2FWOS:000976453500001","View Full Record in Web of Science")</f>
        <v>View Full Record in Web of Science</v>
      </c>
    </row>
    <row r="401" ht="12.75" customHeight="1">
      <c r="A401" s="1" t="s">
        <v>72</v>
      </c>
      <c r="B401" s="1" t="s">
        <v>3961</v>
      </c>
      <c r="C401" s="1" t="s">
        <v>74</v>
      </c>
      <c r="D401" s="1" t="s">
        <v>74</v>
      </c>
      <c r="E401" s="1" t="s">
        <v>74</v>
      </c>
      <c r="F401" s="1" t="s">
        <v>3962</v>
      </c>
      <c r="G401" s="1" t="s">
        <v>74</v>
      </c>
      <c r="H401" s="1" t="s">
        <v>74</v>
      </c>
      <c r="I401" s="1" t="s">
        <v>3963</v>
      </c>
      <c r="J401" s="1" t="s">
        <v>3964</v>
      </c>
      <c r="K401" s="1" t="s">
        <v>74</v>
      </c>
      <c r="L401" s="1" t="s">
        <v>74</v>
      </c>
      <c r="M401" s="1" t="s">
        <v>74</v>
      </c>
      <c r="N401" s="1" t="s">
        <v>74</v>
      </c>
      <c r="O401" s="1" t="s">
        <v>74</v>
      </c>
      <c r="P401" s="1" t="s">
        <v>74</v>
      </c>
      <c r="Q401" s="1" t="s">
        <v>74</v>
      </c>
      <c r="R401" s="1" t="s">
        <v>74</v>
      </c>
      <c r="S401" s="1" t="s">
        <v>74</v>
      </c>
      <c r="T401" s="1" t="s">
        <v>74</v>
      </c>
      <c r="U401" s="1" t="s">
        <v>74</v>
      </c>
      <c r="V401" s="1" t="s">
        <v>3965</v>
      </c>
      <c r="W401" s="1" t="s">
        <v>74</v>
      </c>
      <c r="X401" s="1" t="s">
        <v>74</v>
      </c>
      <c r="Y401" s="1" t="s">
        <v>74</v>
      </c>
      <c r="Z401" s="1" t="s">
        <v>74</v>
      </c>
      <c r="AA401" s="1" t="s">
        <v>3966</v>
      </c>
      <c r="AB401" s="1" t="s">
        <v>3967</v>
      </c>
      <c r="AC401" s="1" t="s">
        <v>74</v>
      </c>
      <c r="AD401" s="1" t="s">
        <v>74</v>
      </c>
      <c r="AE401" s="1" t="s">
        <v>74</v>
      </c>
      <c r="AF401" s="1" t="s">
        <v>74</v>
      </c>
      <c r="AG401" s="1" t="s">
        <v>74</v>
      </c>
      <c r="AH401" s="1" t="s">
        <v>74</v>
      </c>
      <c r="AI401" s="1" t="s">
        <v>74</v>
      </c>
      <c r="AJ401" s="1" t="s">
        <v>74</v>
      </c>
      <c r="AK401" s="1" t="s">
        <v>74</v>
      </c>
      <c r="AL401" s="1" t="s">
        <v>74</v>
      </c>
      <c r="AM401" s="1" t="s">
        <v>74</v>
      </c>
      <c r="AN401" s="1" t="s">
        <v>74</v>
      </c>
      <c r="AO401" s="1" t="s">
        <v>74</v>
      </c>
      <c r="AP401" s="1" t="s">
        <v>3968</v>
      </c>
      <c r="AQ401" s="1" t="s">
        <v>74</v>
      </c>
      <c r="AR401" s="1" t="s">
        <v>74</v>
      </c>
      <c r="AS401" s="1" t="s">
        <v>74</v>
      </c>
      <c r="AT401" s="1" t="s">
        <v>650</v>
      </c>
      <c r="AU401" s="1">
        <v>2023.0</v>
      </c>
      <c r="AV401" s="1">
        <v>15.0</v>
      </c>
      <c r="AW401" s="1">
        <v>5.0</v>
      </c>
      <c r="AX401" s="1" t="s">
        <v>74</v>
      </c>
      <c r="AY401" s="1" t="s">
        <v>74</v>
      </c>
      <c r="AZ401" s="1" t="s">
        <v>74</v>
      </c>
      <c r="BA401" s="1" t="s">
        <v>74</v>
      </c>
      <c r="BB401" s="1" t="s">
        <v>74</v>
      </c>
      <c r="BC401" s="1" t="s">
        <v>74</v>
      </c>
      <c r="BD401" s="1">
        <v>1079.0</v>
      </c>
      <c r="BE401" s="1" t="s">
        <v>3969</v>
      </c>
      <c r="BF401" s="2" t="str">
        <f>HYPERLINK("http://dx.doi.org/10.3390/polym15051079","http://dx.doi.org/10.3390/polym15051079")</f>
        <v>http://dx.doi.org/10.3390/polym15051079</v>
      </c>
      <c r="BG401" s="1" t="s">
        <v>74</v>
      </c>
      <c r="BH401" s="1" t="s">
        <v>74</v>
      </c>
      <c r="BI401" s="1" t="s">
        <v>74</v>
      </c>
      <c r="BJ401" s="1" t="s">
        <v>74</v>
      </c>
      <c r="BK401" s="1" t="s">
        <v>74</v>
      </c>
      <c r="BL401" s="1" t="s">
        <v>74</v>
      </c>
      <c r="BM401" s="1" t="s">
        <v>74</v>
      </c>
      <c r="BN401" s="1">
        <v>3.6904322E7</v>
      </c>
      <c r="BO401" s="1" t="s">
        <v>74</v>
      </c>
      <c r="BP401" s="1" t="s">
        <v>74</v>
      </c>
      <c r="BQ401" s="1" t="s">
        <v>74</v>
      </c>
      <c r="BR401" s="1" t="s">
        <v>74</v>
      </c>
      <c r="BS401" s="1" t="s">
        <v>3970</v>
      </c>
      <c r="BT401" s="1" t="str">
        <f>HYPERLINK("https%3A%2F%2Fwww.webofscience.com%2Fwos%2Fwoscc%2Ffull-record%2FWOS:000947480000001","View Full Record in Web of Science")</f>
        <v>View Full Record in Web of Science</v>
      </c>
    </row>
    <row r="402" ht="12.75" customHeight="1">
      <c r="A402" s="1" t="s">
        <v>72</v>
      </c>
      <c r="B402" s="1" t="s">
        <v>3971</v>
      </c>
      <c r="C402" s="1" t="s">
        <v>74</v>
      </c>
      <c r="D402" s="1" t="s">
        <v>74</v>
      </c>
      <c r="E402" s="1" t="s">
        <v>74</v>
      </c>
      <c r="F402" s="1" t="s">
        <v>3972</v>
      </c>
      <c r="G402" s="1" t="s">
        <v>74</v>
      </c>
      <c r="H402" s="1" t="s">
        <v>74</v>
      </c>
      <c r="I402" s="1" t="s">
        <v>3973</v>
      </c>
      <c r="J402" s="1" t="s">
        <v>3974</v>
      </c>
      <c r="K402" s="1" t="s">
        <v>74</v>
      </c>
      <c r="L402" s="1" t="s">
        <v>74</v>
      </c>
      <c r="M402" s="1" t="s">
        <v>74</v>
      </c>
      <c r="N402" s="1" t="s">
        <v>74</v>
      </c>
      <c r="O402" s="1" t="s">
        <v>74</v>
      </c>
      <c r="P402" s="1" t="s">
        <v>74</v>
      </c>
      <c r="Q402" s="1" t="s">
        <v>74</v>
      </c>
      <c r="R402" s="1" t="s">
        <v>74</v>
      </c>
      <c r="S402" s="1" t="s">
        <v>74</v>
      </c>
      <c r="T402" s="1" t="s">
        <v>74</v>
      </c>
      <c r="U402" s="1" t="s">
        <v>74</v>
      </c>
      <c r="V402" s="1" t="s">
        <v>3975</v>
      </c>
      <c r="W402" s="1" t="s">
        <v>74</v>
      </c>
      <c r="X402" s="1" t="s">
        <v>74</v>
      </c>
      <c r="Y402" s="1" t="s">
        <v>74</v>
      </c>
      <c r="Z402" s="1" t="s">
        <v>74</v>
      </c>
      <c r="AA402" s="1" t="s">
        <v>74</v>
      </c>
      <c r="AB402" s="1" t="s">
        <v>74</v>
      </c>
      <c r="AC402" s="1" t="s">
        <v>74</v>
      </c>
      <c r="AD402" s="1" t="s">
        <v>74</v>
      </c>
      <c r="AE402" s="1" t="s">
        <v>74</v>
      </c>
      <c r="AF402" s="1" t="s">
        <v>74</v>
      </c>
      <c r="AG402" s="1" t="s">
        <v>74</v>
      </c>
      <c r="AH402" s="1" t="s">
        <v>74</v>
      </c>
      <c r="AI402" s="1" t="s">
        <v>74</v>
      </c>
      <c r="AJ402" s="1" t="s">
        <v>74</v>
      </c>
      <c r="AK402" s="1" t="s">
        <v>74</v>
      </c>
      <c r="AL402" s="1" t="s">
        <v>74</v>
      </c>
      <c r="AM402" s="1" t="s">
        <v>74</v>
      </c>
      <c r="AN402" s="1" t="s">
        <v>74</v>
      </c>
      <c r="AO402" s="1" t="s">
        <v>3976</v>
      </c>
      <c r="AP402" s="1" t="s">
        <v>3977</v>
      </c>
      <c r="AQ402" s="1" t="s">
        <v>74</v>
      </c>
      <c r="AR402" s="1" t="s">
        <v>74</v>
      </c>
      <c r="AS402" s="1" t="s">
        <v>74</v>
      </c>
      <c r="AT402" s="1" t="s">
        <v>110</v>
      </c>
      <c r="AU402" s="1">
        <v>2022.0</v>
      </c>
      <c r="AV402" s="1" t="s">
        <v>74</v>
      </c>
      <c r="AW402" s="1">
        <v>39.0</v>
      </c>
      <c r="AX402" s="1" t="s">
        <v>74</v>
      </c>
      <c r="AY402" s="1" t="s">
        <v>74</v>
      </c>
      <c r="AZ402" s="1" t="s">
        <v>74</v>
      </c>
      <c r="BA402" s="1" t="s">
        <v>74</v>
      </c>
      <c r="BB402" s="1">
        <v>37.0</v>
      </c>
      <c r="BC402" s="1">
        <v>77.0</v>
      </c>
      <c r="BD402" s="1" t="s">
        <v>74</v>
      </c>
      <c r="BE402" s="1" t="s">
        <v>3978</v>
      </c>
      <c r="BF402" s="2" t="str">
        <f>HYPERLINK("http://dx.doi.org/10.29344/07180772.39.3127","http://dx.doi.org/10.29344/07180772.39.3127")</f>
        <v>http://dx.doi.org/10.29344/07180772.39.3127</v>
      </c>
      <c r="BG402" s="1" t="s">
        <v>74</v>
      </c>
      <c r="BH402" s="1" t="s">
        <v>74</v>
      </c>
      <c r="BI402" s="1" t="s">
        <v>74</v>
      </c>
      <c r="BJ402" s="1" t="s">
        <v>74</v>
      </c>
      <c r="BK402" s="1" t="s">
        <v>74</v>
      </c>
      <c r="BL402" s="1" t="s">
        <v>74</v>
      </c>
      <c r="BM402" s="1" t="s">
        <v>74</v>
      </c>
      <c r="BN402" s="1" t="s">
        <v>74</v>
      </c>
      <c r="BO402" s="1" t="s">
        <v>74</v>
      </c>
      <c r="BP402" s="1" t="s">
        <v>74</v>
      </c>
      <c r="BQ402" s="1" t="s">
        <v>74</v>
      </c>
      <c r="BR402" s="1" t="s">
        <v>74</v>
      </c>
      <c r="BS402" s="1" t="s">
        <v>3979</v>
      </c>
      <c r="BT402" s="1" t="str">
        <f>HYPERLINK("https%3A%2F%2Fwww.webofscience.com%2Fwos%2Fwoscc%2Ffull-record%2FWOS:000917257300002","View Full Record in Web of Science")</f>
        <v>View Full Record in Web of Science</v>
      </c>
    </row>
    <row r="403" ht="12.75" customHeight="1">
      <c r="A403" s="1" t="s">
        <v>72</v>
      </c>
      <c r="B403" s="1" t="s">
        <v>3980</v>
      </c>
      <c r="C403" s="1" t="s">
        <v>74</v>
      </c>
      <c r="D403" s="1" t="s">
        <v>74</v>
      </c>
      <c r="E403" s="1" t="s">
        <v>74</v>
      </c>
      <c r="F403" s="1" t="s">
        <v>3981</v>
      </c>
      <c r="G403" s="1" t="s">
        <v>74</v>
      </c>
      <c r="H403" s="1" t="s">
        <v>74</v>
      </c>
      <c r="I403" s="1" t="s">
        <v>3982</v>
      </c>
      <c r="J403" s="1" t="s">
        <v>3416</v>
      </c>
      <c r="K403" s="1" t="s">
        <v>74</v>
      </c>
      <c r="L403" s="1" t="s">
        <v>74</v>
      </c>
      <c r="M403" s="1" t="s">
        <v>74</v>
      </c>
      <c r="N403" s="1" t="s">
        <v>74</v>
      </c>
      <c r="O403" s="1" t="s">
        <v>74</v>
      </c>
      <c r="P403" s="1" t="s">
        <v>74</v>
      </c>
      <c r="Q403" s="1" t="s">
        <v>74</v>
      </c>
      <c r="R403" s="1" t="s">
        <v>74</v>
      </c>
      <c r="S403" s="1" t="s">
        <v>74</v>
      </c>
      <c r="T403" s="1" t="s">
        <v>74</v>
      </c>
      <c r="U403" s="1" t="s">
        <v>74</v>
      </c>
      <c r="V403" s="1" t="s">
        <v>74</v>
      </c>
      <c r="W403" s="1" t="s">
        <v>74</v>
      </c>
      <c r="X403" s="1" t="s">
        <v>74</v>
      </c>
      <c r="Y403" s="1" t="s">
        <v>74</v>
      </c>
      <c r="Z403" s="1" t="s">
        <v>74</v>
      </c>
      <c r="AA403" s="1" t="s">
        <v>3983</v>
      </c>
      <c r="AB403" s="1" t="s">
        <v>3984</v>
      </c>
      <c r="AC403" s="1" t="s">
        <v>74</v>
      </c>
      <c r="AD403" s="1" t="s">
        <v>74</v>
      </c>
      <c r="AE403" s="1" t="s">
        <v>74</v>
      </c>
      <c r="AF403" s="1" t="s">
        <v>74</v>
      </c>
      <c r="AG403" s="1" t="s">
        <v>74</v>
      </c>
      <c r="AH403" s="1" t="s">
        <v>74</v>
      </c>
      <c r="AI403" s="1" t="s">
        <v>74</v>
      </c>
      <c r="AJ403" s="1" t="s">
        <v>74</v>
      </c>
      <c r="AK403" s="1" t="s">
        <v>74</v>
      </c>
      <c r="AL403" s="1" t="s">
        <v>74</v>
      </c>
      <c r="AM403" s="1" t="s">
        <v>74</v>
      </c>
      <c r="AN403" s="1" t="s">
        <v>74</v>
      </c>
      <c r="AO403" s="1" t="s">
        <v>3420</v>
      </c>
      <c r="AP403" s="1" t="s">
        <v>3421</v>
      </c>
      <c r="AQ403" s="1" t="s">
        <v>74</v>
      </c>
      <c r="AR403" s="1" t="s">
        <v>74</v>
      </c>
      <c r="AS403" s="1" t="s">
        <v>74</v>
      </c>
      <c r="AT403" s="1" t="s">
        <v>110</v>
      </c>
      <c r="AU403" s="1">
        <v>2022.0</v>
      </c>
      <c r="AV403" s="1">
        <v>131.0</v>
      </c>
      <c r="AW403" s="1" t="s">
        <v>74</v>
      </c>
      <c r="AX403" s="1" t="s">
        <v>74</v>
      </c>
      <c r="AY403" s="1" t="s">
        <v>74</v>
      </c>
      <c r="AZ403" s="1" t="s">
        <v>74</v>
      </c>
      <c r="BA403" s="1" t="s">
        <v>3985</v>
      </c>
      <c r="BB403" s="1">
        <v>1319.0</v>
      </c>
      <c r="BC403" s="1">
        <v>1319.0</v>
      </c>
      <c r="BD403" s="1" t="s">
        <v>74</v>
      </c>
      <c r="BE403" s="1" t="s">
        <v>74</v>
      </c>
      <c r="BF403" s="1" t="s">
        <v>74</v>
      </c>
      <c r="BG403" s="1" t="s">
        <v>74</v>
      </c>
      <c r="BH403" s="1" t="s">
        <v>74</v>
      </c>
      <c r="BI403" s="1" t="s">
        <v>74</v>
      </c>
      <c r="BJ403" s="1" t="s">
        <v>74</v>
      </c>
      <c r="BK403" s="1" t="s">
        <v>74</v>
      </c>
      <c r="BL403" s="1" t="s">
        <v>74</v>
      </c>
      <c r="BM403" s="1" t="s">
        <v>74</v>
      </c>
      <c r="BN403" s="1" t="s">
        <v>74</v>
      </c>
      <c r="BO403" s="1" t="s">
        <v>74</v>
      </c>
      <c r="BP403" s="1" t="s">
        <v>74</v>
      </c>
      <c r="BQ403" s="1" t="s">
        <v>74</v>
      </c>
      <c r="BR403" s="1" t="s">
        <v>74</v>
      </c>
      <c r="BS403" s="1" t="s">
        <v>3986</v>
      </c>
      <c r="BT403" s="1" t="str">
        <f>HYPERLINK("https%3A%2F%2Fwww.webofscience.com%2Fwos%2Fwoscc%2Ffull-record%2FWOS:001050952100023","View Full Record in Web of Science")</f>
        <v>View Full Record in Web of Science</v>
      </c>
    </row>
    <row r="404" ht="12.75" customHeight="1">
      <c r="A404" s="1" t="s">
        <v>72</v>
      </c>
      <c r="B404" s="1" t="s">
        <v>3987</v>
      </c>
      <c r="C404" s="1" t="s">
        <v>74</v>
      </c>
      <c r="D404" s="1" t="s">
        <v>74</v>
      </c>
      <c r="E404" s="1" t="s">
        <v>74</v>
      </c>
      <c r="F404" s="1" t="s">
        <v>3988</v>
      </c>
      <c r="G404" s="1" t="s">
        <v>74</v>
      </c>
      <c r="H404" s="1" t="s">
        <v>74</v>
      </c>
      <c r="I404" s="1" t="s">
        <v>3989</v>
      </c>
      <c r="J404" s="1" t="s">
        <v>951</v>
      </c>
      <c r="K404" s="1" t="s">
        <v>74</v>
      </c>
      <c r="L404" s="1" t="s">
        <v>74</v>
      </c>
      <c r="M404" s="1" t="s">
        <v>74</v>
      </c>
      <c r="N404" s="1" t="s">
        <v>74</v>
      </c>
      <c r="O404" s="1" t="s">
        <v>74</v>
      </c>
      <c r="P404" s="1" t="s">
        <v>74</v>
      </c>
      <c r="Q404" s="1" t="s">
        <v>74</v>
      </c>
      <c r="R404" s="1" t="s">
        <v>74</v>
      </c>
      <c r="S404" s="1" t="s">
        <v>74</v>
      </c>
      <c r="T404" s="1" t="s">
        <v>74</v>
      </c>
      <c r="U404" s="1" t="s">
        <v>74</v>
      </c>
      <c r="V404" s="1" t="s">
        <v>3990</v>
      </c>
      <c r="W404" s="1" t="s">
        <v>74</v>
      </c>
      <c r="X404" s="1" t="s">
        <v>74</v>
      </c>
      <c r="Y404" s="1" t="s">
        <v>74</v>
      </c>
      <c r="Z404" s="1" t="s">
        <v>74</v>
      </c>
      <c r="AA404" s="1" t="s">
        <v>74</v>
      </c>
      <c r="AB404" s="1" t="s">
        <v>74</v>
      </c>
      <c r="AC404" s="1" t="s">
        <v>74</v>
      </c>
      <c r="AD404" s="1" t="s">
        <v>74</v>
      </c>
      <c r="AE404" s="1" t="s">
        <v>74</v>
      </c>
      <c r="AF404" s="1" t="s">
        <v>74</v>
      </c>
      <c r="AG404" s="1" t="s">
        <v>74</v>
      </c>
      <c r="AH404" s="1" t="s">
        <v>74</v>
      </c>
      <c r="AI404" s="1" t="s">
        <v>74</v>
      </c>
      <c r="AJ404" s="1" t="s">
        <v>74</v>
      </c>
      <c r="AK404" s="1" t="s">
        <v>74</v>
      </c>
      <c r="AL404" s="1" t="s">
        <v>74</v>
      </c>
      <c r="AM404" s="1" t="s">
        <v>74</v>
      </c>
      <c r="AN404" s="1" t="s">
        <v>74</v>
      </c>
      <c r="AO404" s="1" t="s">
        <v>954</v>
      </c>
      <c r="AP404" s="1" t="s">
        <v>955</v>
      </c>
      <c r="AQ404" s="1" t="s">
        <v>74</v>
      </c>
      <c r="AR404" s="1" t="s">
        <v>74</v>
      </c>
      <c r="AS404" s="1" t="s">
        <v>74</v>
      </c>
      <c r="AT404" s="1" t="s">
        <v>459</v>
      </c>
      <c r="AU404" s="1">
        <v>2022.0</v>
      </c>
      <c r="AV404" s="1" t="s">
        <v>74</v>
      </c>
      <c r="AW404" s="1">
        <v>82.0</v>
      </c>
      <c r="AX404" s="1" t="s">
        <v>74</v>
      </c>
      <c r="AY404" s="1" t="s">
        <v>74</v>
      </c>
      <c r="AZ404" s="1" t="s">
        <v>74</v>
      </c>
      <c r="BA404" s="1" t="s">
        <v>74</v>
      </c>
      <c r="BB404" s="1">
        <v>313.0</v>
      </c>
      <c r="BC404" s="1">
        <v>332.0</v>
      </c>
      <c r="BD404" s="1" t="s">
        <v>74</v>
      </c>
      <c r="BE404" s="1" t="s">
        <v>74</v>
      </c>
      <c r="BF404" s="1" t="s">
        <v>74</v>
      </c>
      <c r="BG404" s="1" t="s">
        <v>74</v>
      </c>
      <c r="BH404" s="1" t="s">
        <v>74</v>
      </c>
      <c r="BI404" s="1" t="s">
        <v>74</v>
      </c>
      <c r="BJ404" s="1" t="s">
        <v>74</v>
      </c>
      <c r="BK404" s="1" t="s">
        <v>74</v>
      </c>
      <c r="BL404" s="1" t="s">
        <v>74</v>
      </c>
      <c r="BM404" s="1" t="s">
        <v>74</v>
      </c>
      <c r="BN404" s="1" t="s">
        <v>74</v>
      </c>
      <c r="BO404" s="1" t="s">
        <v>74</v>
      </c>
      <c r="BP404" s="1" t="s">
        <v>74</v>
      </c>
      <c r="BQ404" s="1" t="s">
        <v>74</v>
      </c>
      <c r="BR404" s="1" t="s">
        <v>74</v>
      </c>
      <c r="BS404" s="1" t="s">
        <v>3991</v>
      </c>
      <c r="BT404" s="1" t="str">
        <f>HYPERLINK("https%3A%2F%2Fwww.webofscience.com%2Fwos%2Fwoscc%2Ffull-record%2FWOS:000852265900017","View Full Record in Web of Science")</f>
        <v>View Full Record in Web of Science</v>
      </c>
    </row>
    <row r="405" ht="12.75" customHeight="1">
      <c r="A405" s="1" t="s">
        <v>72</v>
      </c>
      <c r="B405" s="1" t="s">
        <v>3992</v>
      </c>
      <c r="C405" s="1" t="s">
        <v>74</v>
      </c>
      <c r="D405" s="1" t="s">
        <v>74</v>
      </c>
      <c r="E405" s="1" t="s">
        <v>74</v>
      </c>
      <c r="F405" s="1" t="s">
        <v>3993</v>
      </c>
      <c r="G405" s="1" t="s">
        <v>74</v>
      </c>
      <c r="H405" s="1" t="s">
        <v>74</v>
      </c>
      <c r="I405" s="1" t="s">
        <v>3994</v>
      </c>
      <c r="J405" s="1" t="s">
        <v>3995</v>
      </c>
      <c r="K405" s="1" t="s">
        <v>74</v>
      </c>
      <c r="L405" s="1" t="s">
        <v>74</v>
      </c>
      <c r="M405" s="1" t="s">
        <v>74</v>
      </c>
      <c r="N405" s="1" t="s">
        <v>74</v>
      </c>
      <c r="O405" s="1" t="s">
        <v>74</v>
      </c>
      <c r="P405" s="1" t="s">
        <v>74</v>
      </c>
      <c r="Q405" s="1" t="s">
        <v>74</v>
      </c>
      <c r="R405" s="1" t="s">
        <v>74</v>
      </c>
      <c r="S405" s="1" t="s">
        <v>74</v>
      </c>
      <c r="T405" s="1" t="s">
        <v>74</v>
      </c>
      <c r="U405" s="1" t="s">
        <v>74</v>
      </c>
      <c r="V405" s="1" t="s">
        <v>3996</v>
      </c>
      <c r="W405" s="1" t="s">
        <v>74</v>
      </c>
      <c r="X405" s="1" t="s">
        <v>74</v>
      </c>
      <c r="Y405" s="1" t="s">
        <v>74</v>
      </c>
      <c r="Z405" s="1" t="s">
        <v>74</v>
      </c>
      <c r="AA405" s="1" t="s">
        <v>74</v>
      </c>
      <c r="AB405" s="1" t="s">
        <v>74</v>
      </c>
      <c r="AC405" s="1" t="s">
        <v>74</v>
      </c>
      <c r="AD405" s="1" t="s">
        <v>74</v>
      </c>
      <c r="AE405" s="1" t="s">
        <v>74</v>
      </c>
      <c r="AF405" s="1" t="s">
        <v>74</v>
      </c>
      <c r="AG405" s="1" t="s">
        <v>74</v>
      </c>
      <c r="AH405" s="1" t="s">
        <v>74</v>
      </c>
      <c r="AI405" s="1" t="s">
        <v>74</v>
      </c>
      <c r="AJ405" s="1" t="s">
        <v>74</v>
      </c>
      <c r="AK405" s="1" t="s">
        <v>74</v>
      </c>
      <c r="AL405" s="1" t="s">
        <v>74</v>
      </c>
      <c r="AM405" s="1" t="s">
        <v>74</v>
      </c>
      <c r="AN405" s="1" t="s">
        <v>74</v>
      </c>
      <c r="AO405" s="1" t="s">
        <v>3997</v>
      </c>
      <c r="AP405" s="1" t="s">
        <v>3998</v>
      </c>
      <c r="AQ405" s="1" t="s">
        <v>74</v>
      </c>
      <c r="AR405" s="1" t="s">
        <v>74</v>
      </c>
      <c r="AS405" s="1" t="s">
        <v>74</v>
      </c>
      <c r="AT405" s="1" t="s">
        <v>2668</v>
      </c>
      <c r="AU405" s="1">
        <v>2022.0</v>
      </c>
      <c r="AV405" s="1">
        <v>144.0</v>
      </c>
      <c r="AW405" s="1">
        <v>7.0</v>
      </c>
      <c r="AX405" s="1" t="s">
        <v>74</v>
      </c>
      <c r="AY405" s="1" t="s">
        <v>74</v>
      </c>
      <c r="AZ405" s="1" t="s">
        <v>74</v>
      </c>
      <c r="BA405" s="1" t="s">
        <v>74</v>
      </c>
      <c r="BB405" s="1" t="s">
        <v>74</v>
      </c>
      <c r="BC405" s="1" t="s">
        <v>74</v>
      </c>
      <c r="BD405" s="1">
        <v>71301.0</v>
      </c>
      <c r="BE405" s="1" t="s">
        <v>3999</v>
      </c>
      <c r="BF405" s="2" t="str">
        <f>HYPERLINK("http://dx.doi.org/10.1115/1.4053165","http://dx.doi.org/10.1115/1.4053165")</f>
        <v>http://dx.doi.org/10.1115/1.4053165</v>
      </c>
      <c r="BG405" s="1" t="s">
        <v>74</v>
      </c>
      <c r="BH405" s="1" t="s">
        <v>74</v>
      </c>
      <c r="BI405" s="1" t="s">
        <v>74</v>
      </c>
      <c r="BJ405" s="1" t="s">
        <v>74</v>
      </c>
      <c r="BK405" s="1" t="s">
        <v>74</v>
      </c>
      <c r="BL405" s="1" t="s">
        <v>74</v>
      </c>
      <c r="BM405" s="1" t="s">
        <v>74</v>
      </c>
      <c r="BN405" s="1" t="s">
        <v>74</v>
      </c>
      <c r="BO405" s="1" t="s">
        <v>74</v>
      </c>
      <c r="BP405" s="1" t="s">
        <v>74</v>
      </c>
      <c r="BQ405" s="1" t="s">
        <v>74</v>
      </c>
      <c r="BR405" s="1" t="s">
        <v>74</v>
      </c>
      <c r="BS405" s="1" t="s">
        <v>4000</v>
      </c>
      <c r="BT405" s="1" t="str">
        <f>HYPERLINK("https%3A%2F%2Fwww.webofscience.com%2Fwos%2Fwoscc%2Ffull-record%2FWOS:000799420900009","View Full Record in Web of Science")</f>
        <v>View Full Record in Web of Science</v>
      </c>
    </row>
    <row r="406" ht="12.75" customHeight="1">
      <c r="A406" s="1" t="s">
        <v>72</v>
      </c>
      <c r="B406" s="1" t="s">
        <v>4001</v>
      </c>
      <c r="C406" s="1" t="s">
        <v>74</v>
      </c>
      <c r="D406" s="1" t="s">
        <v>74</v>
      </c>
      <c r="E406" s="1" t="s">
        <v>74</v>
      </c>
      <c r="F406" s="1" t="s">
        <v>4002</v>
      </c>
      <c r="G406" s="1" t="s">
        <v>74</v>
      </c>
      <c r="H406" s="1" t="s">
        <v>74</v>
      </c>
      <c r="I406" s="1" t="s">
        <v>4003</v>
      </c>
      <c r="J406" s="1" t="s">
        <v>481</v>
      </c>
      <c r="K406" s="1" t="s">
        <v>74</v>
      </c>
      <c r="L406" s="1" t="s">
        <v>74</v>
      </c>
      <c r="M406" s="1" t="s">
        <v>74</v>
      </c>
      <c r="N406" s="1" t="s">
        <v>74</v>
      </c>
      <c r="O406" s="1" t="s">
        <v>74</v>
      </c>
      <c r="P406" s="1" t="s">
        <v>74</v>
      </c>
      <c r="Q406" s="1" t="s">
        <v>74</v>
      </c>
      <c r="R406" s="1" t="s">
        <v>74</v>
      </c>
      <c r="S406" s="1" t="s">
        <v>74</v>
      </c>
      <c r="T406" s="1" t="s">
        <v>74</v>
      </c>
      <c r="U406" s="1" t="s">
        <v>74</v>
      </c>
      <c r="V406" s="1" t="s">
        <v>4004</v>
      </c>
      <c r="W406" s="1" t="s">
        <v>74</v>
      </c>
      <c r="X406" s="1" t="s">
        <v>74</v>
      </c>
      <c r="Y406" s="1" t="s">
        <v>74</v>
      </c>
      <c r="Z406" s="1" t="s">
        <v>74</v>
      </c>
      <c r="AA406" s="1" t="s">
        <v>74</v>
      </c>
      <c r="AB406" s="1" t="s">
        <v>74</v>
      </c>
      <c r="AC406" s="1" t="s">
        <v>74</v>
      </c>
      <c r="AD406" s="1" t="s">
        <v>74</v>
      </c>
      <c r="AE406" s="1" t="s">
        <v>74</v>
      </c>
      <c r="AF406" s="1" t="s">
        <v>74</v>
      </c>
      <c r="AG406" s="1" t="s">
        <v>74</v>
      </c>
      <c r="AH406" s="1" t="s">
        <v>74</v>
      </c>
      <c r="AI406" s="1" t="s">
        <v>74</v>
      </c>
      <c r="AJ406" s="1" t="s">
        <v>74</v>
      </c>
      <c r="AK406" s="1" t="s">
        <v>74</v>
      </c>
      <c r="AL406" s="1" t="s">
        <v>74</v>
      </c>
      <c r="AM406" s="1" t="s">
        <v>74</v>
      </c>
      <c r="AN406" s="1" t="s">
        <v>74</v>
      </c>
      <c r="AO406" s="1" t="s">
        <v>483</v>
      </c>
      <c r="AP406" s="1" t="s">
        <v>74</v>
      </c>
      <c r="AQ406" s="1" t="s">
        <v>74</v>
      </c>
      <c r="AR406" s="1" t="s">
        <v>74</v>
      </c>
      <c r="AS406" s="1" t="s">
        <v>74</v>
      </c>
      <c r="AT406" s="1" t="s">
        <v>74</v>
      </c>
      <c r="AU406" s="1">
        <v>2022.0</v>
      </c>
      <c r="AV406" s="1" t="s">
        <v>74</v>
      </c>
      <c r="AW406" s="1">
        <v>68.0</v>
      </c>
      <c r="AX406" s="1" t="s">
        <v>74</v>
      </c>
      <c r="AY406" s="1" t="s">
        <v>74</v>
      </c>
      <c r="AZ406" s="1" t="s">
        <v>74</v>
      </c>
      <c r="BA406" s="1" t="s">
        <v>74</v>
      </c>
      <c r="BB406" s="1" t="s">
        <v>74</v>
      </c>
      <c r="BC406" s="1" t="s">
        <v>74</v>
      </c>
      <c r="BD406" s="1" t="s">
        <v>4005</v>
      </c>
      <c r="BE406" s="1" t="s">
        <v>4006</v>
      </c>
      <c r="BF406" s="2" t="str">
        <f>HYPERLINK("http://dx.doi.org/10.22199/issn.0718-1043-2022-0016","http://dx.doi.org/10.22199/issn.0718-1043-2022-0016")</f>
        <v>http://dx.doi.org/10.22199/issn.0718-1043-2022-0016</v>
      </c>
      <c r="BG406" s="1" t="s">
        <v>74</v>
      </c>
      <c r="BH406" s="1" t="s">
        <v>74</v>
      </c>
      <c r="BI406" s="1" t="s">
        <v>74</v>
      </c>
      <c r="BJ406" s="1" t="s">
        <v>74</v>
      </c>
      <c r="BK406" s="1" t="s">
        <v>74</v>
      </c>
      <c r="BL406" s="1" t="s">
        <v>74</v>
      </c>
      <c r="BM406" s="1" t="s">
        <v>74</v>
      </c>
      <c r="BN406" s="1" t="s">
        <v>74</v>
      </c>
      <c r="BO406" s="1" t="s">
        <v>74</v>
      </c>
      <c r="BP406" s="1" t="s">
        <v>74</v>
      </c>
      <c r="BQ406" s="1" t="s">
        <v>74</v>
      </c>
      <c r="BR406" s="1" t="s">
        <v>74</v>
      </c>
      <c r="BS406" s="1" t="s">
        <v>4007</v>
      </c>
      <c r="BT406" s="1" t="str">
        <f>HYPERLINK("https%3A%2F%2Fwww.webofscience.com%2Fwos%2Fwoscc%2Ffull-record%2FWOS:000889614200001","View Full Record in Web of Science")</f>
        <v>View Full Record in Web of Science</v>
      </c>
    </row>
    <row r="407" ht="12.75" customHeight="1">
      <c r="A407" s="1" t="s">
        <v>72</v>
      </c>
      <c r="B407" s="1" t="s">
        <v>4008</v>
      </c>
      <c r="C407" s="1" t="s">
        <v>74</v>
      </c>
      <c r="D407" s="1" t="s">
        <v>74</v>
      </c>
      <c r="E407" s="1" t="s">
        <v>74</v>
      </c>
      <c r="F407" s="1" t="s">
        <v>4009</v>
      </c>
      <c r="G407" s="1" t="s">
        <v>74</v>
      </c>
      <c r="H407" s="1" t="s">
        <v>74</v>
      </c>
      <c r="I407" s="1" t="s">
        <v>4010</v>
      </c>
      <c r="J407" s="1" t="s">
        <v>4011</v>
      </c>
      <c r="K407" s="1" t="s">
        <v>74</v>
      </c>
      <c r="L407" s="1" t="s">
        <v>74</v>
      </c>
      <c r="M407" s="1" t="s">
        <v>74</v>
      </c>
      <c r="N407" s="1" t="s">
        <v>74</v>
      </c>
      <c r="O407" s="1" t="s">
        <v>74</v>
      </c>
      <c r="P407" s="1" t="s">
        <v>74</v>
      </c>
      <c r="Q407" s="1" t="s">
        <v>74</v>
      </c>
      <c r="R407" s="1" t="s">
        <v>74</v>
      </c>
      <c r="S407" s="1" t="s">
        <v>74</v>
      </c>
      <c r="T407" s="1" t="s">
        <v>74</v>
      </c>
      <c r="U407" s="1" t="s">
        <v>74</v>
      </c>
      <c r="V407" s="1" t="s">
        <v>4012</v>
      </c>
      <c r="W407" s="1" t="s">
        <v>74</v>
      </c>
      <c r="X407" s="1" t="s">
        <v>74</v>
      </c>
      <c r="Y407" s="1" t="s">
        <v>74</v>
      </c>
      <c r="Z407" s="1" t="s">
        <v>74</v>
      </c>
      <c r="AA407" s="1" t="s">
        <v>4013</v>
      </c>
      <c r="AB407" s="1" t="s">
        <v>74</v>
      </c>
      <c r="AC407" s="1" t="s">
        <v>74</v>
      </c>
      <c r="AD407" s="1" t="s">
        <v>74</v>
      </c>
      <c r="AE407" s="1" t="s">
        <v>74</v>
      </c>
      <c r="AF407" s="1" t="s">
        <v>74</v>
      </c>
      <c r="AG407" s="1" t="s">
        <v>74</v>
      </c>
      <c r="AH407" s="1" t="s">
        <v>74</v>
      </c>
      <c r="AI407" s="1" t="s">
        <v>74</v>
      </c>
      <c r="AJ407" s="1" t="s">
        <v>74</v>
      </c>
      <c r="AK407" s="1" t="s">
        <v>74</v>
      </c>
      <c r="AL407" s="1" t="s">
        <v>74</v>
      </c>
      <c r="AM407" s="1" t="s">
        <v>74</v>
      </c>
      <c r="AN407" s="1" t="s">
        <v>74</v>
      </c>
      <c r="AO407" s="1" t="s">
        <v>74</v>
      </c>
      <c r="AP407" s="1" t="s">
        <v>4014</v>
      </c>
      <c r="AQ407" s="1" t="s">
        <v>74</v>
      </c>
      <c r="AR407" s="1" t="s">
        <v>74</v>
      </c>
      <c r="AS407" s="1" t="s">
        <v>74</v>
      </c>
      <c r="AT407" s="1" t="s">
        <v>74</v>
      </c>
      <c r="AU407" s="1">
        <v>2021.0</v>
      </c>
      <c r="AV407" s="1">
        <v>12.0</v>
      </c>
      <c r="AW407" s="1">
        <v>2.0</v>
      </c>
      <c r="AX407" s="1" t="s">
        <v>74</v>
      </c>
      <c r="AY407" s="1" t="s">
        <v>74</v>
      </c>
      <c r="AZ407" s="1" t="s">
        <v>74</v>
      </c>
      <c r="BA407" s="1" t="s">
        <v>74</v>
      </c>
      <c r="BB407" s="1">
        <v>13.0</v>
      </c>
      <c r="BC407" s="1">
        <v>37.0</v>
      </c>
      <c r="BD407" s="1" t="s">
        <v>74</v>
      </c>
      <c r="BE407" s="1" t="s">
        <v>4015</v>
      </c>
      <c r="BF407" s="2" t="str">
        <f>HYPERLINK("http://dx.doi.org/10.5281/zenodo.5873449","http://dx.doi.org/10.5281/zenodo.5873449")</f>
        <v>http://dx.doi.org/10.5281/zenodo.5873449</v>
      </c>
      <c r="BG407" s="1" t="s">
        <v>74</v>
      </c>
      <c r="BH407" s="1" t="s">
        <v>74</v>
      </c>
      <c r="BI407" s="1" t="s">
        <v>74</v>
      </c>
      <c r="BJ407" s="1" t="s">
        <v>74</v>
      </c>
      <c r="BK407" s="1" t="s">
        <v>74</v>
      </c>
      <c r="BL407" s="1" t="s">
        <v>74</v>
      </c>
      <c r="BM407" s="1" t="s">
        <v>74</v>
      </c>
      <c r="BN407" s="1" t="s">
        <v>74</v>
      </c>
      <c r="BO407" s="1" t="s">
        <v>74</v>
      </c>
      <c r="BP407" s="1" t="s">
        <v>74</v>
      </c>
      <c r="BQ407" s="1" t="s">
        <v>74</v>
      </c>
      <c r="BR407" s="1" t="s">
        <v>74</v>
      </c>
      <c r="BS407" s="1" t="s">
        <v>4016</v>
      </c>
      <c r="BT407" s="1" t="str">
        <f>HYPERLINK("https%3A%2F%2Fwww.webofscience.com%2Fwos%2Fwoscc%2Ffull-record%2FWOS:000746296900001","View Full Record in Web of Science")</f>
        <v>View Full Record in Web of Science</v>
      </c>
    </row>
    <row r="408" ht="12.75" customHeight="1">
      <c r="A408" s="1" t="s">
        <v>72</v>
      </c>
      <c r="B408" s="1" t="s">
        <v>4017</v>
      </c>
      <c r="C408" s="1" t="s">
        <v>74</v>
      </c>
      <c r="D408" s="1" t="s">
        <v>74</v>
      </c>
      <c r="E408" s="1" t="s">
        <v>74</v>
      </c>
      <c r="F408" s="1" t="s">
        <v>4018</v>
      </c>
      <c r="G408" s="1" t="s">
        <v>74</v>
      </c>
      <c r="H408" s="1" t="s">
        <v>74</v>
      </c>
      <c r="I408" s="1" t="s">
        <v>4019</v>
      </c>
      <c r="J408" s="1" t="s">
        <v>4020</v>
      </c>
      <c r="K408" s="1" t="s">
        <v>74</v>
      </c>
      <c r="L408" s="1" t="s">
        <v>74</v>
      </c>
      <c r="M408" s="1" t="s">
        <v>74</v>
      </c>
      <c r="N408" s="1" t="s">
        <v>74</v>
      </c>
      <c r="O408" s="1" t="s">
        <v>74</v>
      </c>
      <c r="P408" s="1" t="s">
        <v>74</v>
      </c>
      <c r="Q408" s="1" t="s">
        <v>74</v>
      </c>
      <c r="R408" s="1" t="s">
        <v>74</v>
      </c>
      <c r="S408" s="1" t="s">
        <v>74</v>
      </c>
      <c r="T408" s="1" t="s">
        <v>74</v>
      </c>
      <c r="U408" s="1" t="s">
        <v>74</v>
      </c>
      <c r="V408" s="1" t="s">
        <v>4021</v>
      </c>
      <c r="W408" s="1" t="s">
        <v>74</v>
      </c>
      <c r="X408" s="1" t="s">
        <v>74</v>
      </c>
      <c r="Y408" s="1" t="s">
        <v>74</v>
      </c>
      <c r="Z408" s="1" t="s">
        <v>74</v>
      </c>
      <c r="AA408" s="1" t="s">
        <v>74</v>
      </c>
      <c r="AB408" s="1" t="s">
        <v>74</v>
      </c>
      <c r="AC408" s="1" t="s">
        <v>74</v>
      </c>
      <c r="AD408" s="1" t="s">
        <v>74</v>
      </c>
      <c r="AE408" s="1" t="s">
        <v>74</v>
      </c>
      <c r="AF408" s="1" t="s">
        <v>74</v>
      </c>
      <c r="AG408" s="1" t="s">
        <v>74</v>
      </c>
      <c r="AH408" s="1" t="s">
        <v>74</v>
      </c>
      <c r="AI408" s="1" t="s">
        <v>74</v>
      </c>
      <c r="AJ408" s="1" t="s">
        <v>74</v>
      </c>
      <c r="AK408" s="1" t="s">
        <v>74</v>
      </c>
      <c r="AL408" s="1" t="s">
        <v>74</v>
      </c>
      <c r="AM408" s="1" t="s">
        <v>74</v>
      </c>
      <c r="AN408" s="1" t="s">
        <v>74</v>
      </c>
      <c r="AO408" s="1" t="s">
        <v>4022</v>
      </c>
      <c r="AP408" s="1" t="s">
        <v>4023</v>
      </c>
      <c r="AQ408" s="1" t="s">
        <v>74</v>
      </c>
      <c r="AR408" s="1" t="s">
        <v>74</v>
      </c>
      <c r="AS408" s="1" t="s">
        <v>74</v>
      </c>
      <c r="AT408" s="1" t="s">
        <v>4024</v>
      </c>
      <c r="AU408" s="1">
        <v>2021.0</v>
      </c>
      <c r="AV408" s="1">
        <v>16.0</v>
      </c>
      <c r="AW408" s="1">
        <v>12.0</v>
      </c>
      <c r="AX408" s="1" t="s">
        <v>74</v>
      </c>
      <c r="AY408" s="1" t="s">
        <v>74</v>
      </c>
      <c r="AZ408" s="1" t="s">
        <v>74</v>
      </c>
      <c r="BA408" s="1" t="s">
        <v>74</v>
      </c>
      <c r="BB408" s="1">
        <v>1335.0</v>
      </c>
      <c r="BC408" s="1">
        <v>1346.0</v>
      </c>
      <c r="BD408" s="1" t="s">
        <v>74</v>
      </c>
      <c r="BE408" s="1" t="s">
        <v>4025</v>
      </c>
      <c r="BF408" s="2" t="str">
        <f>HYPERLINK("http://dx.doi.org/10.1080/15592294.2020.1864166","http://dx.doi.org/10.1080/15592294.2020.1864166")</f>
        <v>http://dx.doi.org/10.1080/15592294.2020.1864166</v>
      </c>
      <c r="BG408" s="1" t="s">
        <v>74</v>
      </c>
      <c r="BH408" s="1" t="s">
        <v>4026</v>
      </c>
      <c r="BI408" s="1" t="s">
        <v>74</v>
      </c>
      <c r="BJ408" s="1" t="s">
        <v>74</v>
      </c>
      <c r="BK408" s="1" t="s">
        <v>74</v>
      </c>
      <c r="BL408" s="1" t="s">
        <v>74</v>
      </c>
      <c r="BM408" s="1" t="s">
        <v>74</v>
      </c>
      <c r="BN408" s="1">
        <v>3.3319647E7</v>
      </c>
      <c r="BO408" s="1" t="s">
        <v>74</v>
      </c>
      <c r="BP408" s="1" t="s">
        <v>74</v>
      </c>
      <c r="BQ408" s="1" t="s">
        <v>74</v>
      </c>
      <c r="BR408" s="1" t="s">
        <v>74</v>
      </c>
      <c r="BS408" s="1" t="s">
        <v>4027</v>
      </c>
      <c r="BT408" s="1" t="str">
        <f>HYPERLINK("https%3A%2F%2Fwww.webofscience.com%2Fwos%2Fwoscc%2Ffull-record%2FWOS:000603828600001","View Full Record in Web of Science")</f>
        <v>View Full Record in Web of Science</v>
      </c>
    </row>
    <row r="409" ht="12.75" customHeight="1">
      <c r="A409" s="1" t="s">
        <v>72</v>
      </c>
      <c r="B409" s="1" t="s">
        <v>4028</v>
      </c>
      <c r="C409" s="1" t="s">
        <v>74</v>
      </c>
      <c r="D409" s="1" t="s">
        <v>74</v>
      </c>
      <c r="E409" s="1" t="s">
        <v>74</v>
      </c>
      <c r="F409" s="1" t="s">
        <v>4029</v>
      </c>
      <c r="G409" s="1" t="s">
        <v>74</v>
      </c>
      <c r="H409" s="1" t="s">
        <v>74</v>
      </c>
      <c r="I409" s="1" t="s">
        <v>4030</v>
      </c>
      <c r="J409" s="1" t="s">
        <v>4031</v>
      </c>
      <c r="K409" s="1" t="s">
        <v>74</v>
      </c>
      <c r="L409" s="1" t="s">
        <v>74</v>
      </c>
      <c r="M409" s="1" t="s">
        <v>74</v>
      </c>
      <c r="N409" s="1" t="s">
        <v>74</v>
      </c>
      <c r="O409" s="1" t="s">
        <v>74</v>
      </c>
      <c r="P409" s="1" t="s">
        <v>74</v>
      </c>
      <c r="Q409" s="1" t="s">
        <v>74</v>
      </c>
      <c r="R409" s="1" t="s">
        <v>74</v>
      </c>
      <c r="S409" s="1" t="s">
        <v>74</v>
      </c>
      <c r="T409" s="1" t="s">
        <v>74</v>
      </c>
      <c r="U409" s="1" t="s">
        <v>74</v>
      </c>
      <c r="V409" s="1" t="s">
        <v>4032</v>
      </c>
      <c r="W409" s="1" t="s">
        <v>74</v>
      </c>
      <c r="X409" s="1" t="s">
        <v>74</v>
      </c>
      <c r="Y409" s="1" t="s">
        <v>74</v>
      </c>
      <c r="Z409" s="1" t="s">
        <v>74</v>
      </c>
      <c r="AA409" s="1" t="s">
        <v>4033</v>
      </c>
      <c r="AB409" s="1" t="s">
        <v>4034</v>
      </c>
      <c r="AC409" s="1" t="s">
        <v>74</v>
      </c>
      <c r="AD409" s="1" t="s">
        <v>74</v>
      </c>
      <c r="AE409" s="1" t="s">
        <v>74</v>
      </c>
      <c r="AF409" s="1" t="s">
        <v>74</v>
      </c>
      <c r="AG409" s="1" t="s">
        <v>74</v>
      </c>
      <c r="AH409" s="1" t="s">
        <v>74</v>
      </c>
      <c r="AI409" s="1" t="s">
        <v>74</v>
      </c>
      <c r="AJ409" s="1" t="s">
        <v>74</v>
      </c>
      <c r="AK409" s="1" t="s">
        <v>74</v>
      </c>
      <c r="AL409" s="1" t="s">
        <v>74</v>
      </c>
      <c r="AM409" s="1" t="s">
        <v>74</v>
      </c>
      <c r="AN409" s="1" t="s">
        <v>74</v>
      </c>
      <c r="AO409" s="1" t="s">
        <v>4035</v>
      </c>
      <c r="AP409" s="1" t="s">
        <v>4036</v>
      </c>
      <c r="AQ409" s="1" t="s">
        <v>74</v>
      </c>
      <c r="AR409" s="1" t="s">
        <v>74</v>
      </c>
      <c r="AS409" s="1" t="s">
        <v>74</v>
      </c>
      <c r="AT409" s="1" t="s">
        <v>74</v>
      </c>
      <c r="AU409" s="1">
        <v>2021.0</v>
      </c>
      <c r="AV409" s="1">
        <v>11.0</v>
      </c>
      <c r="AW409" s="1">
        <v>4.0</v>
      </c>
      <c r="AX409" s="1" t="s">
        <v>74</v>
      </c>
      <c r="AY409" s="1" t="s">
        <v>74</v>
      </c>
      <c r="AZ409" s="1" t="s">
        <v>411</v>
      </c>
      <c r="BA409" s="1" t="s">
        <v>74</v>
      </c>
      <c r="BB409" s="1">
        <v>649.0</v>
      </c>
      <c r="BC409" s="1">
        <v>668.0</v>
      </c>
      <c r="BD409" s="1" t="s">
        <v>74</v>
      </c>
      <c r="BE409" s="1" t="s">
        <v>4037</v>
      </c>
      <c r="BF409" s="2" t="str">
        <f>HYPERLINK("http://dx.doi.org/10.3233/JBR-210007","http://dx.doi.org/10.3233/JBR-210007")</f>
        <v>http://dx.doi.org/10.3233/JBR-210007</v>
      </c>
      <c r="BG409" s="1" t="s">
        <v>74</v>
      </c>
      <c r="BH409" s="1" t="s">
        <v>74</v>
      </c>
      <c r="BI409" s="1" t="s">
        <v>74</v>
      </c>
      <c r="BJ409" s="1" t="s">
        <v>74</v>
      </c>
      <c r="BK409" s="1" t="s">
        <v>74</v>
      </c>
      <c r="BL409" s="1" t="s">
        <v>74</v>
      </c>
      <c r="BM409" s="1" t="s">
        <v>74</v>
      </c>
      <c r="BN409" s="1" t="s">
        <v>74</v>
      </c>
      <c r="BO409" s="1" t="s">
        <v>74</v>
      </c>
      <c r="BP409" s="1" t="s">
        <v>74</v>
      </c>
      <c r="BQ409" s="1" t="s">
        <v>74</v>
      </c>
      <c r="BR409" s="1" t="s">
        <v>74</v>
      </c>
      <c r="BS409" s="1" t="s">
        <v>4038</v>
      </c>
      <c r="BT409" s="1" t="str">
        <f>HYPERLINK("https%3A%2F%2Fwww.webofscience.com%2Fwos%2Fwoscc%2Ffull-record%2FWOS:000731754100008","View Full Record in Web of Science")</f>
        <v>View Full Record in Web of Science</v>
      </c>
    </row>
    <row r="410" ht="12.75" customHeight="1">
      <c r="A410" s="1" t="s">
        <v>72</v>
      </c>
      <c r="B410" s="1" t="s">
        <v>4039</v>
      </c>
      <c r="C410" s="1" t="s">
        <v>74</v>
      </c>
      <c r="D410" s="1" t="s">
        <v>74</v>
      </c>
      <c r="E410" s="1" t="s">
        <v>74</v>
      </c>
      <c r="F410" s="1" t="s">
        <v>4040</v>
      </c>
      <c r="G410" s="1" t="s">
        <v>74</v>
      </c>
      <c r="H410" s="1" t="s">
        <v>74</v>
      </c>
      <c r="I410" s="1" t="s">
        <v>4041</v>
      </c>
      <c r="J410" s="1" t="s">
        <v>941</v>
      </c>
      <c r="K410" s="1" t="s">
        <v>74</v>
      </c>
      <c r="L410" s="1" t="s">
        <v>74</v>
      </c>
      <c r="M410" s="1" t="s">
        <v>74</v>
      </c>
      <c r="N410" s="1" t="s">
        <v>74</v>
      </c>
      <c r="O410" s="1" t="s">
        <v>74</v>
      </c>
      <c r="P410" s="1" t="s">
        <v>74</v>
      </c>
      <c r="Q410" s="1" t="s">
        <v>74</v>
      </c>
      <c r="R410" s="1" t="s">
        <v>74</v>
      </c>
      <c r="S410" s="1" t="s">
        <v>74</v>
      </c>
      <c r="T410" s="1" t="s">
        <v>74</v>
      </c>
      <c r="U410" s="1" t="s">
        <v>74</v>
      </c>
      <c r="V410" s="1" t="s">
        <v>4042</v>
      </c>
      <c r="W410" s="1" t="s">
        <v>74</v>
      </c>
      <c r="X410" s="1" t="s">
        <v>74</v>
      </c>
      <c r="Y410" s="1" t="s">
        <v>74</v>
      </c>
      <c r="Z410" s="1" t="s">
        <v>74</v>
      </c>
      <c r="AA410" s="1" t="s">
        <v>4043</v>
      </c>
      <c r="AB410" s="1" t="s">
        <v>4044</v>
      </c>
      <c r="AC410" s="1" t="s">
        <v>74</v>
      </c>
      <c r="AD410" s="1" t="s">
        <v>74</v>
      </c>
      <c r="AE410" s="1" t="s">
        <v>74</v>
      </c>
      <c r="AF410" s="1" t="s">
        <v>74</v>
      </c>
      <c r="AG410" s="1" t="s">
        <v>74</v>
      </c>
      <c r="AH410" s="1" t="s">
        <v>74</v>
      </c>
      <c r="AI410" s="1" t="s">
        <v>74</v>
      </c>
      <c r="AJ410" s="1" t="s">
        <v>74</v>
      </c>
      <c r="AK410" s="1" t="s">
        <v>74</v>
      </c>
      <c r="AL410" s="1" t="s">
        <v>74</v>
      </c>
      <c r="AM410" s="1" t="s">
        <v>74</v>
      </c>
      <c r="AN410" s="1" t="s">
        <v>74</v>
      </c>
      <c r="AO410" s="1" t="s">
        <v>74</v>
      </c>
      <c r="AP410" s="1" t="s">
        <v>945</v>
      </c>
      <c r="AQ410" s="1" t="s">
        <v>74</v>
      </c>
      <c r="AR410" s="1" t="s">
        <v>74</v>
      </c>
      <c r="AS410" s="1" t="s">
        <v>74</v>
      </c>
      <c r="AT410" s="1" t="s">
        <v>123</v>
      </c>
      <c r="AU410" s="1">
        <v>2020.0</v>
      </c>
      <c r="AV410" s="1">
        <v>10.0</v>
      </c>
      <c r="AW410" s="1">
        <v>20.0</v>
      </c>
      <c r="AX410" s="1" t="s">
        <v>74</v>
      </c>
      <c r="AY410" s="1" t="s">
        <v>74</v>
      </c>
      <c r="AZ410" s="1" t="s">
        <v>74</v>
      </c>
      <c r="BA410" s="1" t="s">
        <v>74</v>
      </c>
      <c r="BB410" s="1" t="s">
        <v>74</v>
      </c>
      <c r="BC410" s="1" t="s">
        <v>74</v>
      </c>
      <c r="BD410" s="1">
        <v>7123.0</v>
      </c>
      <c r="BE410" s="1" t="s">
        <v>4045</v>
      </c>
      <c r="BF410" s="2" t="str">
        <f>HYPERLINK("http://dx.doi.org/10.3390/app10207123","http://dx.doi.org/10.3390/app10207123")</f>
        <v>http://dx.doi.org/10.3390/app10207123</v>
      </c>
      <c r="BG410" s="1" t="s">
        <v>74</v>
      </c>
      <c r="BH410" s="1" t="s">
        <v>74</v>
      </c>
      <c r="BI410" s="1" t="s">
        <v>74</v>
      </c>
      <c r="BJ410" s="1" t="s">
        <v>74</v>
      </c>
      <c r="BK410" s="1" t="s">
        <v>74</v>
      </c>
      <c r="BL410" s="1" t="s">
        <v>74</v>
      </c>
      <c r="BM410" s="1" t="s">
        <v>74</v>
      </c>
      <c r="BN410" s="1" t="s">
        <v>74</v>
      </c>
      <c r="BO410" s="1" t="s">
        <v>74</v>
      </c>
      <c r="BP410" s="1" t="s">
        <v>74</v>
      </c>
      <c r="BQ410" s="1" t="s">
        <v>74</v>
      </c>
      <c r="BR410" s="1" t="s">
        <v>74</v>
      </c>
      <c r="BS410" s="1" t="s">
        <v>4046</v>
      </c>
      <c r="BT410" s="1" t="str">
        <f>HYPERLINK("https%3A%2F%2Fwww.webofscience.com%2Fwos%2Fwoscc%2Ffull-record%2FWOS:000584788300001","View Full Record in Web of Science")</f>
        <v>View Full Record in Web of Science</v>
      </c>
    </row>
    <row r="411" ht="12.75" customHeight="1">
      <c r="A411" s="1" t="s">
        <v>72</v>
      </c>
      <c r="B411" s="1" t="s">
        <v>4047</v>
      </c>
      <c r="C411" s="1" t="s">
        <v>74</v>
      </c>
      <c r="D411" s="1" t="s">
        <v>74</v>
      </c>
      <c r="E411" s="1" t="s">
        <v>74</v>
      </c>
      <c r="F411" s="1" t="s">
        <v>4048</v>
      </c>
      <c r="G411" s="1" t="s">
        <v>74</v>
      </c>
      <c r="H411" s="1" t="s">
        <v>74</v>
      </c>
      <c r="I411" s="1" t="s">
        <v>4049</v>
      </c>
      <c r="J411" s="1" t="s">
        <v>4050</v>
      </c>
      <c r="K411" s="1" t="s">
        <v>74</v>
      </c>
      <c r="L411" s="1" t="s">
        <v>74</v>
      </c>
      <c r="M411" s="1" t="s">
        <v>74</v>
      </c>
      <c r="N411" s="1" t="s">
        <v>74</v>
      </c>
      <c r="O411" s="1" t="s">
        <v>74</v>
      </c>
      <c r="P411" s="1" t="s">
        <v>74</v>
      </c>
      <c r="Q411" s="1" t="s">
        <v>74</v>
      </c>
      <c r="R411" s="1" t="s">
        <v>74</v>
      </c>
      <c r="S411" s="1" t="s">
        <v>74</v>
      </c>
      <c r="T411" s="1" t="s">
        <v>74</v>
      </c>
      <c r="U411" s="1" t="s">
        <v>74</v>
      </c>
      <c r="V411" s="1" t="s">
        <v>4051</v>
      </c>
      <c r="W411" s="1" t="s">
        <v>74</v>
      </c>
      <c r="X411" s="1" t="s">
        <v>74</v>
      </c>
      <c r="Y411" s="1" t="s">
        <v>74</v>
      </c>
      <c r="Z411" s="1" t="s">
        <v>74</v>
      </c>
      <c r="AA411" s="1" t="s">
        <v>4052</v>
      </c>
      <c r="AB411" s="1" t="s">
        <v>4053</v>
      </c>
      <c r="AC411" s="1" t="s">
        <v>74</v>
      </c>
      <c r="AD411" s="1" t="s">
        <v>74</v>
      </c>
      <c r="AE411" s="1" t="s">
        <v>74</v>
      </c>
      <c r="AF411" s="1" t="s">
        <v>74</v>
      </c>
      <c r="AG411" s="1" t="s">
        <v>74</v>
      </c>
      <c r="AH411" s="1" t="s">
        <v>74</v>
      </c>
      <c r="AI411" s="1" t="s">
        <v>74</v>
      </c>
      <c r="AJ411" s="1" t="s">
        <v>74</v>
      </c>
      <c r="AK411" s="1" t="s">
        <v>74</v>
      </c>
      <c r="AL411" s="1" t="s">
        <v>74</v>
      </c>
      <c r="AM411" s="1" t="s">
        <v>74</v>
      </c>
      <c r="AN411" s="1" t="s">
        <v>74</v>
      </c>
      <c r="AO411" s="1" t="s">
        <v>74</v>
      </c>
      <c r="AP411" s="1" t="s">
        <v>4054</v>
      </c>
      <c r="AQ411" s="1" t="s">
        <v>74</v>
      </c>
      <c r="AR411" s="1" t="s">
        <v>74</v>
      </c>
      <c r="AS411" s="1" t="s">
        <v>74</v>
      </c>
      <c r="AT411" s="1" t="s">
        <v>88</v>
      </c>
      <c r="AU411" s="1">
        <v>2020.0</v>
      </c>
      <c r="AV411" s="1">
        <v>8.0</v>
      </c>
      <c r="AW411" s="1">
        <v>4.0</v>
      </c>
      <c r="AX411" s="1" t="s">
        <v>74</v>
      </c>
      <c r="AY411" s="1" t="s">
        <v>74</v>
      </c>
      <c r="AZ411" s="1" t="s">
        <v>74</v>
      </c>
      <c r="BA411" s="1" t="s">
        <v>74</v>
      </c>
      <c r="BB411" s="1" t="s">
        <v>74</v>
      </c>
      <c r="BC411" s="1" t="s">
        <v>74</v>
      </c>
      <c r="BD411" s="1">
        <v>557.0</v>
      </c>
      <c r="BE411" s="1" t="s">
        <v>4055</v>
      </c>
      <c r="BF411" s="2" t="str">
        <f>HYPERLINK("http://dx.doi.org/10.3390/microorganisms8040557","http://dx.doi.org/10.3390/microorganisms8040557")</f>
        <v>http://dx.doi.org/10.3390/microorganisms8040557</v>
      </c>
      <c r="BG411" s="1" t="s">
        <v>74</v>
      </c>
      <c r="BH411" s="1" t="s">
        <v>74</v>
      </c>
      <c r="BI411" s="1" t="s">
        <v>74</v>
      </c>
      <c r="BJ411" s="1" t="s">
        <v>74</v>
      </c>
      <c r="BK411" s="1" t="s">
        <v>74</v>
      </c>
      <c r="BL411" s="1" t="s">
        <v>74</v>
      </c>
      <c r="BM411" s="1" t="s">
        <v>74</v>
      </c>
      <c r="BN411" s="1">
        <v>3.2295086E7</v>
      </c>
      <c r="BO411" s="1" t="s">
        <v>74</v>
      </c>
      <c r="BP411" s="1" t="s">
        <v>74</v>
      </c>
      <c r="BQ411" s="1" t="s">
        <v>74</v>
      </c>
      <c r="BR411" s="1" t="s">
        <v>74</v>
      </c>
      <c r="BS411" s="1" t="s">
        <v>4056</v>
      </c>
      <c r="BT411" s="1" t="str">
        <f>HYPERLINK("https%3A%2F%2Fwww.webofscience.com%2Fwos%2Fwoscc%2Ffull-record%2FWOS:000533510400040","View Full Record in Web of Science")</f>
        <v>View Full Record in Web of Science</v>
      </c>
    </row>
    <row r="412" ht="12.75" customHeight="1">
      <c r="A412" s="1" t="s">
        <v>72</v>
      </c>
      <c r="B412" s="1" t="s">
        <v>4057</v>
      </c>
      <c r="C412" s="1" t="s">
        <v>74</v>
      </c>
      <c r="D412" s="1" t="s">
        <v>74</v>
      </c>
      <c r="E412" s="1" t="s">
        <v>74</v>
      </c>
      <c r="F412" s="1" t="s">
        <v>4058</v>
      </c>
      <c r="G412" s="1" t="s">
        <v>74</v>
      </c>
      <c r="H412" s="1" t="s">
        <v>74</v>
      </c>
      <c r="I412" s="1" t="s">
        <v>4059</v>
      </c>
      <c r="J412" s="1" t="s">
        <v>4060</v>
      </c>
      <c r="K412" s="1" t="s">
        <v>74</v>
      </c>
      <c r="L412" s="1" t="s">
        <v>74</v>
      </c>
      <c r="M412" s="1" t="s">
        <v>74</v>
      </c>
      <c r="N412" s="1" t="s">
        <v>74</v>
      </c>
      <c r="O412" s="1" t="s">
        <v>74</v>
      </c>
      <c r="P412" s="1" t="s">
        <v>74</v>
      </c>
      <c r="Q412" s="1" t="s">
        <v>74</v>
      </c>
      <c r="R412" s="1" t="s">
        <v>74</v>
      </c>
      <c r="S412" s="1" t="s">
        <v>74</v>
      </c>
      <c r="T412" s="1" t="s">
        <v>74</v>
      </c>
      <c r="U412" s="1" t="s">
        <v>74</v>
      </c>
      <c r="V412" s="1" t="s">
        <v>4061</v>
      </c>
      <c r="W412" s="1" t="s">
        <v>74</v>
      </c>
      <c r="X412" s="1" t="s">
        <v>74</v>
      </c>
      <c r="Y412" s="1" t="s">
        <v>74</v>
      </c>
      <c r="Z412" s="1" t="s">
        <v>74</v>
      </c>
      <c r="AA412" s="1" t="s">
        <v>74</v>
      </c>
      <c r="AB412" s="1" t="s">
        <v>74</v>
      </c>
      <c r="AC412" s="1" t="s">
        <v>74</v>
      </c>
      <c r="AD412" s="1" t="s">
        <v>74</v>
      </c>
      <c r="AE412" s="1" t="s">
        <v>74</v>
      </c>
      <c r="AF412" s="1" t="s">
        <v>74</v>
      </c>
      <c r="AG412" s="1" t="s">
        <v>74</v>
      </c>
      <c r="AH412" s="1" t="s">
        <v>74</v>
      </c>
      <c r="AI412" s="1" t="s">
        <v>74</v>
      </c>
      <c r="AJ412" s="1" t="s">
        <v>74</v>
      </c>
      <c r="AK412" s="1" t="s">
        <v>74</v>
      </c>
      <c r="AL412" s="1" t="s">
        <v>74</v>
      </c>
      <c r="AM412" s="1" t="s">
        <v>74</v>
      </c>
      <c r="AN412" s="1" t="s">
        <v>74</v>
      </c>
      <c r="AO412" s="1" t="s">
        <v>4062</v>
      </c>
      <c r="AP412" s="1" t="s">
        <v>4063</v>
      </c>
      <c r="AQ412" s="1" t="s">
        <v>74</v>
      </c>
      <c r="AR412" s="1" t="s">
        <v>74</v>
      </c>
      <c r="AS412" s="1" t="s">
        <v>74</v>
      </c>
      <c r="AT412" s="1" t="s">
        <v>4064</v>
      </c>
      <c r="AU412" s="1">
        <v>2020.0</v>
      </c>
      <c r="AV412" s="1">
        <v>19.0</v>
      </c>
      <c r="AW412" s="1">
        <v>2.0</v>
      </c>
      <c r="AX412" s="1" t="s">
        <v>74</v>
      </c>
      <c r="AY412" s="1" t="s">
        <v>74</v>
      </c>
      <c r="AZ412" s="1" t="s">
        <v>74</v>
      </c>
      <c r="BA412" s="1" t="s">
        <v>74</v>
      </c>
      <c r="BB412" s="1">
        <v>146.0</v>
      </c>
      <c r="BC412" s="1">
        <v>158.0</v>
      </c>
      <c r="BD412" s="1" t="s">
        <v>74</v>
      </c>
      <c r="BE412" s="1" t="s">
        <v>4065</v>
      </c>
      <c r="BF412" s="2" t="str">
        <f>HYPERLINK("http://dx.doi.org/10.1080/14767430.2020.1734745","http://dx.doi.org/10.1080/14767430.2020.1734745")</f>
        <v>http://dx.doi.org/10.1080/14767430.2020.1734745</v>
      </c>
      <c r="BG412" s="1" t="s">
        <v>74</v>
      </c>
      <c r="BH412" s="1" t="s">
        <v>3411</v>
      </c>
      <c r="BI412" s="1" t="s">
        <v>74</v>
      </c>
      <c r="BJ412" s="1" t="s">
        <v>74</v>
      </c>
      <c r="BK412" s="1" t="s">
        <v>74</v>
      </c>
      <c r="BL412" s="1" t="s">
        <v>74</v>
      </c>
      <c r="BM412" s="1" t="s">
        <v>74</v>
      </c>
      <c r="BN412" s="1" t="s">
        <v>74</v>
      </c>
      <c r="BO412" s="1" t="s">
        <v>74</v>
      </c>
      <c r="BP412" s="1" t="s">
        <v>74</v>
      </c>
      <c r="BQ412" s="1" t="s">
        <v>74</v>
      </c>
      <c r="BR412" s="1" t="s">
        <v>74</v>
      </c>
      <c r="BS412" s="1" t="s">
        <v>4066</v>
      </c>
      <c r="BT412" s="1" t="str">
        <f>HYPERLINK("https%3A%2F%2Fwww.webofscience.com%2Fwos%2Fwoscc%2Ffull-record%2FWOS:000520352800001","View Full Record in Web of Science")</f>
        <v>View Full Record in Web of Science</v>
      </c>
    </row>
    <row r="413" ht="12.75" customHeight="1">
      <c r="A413" s="1" t="s">
        <v>251</v>
      </c>
      <c r="B413" s="1" t="s">
        <v>4067</v>
      </c>
      <c r="C413" s="1" t="s">
        <v>74</v>
      </c>
      <c r="D413" s="1" t="s">
        <v>4068</v>
      </c>
      <c r="E413" s="1" t="s">
        <v>74</v>
      </c>
      <c r="F413" s="1" t="s">
        <v>4069</v>
      </c>
      <c r="G413" s="1" t="s">
        <v>74</v>
      </c>
      <c r="H413" s="1" t="s">
        <v>74</v>
      </c>
      <c r="I413" s="1" t="s">
        <v>4070</v>
      </c>
      <c r="J413" s="1" t="s">
        <v>4071</v>
      </c>
      <c r="K413" s="1" t="s">
        <v>4072</v>
      </c>
      <c r="L413" s="1" t="s">
        <v>74</v>
      </c>
      <c r="M413" s="1" t="s">
        <v>74</v>
      </c>
      <c r="N413" s="1" t="s">
        <v>74</v>
      </c>
      <c r="O413" s="1" t="s">
        <v>4073</v>
      </c>
      <c r="P413" s="1" t="s">
        <v>4074</v>
      </c>
      <c r="Q413" s="1" t="s">
        <v>259</v>
      </c>
      <c r="R413" s="1" t="s">
        <v>253</v>
      </c>
      <c r="S413" s="1" t="s">
        <v>74</v>
      </c>
      <c r="T413" s="1" t="s">
        <v>74</v>
      </c>
      <c r="U413" s="1" t="s">
        <v>74</v>
      </c>
      <c r="V413" s="1" t="s">
        <v>4075</v>
      </c>
      <c r="W413" s="1" t="s">
        <v>74</v>
      </c>
      <c r="X413" s="1" t="s">
        <v>74</v>
      </c>
      <c r="Y413" s="1" t="s">
        <v>74</v>
      </c>
      <c r="Z413" s="1" t="s">
        <v>74</v>
      </c>
      <c r="AA413" s="1" t="s">
        <v>4076</v>
      </c>
      <c r="AB413" s="1" t="s">
        <v>74</v>
      </c>
      <c r="AC413" s="1" t="s">
        <v>74</v>
      </c>
      <c r="AD413" s="1" t="s">
        <v>74</v>
      </c>
      <c r="AE413" s="1" t="s">
        <v>74</v>
      </c>
      <c r="AF413" s="1" t="s">
        <v>74</v>
      </c>
      <c r="AG413" s="1" t="s">
        <v>74</v>
      </c>
      <c r="AH413" s="1" t="s">
        <v>74</v>
      </c>
      <c r="AI413" s="1" t="s">
        <v>74</v>
      </c>
      <c r="AJ413" s="1" t="s">
        <v>74</v>
      </c>
      <c r="AK413" s="1" t="s">
        <v>74</v>
      </c>
      <c r="AL413" s="1" t="s">
        <v>74</v>
      </c>
      <c r="AM413" s="1" t="s">
        <v>74</v>
      </c>
      <c r="AN413" s="1" t="s">
        <v>74</v>
      </c>
      <c r="AO413" s="1" t="s">
        <v>4077</v>
      </c>
      <c r="AP413" s="1" t="s">
        <v>74</v>
      </c>
      <c r="AQ413" s="1" t="s">
        <v>4078</v>
      </c>
      <c r="AR413" s="1" t="s">
        <v>74</v>
      </c>
      <c r="AS413" s="1" t="s">
        <v>74</v>
      </c>
      <c r="AT413" s="1" t="s">
        <v>74</v>
      </c>
      <c r="AU413" s="1">
        <v>2020.0</v>
      </c>
      <c r="AV413" s="1" t="s">
        <v>74</v>
      </c>
      <c r="AW413" s="1" t="s">
        <v>74</v>
      </c>
      <c r="AX413" s="1" t="s">
        <v>74</v>
      </c>
      <c r="AY413" s="1" t="s">
        <v>74</v>
      </c>
      <c r="AZ413" s="1" t="s">
        <v>74</v>
      </c>
      <c r="BA413" s="1" t="s">
        <v>74</v>
      </c>
      <c r="BB413" s="1" t="s">
        <v>74</v>
      </c>
      <c r="BC413" s="1" t="s">
        <v>74</v>
      </c>
      <c r="BD413" s="1" t="s">
        <v>74</v>
      </c>
      <c r="BE413" s="1" t="s">
        <v>74</v>
      </c>
      <c r="BF413" s="1" t="s">
        <v>74</v>
      </c>
      <c r="BG413" s="1" t="s">
        <v>74</v>
      </c>
      <c r="BH413" s="1" t="s">
        <v>74</v>
      </c>
      <c r="BI413" s="1" t="s">
        <v>74</v>
      </c>
      <c r="BJ413" s="1" t="s">
        <v>74</v>
      </c>
      <c r="BK413" s="1" t="s">
        <v>74</v>
      </c>
      <c r="BL413" s="1" t="s">
        <v>74</v>
      </c>
      <c r="BM413" s="1" t="s">
        <v>74</v>
      </c>
      <c r="BN413" s="1" t="s">
        <v>74</v>
      </c>
      <c r="BO413" s="1" t="s">
        <v>74</v>
      </c>
      <c r="BP413" s="1" t="s">
        <v>74</v>
      </c>
      <c r="BQ413" s="1" t="s">
        <v>74</v>
      </c>
      <c r="BR413" s="1" t="s">
        <v>74</v>
      </c>
      <c r="BS413" s="1" t="s">
        <v>4079</v>
      </c>
      <c r="BT413" s="1" t="str">
        <f>HYPERLINK("https%3A%2F%2Fwww.webofscience.com%2Fwos%2Fwoscc%2Ffull-record%2FWOS:000926136200018","View Full Record in Web of Science")</f>
        <v>View Full Record in Web of Science</v>
      </c>
    </row>
    <row r="414" ht="12.75" customHeight="1">
      <c r="A414" s="1" t="s">
        <v>72</v>
      </c>
      <c r="B414" s="1" t="s">
        <v>4080</v>
      </c>
      <c r="C414" s="1" t="s">
        <v>74</v>
      </c>
      <c r="D414" s="1" t="s">
        <v>74</v>
      </c>
      <c r="E414" s="1" t="s">
        <v>74</v>
      </c>
      <c r="F414" s="1" t="s">
        <v>4081</v>
      </c>
      <c r="G414" s="1" t="s">
        <v>74</v>
      </c>
      <c r="H414" s="1" t="s">
        <v>74</v>
      </c>
      <c r="I414" s="1" t="s">
        <v>4082</v>
      </c>
      <c r="J414" s="1" t="s">
        <v>4083</v>
      </c>
      <c r="K414" s="1" t="s">
        <v>74</v>
      </c>
      <c r="L414" s="1" t="s">
        <v>74</v>
      </c>
      <c r="M414" s="1" t="s">
        <v>74</v>
      </c>
      <c r="N414" s="1" t="s">
        <v>74</v>
      </c>
      <c r="O414" s="1" t="s">
        <v>74</v>
      </c>
      <c r="P414" s="1" t="s">
        <v>74</v>
      </c>
      <c r="Q414" s="1" t="s">
        <v>74</v>
      </c>
      <c r="R414" s="1" t="s">
        <v>74</v>
      </c>
      <c r="S414" s="1" t="s">
        <v>74</v>
      </c>
      <c r="T414" s="1" t="s">
        <v>74</v>
      </c>
      <c r="U414" s="1" t="s">
        <v>74</v>
      </c>
      <c r="V414" s="1" t="s">
        <v>4084</v>
      </c>
      <c r="W414" s="1" t="s">
        <v>74</v>
      </c>
      <c r="X414" s="1" t="s">
        <v>74</v>
      </c>
      <c r="Y414" s="1" t="s">
        <v>74</v>
      </c>
      <c r="Z414" s="1" t="s">
        <v>74</v>
      </c>
      <c r="AA414" s="1" t="s">
        <v>4085</v>
      </c>
      <c r="AB414" s="1" t="s">
        <v>4086</v>
      </c>
      <c r="AC414" s="1" t="s">
        <v>74</v>
      </c>
      <c r="AD414" s="1" t="s">
        <v>74</v>
      </c>
      <c r="AE414" s="1" t="s">
        <v>74</v>
      </c>
      <c r="AF414" s="1" t="s">
        <v>74</v>
      </c>
      <c r="AG414" s="1" t="s">
        <v>74</v>
      </c>
      <c r="AH414" s="1" t="s">
        <v>74</v>
      </c>
      <c r="AI414" s="1" t="s">
        <v>74</v>
      </c>
      <c r="AJ414" s="1" t="s">
        <v>74</v>
      </c>
      <c r="AK414" s="1" t="s">
        <v>74</v>
      </c>
      <c r="AL414" s="1" t="s">
        <v>74</v>
      </c>
      <c r="AM414" s="1" t="s">
        <v>74</v>
      </c>
      <c r="AN414" s="1" t="s">
        <v>74</v>
      </c>
      <c r="AO414" s="1" t="s">
        <v>4087</v>
      </c>
      <c r="AP414" s="1" t="s">
        <v>4088</v>
      </c>
      <c r="AQ414" s="1" t="s">
        <v>74</v>
      </c>
      <c r="AR414" s="1" t="s">
        <v>74</v>
      </c>
      <c r="AS414" s="1" t="s">
        <v>74</v>
      </c>
      <c r="AT414" s="1" t="s">
        <v>215</v>
      </c>
      <c r="AU414" s="1">
        <v>2019.0</v>
      </c>
      <c r="AV414" s="1">
        <v>25.0</v>
      </c>
      <c r="AW414" s="1">
        <v>6.0</v>
      </c>
      <c r="AX414" s="1" t="s">
        <v>74</v>
      </c>
      <c r="AY414" s="1" t="s">
        <v>74</v>
      </c>
      <c r="AZ414" s="1" t="s">
        <v>74</v>
      </c>
      <c r="BA414" s="1" t="s">
        <v>74</v>
      </c>
      <c r="BB414" s="1" t="s">
        <v>74</v>
      </c>
      <c r="BC414" s="1" t="s">
        <v>74</v>
      </c>
      <c r="BD414" s="1">
        <v>176.0</v>
      </c>
      <c r="BE414" s="1" t="s">
        <v>4089</v>
      </c>
      <c r="BF414" s="2" t="str">
        <f>HYPERLINK("http://dx.doi.org/10.1007/s00894-019-4066-8","http://dx.doi.org/10.1007/s00894-019-4066-8")</f>
        <v>http://dx.doi.org/10.1007/s00894-019-4066-8</v>
      </c>
      <c r="BG414" s="1" t="s">
        <v>74</v>
      </c>
      <c r="BH414" s="1" t="s">
        <v>74</v>
      </c>
      <c r="BI414" s="1" t="s">
        <v>74</v>
      </c>
      <c r="BJ414" s="1" t="s">
        <v>74</v>
      </c>
      <c r="BK414" s="1" t="s">
        <v>74</v>
      </c>
      <c r="BL414" s="1" t="s">
        <v>74</v>
      </c>
      <c r="BM414" s="1" t="s">
        <v>74</v>
      </c>
      <c r="BN414" s="1">
        <v>3.1154525E7</v>
      </c>
      <c r="BO414" s="1" t="s">
        <v>74</v>
      </c>
      <c r="BP414" s="1" t="s">
        <v>74</v>
      </c>
      <c r="BQ414" s="1" t="s">
        <v>74</v>
      </c>
      <c r="BR414" s="1" t="s">
        <v>74</v>
      </c>
      <c r="BS414" s="1" t="s">
        <v>4090</v>
      </c>
      <c r="BT414" s="1" t="str">
        <f>HYPERLINK("https%3A%2F%2Fwww.webofscience.com%2Fwos%2Fwoscc%2Ffull-record%2FWOS:000469889200002","View Full Record in Web of Science")</f>
        <v>View Full Record in Web of Science</v>
      </c>
    </row>
    <row r="415" ht="12.75" customHeight="1">
      <c r="A415" s="1" t="s">
        <v>72</v>
      </c>
      <c r="B415" s="1" t="s">
        <v>4091</v>
      </c>
      <c r="C415" s="1" t="s">
        <v>74</v>
      </c>
      <c r="D415" s="1" t="s">
        <v>74</v>
      </c>
      <c r="E415" s="1" t="s">
        <v>74</v>
      </c>
      <c r="F415" s="1" t="s">
        <v>4092</v>
      </c>
      <c r="G415" s="1" t="s">
        <v>74</v>
      </c>
      <c r="H415" s="1" t="s">
        <v>74</v>
      </c>
      <c r="I415" s="1" t="s">
        <v>4093</v>
      </c>
      <c r="J415" s="1" t="s">
        <v>4094</v>
      </c>
      <c r="K415" s="1" t="s">
        <v>74</v>
      </c>
      <c r="L415" s="1" t="s">
        <v>74</v>
      </c>
      <c r="M415" s="1" t="s">
        <v>74</v>
      </c>
      <c r="N415" s="1" t="s">
        <v>74</v>
      </c>
      <c r="O415" s="1" t="s">
        <v>74</v>
      </c>
      <c r="P415" s="1" t="s">
        <v>74</v>
      </c>
      <c r="Q415" s="1" t="s">
        <v>74</v>
      </c>
      <c r="R415" s="1" t="s">
        <v>74</v>
      </c>
      <c r="S415" s="1" t="s">
        <v>74</v>
      </c>
      <c r="T415" s="1" t="s">
        <v>74</v>
      </c>
      <c r="U415" s="1" t="s">
        <v>74</v>
      </c>
      <c r="V415" s="1" t="s">
        <v>4095</v>
      </c>
      <c r="W415" s="1" t="s">
        <v>74</v>
      </c>
      <c r="X415" s="1" t="s">
        <v>74</v>
      </c>
      <c r="Y415" s="1" t="s">
        <v>74</v>
      </c>
      <c r="Z415" s="1" t="s">
        <v>74</v>
      </c>
      <c r="AA415" s="1" t="s">
        <v>4096</v>
      </c>
      <c r="AB415" s="1" t="s">
        <v>4097</v>
      </c>
      <c r="AC415" s="1" t="s">
        <v>74</v>
      </c>
      <c r="AD415" s="1" t="s">
        <v>74</v>
      </c>
      <c r="AE415" s="1" t="s">
        <v>74</v>
      </c>
      <c r="AF415" s="1" t="s">
        <v>74</v>
      </c>
      <c r="AG415" s="1" t="s">
        <v>74</v>
      </c>
      <c r="AH415" s="1" t="s">
        <v>74</v>
      </c>
      <c r="AI415" s="1" t="s">
        <v>74</v>
      </c>
      <c r="AJ415" s="1" t="s">
        <v>74</v>
      </c>
      <c r="AK415" s="1" t="s">
        <v>74</v>
      </c>
      <c r="AL415" s="1" t="s">
        <v>74</v>
      </c>
      <c r="AM415" s="1" t="s">
        <v>74</v>
      </c>
      <c r="AN415" s="1" t="s">
        <v>74</v>
      </c>
      <c r="AO415" s="1" t="s">
        <v>4098</v>
      </c>
      <c r="AP415" s="1" t="s">
        <v>4099</v>
      </c>
      <c r="AQ415" s="1" t="s">
        <v>74</v>
      </c>
      <c r="AR415" s="1" t="s">
        <v>74</v>
      </c>
      <c r="AS415" s="1" t="s">
        <v>74</v>
      </c>
      <c r="AT415" s="1" t="s">
        <v>180</v>
      </c>
      <c r="AU415" s="1">
        <v>2019.0</v>
      </c>
      <c r="AV415" s="1">
        <v>63.0</v>
      </c>
      <c r="AW415" s="1">
        <v>5.0</v>
      </c>
      <c r="AX415" s="1" t="s">
        <v>74</v>
      </c>
      <c r="AY415" s="1" t="s">
        <v>74</v>
      </c>
      <c r="AZ415" s="1" t="s">
        <v>74</v>
      </c>
      <c r="BA415" s="1" t="s">
        <v>74</v>
      </c>
      <c r="BB415" s="1">
        <v>985.0</v>
      </c>
      <c r="BC415" s="1">
        <v>998.0</v>
      </c>
      <c r="BD415" s="1" t="s">
        <v>74</v>
      </c>
      <c r="BE415" s="1" t="s">
        <v>4100</v>
      </c>
      <c r="BF415" s="2" t="str">
        <f>HYPERLINK("http://dx.doi.org/10.1007/s00466-018-1633-2","http://dx.doi.org/10.1007/s00466-018-1633-2")</f>
        <v>http://dx.doi.org/10.1007/s00466-018-1633-2</v>
      </c>
      <c r="BG415" s="1" t="s">
        <v>74</v>
      </c>
      <c r="BH415" s="1" t="s">
        <v>74</v>
      </c>
      <c r="BI415" s="1" t="s">
        <v>74</v>
      </c>
      <c r="BJ415" s="1" t="s">
        <v>74</v>
      </c>
      <c r="BK415" s="1" t="s">
        <v>74</v>
      </c>
      <c r="BL415" s="1" t="s">
        <v>74</v>
      </c>
      <c r="BM415" s="1" t="s">
        <v>74</v>
      </c>
      <c r="BN415" s="1" t="s">
        <v>74</v>
      </c>
      <c r="BO415" s="1" t="s">
        <v>74</v>
      </c>
      <c r="BP415" s="1" t="s">
        <v>74</v>
      </c>
      <c r="BQ415" s="1" t="s">
        <v>74</v>
      </c>
      <c r="BR415" s="1" t="s">
        <v>74</v>
      </c>
      <c r="BS415" s="1" t="s">
        <v>4101</v>
      </c>
      <c r="BT415" s="1" t="str">
        <f>HYPERLINK("https%3A%2F%2Fwww.webofscience.com%2Fwos%2Fwoscc%2Ffull-record%2FWOS:000463666600011","View Full Record in Web of Science")</f>
        <v>View Full Record in Web of Science</v>
      </c>
    </row>
    <row r="416" ht="12.75" customHeight="1">
      <c r="A416" s="1" t="s">
        <v>251</v>
      </c>
      <c r="B416" s="1" t="s">
        <v>4102</v>
      </c>
      <c r="C416" s="1" t="s">
        <v>74</v>
      </c>
      <c r="D416" s="1" t="s">
        <v>74</v>
      </c>
      <c r="E416" s="1" t="s">
        <v>253</v>
      </c>
      <c r="F416" s="1" t="s">
        <v>4103</v>
      </c>
      <c r="G416" s="1" t="s">
        <v>74</v>
      </c>
      <c r="H416" s="1" t="s">
        <v>74</v>
      </c>
      <c r="I416" s="1" t="s">
        <v>4104</v>
      </c>
      <c r="J416" s="1" t="s">
        <v>4105</v>
      </c>
      <c r="K416" s="1" t="s">
        <v>4106</v>
      </c>
      <c r="L416" s="1" t="s">
        <v>74</v>
      </c>
      <c r="M416" s="1" t="s">
        <v>74</v>
      </c>
      <c r="N416" s="1" t="s">
        <v>74</v>
      </c>
      <c r="O416" s="1" t="s">
        <v>4107</v>
      </c>
      <c r="P416" s="1" t="s">
        <v>4108</v>
      </c>
      <c r="Q416" s="1" t="s">
        <v>4109</v>
      </c>
      <c r="R416" s="1" t="s">
        <v>74</v>
      </c>
      <c r="S416" s="1" t="s">
        <v>74</v>
      </c>
      <c r="T416" s="1" t="s">
        <v>74</v>
      </c>
      <c r="U416" s="1" t="s">
        <v>74</v>
      </c>
      <c r="V416" s="1" t="s">
        <v>4110</v>
      </c>
      <c r="W416" s="1" t="s">
        <v>74</v>
      </c>
      <c r="X416" s="1" t="s">
        <v>74</v>
      </c>
      <c r="Y416" s="1" t="s">
        <v>74</v>
      </c>
      <c r="Z416" s="1" t="s">
        <v>74</v>
      </c>
      <c r="AA416" s="1" t="s">
        <v>4111</v>
      </c>
      <c r="AB416" s="1" t="s">
        <v>4112</v>
      </c>
      <c r="AC416" s="1" t="s">
        <v>74</v>
      </c>
      <c r="AD416" s="1" t="s">
        <v>74</v>
      </c>
      <c r="AE416" s="1" t="s">
        <v>74</v>
      </c>
      <c r="AF416" s="1" t="s">
        <v>74</v>
      </c>
      <c r="AG416" s="1" t="s">
        <v>74</v>
      </c>
      <c r="AH416" s="1" t="s">
        <v>74</v>
      </c>
      <c r="AI416" s="1" t="s">
        <v>74</v>
      </c>
      <c r="AJ416" s="1" t="s">
        <v>74</v>
      </c>
      <c r="AK416" s="1" t="s">
        <v>74</v>
      </c>
      <c r="AL416" s="1" t="s">
        <v>74</v>
      </c>
      <c r="AM416" s="1" t="s">
        <v>74</v>
      </c>
      <c r="AN416" s="1" t="s">
        <v>74</v>
      </c>
      <c r="AO416" s="1" t="s">
        <v>4113</v>
      </c>
      <c r="AP416" s="1" t="s">
        <v>74</v>
      </c>
      <c r="AQ416" s="1" t="s">
        <v>4114</v>
      </c>
      <c r="AR416" s="1" t="s">
        <v>74</v>
      </c>
      <c r="AS416" s="1" t="s">
        <v>74</v>
      </c>
      <c r="AT416" s="1" t="s">
        <v>74</v>
      </c>
      <c r="AU416" s="1">
        <v>2019.0</v>
      </c>
      <c r="AV416" s="1" t="s">
        <v>74</v>
      </c>
      <c r="AW416" s="1" t="s">
        <v>74</v>
      </c>
      <c r="AX416" s="1" t="s">
        <v>74</v>
      </c>
      <c r="AY416" s="1" t="s">
        <v>74</v>
      </c>
      <c r="AZ416" s="1" t="s">
        <v>74</v>
      </c>
      <c r="BA416" s="1" t="s">
        <v>74</v>
      </c>
      <c r="BB416" s="1" t="s">
        <v>74</v>
      </c>
      <c r="BC416" s="1" t="s">
        <v>74</v>
      </c>
      <c r="BD416" s="1" t="s">
        <v>74</v>
      </c>
      <c r="BE416" s="1" t="s">
        <v>74</v>
      </c>
      <c r="BF416" s="1" t="s">
        <v>74</v>
      </c>
      <c r="BG416" s="1" t="s">
        <v>74</v>
      </c>
      <c r="BH416" s="1" t="s">
        <v>74</v>
      </c>
      <c r="BI416" s="1" t="s">
        <v>74</v>
      </c>
      <c r="BJ416" s="1" t="s">
        <v>74</v>
      </c>
      <c r="BK416" s="1" t="s">
        <v>74</v>
      </c>
      <c r="BL416" s="1" t="s">
        <v>74</v>
      </c>
      <c r="BM416" s="1" t="s">
        <v>74</v>
      </c>
      <c r="BN416" s="1" t="s">
        <v>74</v>
      </c>
      <c r="BO416" s="1" t="s">
        <v>74</v>
      </c>
      <c r="BP416" s="1" t="s">
        <v>74</v>
      </c>
      <c r="BQ416" s="1" t="s">
        <v>74</v>
      </c>
      <c r="BR416" s="1" t="s">
        <v>74</v>
      </c>
      <c r="BS416" s="1" t="s">
        <v>4115</v>
      </c>
      <c r="BT416" s="1" t="str">
        <f>HYPERLINK("https%3A%2F%2Fwww.webofscience.com%2Fwos%2Fwoscc%2Ffull-record%2FWOS:000515073401104","View Full Record in Web of Science")</f>
        <v>View Full Record in Web of Science</v>
      </c>
    </row>
    <row r="417" ht="12.75" customHeight="1">
      <c r="A417" s="1" t="s">
        <v>72</v>
      </c>
      <c r="B417" s="1" t="s">
        <v>4116</v>
      </c>
      <c r="C417" s="1" t="s">
        <v>74</v>
      </c>
      <c r="D417" s="1" t="s">
        <v>74</v>
      </c>
      <c r="E417" s="1" t="s">
        <v>74</v>
      </c>
      <c r="F417" s="1" t="s">
        <v>4117</v>
      </c>
      <c r="G417" s="1" t="s">
        <v>74</v>
      </c>
      <c r="H417" s="1" t="s">
        <v>74</v>
      </c>
      <c r="I417" s="1" t="s">
        <v>4118</v>
      </c>
      <c r="J417" s="1" t="s">
        <v>4119</v>
      </c>
      <c r="K417" s="1" t="s">
        <v>74</v>
      </c>
      <c r="L417" s="1" t="s">
        <v>74</v>
      </c>
      <c r="M417" s="1" t="s">
        <v>74</v>
      </c>
      <c r="N417" s="1" t="s">
        <v>74</v>
      </c>
      <c r="O417" s="1" t="s">
        <v>74</v>
      </c>
      <c r="P417" s="1" t="s">
        <v>74</v>
      </c>
      <c r="Q417" s="1" t="s">
        <v>74</v>
      </c>
      <c r="R417" s="1" t="s">
        <v>74</v>
      </c>
      <c r="S417" s="1" t="s">
        <v>74</v>
      </c>
      <c r="T417" s="1" t="s">
        <v>74</v>
      </c>
      <c r="U417" s="1" t="s">
        <v>74</v>
      </c>
      <c r="V417" s="1" t="s">
        <v>4120</v>
      </c>
      <c r="W417" s="1" t="s">
        <v>74</v>
      </c>
      <c r="X417" s="1" t="s">
        <v>74</v>
      </c>
      <c r="Y417" s="1" t="s">
        <v>74</v>
      </c>
      <c r="Z417" s="1" t="s">
        <v>74</v>
      </c>
      <c r="AA417" s="1" t="s">
        <v>4121</v>
      </c>
      <c r="AB417" s="1" t="s">
        <v>74</v>
      </c>
      <c r="AC417" s="1" t="s">
        <v>74</v>
      </c>
      <c r="AD417" s="1" t="s">
        <v>74</v>
      </c>
      <c r="AE417" s="1" t="s">
        <v>74</v>
      </c>
      <c r="AF417" s="1" t="s">
        <v>74</v>
      </c>
      <c r="AG417" s="1" t="s">
        <v>74</v>
      </c>
      <c r="AH417" s="1" t="s">
        <v>74</v>
      </c>
      <c r="AI417" s="1" t="s">
        <v>74</v>
      </c>
      <c r="AJ417" s="1" t="s">
        <v>74</v>
      </c>
      <c r="AK417" s="1" t="s">
        <v>74</v>
      </c>
      <c r="AL417" s="1" t="s">
        <v>74</v>
      </c>
      <c r="AM417" s="1" t="s">
        <v>74</v>
      </c>
      <c r="AN417" s="1" t="s">
        <v>74</v>
      </c>
      <c r="AO417" s="1" t="s">
        <v>4122</v>
      </c>
      <c r="AP417" s="1" t="s">
        <v>4123</v>
      </c>
      <c r="AQ417" s="1" t="s">
        <v>74</v>
      </c>
      <c r="AR417" s="1" t="s">
        <v>74</v>
      </c>
      <c r="AS417" s="1" t="s">
        <v>74</v>
      </c>
      <c r="AT417" s="1" t="s">
        <v>74</v>
      </c>
      <c r="AU417" s="1">
        <v>2019.0</v>
      </c>
      <c r="AV417" s="1">
        <v>36.0</v>
      </c>
      <c r="AW417" s="1">
        <v>2.0</v>
      </c>
      <c r="AX417" s="1" t="s">
        <v>74</v>
      </c>
      <c r="AY417" s="1" t="s">
        <v>74</v>
      </c>
      <c r="AZ417" s="1" t="s">
        <v>74</v>
      </c>
      <c r="BA417" s="1" t="s">
        <v>74</v>
      </c>
      <c r="BB417" s="1">
        <v>355.0</v>
      </c>
      <c r="BC417" s="1">
        <v>382.0</v>
      </c>
      <c r="BD417" s="1" t="s">
        <v>74</v>
      </c>
      <c r="BE417" s="1" t="s">
        <v>4124</v>
      </c>
      <c r="BF417" s="2" t="str">
        <f>HYPERLINK("http://dx.doi.org/10.5209/ASHF.58610","http://dx.doi.org/10.5209/ASHF.58610")</f>
        <v>http://dx.doi.org/10.5209/ASHF.58610</v>
      </c>
      <c r="BG417" s="1" t="s">
        <v>74</v>
      </c>
      <c r="BH417" s="1" t="s">
        <v>74</v>
      </c>
      <c r="BI417" s="1" t="s">
        <v>74</v>
      </c>
      <c r="BJ417" s="1" t="s">
        <v>74</v>
      </c>
      <c r="BK417" s="1" t="s">
        <v>74</v>
      </c>
      <c r="BL417" s="1" t="s">
        <v>74</v>
      </c>
      <c r="BM417" s="1" t="s">
        <v>74</v>
      </c>
      <c r="BN417" s="1" t="s">
        <v>74</v>
      </c>
      <c r="BO417" s="1" t="s">
        <v>74</v>
      </c>
      <c r="BP417" s="1" t="s">
        <v>74</v>
      </c>
      <c r="BQ417" s="1" t="s">
        <v>74</v>
      </c>
      <c r="BR417" s="1" t="s">
        <v>74</v>
      </c>
      <c r="BS417" s="1" t="s">
        <v>4125</v>
      </c>
      <c r="BT417" s="1" t="str">
        <f>HYPERLINK("https%3A%2F%2Fwww.webofscience.com%2Fwos%2Fwoscc%2Ffull-record%2FWOS:000474451700003","View Full Record in Web of Science")</f>
        <v>View Full Record in Web of Science</v>
      </c>
    </row>
    <row r="418" ht="12.75" customHeight="1">
      <c r="A418" s="1" t="s">
        <v>72</v>
      </c>
      <c r="B418" s="1" t="s">
        <v>4126</v>
      </c>
      <c r="C418" s="1" t="s">
        <v>74</v>
      </c>
      <c r="D418" s="1" t="s">
        <v>74</v>
      </c>
      <c r="E418" s="1" t="s">
        <v>74</v>
      </c>
      <c r="F418" s="1" t="s">
        <v>4127</v>
      </c>
      <c r="G418" s="1" t="s">
        <v>74</v>
      </c>
      <c r="H418" s="1" t="s">
        <v>74</v>
      </c>
      <c r="I418" s="1" t="s">
        <v>4128</v>
      </c>
      <c r="J418" s="1" t="s">
        <v>4129</v>
      </c>
      <c r="K418" s="1" t="s">
        <v>74</v>
      </c>
      <c r="L418" s="1" t="s">
        <v>74</v>
      </c>
      <c r="M418" s="1" t="s">
        <v>74</v>
      </c>
      <c r="N418" s="1" t="s">
        <v>74</v>
      </c>
      <c r="O418" s="1" t="s">
        <v>74</v>
      </c>
      <c r="P418" s="1" t="s">
        <v>74</v>
      </c>
      <c r="Q418" s="1" t="s">
        <v>74</v>
      </c>
      <c r="R418" s="1" t="s">
        <v>74</v>
      </c>
      <c r="S418" s="1" t="s">
        <v>74</v>
      </c>
      <c r="T418" s="1" t="s">
        <v>74</v>
      </c>
      <c r="U418" s="1" t="s">
        <v>74</v>
      </c>
      <c r="V418" s="1" t="s">
        <v>4130</v>
      </c>
      <c r="W418" s="1" t="s">
        <v>74</v>
      </c>
      <c r="X418" s="1" t="s">
        <v>74</v>
      </c>
      <c r="Y418" s="1" t="s">
        <v>74</v>
      </c>
      <c r="Z418" s="1" t="s">
        <v>74</v>
      </c>
      <c r="AA418" s="1" t="s">
        <v>4131</v>
      </c>
      <c r="AB418" s="1" t="s">
        <v>4132</v>
      </c>
      <c r="AC418" s="1" t="s">
        <v>74</v>
      </c>
      <c r="AD418" s="1" t="s">
        <v>74</v>
      </c>
      <c r="AE418" s="1" t="s">
        <v>74</v>
      </c>
      <c r="AF418" s="1" t="s">
        <v>74</v>
      </c>
      <c r="AG418" s="1" t="s">
        <v>74</v>
      </c>
      <c r="AH418" s="1" t="s">
        <v>74</v>
      </c>
      <c r="AI418" s="1" t="s">
        <v>74</v>
      </c>
      <c r="AJ418" s="1" t="s">
        <v>74</v>
      </c>
      <c r="AK418" s="1" t="s">
        <v>74</v>
      </c>
      <c r="AL418" s="1" t="s">
        <v>74</v>
      </c>
      <c r="AM418" s="1" t="s">
        <v>74</v>
      </c>
      <c r="AN418" s="1" t="s">
        <v>74</v>
      </c>
      <c r="AO418" s="1" t="s">
        <v>4133</v>
      </c>
      <c r="AP418" s="1" t="s">
        <v>4134</v>
      </c>
      <c r="AQ418" s="1" t="s">
        <v>74</v>
      </c>
      <c r="AR418" s="1" t="s">
        <v>74</v>
      </c>
      <c r="AS418" s="1" t="s">
        <v>74</v>
      </c>
      <c r="AT418" s="1" t="s">
        <v>123</v>
      </c>
      <c r="AU418" s="1">
        <v>2018.0</v>
      </c>
      <c r="AV418" s="1">
        <v>20.0</v>
      </c>
      <c r="AW418" s="1">
        <v>4.0</v>
      </c>
      <c r="AX418" s="1" t="s">
        <v>74</v>
      </c>
      <c r="AY418" s="1" t="s">
        <v>74</v>
      </c>
      <c r="AZ418" s="1" t="s">
        <v>74</v>
      </c>
      <c r="BA418" s="1" t="s">
        <v>74</v>
      </c>
      <c r="BB418" s="1">
        <v>595.0</v>
      </c>
      <c r="BC418" s="1">
        <v>610.0</v>
      </c>
      <c r="BD418" s="1" t="s">
        <v>74</v>
      </c>
      <c r="BE418" s="1" t="s">
        <v>4135</v>
      </c>
      <c r="BF418" s="2" t="str">
        <f>HYPERLINK("http://dx.doi.org/10.4067/S0718-221X2018005004701","http://dx.doi.org/10.4067/S0718-221X2018005004701")</f>
        <v>http://dx.doi.org/10.4067/S0718-221X2018005004701</v>
      </c>
      <c r="BG418" s="1" t="s">
        <v>74</v>
      </c>
      <c r="BH418" s="1" t="s">
        <v>74</v>
      </c>
      <c r="BI418" s="1" t="s">
        <v>74</v>
      </c>
      <c r="BJ418" s="1" t="s">
        <v>74</v>
      </c>
      <c r="BK418" s="1" t="s">
        <v>74</v>
      </c>
      <c r="BL418" s="1" t="s">
        <v>74</v>
      </c>
      <c r="BM418" s="1" t="s">
        <v>74</v>
      </c>
      <c r="BN418" s="1" t="s">
        <v>74</v>
      </c>
      <c r="BO418" s="1" t="s">
        <v>74</v>
      </c>
      <c r="BP418" s="1" t="s">
        <v>74</v>
      </c>
      <c r="BQ418" s="1" t="s">
        <v>74</v>
      </c>
      <c r="BR418" s="1" t="s">
        <v>74</v>
      </c>
      <c r="BS418" s="1" t="s">
        <v>4136</v>
      </c>
      <c r="BT418" s="1" t="str">
        <f>HYPERLINK("https%3A%2F%2Fwww.webofscience.com%2Fwos%2Fwoscc%2Ffull-record%2FWOS:000450125000008","View Full Record in Web of Science")</f>
        <v>View Full Record in Web of Science</v>
      </c>
    </row>
    <row r="419" ht="12.75" customHeight="1">
      <c r="A419" s="1" t="s">
        <v>72</v>
      </c>
      <c r="B419" s="1" t="s">
        <v>4137</v>
      </c>
      <c r="C419" s="1" t="s">
        <v>74</v>
      </c>
      <c r="D419" s="1" t="s">
        <v>74</v>
      </c>
      <c r="E419" s="1" t="s">
        <v>74</v>
      </c>
      <c r="F419" s="1" t="s">
        <v>4138</v>
      </c>
      <c r="G419" s="1" t="s">
        <v>74</v>
      </c>
      <c r="H419" s="1" t="s">
        <v>74</v>
      </c>
      <c r="I419" s="1" t="s">
        <v>4139</v>
      </c>
      <c r="J419" s="1" t="s">
        <v>4140</v>
      </c>
      <c r="K419" s="1" t="s">
        <v>74</v>
      </c>
      <c r="L419" s="1" t="s">
        <v>74</v>
      </c>
      <c r="M419" s="1" t="s">
        <v>74</v>
      </c>
      <c r="N419" s="1" t="s">
        <v>74</v>
      </c>
      <c r="O419" s="1" t="s">
        <v>74</v>
      </c>
      <c r="P419" s="1" t="s">
        <v>74</v>
      </c>
      <c r="Q419" s="1" t="s">
        <v>74</v>
      </c>
      <c r="R419" s="1" t="s">
        <v>74</v>
      </c>
      <c r="S419" s="1" t="s">
        <v>74</v>
      </c>
      <c r="T419" s="1" t="s">
        <v>74</v>
      </c>
      <c r="U419" s="1" t="s">
        <v>74</v>
      </c>
      <c r="V419" s="1" t="s">
        <v>4141</v>
      </c>
      <c r="W419" s="1" t="s">
        <v>74</v>
      </c>
      <c r="X419" s="1" t="s">
        <v>74</v>
      </c>
      <c r="Y419" s="1" t="s">
        <v>74</v>
      </c>
      <c r="Z419" s="1" t="s">
        <v>74</v>
      </c>
      <c r="AA419" s="1" t="s">
        <v>4142</v>
      </c>
      <c r="AB419" s="1" t="s">
        <v>4143</v>
      </c>
      <c r="AC419" s="1" t="s">
        <v>74</v>
      </c>
      <c r="AD419" s="1" t="s">
        <v>74</v>
      </c>
      <c r="AE419" s="1" t="s">
        <v>74</v>
      </c>
      <c r="AF419" s="1" t="s">
        <v>74</v>
      </c>
      <c r="AG419" s="1" t="s">
        <v>74</v>
      </c>
      <c r="AH419" s="1" t="s">
        <v>74</v>
      </c>
      <c r="AI419" s="1" t="s">
        <v>74</v>
      </c>
      <c r="AJ419" s="1" t="s">
        <v>74</v>
      </c>
      <c r="AK419" s="1" t="s">
        <v>74</v>
      </c>
      <c r="AL419" s="1" t="s">
        <v>74</v>
      </c>
      <c r="AM419" s="1" t="s">
        <v>74</v>
      </c>
      <c r="AN419" s="1" t="s">
        <v>74</v>
      </c>
      <c r="AO419" s="1" t="s">
        <v>4144</v>
      </c>
      <c r="AP419" s="1" t="s">
        <v>74</v>
      </c>
      <c r="AQ419" s="1" t="s">
        <v>74</v>
      </c>
      <c r="AR419" s="1" t="s">
        <v>74</v>
      </c>
      <c r="AS419" s="1" t="s">
        <v>74</v>
      </c>
      <c r="AT419" s="1" t="s">
        <v>4145</v>
      </c>
      <c r="AU419" s="1">
        <v>2018.0</v>
      </c>
      <c r="AV419" s="1">
        <v>9.0</v>
      </c>
      <c r="AW419" s="1" t="s">
        <v>74</v>
      </c>
      <c r="AX419" s="1" t="s">
        <v>74</v>
      </c>
      <c r="AY419" s="1" t="s">
        <v>74</v>
      </c>
      <c r="AZ419" s="1" t="s">
        <v>74</v>
      </c>
      <c r="BA419" s="1" t="s">
        <v>74</v>
      </c>
      <c r="BB419" s="1" t="s">
        <v>74</v>
      </c>
      <c r="BC419" s="1" t="s">
        <v>74</v>
      </c>
      <c r="BD419" s="1">
        <v>556.0</v>
      </c>
      <c r="BE419" s="1" t="s">
        <v>4146</v>
      </c>
      <c r="BF419" s="2" t="str">
        <f>HYPERLINK("http://dx.doi.org/10.3389/fpsyg.2018.00556","http://dx.doi.org/10.3389/fpsyg.2018.00556")</f>
        <v>http://dx.doi.org/10.3389/fpsyg.2018.00556</v>
      </c>
      <c r="BG419" s="1" t="s">
        <v>74</v>
      </c>
      <c r="BH419" s="1" t="s">
        <v>74</v>
      </c>
      <c r="BI419" s="1" t="s">
        <v>74</v>
      </c>
      <c r="BJ419" s="1" t="s">
        <v>74</v>
      </c>
      <c r="BK419" s="1" t="s">
        <v>74</v>
      </c>
      <c r="BL419" s="1" t="s">
        <v>74</v>
      </c>
      <c r="BM419" s="1" t="s">
        <v>74</v>
      </c>
      <c r="BN419" s="1">
        <v>2.9731731E7</v>
      </c>
      <c r="BO419" s="1" t="s">
        <v>74</v>
      </c>
      <c r="BP419" s="1" t="s">
        <v>74</v>
      </c>
      <c r="BQ419" s="1" t="s">
        <v>74</v>
      </c>
      <c r="BR419" s="1" t="s">
        <v>74</v>
      </c>
      <c r="BS419" s="1" t="s">
        <v>4147</v>
      </c>
      <c r="BT419" s="1" t="str">
        <f>HYPERLINK("https%3A%2F%2Fwww.webofscience.com%2Fwos%2Fwoscc%2Ffull-record%2FWOS:000430547700001","View Full Record in Web of Science")</f>
        <v>View Full Record in Web of Science</v>
      </c>
    </row>
    <row r="420" ht="12.75" customHeight="1">
      <c r="A420" s="1" t="s">
        <v>251</v>
      </c>
      <c r="B420" s="1" t="s">
        <v>4148</v>
      </c>
      <c r="C420" s="1" t="s">
        <v>74</v>
      </c>
      <c r="D420" s="1" t="s">
        <v>4149</v>
      </c>
      <c r="E420" s="1" t="s">
        <v>74</v>
      </c>
      <c r="F420" s="1" t="s">
        <v>4150</v>
      </c>
      <c r="G420" s="1" t="s">
        <v>74</v>
      </c>
      <c r="H420" s="1" t="s">
        <v>74</v>
      </c>
      <c r="I420" s="1" t="s">
        <v>4151</v>
      </c>
      <c r="J420" s="1" t="s">
        <v>4152</v>
      </c>
      <c r="K420" s="1" t="s">
        <v>74</v>
      </c>
      <c r="L420" s="1" t="s">
        <v>74</v>
      </c>
      <c r="M420" s="1" t="s">
        <v>74</v>
      </c>
      <c r="N420" s="1" t="s">
        <v>74</v>
      </c>
      <c r="O420" s="1" t="s">
        <v>4153</v>
      </c>
      <c r="P420" s="1" t="s">
        <v>4154</v>
      </c>
      <c r="Q420" s="1" t="s">
        <v>4155</v>
      </c>
      <c r="R420" s="1" t="s">
        <v>4156</v>
      </c>
      <c r="S420" s="1" t="s">
        <v>74</v>
      </c>
      <c r="T420" s="1" t="s">
        <v>74</v>
      </c>
      <c r="U420" s="1" t="s">
        <v>74</v>
      </c>
      <c r="V420" s="1" t="s">
        <v>4157</v>
      </c>
      <c r="W420" s="1" t="s">
        <v>74</v>
      </c>
      <c r="X420" s="1" t="s">
        <v>74</v>
      </c>
      <c r="Y420" s="1" t="s">
        <v>74</v>
      </c>
      <c r="Z420" s="1" t="s">
        <v>74</v>
      </c>
      <c r="AA420" s="1" t="s">
        <v>4158</v>
      </c>
      <c r="AB420" s="1" t="s">
        <v>4159</v>
      </c>
      <c r="AC420" s="1" t="s">
        <v>74</v>
      </c>
      <c r="AD420" s="1" t="s">
        <v>74</v>
      </c>
      <c r="AE420" s="1" t="s">
        <v>74</v>
      </c>
      <c r="AF420" s="1" t="s">
        <v>74</v>
      </c>
      <c r="AG420" s="1" t="s">
        <v>74</v>
      </c>
      <c r="AH420" s="1" t="s">
        <v>74</v>
      </c>
      <c r="AI420" s="1" t="s">
        <v>74</v>
      </c>
      <c r="AJ420" s="1" t="s">
        <v>74</v>
      </c>
      <c r="AK420" s="1" t="s">
        <v>74</v>
      </c>
      <c r="AL420" s="1" t="s">
        <v>74</v>
      </c>
      <c r="AM420" s="1" t="s">
        <v>74</v>
      </c>
      <c r="AN420" s="1" t="s">
        <v>74</v>
      </c>
      <c r="AO420" s="1" t="s">
        <v>74</v>
      </c>
      <c r="AP420" s="1" t="s">
        <v>74</v>
      </c>
      <c r="AQ420" s="1" t="s">
        <v>4160</v>
      </c>
      <c r="AR420" s="1" t="s">
        <v>74</v>
      </c>
      <c r="AS420" s="1" t="s">
        <v>74</v>
      </c>
      <c r="AT420" s="1" t="s">
        <v>74</v>
      </c>
      <c r="AU420" s="1">
        <v>2018.0</v>
      </c>
      <c r="AV420" s="1" t="s">
        <v>74</v>
      </c>
      <c r="AW420" s="1" t="s">
        <v>74</v>
      </c>
      <c r="AX420" s="1" t="s">
        <v>74</v>
      </c>
      <c r="AY420" s="1" t="s">
        <v>74</v>
      </c>
      <c r="AZ420" s="1" t="s">
        <v>74</v>
      </c>
      <c r="BA420" s="1" t="s">
        <v>74</v>
      </c>
      <c r="BB420" s="1">
        <v>23.0</v>
      </c>
      <c r="BC420" s="1">
        <v>28.0</v>
      </c>
      <c r="BD420" s="1" t="s">
        <v>74</v>
      </c>
      <c r="BE420" s="1" t="s">
        <v>74</v>
      </c>
      <c r="BF420" s="1" t="s">
        <v>74</v>
      </c>
      <c r="BG420" s="1" t="s">
        <v>74</v>
      </c>
      <c r="BH420" s="1" t="s">
        <v>74</v>
      </c>
      <c r="BI420" s="1" t="s">
        <v>74</v>
      </c>
      <c r="BJ420" s="1" t="s">
        <v>74</v>
      </c>
      <c r="BK420" s="1" t="s">
        <v>74</v>
      </c>
      <c r="BL420" s="1" t="s">
        <v>74</v>
      </c>
      <c r="BM420" s="1" t="s">
        <v>74</v>
      </c>
      <c r="BN420" s="1" t="s">
        <v>74</v>
      </c>
      <c r="BO420" s="1" t="s">
        <v>74</v>
      </c>
      <c r="BP420" s="1" t="s">
        <v>74</v>
      </c>
      <c r="BQ420" s="1" t="s">
        <v>74</v>
      </c>
      <c r="BR420" s="1" t="s">
        <v>74</v>
      </c>
      <c r="BS420" s="1" t="s">
        <v>4161</v>
      </c>
      <c r="BT420" s="1" t="str">
        <f>HYPERLINK("https%3A%2F%2Fwww.webofscience.com%2Fwos%2Fwoscc%2Ffull-record%2FWOS:000437157500003","View Full Record in Web of Science")</f>
        <v>View Full Record in Web of Science</v>
      </c>
    </row>
    <row r="421" ht="12.75" customHeight="1">
      <c r="A421" s="1" t="s">
        <v>72</v>
      </c>
      <c r="B421" s="1" t="s">
        <v>4162</v>
      </c>
      <c r="C421" s="1" t="s">
        <v>74</v>
      </c>
      <c r="D421" s="1" t="s">
        <v>74</v>
      </c>
      <c r="E421" s="1" t="s">
        <v>74</v>
      </c>
      <c r="F421" s="1" t="s">
        <v>4163</v>
      </c>
      <c r="G421" s="1" t="s">
        <v>74</v>
      </c>
      <c r="H421" s="1" t="s">
        <v>74</v>
      </c>
      <c r="I421" s="1" t="s">
        <v>4164</v>
      </c>
      <c r="J421" s="1" t="s">
        <v>4165</v>
      </c>
      <c r="K421" s="1" t="s">
        <v>74</v>
      </c>
      <c r="L421" s="1" t="s">
        <v>74</v>
      </c>
      <c r="M421" s="1" t="s">
        <v>74</v>
      </c>
      <c r="N421" s="1" t="s">
        <v>74</v>
      </c>
      <c r="O421" s="1" t="s">
        <v>74</v>
      </c>
      <c r="P421" s="1" t="s">
        <v>74</v>
      </c>
      <c r="Q421" s="1" t="s">
        <v>74</v>
      </c>
      <c r="R421" s="1" t="s">
        <v>74</v>
      </c>
      <c r="S421" s="1" t="s">
        <v>74</v>
      </c>
      <c r="T421" s="1" t="s">
        <v>74</v>
      </c>
      <c r="U421" s="1" t="s">
        <v>74</v>
      </c>
      <c r="V421" s="1" t="s">
        <v>4166</v>
      </c>
      <c r="W421" s="1" t="s">
        <v>74</v>
      </c>
      <c r="X421" s="1" t="s">
        <v>74</v>
      </c>
      <c r="Y421" s="1" t="s">
        <v>74</v>
      </c>
      <c r="Z421" s="1" t="s">
        <v>74</v>
      </c>
      <c r="AA421" s="1" t="s">
        <v>4167</v>
      </c>
      <c r="AB421" s="1" t="s">
        <v>4168</v>
      </c>
      <c r="AC421" s="1" t="s">
        <v>74</v>
      </c>
      <c r="AD421" s="1" t="s">
        <v>74</v>
      </c>
      <c r="AE421" s="1" t="s">
        <v>74</v>
      </c>
      <c r="AF421" s="1" t="s">
        <v>74</v>
      </c>
      <c r="AG421" s="1" t="s">
        <v>74</v>
      </c>
      <c r="AH421" s="1" t="s">
        <v>74</v>
      </c>
      <c r="AI421" s="1" t="s">
        <v>74</v>
      </c>
      <c r="AJ421" s="1" t="s">
        <v>74</v>
      </c>
      <c r="AK421" s="1" t="s">
        <v>74</v>
      </c>
      <c r="AL421" s="1" t="s">
        <v>74</v>
      </c>
      <c r="AM421" s="1" t="s">
        <v>74</v>
      </c>
      <c r="AN421" s="1" t="s">
        <v>74</v>
      </c>
      <c r="AO421" s="1" t="s">
        <v>4169</v>
      </c>
      <c r="AP421" s="1" t="s">
        <v>4170</v>
      </c>
      <c r="AQ421" s="1" t="s">
        <v>74</v>
      </c>
      <c r="AR421" s="1" t="s">
        <v>74</v>
      </c>
      <c r="AS421" s="1" t="s">
        <v>74</v>
      </c>
      <c r="AT421" s="1" t="s">
        <v>169</v>
      </c>
      <c r="AU421" s="1">
        <v>2018.0</v>
      </c>
      <c r="AV421" s="1">
        <v>204.0</v>
      </c>
      <c r="AW421" s="1" t="s">
        <v>74</v>
      </c>
      <c r="AX421" s="1" t="s">
        <v>74</v>
      </c>
      <c r="AY421" s="1" t="s">
        <v>74</v>
      </c>
      <c r="AZ421" s="1" t="s">
        <v>74</v>
      </c>
      <c r="BA421" s="1" t="s">
        <v>74</v>
      </c>
      <c r="BB421" s="1">
        <v>23.0</v>
      </c>
      <c r="BC421" s="1">
        <v>26.0</v>
      </c>
      <c r="BD421" s="1" t="s">
        <v>74</v>
      </c>
      <c r="BE421" s="1" t="s">
        <v>4171</v>
      </c>
      <c r="BF421" s="2" t="str">
        <f>HYPERLINK("http://dx.doi.org/10.1016/j.jqsrt.2017.08.012","http://dx.doi.org/10.1016/j.jqsrt.2017.08.012")</f>
        <v>http://dx.doi.org/10.1016/j.jqsrt.2017.08.012</v>
      </c>
      <c r="BG421" s="1" t="s">
        <v>74</v>
      </c>
      <c r="BH421" s="1" t="s">
        <v>74</v>
      </c>
      <c r="BI421" s="1" t="s">
        <v>74</v>
      </c>
      <c r="BJ421" s="1" t="s">
        <v>74</v>
      </c>
      <c r="BK421" s="1" t="s">
        <v>74</v>
      </c>
      <c r="BL421" s="1" t="s">
        <v>74</v>
      </c>
      <c r="BM421" s="1" t="s">
        <v>74</v>
      </c>
      <c r="BN421" s="1" t="s">
        <v>74</v>
      </c>
      <c r="BO421" s="1" t="s">
        <v>74</v>
      </c>
      <c r="BP421" s="1" t="s">
        <v>74</v>
      </c>
      <c r="BQ421" s="1" t="s">
        <v>74</v>
      </c>
      <c r="BR421" s="1" t="s">
        <v>74</v>
      </c>
      <c r="BS421" s="1" t="s">
        <v>4172</v>
      </c>
      <c r="BT421" s="1" t="str">
        <f>HYPERLINK("https%3A%2F%2Fwww.webofscience.com%2Fwos%2Fwoscc%2Ffull-record%2FWOS:000414880500004","View Full Record in Web of Science")</f>
        <v>View Full Record in Web of Science</v>
      </c>
    </row>
    <row r="422" ht="12.75" customHeight="1">
      <c r="A422" s="1" t="s">
        <v>72</v>
      </c>
      <c r="B422" s="1" t="s">
        <v>4173</v>
      </c>
      <c r="C422" s="1" t="s">
        <v>74</v>
      </c>
      <c r="D422" s="1" t="s">
        <v>74</v>
      </c>
      <c r="E422" s="1" t="s">
        <v>74</v>
      </c>
      <c r="F422" s="1" t="s">
        <v>4174</v>
      </c>
      <c r="G422" s="1" t="s">
        <v>74</v>
      </c>
      <c r="H422" s="1" t="s">
        <v>74</v>
      </c>
      <c r="I422" s="1" t="s">
        <v>4175</v>
      </c>
      <c r="J422" s="1" t="s">
        <v>3995</v>
      </c>
      <c r="K422" s="1" t="s">
        <v>74</v>
      </c>
      <c r="L422" s="1" t="s">
        <v>74</v>
      </c>
      <c r="M422" s="1" t="s">
        <v>74</v>
      </c>
      <c r="N422" s="1" t="s">
        <v>74</v>
      </c>
      <c r="O422" s="1" t="s">
        <v>74</v>
      </c>
      <c r="P422" s="1" t="s">
        <v>74</v>
      </c>
      <c r="Q422" s="1" t="s">
        <v>74</v>
      </c>
      <c r="R422" s="1" t="s">
        <v>74</v>
      </c>
      <c r="S422" s="1" t="s">
        <v>74</v>
      </c>
      <c r="T422" s="1" t="s">
        <v>74</v>
      </c>
      <c r="U422" s="1" t="s">
        <v>74</v>
      </c>
      <c r="V422" s="1" t="s">
        <v>4176</v>
      </c>
      <c r="W422" s="1" t="s">
        <v>74</v>
      </c>
      <c r="X422" s="1" t="s">
        <v>74</v>
      </c>
      <c r="Y422" s="1" t="s">
        <v>74</v>
      </c>
      <c r="Z422" s="1" t="s">
        <v>74</v>
      </c>
      <c r="AA422" s="1" t="s">
        <v>1206</v>
      </c>
      <c r="AB422" s="1" t="s">
        <v>1357</v>
      </c>
      <c r="AC422" s="1" t="s">
        <v>74</v>
      </c>
      <c r="AD422" s="1" t="s">
        <v>74</v>
      </c>
      <c r="AE422" s="1" t="s">
        <v>74</v>
      </c>
      <c r="AF422" s="1" t="s">
        <v>74</v>
      </c>
      <c r="AG422" s="1" t="s">
        <v>74</v>
      </c>
      <c r="AH422" s="1" t="s">
        <v>74</v>
      </c>
      <c r="AI422" s="1" t="s">
        <v>74</v>
      </c>
      <c r="AJ422" s="1" t="s">
        <v>74</v>
      </c>
      <c r="AK422" s="1" t="s">
        <v>74</v>
      </c>
      <c r="AL422" s="1" t="s">
        <v>74</v>
      </c>
      <c r="AM422" s="1" t="s">
        <v>74</v>
      </c>
      <c r="AN422" s="1" t="s">
        <v>74</v>
      </c>
      <c r="AO422" s="1" t="s">
        <v>3997</v>
      </c>
      <c r="AP422" s="1" t="s">
        <v>3998</v>
      </c>
      <c r="AQ422" s="1" t="s">
        <v>74</v>
      </c>
      <c r="AR422" s="1" t="s">
        <v>74</v>
      </c>
      <c r="AS422" s="1" t="s">
        <v>74</v>
      </c>
      <c r="AT422" s="1" t="s">
        <v>135</v>
      </c>
      <c r="AU422" s="1">
        <v>2017.0</v>
      </c>
      <c r="AV422" s="1">
        <v>139.0</v>
      </c>
      <c r="AW422" s="1">
        <v>8.0</v>
      </c>
      <c r="AX422" s="1" t="s">
        <v>74</v>
      </c>
      <c r="AY422" s="1" t="s">
        <v>74</v>
      </c>
      <c r="AZ422" s="1" t="s">
        <v>74</v>
      </c>
      <c r="BA422" s="1" t="s">
        <v>74</v>
      </c>
      <c r="BB422" s="1" t="s">
        <v>74</v>
      </c>
      <c r="BC422" s="1" t="s">
        <v>74</v>
      </c>
      <c r="BD422" s="1">
        <v>81202.0</v>
      </c>
      <c r="BE422" s="1" t="s">
        <v>4177</v>
      </c>
      <c r="BF422" s="2" t="str">
        <f>HYPERLINK("http://dx.doi.org/10.1115/1.4036247","http://dx.doi.org/10.1115/1.4036247")</f>
        <v>http://dx.doi.org/10.1115/1.4036247</v>
      </c>
      <c r="BG422" s="1" t="s">
        <v>74</v>
      </c>
      <c r="BH422" s="1" t="s">
        <v>74</v>
      </c>
      <c r="BI422" s="1" t="s">
        <v>74</v>
      </c>
      <c r="BJ422" s="1" t="s">
        <v>74</v>
      </c>
      <c r="BK422" s="1" t="s">
        <v>74</v>
      </c>
      <c r="BL422" s="1" t="s">
        <v>74</v>
      </c>
      <c r="BM422" s="1" t="s">
        <v>74</v>
      </c>
      <c r="BN422" s="1" t="s">
        <v>74</v>
      </c>
      <c r="BO422" s="1" t="s">
        <v>74</v>
      </c>
      <c r="BP422" s="1" t="s">
        <v>74</v>
      </c>
      <c r="BQ422" s="1" t="s">
        <v>74</v>
      </c>
      <c r="BR422" s="1" t="s">
        <v>74</v>
      </c>
      <c r="BS422" s="1" t="s">
        <v>4178</v>
      </c>
      <c r="BT422" s="1" t="str">
        <f>HYPERLINK("https%3A%2F%2Fwww.webofscience.com%2Fwos%2Fwoscc%2Ffull-record%2FWOS:000403876900007","View Full Record in Web of Science")</f>
        <v>View Full Record in Web of Science</v>
      </c>
    </row>
    <row r="423" ht="12.75" customHeight="1">
      <c r="A423" s="1" t="s">
        <v>72</v>
      </c>
      <c r="B423" s="1" t="s">
        <v>4179</v>
      </c>
      <c r="C423" s="1" t="s">
        <v>74</v>
      </c>
      <c r="D423" s="1" t="s">
        <v>74</v>
      </c>
      <c r="E423" s="1" t="s">
        <v>74</v>
      </c>
      <c r="F423" s="1" t="s">
        <v>4180</v>
      </c>
      <c r="G423" s="1" t="s">
        <v>74</v>
      </c>
      <c r="H423" s="1" t="s">
        <v>74</v>
      </c>
      <c r="I423" s="1" t="s">
        <v>4181</v>
      </c>
      <c r="J423" s="1" t="s">
        <v>3318</v>
      </c>
      <c r="K423" s="1" t="s">
        <v>74</v>
      </c>
      <c r="L423" s="1" t="s">
        <v>74</v>
      </c>
      <c r="M423" s="1" t="s">
        <v>74</v>
      </c>
      <c r="N423" s="1" t="s">
        <v>74</v>
      </c>
      <c r="O423" s="1" t="s">
        <v>74</v>
      </c>
      <c r="P423" s="1" t="s">
        <v>74</v>
      </c>
      <c r="Q423" s="1" t="s">
        <v>74</v>
      </c>
      <c r="R423" s="1" t="s">
        <v>74</v>
      </c>
      <c r="S423" s="1" t="s">
        <v>74</v>
      </c>
      <c r="T423" s="1" t="s">
        <v>74</v>
      </c>
      <c r="U423" s="1" t="s">
        <v>74</v>
      </c>
      <c r="V423" s="1" t="s">
        <v>4182</v>
      </c>
      <c r="W423" s="1" t="s">
        <v>74</v>
      </c>
      <c r="X423" s="1" t="s">
        <v>74</v>
      </c>
      <c r="Y423" s="1" t="s">
        <v>74</v>
      </c>
      <c r="Z423" s="1" t="s">
        <v>74</v>
      </c>
      <c r="AA423" s="1" t="s">
        <v>4183</v>
      </c>
      <c r="AB423" s="1" t="s">
        <v>74</v>
      </c>
      <c r="AC423" s="1" t="s">
        <v>74</v>
      </c>
      <c r="AD423" s="1" t="s">
        <v>74</v>
      </c>
      <c r="AE423" s="1" t="s">
        <v>74</v>
      </c>
      <c r="AF423" s="1" t="s">
        <v>74</v>
      </c>
      <c r="AG423" s="1" t="s">
        <v>74</v>
      </c>
      <c r="AH423" s="1" t="s">
        <v>74</v>
      </c>
      <c r="AI423" s="1" t="s">
        <v>74</v>
      </c>
      <c r="AJ423" s="1" t="s">
        <v>74</v>
      </c>
      <c r="AK423" s="1" t="s">
        <v>74</v>
      </c>
      <c r="AL423" s="1" t="s">
        <v>74</v>
      </c>
      <c r="AM423" s="1" t="s">
        <v>74</v>
      </c>
      <c r="AN423" s="1" t="s">
        <v>74</v>
      </c>
      <c r="AO423" s="1" t="s">
        <v>3321</v>
      </c>
      <c r="AP423" s="1" t="s">
        <v>74</v>
      </c>
      <c r="AQ423" s="1" t="s">
        <v>74</v>
      </c>
      <c r="AR423" s="1" t="s">
        <v>74</v>
      </c>
      <c r="AS423" s="1" t="s">
        <v>74</v>
      </c>
      <c r="AT423" s="1" t="s">
        <v>74</v>
      </c>
      <c r="AU423" s="1">
        <v>2017.0</v>
      </c>
      <c r="AV423" s="1" t="s">
        <v>74</v>
      </c>
      <c r="AW423" s="1">
        <v>515.0</v>
      </c>
      <c r="AX423" s="1" t="s">
        <v>74</v>
      </c>
      <c r="AY423" s="1" t="s">
        <v>74</v>
      </c>
      <c r="AZ423" s="1" t="s">
        <v>74</v>
      </c>
      <c r="BA423" s="1" t="s">
        <v>74</v>
      </c>
      <c r="BB423" s="1">
        <v>203.0</v>
      </c>
      <c r="BC423" s="1">
        <v>219.0</v>
      </c>
      <c r="BD423" s="1" t="s">
        <v>74</v>
      </c>
      <c r="BE423" s="1" t="s">
        <v>74</v>
      </c>
      <c r="BF423" s="1" t="s">
        <v>74</v>
      </c>
      <c r="BG423" s="1" t="s">
        <v>74</v>
      </c>
      <c r="BH423" s="1" t="s">
        <v>74</v>
      </c>
      <c r="BI423" s="1" t="s">
        <v>74</v>
      </c>
      <c r="BJ423" s="1" t="s">
        <v>74</v>
      </c>
      <c r="BK423" s="1" t="s">
        <v>74</v>
      </c>
      <c r="BL423" s="1" t="s">
        <v>74</v>
      </c>
      <c r="BM423" s="1" t="s">
        <v>74</v>
      </c>
      <c r="BN423" s="1" t="s">
        <v>74</v>
      </c>
      <c r="BO423" s="1" t="s">
        <v>74</v>
      </c>
      <c r="BP423" s="1" t="s">
        <v>74</v>
      </c>
      <c r="BQ423" s="1" t="s">
        <v>74</v>
      </c>
      <c r="BR423" s="1" t="s">
        <v>74</v>
      </c>
      <c r="BS423" s="1" t="s">
        <v>4184</v>
      </c>
      <c r="BT423" s="1" t="str">
        <f>HYPERLINK("https%3A%2F%2Fwww.webofscience.com%2Fwos%2Fwoscc%2Ffull-record%2FWOS:000407985500014","View Full Record in Web of Science")</f>
        <v>View Full Record in Web of Science</v>
      </c>
    </row>
    <row r="424" ht="12.75" customHeight="1">
      <c r="A424" s="1" t="s">
        <v>72</v>
      </c>
      <c r="B424" s="1" t="s">
        <v>4185</v>
      </c>
      <c r="C424" s="1" t="s">
        <v>74</v>
      </c>
      <c r="D424" s="1" t="s">
        <v>74</v>
      </c>
      <c r="E424" s="1" t="s">
        <v>74</v>
      </c>
      <c r="F424" s="1" t="s">
        <v>4186</v>
      </c>
      <c r="G424" s="1" t="s">
        <v>74</v>
      </c>
      <c r="H424" s="1" t="s">
        <v>74</v>
      </c>
      <c r="I424" s="1" t="s">
        <v>4187</v>
      </c>
      <c r="J424" s="1" t="s">
        <v>602</v>
      </c>
      <c r="K424" s="1" t="s">
        <v>74</v>
      </c>
      <c r="L424" s="1" t="s">
        <v>74</v>
      </c>
      <c r="M424" s="1" t="s">
        <v>74</v>
      </c>
      <c r="N424" s="1" t="s">
        <v>74</v>
      </c>
      <c r="O424" s="1" t="s">
        <v>74</v>
      </c>
      <c r="P424" s="1" t="s">
        <v>74</v>
      </c>
      <c r="Q424" s="1" t="s">
        <v>74</v>
      </c>
      <c r="R424" s="1" t="s">
        <v>74</v>
      </c>
      <c r="S424" s="1" t="s">
        <v>74</v>
      </c>
      <c r="T424" s="1" t="s">
        <v>74</v>
      </c>
      <c r="U424" s="1" t="s">
        <v>74</v>
      </c>
      <c r="V424" s="1" t="s">
        <v>74</v>
      </c>
      <c r="W424" s="1" t="s">
        <v>74</v>
      </c>
      <c r="X424" s="1" t="s">
        <v>74</v>
      </c>
      <c r="Y424" s="1" t="s">
        <v>74</v>
      </c>
      <c r="Z424" s="1" t="s">
        <v>74</v>
      </c>
      <c r="AA424" s="1" t="s">
        <v>74</v>
      </c>
      <c r="AB424" s="1" t="s">
        <v>74</v>
      </c>
      <c r="AC424" s="1" t="s">
        <v>74</v>
      </c>
      <c r="AD424" s="1" t="s">
        <v>74</v>
      </c>
      <c r="AE424" s="1" t="s">
        <v>74</v>
      </c>
      <c r="AF424" s="1" t="s">
        <v>74</v>
      </c>
      <c r="AG424" s="1" t="s">
        <v>74</v>
      </c>
      <c r="AH424" s="1" t="s">
        <v>74</v>
      </c>
      <c r="AI424" s="1" t="s">
        <v>74</v>
      </c>
      <c r="AJ424" s="1" t="s">
        <v>74</v>
      </c>
      <c r="AK424" s="1" t="s">
        <v>74</v>
      </c>
      <c r="AL424" s="1" t="s">
        <v>74</v>
      </c>
      <c r="AM424" s="1" t="s">
        <v>74</v>
      </c>
      <c r="AN424" s="1" t="s">
        <v>74</v>
      </c>
      <c r="AO424" s="1" t="s">
        <v>605</v>
      </c>
      <c r="AP424" s="1" t="s">
        <v>606</v>
      </c>
      <c r="AQ424" s="1" t="s">
        <v>74</v>
      </c>
      <c r="AR424" s="1" t="s">
        <v>74</v>
      </c>
      <c r="AS424" s="1" t="s">
        <v>74</v>
      </c>
      <c r="AT424" s="1" t="s">
        <v>310</v>
      </c>
      <c r="AU424" s="1">
        <v>2016.0</v>
      </c>
      <c r="AV424" s="1" t="s">
        <v>74</v>
      </c>
      <c r="AW424" s="1">
        <v>42.0</v>
      </c>
      <c r="AX424" s="1" t="s">
        <v>74</v>
      </c>
      <c r="AY424" s="1" t="s">
        <v>74</v>
      </c>
      <c r="AZ424" s="1" t="s">
        <v>74</v>
      </c>
      <c r="BA424" s="1" t="s">
        <v>74</v>
      </c>
      <c r="BB424" s="1">
        <v>273.0</v>
      </c>
      <c r="BC424" s="1">
        <v>284.0</v>
      </c>
      <c r="BD424" s="1" t="s">
        <v>74</v>
      </c>
      <c r="BE424" s="1" t="s">
        <v>74</v>
      </c>
      <c r="BF424" s="1" t="s">
        <v>74</v>
      </c>
      <c r="BG424" s="1" t="s">
        <v>74</v>
      </c>
      <c r="BH424" s="1" t="s">
        <v>74</v>
      </c>
      <c r="BI424" s="1" t="s">
        <v>74</v>
      </c>
      <c r="BJ424" s="1" t="s">
        <v>74</v>
      </c>
      <c r="BK424" s="1" t="s">
        <v>74</v>
      </c>
      <c r="BL424" s="1" t="s">
        <v>74</v>
      </c>
      <c r="BM424" s="1" t="s">
        <v>74</v>
      </c>
      <c r="BN424" s="1" t="s">
        <v>74</v>
      </c>
      <c r="BO424" s="1" t="s">
        <v>74</v>
      </c>
      <c r="BP424" s="1" t="s">
        <v>74</v>
      </c>
      <c r="BQ424" s="1" t="s">
        <v>74</v>
      </c>
      <c r="BR424" s="1" t="s">
        <v>74</v>
      </c>
      <c r="BS424" s="1" t="s">
        <v>4188</v>
      </c>
      <c r="BT424" s="1" t="str">
        <f>HYPERLINK("https%3A%2F%2Fwww.webofscience.com%2Fwos%2Fwoscc%2Ffull-record%2FWOS:000386762300018","View Full Record in Web of Science")</f>
        <v>View Full Record in Web of Science</v>
      </c>
    </row>
    <row r="425" ht="12.75" customHeight="1">
      <c r="A425" s="1" t="s">
        <v>72</v>
      </c>
      <c r="B425" s="1" t="s">
        <v>4189</v>
      </c>
      <c r="C425" s="1" t="s">
        <v>74</v>
      </c>
      <c r="D425" s="1" t="s">
        <v>74</v>
      </c>
      <c r="E425" s="1" t="s">
        <v>74</v>
      </c>
      <c r="F425" s="1" t="s">
        <v>4190</v>
      </c>
      <c r="G425" s="1" t="s">
        <v>74</v>
      </c>
      <c r="H425" s="1" t="s">
        <v>74</v>
      </c>
      <c r="I425" s="1" t="s">
        <v>4191</v>
      </c>
      <c r="J425" s="1" t="s">
        <v>4192</v>
      </c>
      <c r="K425" s="1" t="s">
        <v>74</v>
      </c>
      <c r="L425" s="1" t="s">
        <v>74</v>
      </c>
      <c r="M425" s="1" t="s">
        <v>74</v>
      </c>
      <c r="N425" s="1" t="s">
        <v>74</v>
      </c>
      <c r="O425" s="1" t="s">
        <v>74</v>
      </c>
      <c r="P425" s="1" t="s">
        <v>74</v>
      </c>
      <c r="Q425" s="1" t="s">
        <v>74</v>
      </c>
      <c r="R425" s="1" t="s">
        <v>74</v>
      </c>
      <c r="S425" s="1" t="s">
        <v>74</v>
      </c>
      <c r="T425" s="1" t="s">
        <v>74</v>
      </c>
      <c r="U425" s="1" t="s">
        <v>74</v>
      </c>
      <c r="V425" s="1" t="s">
        <v>4193</v>
      </c>
      <c r="W425" s="1" t="s">
        <v>74</v>
      </c>
      <c r="X425" s="1" t="s">
        <v>74</v>
      </c>
      <c r="Y425" s="1" t="s">
        <v>74</v>
      </c>
      <c r="Z425" s="1" t="s">
        <v>74</v>
      </c>
      <c r="AA425" s="1" t="s">
        <v>4194</v>
      </c>
      <c r="AB425" s="1" t="s">
        <v>4195</v>
      </c>
      <c r="AC425" s="1" t="s">
        <v>74</v>
      </c>
      <c r="AD425" s="1" t="s">
        <v>74</v>
      </c>
      <c r="AE425" s="1" t="s">
        <v>74</v>
      </c>
      <c r="AF425" s="1" t="s">
        <v>74</v>
      </c>
      <c r="AG425" s="1" t="s">
        <v>74</v>
      </c>
      <c r="AH425" s="1" t="s">
        <v>74</v>
      </c>
      <c r="AI425" s="1" t="s">
        <v>74</v>
      </c>
      <c r="AJ425" s="1" t="s">
        <v>74</v>
      </c>
      <c r="AK425" s="1" t="s">
        <v>74</v>
      </c>
      <c r="AL425" s="1" t="s">
        <v>74</v>
      </c>
      <c r="AM425" s="1" t="s">
        <v>74</v>
      </c>
      <c r="AN425" s="1" t="s">
        <v>74</v>
      </c>
      <c r="AO425" s="1" t="s">
        <v>4196</v>
      </c>
      <c r="AP425" s="1" t="s">
        <v>4197</v>
      </c>
      <c r="AQ425" s="1" t="s">
        <v>74</v>
      </c>
      <c r="AR425" s="1" t="s">
        <v>74</v>
      </c>
      <c r="AS425" s="1" t="s">
        <v>74</v>
      </c>
      <c r="AT425" s="1" t="s">
        <v>74</v>
      </c>
      <c r="AU425" s="1">
        <v>2016.0</v>
      </c>
      <c r="AV425" s="1">
        <v>69.0</v>
      </c>
      <c r="AW425" s="1">
        <v>23.0</v>
      </c>
      <c r="AX425" s="1" t="s">
        <v>74</v>
      </c>
      <c r="AY425" s="1" t="s">
        <v>74</v>
      </c>
      <c r="AZ425" s="1" t="s">
        <v>74</v>
      </c>
      <c r="BA425" s="1" t="s">
        <v>74</v>
      </c>
      <c r="BB425" s="1">
        <v>3472.0</v>
      </c>
      <c r="BC425" s="1">
        <v>3479.0</v>
      </c>
      <c r="BD425" s="1" t="s">
        <v>74</v>
      </c>
      <c r="BE425" s="1" t="s">
        <v>4198</v>
      </c>
      <c r="BF425" s="2" t="str">
        <f>HYPERLINK("http://dx.doi.org/10.1080/00958972.2016.1234610","http://dx.doi.org/10.1080/00958972.2016.1234610")</f>
        <v>http://dx.doi.org/10.1080/00958972.2016.1234610</v>
      </c>
      <c r="BG425" s="1" t="s">
        <v>74</v>
      </c>
      <c r="BH425" s="1" t="s">
        <v>74</v>
      </c>
      <c r="BI425" s="1" t="s">
        <v>74</v>
      </c>
      <c r="BJ425" s="1" t="s">
        <v>74</v>
      </c>
      <c r="BK425" s="1" t="s">
        <v>74</v>
      </c>
      <c r="BL425" s="1" t="s">
        <v>74</v>
      </c>
      <c r="BM425" s="1" t="s">
        <v>74</v>
      </c>
      <c r="BN425" s="1" t="s">
        <v>74</v>
      </c>
      <c r="BO425" s="1" t="s">
        <v>74</v>
      </c>
      <c r="BP425" s="1" t="s">
        <v>74</v>
      </c>
      <c r="BQ425" s="1" t="s">
        <v>74</v>
      </c>
      <c r="BR425" s="1" t="s">
        <v>74</v>
      </c>
      <c r="BS425" s="1" t="s">
        <v>4199</v>
      </c>
      <c r="BT425" s="1" t="str">
        <f>HYPERLINK("https%3A%2F%2Fwww.webofscience.com%2Fwos%2Fwoscc%2Ffull-record%2FWOS:000387785800003","View Full Record in Web of Science")</f>
        <v>View Full Record in Web of Science</v>
      </c>
    </row>
    <row r="426" ht="12.75" customHeight="1">
      <c r="A426" s="1" t="s">
        <v>251</v>
      </c>
      <c r="B426" s="1" t="s">
        <v>4200</v>
      </c>
      <c r="C426" s="1" t="s">
        <v>74</v>
      </c>
      <c r="D426" s="1" t="s">
        <v>4201</v>
      </c>
      <c r="E426" s="1" t="s">
        <v>74</v>
      </c>
      <c r="F426" s="1" t="s">
        <v>4202</v>
      </c>
      <c r="G426" s="1" t="s">
        <v>74</v>
      </c>
      <c r="H426" s="1" t="s">
        <v>74</v>
      </c>
      <c r="I426" s="1" t="s">
        <v>4203</v>
      </c>
      <c r="J426" s="1" t="s">
        <v>4204</v>
      </c>
      <c r="K426" s="1" t="s">
        <v>467</v>
      </c>
      <c r="L426" s="1" t="s">
        <v>74</v>
      </c>
      <c r="M426" s="1" t="s">
        <v>74</v>
      </c>
      <c r="N426" s="1" t="s">
        <v>74</v>
      </c>
      <c r="O426" s="1" t="s">
        <v>4205</v>
      </c>
      <c r="P426" s="1" t="s">
        <v>4206</v>
      </c>
      <c r="Q426" s="1" t="s">
        <v>4207</v>
      </c>
      <c r="R426" s="1" t="s">
        <v>4208</v>
      </c>
      <c r="S426" s="1" t="s">
        <v>74</v>
      </c>
      <c r="T426" s="1" t="s">
        <v>74</v>
      </c>
      <c r="U426" s="1" t="s">
        <v>74</v>
      </c>
      <c r="V426" s="1" t="s">
        <v>4209</v>
      </c>
      <c r="W426" s="1" t="s">
        <v>74</v>
      </c>
      <c r="X426" s="1" t="s">
        <v>74</v>
      </c>
      <c r="Y426" s="1" t="s">
        <v>74</v>
      </c>
      <c r="Z426" s="1" t="s">
        <v>74</v>
      </c>
      <c r="AA426" s="1" t="s">
        <v>4210</v>
      </c>
      <c r="AB426" s="1" t="s">
        <v>4211</v>
      </c>
      <c r="AC426" s="1" t="s">
        <v>74</v>
      </c>
      <c r="AD426" s="1" t="s">
        <v>74</v>
      </c>
      <c r="AE426" s="1" t="s">
        <v>74</v>
      </c>
      <c r="AF426" s="1" t="s">
        <v>74</v>
      </c>
      <c r="AG426" s="1" t="s">
        <v>74</v>
      </c>
      <c r="AH426" s="1" t="s">
        <v>74</v>
      </c>
      <c r="AI426" s="1" t="s">
        <v>74</v>
      </c>
      <c r="AJ426" s="1" t="s">
        <v>74</v>
      </c>
      <c r="AK426" s="1" t="s">
        <v>74</v>
      </c>
      <c r="AL426" s="1" t="s">
        <v>74</v>
      </c>
      <c r="AM426" s="1" t="s">
        <v>74</v>
      </c>
      <c r="AN426" s="1" t="s">
        <v>74</v>
      </c>
      <c r="AO426" s="1" t="s">
        <v>475</v>
      </c>
      <c r="AP426" s="1" t="s">
        <v>74</v>
      </c>
      <c r="AQ426" s="1" t="s">
        <v>74</v>
      </c>
      <c r="AR426" s="1" t="s">
        <v>74</v>
      </c>
      <c r="AS426" s="1" t="s">
        <v>74</v>
      </c>
      <c r="AT426" s="1" t="s">
        <v>74</v>
      </c>
      <c r="AU426" s="1">
        <v>2015.0</v>
      </c>
      <c r="AV426" s="1">
        <v>55.0</v>
      </c>
      <c r="AW426" s="1" t="s">
        <v>74</v>
      </c>
      <c r="AX426" s="1" t="s">
        <v>74</v>
      </c>
      <c r="AY426" s="1" t="s">
        <v>74</v>
      </c>
      <c r="AZ426" s="1" t="s">
        <v>74</v>
      </c>
      <c r="BA426" s="1" t="s">
        <v>74</v>
      </c>
      <c r="BB426" s="1">
        <v>1133.0</v>
      </c>
      <c r="BC426" s="1">
        <v>1142.0</v>
      </c>
      <c r="BD426" s="1" t="s">
        <v>74</v>
      </c>
      <c r="BE426" s="1" t="s">
        <v>4212</v>
      </c>
      <c r="BF426" s="2" t="str">
        <f>HYPERLINK("http://dx.doi.org/10.1016/j.procs.2015.07.082","http://dx.doi.org/10.1016/j.procs.2015.07.082")</f>
        <v>http://dx.doi.org/10.1016/j.procs.2015.07.082</v>
      </c>
      <c r="BG426" s="1" t="s">
        <v>74</v>
      </c>
      <c r="BH426" s="1" t="s">
        <v>74</v>
      </c>
      <c r="BI426" s="1" t="s">
        <v>74</v>
      </c>
      <c r="BJ426" s="1" t="s">
        <v>74</v>
      </c>
      <c r="BK426" s="1" t="s">
        <v>74</v>
      </c>
      <c r="BL426" s="1" t="s">
        <v>74</v>
      </c>
      <c r="BM426" s="1" t="s">
        <v>74</v>
      </c>
      <c r="BN426" s="1" t="s">
        <v>74</v>
      </c>
      <c r="BO426" s="1" t="s">
        <v>74</v>
      </c>
      <c r="BP426" s="1" t="s">
        <v>74</v>
      </c>
      <c r="BQ426" s="1" t="s">
        <v>74</v>
      </c>
      <c r="BR426" s="1" t="s">
        <v>74</v>
      </c>
      <c r="BS426" s="1" t="s">
        <v>4213</v>
      </c>
      <c r="BT426" s="1" t="str">
        <f>HYPERLINK("https%3A%2F%2Fwww.webofscience.com%2Fwos%2Fwoscc%2Ffull-record%2FWOS:000360101400127","View Full Record in Web of Science")</f>
        <v>View Full Record in Web of Science</v>
      </c>
    </row>
    <row r="427" ht="12.75" customHeight="1">
      <c r="A427" s="1" t="s">
        <v>72</v>
      </c>
      <c r="B427" s="1" t="s">
        <v>4214</v>
      </c>
      <c r="C427" s="1" t="s">
        <v>74</v>
      </c>
      <c r="D427" s="1" t="s">
        <v>74</v>
      </c>
      <c r="E427" s="1" t="s">
        <v>74</v>
      </c>
      <c r="F427" s="1" t="s">
        <v>4215</v>
      </c>
      <c r="G427" s="1" t="s">
        <v>74</v>
      </c>
      <c r="H427" s="1" t="s">
        <v>74</v>
      </c>
      <c r="I427" s="1" t="s">
        <v>4216</v>
      </c>
      <c r="J427" s="1" t="s">
        <v>4217</v>
      </c>
      <c r="K427" s="1" t="s">
        <v>74</v>
      </c>
      <c r="L427" s="1" t="s">
        <v>74</v>
      </c>
      <c r="M427" s="1" t="s">
        <v>74</v>
      </c>
      <c r="N427" s="1" t="s">
        <v>74</v>
      </c>
      <c r="O427" s="1" t="s">
        <v>4218</v>
      </c>
      <c r="P427" s="1" t="s">
        <v>4219</v>
      </c>
      <c r="Q427" s="1" t="s">
        <v>4220</v>
      </c>
      <c r="R427" s="1" t="s">
        <v>74</v>
      </c>
      <c r="S427" s="1" t="s">
        <v>74</v>
      </c>
      <c r="T427" s="1" t="s">
        <v>74</v>
      </c>
      <c r="U427" s="1" t="s">
        <v>74</v>
      </c>
      <c r="V427" s="1" t="s">
        <v>4221</v>
      </c>
      <c r="W427" s="1" t="s">
        <v>74</v>
      </c>
      <c r="X427" s="1" t="s">
        <v>74</v>
      </c>
      <c r="Y427" s="1" t="s">
        <v>74</v>
      </c>
      <c r="Z427" s="1" t="s">
        <v>74</v>
      </c>
      <c r="AA427" s="1" t="s">
        <v>4222</v>
      </c>
      <c r="AB427" s="1" t="s">
        <v>74</v>
      </c>
      <c r="AC427" s="1" t="s">
        <v>74</v>
      </c>
      <c r="AD427" s="1" t="s">
        <v>74</v>
      </c>
      <c r="AE427" s="1" t="s">
        <v>74</v>
      </c>
      <c r="AF427" s="1" t="s">
        <v>74</v>
      </c>
      <c r="AG427" s="1" t="s">
        <v>74</v>
      </c>
      <c r="AH427" s="1" t="s">
        <v>74</v>
      </c>
      <c r="AI427" s="1" t="s">
        <v>74</v>
      </c>
      <c r="AJ427" s="1" t="s">
        <v>74</v>
      </c>
      <c r="AK427" s="1" t="s">
        <v>74</v>
      </c>
      <c r="AL427" s="1" t="s">
        <v>74</v>
      </c>
      <c r="AM427" s="1" t="s">
        <v>74</v>
      </c>
      <c r="AN427" s="1" t="s">
        <v>74</v>
      </c>
      <c r="AO427" s="1" t="s">
        <v>4223</v>
      </c>
      <c r="AP427" s="1" t="s">
        <v>4224</v>
      </c>
      <c r="AQ427" s="1" t="s">
        <v>74</v>
      </c>
      <c r="AR427" s="1" t="s">
        <v>74</v>
      </c>
      <c r="AS427" s="1" t="s">
        <v>74</v>
      </c>
      <c r="AT427" s="1" t="s">
        <v>1049</v>
      </c>
      <c r="AU427" s="1">
        <v>2014.0</v>
      </c>
      <c r="AV427" s="1">
        <v>7.0</v>
      </c>
      <c r="AW427" s="1">
        <v>11.0</v>
      </c>
      <c r="AX427" s="1" t="s">
        <v>74</v>
      </c>
      <c r="AY427" s="1" t="s">
        <v>74</v>
      </c>
      <c r="AZ427" s="1" t="s">
        <v>74</v>
      </c>
      <c r="BA427" s="1" t="s">
        <v>74</v>
      </c>
      <c r="BB427" s="1">
        <v>3217.0</v>
      </c>
      <c r="BC427" s="1">
        <v>3225.0</v>
      </c>
      <c r="BD427" s="1" t="s">
        <v>74</v>
      </c>
      <c r="BE427" s="1" t="s">
        <v>4225</v>
      </c>
      <c r="BF427" s="2" t="str">
        <f>HYPERLINK("http://dx.doi.org/10.1007/s11947-014-1289-7","http://dx.doi.org/10.1007/s11947-014-1289-7")</f>
        <v>http://dx.doi.org/10.1007/s11947-014-1289-7</v>
      </c>
      <c r="BG427" s="1" t="s">
        <v>74</v>
      </c>
      <c r="BH427" s="1" t="s">
        <v>74</v>
      </c>
      <c r="BI427" s="1" t="s">
        <v>74</v>
      </c>
      <c r="BJ427" s="1" t="s">
        <v>74</v>
      </c>
      <c r="BK427" s="1" t="s">
        <v>74</v>
      </c>
      <c r="BL427" s="1" t="s">
        <v>74</v>
      </c>
      <c r="BM427" s="1" t="s">
        <v>74</v>
      </c>
      <c r="BN427" s="1" t="s">
        <v>74</v>
      </c>
      <c r="BO427" s="1" t="s">
        <v>74</v>
      </c>
      <c r="BP427" s="1" t="s">
        <v>74</v>
      </c>
      <c r="BQ427" s="1" t="s">
        <v>74</v>
      </c>
      <c r="BR427" s="1" t="s">
        <v>74</v>
      </c>
      <c r="BS427" s="1" t="s">
        <v>4226</v>
      </c>
      <c r="BT427" s="1" t="str">
        <f>HYPERLINK("https%3A%2F%2Fwww.webofscience.com%2Fwos%2Fwoscc%2Ffull-record%2FWOS:000343646100016","View Full Record in Web of Science")</f>
        <v>View Full Record in Web of Science</v>
      </c>
    </row>
    <row r="428" ht="12.75" customHeight="1">
      <c r="A428" s="1" t="s">
        <v>72</v>
      </c>
      <c r="B428" s="1" t="s">
        <v>4227</v>
      </c>
      <c r="C428" s="1" t="s">
        <v>74</v>
      </c>
      <c r="D428" s="1" t="s">
        <v>74</v>
      </c>
      <c r="E428" s="1" t="s">
        <v>74</v>
      </c>
      <c r="F428" s="1" t="s">
        <v>4228</v>
      </c>
      <c r="G428" s="1" t="s">
        <v>74</v>
      </c>
      <c r="H428" s="1" t="s">
        <v>74</v>
      </c>
      <c r="I428" s="1" t="s">
        <v>4229</v>
      </c>
      <c r="J428" s="1" t="s">
        <v>4230</v>
      </c>
      <c r="K428" s="1" t="s">
        <v>74</v>
      </c>
      <c r="L428" s="1" t="s">
        <v>74</v>
      </c>
      <c r="M428" s="1" t="s">
        <v>74</v>
      </c>
      <c r="N428" s="1" t="s">
        <v>74</v>
      </c>
      <c r="O428" s="1" t="s">
        <v>74</v>
      </c>
      <c r="P428" s="1" t="s">
        <v>74</v>
      </c>
      <c r="Q428" s="1" t="s">
        <v>74</v>
      </c>
      <c r="R428" s="1" t="s">
        <v>74</v>
      </c>
      <c r="S428" s="1" t="s">
        <v>74</v>
      </c>
      <c r="T428" s="1" t="s">
        <v>74</v>
      </c>
      <c r="U428" s="1" t="s">
        <v>74</v>
      </c>
      <c r="V428" s="1" t="s">
        <v>4231</v>
      </c>
      <c r="W428" s="1" t="s">
        <v>74</v>
      </c>
      <c r="X428" s="1" t="s">
        <v>74</v>
      </c>
      <c r="Y428" s="1" t="s">
        <v>74</v>
      </c>
      <c r="Z428" s="1" t="s">
        <v>74</v>
      </c>
      <c r="AA428" s="1" t="s">
        <v>4232</v>
      </c>
      <c r="AB428" s="1" t="s">
        <v>4233</v>
      </c>
      <c r="AC428" s="1" t="s">
        <v>74</v>
      </c>
      <c r="AD428" s="1" t="s">
        <v>74</v>
      </c>
      <c r="AE428" s="1" t="s">
        <v>74</v>
      </c>
      <c r="AF428" s="1" t="s">
        <v>74</v>
      </c>
      <c r="AG428" s="1" t="s">
        <v>74</v>
      </c>
      <c r="AH428" s="1" t="s">
        <v>74</v>
      </c>
      <c r="AI428" s="1" t="s">
        <v>74</v>
      </c>
      <c r="AJ428" s="1" t="s">
        <v>74</v>
      </c>
      <c r="AK428" s="1" t="s">
        <v>74</v>
      </c>
      <c r="AL428" s="1" t="s">
        <v>74</v>
      </c>
      <c r="AM428" s="1" t="s">
        <v>74</v>
      </c>
      <c r="AN428" s="1" t="s">
        <v>74</v>
      </c>
      <c r="AO428" s="1" t="s">
        <v>4234</v>
      </c>
      <c r="AP428" s="1" t="s">
        <v>4235</v>
      </c>
      <c r="AQ428" s="1" t="s">
        <v>74</v>
      </c>
      <c r="AR428" s="1" t="s">
        <v>74</v>
      </c>
      <c r="AS428" s="1" t="s">
        <v>74</v>
      </c>
      <c r="AT428" s="1" t="s">
        <v>88</v>
      </c>
      <c r="AU428" s="1">
        <v>2014.0</v>
      </c>
      <c r="AV428" s="1">
        <v>26.0</v>
      </c>
      <c r="AW428" s="1">
        <v>4.0</v>
      </c>
      <c r="AX428" s="1" t="s">
        <v>74</v>
      </c>
      <c r="AY428" s="1" t="s">
        <v>74</v>
      </c>
      <c r="AZ428" s="1" t="s">
        <v>74</v>
      </c>
      <c r="BA428" s="1" t="s">
        <v>74</v>
      </c>
      <c r="BB428" s="1">
        <v>748.0</v>
      </c>
      <c r="BC428" s="1">
        <v>755.0</v>
      </c>
      <c r="BD428" s="1" t="s">
        <v>74</v>
      </c>
      <c r="BE428" s="1" t="s">
        <v>4236</v>
      </c>
      <c r="BF428" s="2" t="str">
        <f>HYPERLINK("http://dx.doi.org/10.1002/elan.201300566","http://dx.doi.org/10.1002/elan.201300566")</f>
        <v>http://dx.doi.org/10.1002/elan.201300566</v>
      </c>
      <c r="BG428" s="1" t="s">
        <v>74</v>
      </c>
      <c r="BH428" s="1" t="s">
        <v>74</v>
      </c>
      <c r="BI428" s="1" t="s">
        <v>74</v>
      </c>
      <c r="BJ428" s="1" t="s">
        <v>74</v>
      </c>
      <c r="BK428" s="1" t="s">
        <v>74</v>
      </c>
      <c r="BL428" s="1" t="s">
        <v>74</v>
      </c>
      <c r="BM428" s="1" t="s">
        <v>74</v>
      </c>
      <c r="BN428" s="1" t="s">
        <v>74</v>
      </c>
      <c r="BO428" s="1" t="s">
        <v>74</v>
      </c>
      <c r="BP428" s="1" t="s">
        <v>74</v>
      </c>
      <c r="BQ428" s="1" t="s">
        <v>74</v>
      </c>
      <c r="BR428" s="1" t="s">
        <v>74</v>
      </c>
      <c r="BS428" s="1" t="s">
        <v>4237</v>
      </c>
      <c r="BT428" s="1" t="str">
        <f>HYPERLINK("https%3A%2F%2Fwww.webofscience.com%2Fwos%2Fwoscc%2Ffull-record%2FWOS:000333749500011","View Full Record in Web of Science")</f>
        <v>View Full Record in Web of Science</v>
      </c>
    </row>
    <row r="429" ht="12.75" customHeight="1">
      <c r="A429" s="1" t="s">
        <v>72</v>
      </c>
      <c r="B429" s="1" t="s">
        <v>4238</v>
      </c>
      <c r="C429" s="1" t="s">
        <v>74</v>
      </c>
      <c r="D429" s="1" t="s">
        <v>74</v>
      </c>
      <c r="E429" s="1" t="s">
        <v>74</v>
      </c>
      <c r="F429" s="1" t="s">
        <v>4239</v>
      </c>
      <c r="G429" s="1" t="s">
        <v>74</v>
      </c>
      <c r="H429" s="1" t="s">
        <v>74</v>
      </c>
      <c r="I429" s="1" t="s">
        <v>4240</v>
      </c>
      <c r="J429" s="1" t="s">
        <v>4241</v>
      </c>
      <c r="K429" s="1" t="s">
        <v>74</v>
      </c>
      <c r="L429" s="1" t="s">
        <v>74</v>
      </c>
      <c r="M429" s="1" t="s">
        <v>74</v>
      </c>
      <c r="N429" s="1" t="s">
        <v>74</v>
      </c>
      <c r="O429" s="1" t="s">
        <v>74</v>
      </c>
      <c r="P429" s="1" t="s">
        <v>74</v>
      </c>
      <c r="Q429" s="1" t="s">
        <v>74</v>
      </c>
      <c r="R429" s="1" t="s">
        <v>74</v>
      </c>
      <c r="S429" s="1" t="s">
        <v>74</v>
      </c>
      <c r="T429" s="1" t="s">
        <v>74</v>
      </c>
      <c r="U429" s="1" t="s">
        <v>74</v>
      </c>
      <c r="V429" s="1" t="s">
        <v>4242</v>
      </c>
      <c r="W429" s="1" t="s">
        <v>74</v>
      </c>
      <c r="X429" s="1" t="s">
        <v>74</v>
      </c>
      <c r="Y429" s="1" t="s">
        <v>74</v>
      </c>
      <c r="Z429" s="1" t="s">
        <v>74</v>
      </c>
      <c r="AA429" s="1" t="s">
        <v>4243</v>
      </c>
      <c r="AB429" s="1" t="s">
        <v>4244</v>
      </c>
      <c r="AC429" s="1" t="s">
        <v>74</v>
      </c>
      <c r="AD429" s="1" t="s">
        <v>74</v>
      </c>
      <c r="AE429" s="1" t="s">
        <v>74</v>
      </c>
      <c r="AF429" s="1" t="s">
        <v>74</v>
      </c>
      <c r="AG429" s="1" t="s">
        <v>74</v>
      </c>
      <c r="AH429" s="1" t="s">
        <v>74</v>
      </c>
      <c r="AI429" s="1" t="s">
        <v>74</v>
      </c>
      <c r="AJ429" s="1" t="s">
        <v>74</v>
      </c>
      <c r="AK429" s="1" t="s">
        <v>74</v>
      </c>
      <c r="AL429" s="1" t="s">
        <v>74</v>
      </c>
      <c r="AM429" s="1" t="s">
        <v>74</v>
      </c>
      <c r="AN429" s="1" t="s">
        <v>74</v>
      </c>
      <c r="AO429" s="1" t="s">
        <v>4245</v>
      </c>
      <c r="AP429" s="1" t="s">
        <v>74</v>
      </c>
      <c r="AQ429" s="1" t="s">
        <v>74</v>
      </c>
      <c r="AR429" s="1" t="s">
        <v>74</v>
      </c>
      <c r="AS429" s="1" t="s">
        <v>74</v>
      </c>
      <c r="AT429" s="1" t="s">
        <v>360</v>
      </c>
      <c r="AU429" s="1">
        <v>2014.0</v>
      </c>
      <c r="AV429" s="1">
        <v>40.0</v>
      </c>
      <c r="AW429" s="1" t="s">
        <v>74</v>
      </c>
      <c r="AX429" s="1" t="s">
        <v>74</v>
      </c>
      <c r="AY429" s="1" t="s">
        <v>74</v>
      </c>
      <c r="AZ429" s="1" t="s">
        <v>74</v>
      </c>
      <c r="BA429" s="1" t="s">
        <v>74</v>
      </c>
      <c r="BB429" s="1">
        <v>203.0</v>
      </c>
      <c r="BC429" s="1">
        <v>209.0</v>
      </c>
      <c r="BD429" s="1" t="s">
        <v>74</v>
      </c>
      <c r="BE429" s="1" t="s">
        <v>4246</v>
      </c>
      <c r="BF429" s="2" t="str">
        <f>HYPERLINK("http://dx.doi.org/10.1016/j.tust.2013.10.011","http://dx.doi.org/10.1016/j.tust.2013.10.011")</f>
        <v>http://dx.doi.org/10.1016/j.tust.2013.10.011</v>
      </c>
      <c r="BG429" s="1" t="s">
        <v>74</v>
      </c>
      <c r="BH429" s="1" t="s">
        <v>74</v>
      </c>
      <c r="BI429" s="1" t="s">
        <v>74</v>
      </c>
      <c r="BJ429" s="1" t="s">
        <v>74</v>
      </c>
      <c r="BK429" s="1" t="s">
        <v>74</v>
      </c>
      <c r="BL429" s="1" t="s">
        <v>74</v>
      </c>
      <c r="BM429" s="1" t="s">
        <v>74</v>
      </c>
      <c r="BN429" s="1" t="s">
        <v>74</v>
      </c>
      <c r="BO429" s="1" t="s">
        <v>74</v>
      </c>
      <c r="BP429" s="1" t="s">
        <v>74</v>
      </c>
      <c r="BQ429" s="1" t="s">
        <v>74</v>
      </c>
      <c r="BR429" s="1" t="s">
        <v>74</v>
      </c>
      <c r="BS429" s="1" t="s">
        <v>4247</v>
      </c>
      <c r="BT429" s="1" t="str">
        <f>HYPERLINK("https%3A%2F%2Fwww.webofscience.com%2Fwos%2Fwoscc%2Ffull-record%2FWOS:000330150700019","View Full Record in Web of Science")</f>
        <v>View Full Record in Web of Science</v>
      </c>
    </row>
    <row r="430" ht="12.75" customHeight="1">
      <c r="A430" s="1" t="s">
        <v>251</v>
      </c>
      <c r="B430" s="1" t="s">
        <v>4248</v>
      </c>
      <c r="C430" s="1" t="s">
        <v>74</v>
      </c>
      <c r="D430" s="1" t="s">
        <v>74</v>
      </c>
      <c r="E430" s="1" t="s">
        <v>253</v>
      </c>
      <c r="F430" s="1" t="s">
        <v>4249</v>
      </c>
      <c r="G430" s="1" t="s">
        <v>74</v>
      </c>
      <c r="H430" s="1" t="s">
        <v>74</v>
      </c>
      <c r="I430" s="1" t="s">
        <v>4250</v>
      </c>
      <c r="J430" s="1" t="s">
        <v>4251</v>
      </c>
      <c r="K430" s="1" t="s">
        <v>4252</v>
      </c>
      <c r="L430" s="1" t="s">
        <v>74</v>
      </c>
      <c r="M430" s="1" t="s">
        <v>74</v>
      </c>
      <c r="N430" s="1" t="s">
        <v>74</v>
      </c>
      <c r="O430" s="1" t="s">
        <v>4253</v>
      </c>
      <c r="P430" s="1" t="s">
        <v>4254</v>
      </c>
      <c r="Q430" s="1" t="s">
        <v>4255</v>
      </c>
      <c r="R430" s="1" t="s">
        <v>4256</v>
      </c>
      <c r="S430" s="1" t="s">
        <v>4257</v>
      </c>
      <c r="T430" s="1" t="s">
        <v>74</v>
      </c>
      <c r="U430" s="1" t="s">
        <v>74</v>
      </c>
      <c r="V430" s="1" t="s">
        <v>4258</v>
      </c>
      <c r="W430" s="1" t="s">
        <v>74</v>
      </c>
      <c r="X430" s="1" t="s">
        <v>74</v>
      </c>
      <c r="Y430" s="1" t="s">
        <v>74</v>
      </c>
      <c r="Z430" s="1" t="s">
        <v>74</v>
      </c>
      <c r="AA430" s="1" t="s">
        <v>4259</v>
      </c>
      <c r="AB430" s="1" t="s">
        <v>4260</v>
      </c>
      <c r="AC430" s="1" t="s">
        <v>74</v>
      </c>
      <c r="AD430" s="1" t="s">
        <v>74</v>
      </c>
      <c r="AE430" s="1" t="s">
        <v>74</v>
      </c>
      <c r="AF430" s="1" t="s">
        <v>74</v>
      </c>
      <c r="AG430" s="1" t="s">
        <v>74</v>
      </c>
      <c r="AH430" s="1" t="s">
        <v>74</v>
      </c>
      <c r="AI430" s="1" t="s">
        <v>74</v>
      </c>
      <c r="AJ430" s="1" t="s">
        <v>74</v>
      </c>
      <c r="AK430" s="1" t="s">
        <v>74</v>
      </c>
      <c r="AL430" s="1" t="s">
        <v>74</v>
      </c>
      <c r="AM430" s="1" t="s">
        <v>74</v>
      </c>
      <c r="AN430" s="1" t="s">
        <v>74</v>
      </c>
      <c r="AO430" s="1" t="s">
        <v>4261</v>
      </c>
      <c r="AP430" s="1" t="s">
        <v>74</v>
      </c>
      <c r="AQ430" s="1" t="s">
        <v>4262</v>
      </c>
      <c r="AR430" s="1" t="s">
        <v>74</v>
      </c>
      <c r="AS430" s="1" t="s">
        <v>74</v>
      </c>
      <c r="AT430" s="1" t="s">
        <v>74</v>
      </c>
      <c r="AU430" s="1">
        <v>2014.0</v>
      </c>
      <c r="AV430" s="1" t="s">
        <v>74</v>
      </c>
      <c r="AW430" s="1" t="s">
        <v>74</v>
      </c>
      <c r="AX430" s="1" t="s">
        <v>74</v>
      </c>
      <c r="AY430" s="1" t="s">
        <v>74</v>
      </c>
      <c r="AZ430" s="1" t="s">
        <v>74</v>
      </c>
      <c r="BA430" s="1" t="s">
        <v>74</v>
      </c>
      <c r="BB430" s="1">
        <v>4218.0</v>
      </c>
      <c r="BC430" s="1">
        <v>4223.0</v>
      </c>
      <c r="BD430" s="1" t="s">
        <v>74</v>
      </c>
      <c r="BE430" s="1" t="s">
        <v>4263</v>
      </c>
      <c r="BF430" s="2" t="str">
        <f>HYPERLINK("http://dx.doi.org/10.1109/ICPR.2014.723","http://dx.doi.org/10.1109/ICPR.2014.723")</f>
        <v>http://dx.doi.org/10.1109/ICPR.2014.723</v>
      </c>
      <c r="BG430" s="1" t="s">
        <v>74</v>
      </c>
      <c r="BH430" s="1" t="s">
        <v>74</v>
      </c>
      <c r="BI430" s="1" t="s">
        <v>74</v>
      </c>
      <c r="BJ430" s="1" t="s">
        <v>74</v>
      </c>
      <c r="BK430" s="1" t="s">
        <v>74</v>
      </c>
      <c r="BL430" s="1" t="s">
        <v>74</v>
      </c>
      <c r="BM430" s="1" t="s">
        <v>74</v>
      </c>
      <c r="BN430" s="1" t="s">
        <v>74</v>
      </c>
      <c r="BO430" s="1" t="s">
        <v>74</v>
      </c>
      <c r="BP430" s="1" t="s">
        <v>74</v>
      </c>
      <c r="BQ430" s="1" t="s">
        <v>74</v>
      </c>
      <c r="BR430" s="1" t="s">
        <v>74</v>
      </c>
      <c r="BS430" s="1" t="s">
        <v>4264</v>
      </c>
      <c r="BT430" s="1" t="str">
        <f>HYPERLINK("https%3A%2F%2Fwww.webofscience.com%2Fwos%2Fwoscc%2Ffull-record%2FWOS:000359818004059","View Full Record in Web of Science")</f>
        <v>View Full Record in Web of Science</v>
      </c>
    </row>
    <row r="431" ht="12.75" customHeight="1">
      <c r="A431" s="1" t="s">
        <v>72</v>
      </c>
      <c r="B431" s="1" t="s">
        <v>4265</v>
      </c>
      <c r="C431" s="1" t="s">
        <v>74</v>
      </c>
      <c r="D431" s="1" t="s">
        <v>74</v>
      </c>
      <c r="E431" s="1" t="s">
        <v>74</v>
      </c>
      <c r="F431" s="1" t="s">
        <v>4266</v>
      </c>
      <c r="G431" s="1" t="s">
        <v>74</v>
      </c>
      <c r="H431" s="1" t="s">
        <v>74</v>
      </c>
      <c r="I431" s="1" t="s">
        <v>4267</v>
      </c>
      <c r="J431" s="1" t="s">
        <v>4268</v>
      </c>
      <c r="K431" s="1" t="s">
        <v>74</v>
      </c>
      <c r="L431" s="1" t="s">
        <v>74</v>
      </c>
      <c r="M431" s="1" t="s">
        <v>74</v>
      </c>
      <c r="N431" s="1" t="s">
        <v>74</v>
      </c>
      <c r="O431" s="1" t="s">
        <v>74</v>
      </c>
      <c r="P431" s="1" t="s">
        <v>74</v>
      </c>
      <c r="Q431" s="1" t="s">
        <v>74</v>
      </c>
      <c r="R431" s="1" t="s">
        <v>74</v>
      </c>
      <c r="S431" s="1" t="s">
        <v>74</v>
      </c>
      <c r="T431" s="1" t="s">
        <v>74</v>
      </c>
      <c r="U431" s="1" t="s">
        <v>74</v>
      </c>
      <c r="V431" s="1" t="s">
        <v>4269</v>
      </c>
      <c r="W431" s="1" t="s">
        <v>74</v>
      </c>
      <c r="X431" s="1" t="s">
        <v>74</v>
      </c>
      <c r="Y431" s="1" t="s">
        <v>74</v>
      </c>
      <c r="Z431" s="1" t="s">
        <v>74</v>
      </c>
      <c r="AA431" s="1" t="s">
        <v>2116</v>
      </c>
      <c r="AB431" s="1" t="s">
        <v>4270</v>
      </c>
      <c r="AC431" s="1" t="s">
        <v>74</v>
      </c>
      <c r="AD431" s="1" t="s">
        <v>74</v>
      </c>
      <c r="AE431" s="1" t="s">
        <v>74</v>
      </c>
      <c r="AF431" s="1" t="s">
        <v>74</v>
      </c>
      <c r="AG431" s="1" t="s">
        <v>74</v>
      </c>
      <c r="AH431" s="1" t="s">
        <v>74</v>
      </c>
      <c r="AI431" s="1" t="s">
        <v>74</v>
      </c>
      <c r="AJ431" s="1" t="s">
        <v>74</v>
      </c>
      <c r="AK431" s="1" t="s">
        <v>74</v>
      </c>
      <c r="AL431" s="1" t="s">
        <v>74</v>
      </c>
      <c r="AM431" s="1" t="s">
        <v>74</v>
      </c>
      <c r="AN431" s="1" t="s">
        <v>74</v>
      </c>
      <c r="AO431" s="1" t="s">
        <v>4271</v>
      </c>
      <c r="AP431" s="1" t="s">
        <v>4272</v>
      </c>
      <c r="AQ431" s="1" t="s">
        <v>74</v>
      </c>
      <c r="AR431" s="1" t="s">
        <v>74</v>
      </c>
      <c r="AS431" s="1" t="s">
        <v>74</v>
      </c>
      <c r="AT431" s="1" t="s">
        <v>180</v>
      </c>
      <c r="AU431" s="1">
        <v>2013.0</v>
      </c>
      <c r="AV431" s="1">
        <v>14.0</v>
      </c>
      <c r="AW431" s="1">
        <v>4.0</v>
      </c>
      <c r="AX431" s="1" t="s">
        <v>74</v>
      </c>
      <c r="AY431" s="1" t="s">
        <v>74</v>
      </c>
      <c r="AZ431" s="1" t="s">
        <v>74</v>
      </c>
      <c r="BA431" s="1" t="s">
        <v>74</v>
      </c>
      <c r="BB431" s="1">
        <v>947.0</v>
      </c>
      <c r="BC431" s="1">
        <v>966.0</v>
      </c>
      <c r="BD431" s="1" t="s">
        <v>74</v>
      </c>
      <c r="BE431" s="1" t="s">
        <v>4273</v>
      </c>
      <c r="BF431" s="2" t="str">
        <f>HYPERLINK("http://dx.doi.org/10.1007/s00023-012-0202-z","http://dx.doi.org/10.1007/s00023-012-0202-z")</f>
        <v>http://dx.doi.org/10.1007/s00023-012-0202-z</v>
      </c>
      <c r="BG431" s="1" t="s">
        <v>74</v>
      </c>
      <c r="BH431" s="1" t="s">
        <v>74</v>
      </c>
      <c r="BI431" s="1" t="s">
        <v>74</v>
      </c>
      <c r="BJ431" s="1" t="s">
        <v>74</v>
      </c>
      <c r="BK431" s="1" t="s">
        <v>74</v>
      </c>
      <c r="BL431" s="1" t="s">
        <v>74</v>
      </c>
      <c r="BM431" s="1" t="s">
        <v>74</v>
      </c>
      <c r="BN431" s="1" t="s">
        <v>74</v>
      </c>
      <c r="BO431" s="1" t="s">
        <v>74</v>
      </c>
      <c r="BP431" s="1" t="s">
        <v>74</v>
      </c>
      <c r="BQ431" s="1" t="s">
        <v>74</v>
      </c>
      <c r="BR431" s="1" t="s">
        <v>74</v>
      </c>
      <c r="BS431" s="1" t="s">
        <v>4274</v>
      </c>
      <c r="BT431" s="1" t="str">
        <f>HYPERLINK("https%3A%2F%2Fwww.webofscience.com%2Fwos%2Fwoscc%2Ffull-record%2FWOS:000317624200011","View Full Record in Web of Science")</f>
        <v>View Full Record in Web of Science</v>
      </c>
    </row>
    <row r="432" ht="12.75" customHeight="1">
      <c r="A432" s="1" t="s">
        <v>72</v>
      </c>
      <c r="B432" s="1" t="s">
        <v>4275</v>
      </c>
      <c r="C432" s="1" t="s">
        <v>74</v>
      </c>
      <c r="D432" s="1" t="s">
        <v>74</v>
      </c>
      <c r="E432" s="1" t="s">
        <v>74</v>
      </c>
      <c r="F432" s="1" t="s">
        <v>4276</v>
      </c>
      <c r="G432" s="1" t="s">
        <v>74</v>
      </c>
      <c r="H432" s="1" t="s">
        <v>74</v>
      </c>
      <c r="I432" s="1" t="s">
        <v>4277</v>
      </c>
      <c r="J432" s="1" t="s">
        <v>582</v>
      </c>
      <c r="K432" s="1" t="s">
        <v>74</v>
      </c>
      <c r="L432" s="1" t="s">
        <v>74</v>
      </c>
      <c r="M432" s="1" t="s">
        <v>74</v>
      </c>
      <c r="N432" s="1" t="s">
        <v>74</v>
      </c>
      <c r="O432" s="1" t="s">
        <v>74</v>
      </c>
      <c r="P432" s="1" t="s">
        <v>74</v>
      </c>
      <c r="Q432" s="1" t="s">
        <v>74</v>
      </c>
      <c r="R432" s="1" t="s">
        <v>74</v>
      </c>
      <c r="S432" s="1" t="s">
        <v>74</v>
      </c>
      <c r="T432" s="1" t="s">
        <v>74</v>
      </c>
      <c r="U432" s="1" t="s">
        <v>74</v>
      </c>
      <c r="V432" s="1" t="s">
        <v>4278</v>
      </c>
      <c r="W432" s="1" t="s">
        <v>74</v>
      </c>
      <c r="X432" s="1" t="s">
        <v>74</v>
      </c>
      <c r="Y432" s="1" t="s">
        <v>74</v>
      </c>
      <c r="Z432" s="1" t="s">
        <v>74</v>
      </c>
      <c r="AA432" s="1" t="s">
        <v>4279</v>
      </c>
      <c r="AB432" s="1" t="s">
        <v>4280</v>
      </c>
      <c r="AC432" s="1" t="s">
        <v>74</v>
      </c>
      <c r="AD432" s="1" t="s">
        <v>74</v>
      </c>
      <c r="AE432" s="1" t="s">
        <v>74</v>
      </c>
      <c r="AF432" s="1" t="s">
        <v>74</v>
      </c>
      <c r="AG432" s="1" t="s">
        <v>74</v>
      </c>
      <c r="AH432" s="1" t="s">
        <v>74</v>
      </c>
      <c r="AI432" s="1" t="s">
        <v>74</v>
      </c>
      <c r="AJ432" s="1" t="s">
        <v>74</v>
      </c>
      <c r="AK432" s="1" t="s">
        <v>74</v>
      </c>
      <c r="AL432" s="1" t="s">
        <v>74</v>
      </c>
      <c r="AM432" s="1" t="s">
        <v>74</v>
      </c>
      <c r="AN432" s="1" t="s">
        <v>74</v>
      </c>
      <c r="AO432" s="1" t="s">
        <v>585</v>
      </c>
      <c r="AP432" s="1" t="s">
        <v>74</v>
      </c>
      <c r="AQ432" s="1" t="s">
        <v>74</v>
      </c>
      <c r="AR432" s="1" t="s">
        <v>74</v>
      </c>
      <c r="AS432" s="1" t="s">
        <v>74</v>
      </c>
      <c r="AT432" s="1" t="s">
        <v>110</v>
      </c>
      <c r="AU432" s="1">
        <v>2012.0</v>
      </c>
      <c r="AV432" s="1">
        <v>57.0</v>
      </c>
      <c r="AW432" s="1">
        <v>4.0</v>
      </c>
      <c r="AX432" s="1" t="s">
        <v>74</v>
      </c>
      <c r="AY432" s="1" t="s">
        <v>74</v>
      </c>
      <c r="AZ432" s="1" t="s">
        <v>74</v>
      </c>
      <c r="BA432" s="1" t="s">
        <v>74</v>
      </c>
      <c r="BB432" s="1">
        <v>1381.0</v>
      </c>
      <c r="BC432" s="1">
        <v>1384.0</v>
      </c>
      <c r="BD432" s="1" t="s">
        <v>74</v>
      </c>
      <c r="BE432" s="1" t="s">
        <v>4281</v>
      </c>
      <c r="BF432" s="2" t="str">
        <f>HYPERLINK("http://dx.doi.org/10.4067/S0717-97072012000400010","http://dx.doi.org/10.4067/S0717-97072012000400010")</f>
        <v>http://dx.doi.org/10.4067/S0717-97072012000400010</v>
      </c>
      <c r="BG432" s="1" t="s">
        <v>74</v>
      </c>
      <c r="BH432" s="1" t="s">
        <v>74</v>
      </c>
      <c r="BI432" s="1" t="s">
        <v>74</v>
      </c>
      <c r="BJ432" s="1" t="s">
        <v>74</v>
      </c>
      <c r="BK432" s="1" t="s">
        <v>74</v>
      </c>
      <c r="BL432" s="1" t="s">
        <v>74</v>
      </c>
      <c r="BM432" s="1" t="s">
        <v>74</v>
      </c>
      <c r="BN432" s="1" t="s">
        <v>74</v>
      </c>
      <c r="BO432" s="1" t="s">
        <v>74</v>
      </c>
      <c r="BP432" s="1" t="s">
        <v>74</v>
      </c>
      <c r="BQ432" s="1" t="s">
        <v>74</v>
      </c>
      <c r="BR432" s="1" t="s">
        <v>74</v>
      </c>
      <c r="BS432" s="1" t="s">
        <v>4282</v>
      </c>
      <c r="BT432" s="1" t="str">
        <f>HYPERLINK("https%3A%2F%2Fwww.webofscience.com%2Fwos%2Fwoscc%2Ffull-record%2FWOS:000312620900010","View Full Record in Web of Science")</f>
        <v>View Full Record in Web of Science</v>
      </c>
    </row>
    <row r="433" ht="12.75" customHeight="1">
      <c r="A433" s="1" t="s">
        <v>72</v>
      </c>
      <c r="B433" s="1" t="s">
        <v>4283</v>
      </c>
      <c r="C433" s="1" t="s">
        <v>74</v>
      </c>
      <c r="D433" s="1" t="s">
        <v>74</v>
      </c>
      <c r="E433" s="1" t="s">
        <v>74</v>
      </c>
      <c r="F433" s="1" t="s">
        <v>4284</v>
      </c>
      <c r="G433" s="1" t="s">
        <v>74</v>
      </c>
      <c r="H433" s="1" t="s">
        <v>74</v>
      </c>
      <c r="I433" s="1" t="s">
        <v>4285</v>
      </c>
      <c r="J433" s="1" t="s">
        <v>84</v>
      </c>
      <c r="K433" s="1" t="s">
        <v>74</v>
      </c>
      <c r="L433" s="1" t="s">
        <v>74</v>
      </c>
      <c r="M433" s="1" t="s">
        <v>74</v>
      </c>
      <c r="N433" s="1" t="s">
        <v>74</v>
      </c>
      <c r="O433" s="1" t="s">
        <v>74</v>
      </c>
      <c r="P433" s="1" t="s">
        <v>74</v>
      </c>
      <c r="Q433" s="1" t="s">
        <v>74</v>
      </c>
      <c r="R433" s="1" t="s">
        <v>74</v>
      </c>
      <c r="S433" s="1" t="s">
        <v>74</v>
      </c>
      <c r="T433" s="1" t="s">
        <v>74</v>
      </c>
      <c r="U433" s="1" t="s">
        <v>74</v>
      </c>
      <c r="V433" s="1" t="s">
        <v>4286</v>
      </c>
      <c r="W433" s="1" t="s">
        <v>74</v>
      </c>
      <c r="X433" s="1" t="s">
        <v>74</v>
      </c>
      <c r="Y433" s="1" t="s">
        <v>74</v>
      </c>
      <c r="Z433" s="1" t="s">
        <v>74</v>
      </c>
      <c r="AA433" s="1" t="s">
        <v>4287</v>
      </c>
      <c r="AB433" s="1" t="s">
        <v>4288</v>
      </c>
      <c r="AC433" s="1" t="s">
        <v>74</v>
      </c>
      <c r="AD433" s="1" t="s">
        <v>74</v>
      </c>
      <c r="AE433" s="1" t="s">
        <v>74</v>
      </c>
      <c r="AF433" s="1" t="s">
        <v>74</v>
      </c>
      <c r="AG433" s="1" t="s">
        <v>74</v>
      </c>
      <c r="AH433" s="1" t="s">
        <v>74</v>
      </c>
      <c r="AI433" s="1" t="s">
        <v>74</v>
      </c>
      <c r="AJ433" s="1" t="s">
        <v>74</v>
      </c>
      <c r="AK433" s="1" t="s">
        <v>74</v>
      </c>
      <c r="AL433" s="1" t="s">
        <v>74</v>
      </c>
      <c r="AM433" s="1" t="s">
        <v>74</v>
      </c>
      <c r="AN433" s="1" t="s">
        <v>74</v>
      </c>
      <c r="AO433" s="1" t="s">
        <v>86</v>
      </c>
      <c r="AP433" s="1" t="s">
        <v>74</v>
      </c>
      <c r="AQ433" s="1" t="s">
        <v>74</v>
      </c>
      <c r="AR433" s="1" t="s">
        <v>74</v>
      </c>
      <c r="AS433" s="1" t="s">
        <v>74</v>
      </c>
      <c r="AT433" s="1" t="s">
        <v>110</v>
      </c>
      <c r="AU433" s="1">
        <v>2012.0</v>
      </c>
      <c r="AV433" s="1">
        <v>7.0</v>
      </c>
      <c r="AW433" s="1">
        <v>5.0</v>
      </c>
      <c r="AX433" s="1" t="s">
        <v>74</v>
      </c>
      <c r="AY433" s="1" t="s">
        <v>74</v>
      </c>
      <c r="AZ433" s="1" t="s">
        <v>74</v>
      </c>
      <c r="BA433" s="1" t="s">
        <v>74</v>
      </c>
      <c r="BB433" s="1">
        <v>924.0</v>
      </c>
      <c r="BC433" s="1">
        <v>932.0</v>
      </c>
      <c r="BD433" s="1" t="s">
        <v>74</v>
      </c>
      <c r="BE433" s="1" t="s">
        <v>74</v>
      </c>
      <c r="BF433" s="1" t="s">
        <v>74</v>
      </c>
      <c r="BG433" s="1" t="s">
        <v>74</v>
      </c>
      <c r="BH433" s="1" t="s">
        <v>74</v>
      </c>
      <c r="BI433" s="1" t="s">
        <v>74</v>
      </c>
      <c r="BJ433" s="1" t="s">
        <v>74</v>
      </c>
      <c r="BK433" s="1" t="s">
        <v>74</v>
      </c>
      <c r="BL433" s="1" t="s">
        <v>74</v>
      </c>
      <c r="BM433" s="1" t="s">
        <v>74</v>
      </c>
      <c r="BN433" s="1" t="s">
        <v>74</v>
      </c>
      <c r="BO433" s="1" t="s">
        <v>74</v>
      </c>
      <c r="BP433" s="1" t="s">
        <v>74</v>
      </c>
      <c r="BQ433" s="1" t="s">
        <v>74</v>
      </c>
      <c r="BR433" s="1" t="s">
        <v>74</v>
      </c>
      <c r="BS433" s="1" t="s">
        <v>4289</v>
      </c>
      <c r="BT433" s="1" t="str">
        <f>HYPERLINK("https%3A%2F%2Fwww.webofscience.com%2Fwos%2Fwoscc%2Ffull-record%2FWOS:000310664900016","View Full Record in Web of Science")</f>
        <v>View Full Record in Web of Science</v>
      </c>
    </row>
    <row r="434" ht="12.75" customHeight="1">
      <c r="A434" s="1" t="s">
        <v>72</v>
      </c>
      <c r="B434" s="1" t="s">
        <v>4290</v>
      </c>
      <c r="C434" s="1" t="s">
        <v>74</v>
      </c>
      <c r="D434" s="1" t="s">
        <v>74</v>
      </c>
      <c r="E434" s="1" t="s">
        <v>74</v>
      </c>
      <c r="F434" s="1" t="s">
        <v>4291</v>
      </c>
      <c r="G434" s="1" t="s">
        <v>74</v>
      </c>
      <c r="H434" s="1" t="s">
        <v>74</v>
      </c>
      <c r="I434" s="1" t="s">
        <v>4292</v>
      </c>
      <c r="J434" s="1" t="s">
        <v>4293</v>
      </c>
      <c r="K434" s="1" t="s">
        <v>74</v>
      </c>
      <c r="L434" s="1" t="s">
        <v>74</v>
      </c>
      <c r="M434" s="1" t="s">
        <v>74</v>
      </c>
      <c r="N434" s="1" t="s">
        <v>74</v>
      </c>
      <c r="O434" s="1" t="s">
        <v>74</v>
      </c>
      <c r="P434" s="1" t="s">
        <v>74</v>
      </c>
      <c r="Q434" s="1" t="s">
        <v>74</v>
      </c>
      <c r="R434" s="1" t="s">
        <v>74</v>
      </c>
      <c r="S434" s="1" t="s">
        <v>74</v>
      </c>
      <c r="T434" s="1" t="s">
        <v>74</v>
      </c>
      <c r="U434" s="1" t="s">
        <v>74</v>
      </c>
      <c r="V434" s="1" t="s">
        <v>4294</v>
      </c>
      <c r="W434" s="1" t="s">
        <v>74</v>
      </c>
      <c r="X434" s="1" t="s">
        <v>74</v>
      </c>
      <c r="Y434" s="1" t="s">
        <v>74</v>
      </c>
      <c r="Z434" s="1" t="s">
        <v>74</v>
      </c>
      <c r="AA434" s="1" t="s">
        <v>4295</v>
      </c>
      <c r="AB434" s="1" t="s">
        <v>4296</v>
      </c>
      <c r="AC434" s="1" t="s">
        <v>74</v>
      </c>
      <c r="AD434" s="1" t="s">
        <v>74</v>
      </c>
      <c r="AE434" s="1" t="s">
        <v>74</v>
      </c>
      <c r="AF434" s="1" t="s">
        <v>74</v>
      </c>
      <c r="AG434" s="1" t="s">
        <v>74</v>
      </c>
      <c r="AH434" s="1" t="s">
        <v>74</v>
      </c>
      <c r="AI434" s="1" t="s">
        <v>74</v>
      </c>
      <c r="AJ434" s="1" t="s">
        <v>74</v>
      </c>
      <c r="AK434" s="1" t="s">
        <v>74</v>
      </c>
      <c r="AL434" s="1" t="s">
        <v>74</v>
      </c>
      <c r="AM434" s="1" t="s">
        <v>74</v>
      </c>
      <c r="AN434" s="1" t="s">
        <v>74</v>
      </c>
      <c r="AO434" s="1" t="s">
        <v>4297</v>
      </c>
      <c r="AP434" s="1" t="s">
        <v>74</v>
      </c>
      <c r="AQ434" s="1" t="s">
        <v>74</v>
      </c>
      <c r="AR434" s="1" t="s">
        <v>74</v>
      </c>
      <c r="AS434" s="1" t="s">
        <v>74</v>
      </c>
      <c r="AT434" s="1" t="s">
        <v>88</v>
      </c>
      <c r="AU434" s="1">
        <v>2012.0</v>
      </c>
      <c r="AV434" s="1">
        <v>7.0</v>
      </c>
      <c r="AW434" s="1">
        <v>4.0</v>
      </c>
      <c r="AX434" s="1" t="s">
        <v>74</v>
      </c>
      <c r="AY434" s="1" t="s">
        <v>74</v>
      </c>
      <c r="AZ434" s="1" t="s">
        <v>74</v>
      </c>
      <c r="BA434" s="1" t="s">
        <v>74</v>
      </c>
      <c r="BB434" s="1">
        <v>3167.0</v>
      </c>
      <c r="BC434" s="1">
        <v>3177.0</v>
      </c>
      <c r="BD434" s="1" t="s">
        <v>74</v>
      </c>
      <c r="BE434" s="1" t="s">
        <v>74</v>
      </c>
      <c r="BF434" s="1" t="s">
        <v>74</v>
      </c>
      <c r="BG434" s="1" t="s">
        <v>74</v>
      </c>
      <c r="BH434" s="1" t="s">
        <v>74</v>
      </c>
      <c r="BI434" s="1" t="s">
        <v>74</v>
      </c>
      <c r="BJ434" s="1" t="s">
        <v>74</v>
      </c>
      <c r="BK434" s="1" t="s">
        <v>74</v>
      </c>
      <c r="BL434" s="1" t="s">
        <v>74</v>
      </c>
      <c r="BM434" s="1" t="s">
        <v>74</v>
      </c>
      <c r="BN434" s="1" t="s">
        <v>74</v>
      </c>
      <c r="BO434" s="1" t="s">
        <v>74</v>
      </c>
      <c r="BP434" s="1" t="s">
        <v>74</v>
      </c>
      <c r="BQ434" s="1" t="s">
        <v>74</v>
      </c>
      <c r="BR434" s="1" t="s">
        <v>74</v>
      </c>
      <c r="BS434" s="1" t="s">
        <v>4298</v>
      </c>
      <c r="BT434" s="1" t="str">
        <f>HYPERLINK("https%3A%2F%2Fwww.webofscience.com%2Fwos%2Fwoscc%2Ffull-record%2FWOS:000304413000032","View Full Record in Web of Science")</f>
        <v>View Full Record in Web of Science</v>
      </c>
    </row>
    <row r="435" ht="12.75" customHeight="1">
      <c r="A435" s="1" t="s">
        <v>72</v>
      </c>
      <c r="B435" s="1" t="s">
        <v>4299</v>
      </c>
      <c r="C435" s="1" t="s">
        <v>74</v>
      </c>
      <c r="D435" s="1" t="s">
        <v>74</v>
      </c>
      <c r="E435" s="1" t="s">
        <v>74</v>
      </c>
      <c r="F435" s="1" t="s">
        <v>4300</v>
      </c>
      <c r="G435" s="1" t="s">
        <v>74</v>
      </c>
      <c r="H435" s="1" t="s">
        <v>74</v>
      </c>
      <c r="I435" s="1" t="s">
        <v>4301</v>
      </c>
      <c r="J435" s="1" t="s">
        <v>4302</v>
      </c>
      <c r="K435" s="1" t="s">
        <v>74</v>
      </c>
      <c r="L435" s="1" t="s">
        <v>74</v>
      </c>
      <c r="M435" s="1" t="s">
        <v>74</v>
      </c>
      <c r="N435" s="1" t="s">
        <v>74</v>
      </c>
      <c r="O435" s="1" t="s">
        <v>74</v>
      </c>
      <c r="P435" s="1" t="s">
        <v>74</v>
      </c>
      <c r="Q435" s="1" t="s">
        <v>74</v>
      </c>
      <c r="R435" s="1" t="s">
        <v>74</v>
      </c>
      <c r="S435" s="1" t="s">
        <v>74</v>
      </c>
      <c r="T435" s="1" t="s">
        <v>74</v>
      </c>
      <c r="U435" s="1" t="s">
        <v>74</v>
      </c>
      <c r="V435" s="1" t="s">
        <v>4303</v>
      </c>
      <c r="W435" s="1" t="s">
        <v>74</v>
      </c>
      <c r="X435" s="1" t="s">
        <v>74</v>
      </c>
      <c r="Y435" s="1" t="s">
        <v>74</v>
      </c>
      <c r="Z435" s="1" t="s">
        <v>74</v>
      </c>
      <c r="AA435" s="1" t="s">
        <v>4304</v>
      </c>
      <c r="AB435" s="1" t="s">
        <v>4305</v>
      </c>
      <c r="AC435" s="1" t="s">
        <v>74</v>
      </c>
      <c r="AD435" s="1" t="s">
        <v>74</v>
      </c>
      <c r="AE435" s="1" t="s">
        <v>74</v>
      </c>
      <c r="AF435" s="1" t="s">
        <v>74</v>
      </c>
      <c r="AG435" s="1" t="s">
        <v>74</v>
      </c>
      <c r="AH435" s="1" t="s">
        <v>74</v>
      </c>
      <c r="AI435" s="1" t="s">
        <v>74</v>
      </c>
      <c r="AJ435" s="1" t="s">
        <v>74</v>
      </c>
      <c r="AK435" s="1" t="s">
        <v>74</v>
      </c>
      <c r="AL435" s="1" t="s">
        <v>74</v>
      </c>
      <c r="AM435" s="1" t="s">
        <v>74</v>
      </c>
      <c r="AN435" s="1" t="s">
        <v>74</v>
      </c>
      <c r="AO435" s="1" t="s">
        <v>4306</v>
      </c>
      <c r="AP435" s="1" t="s">
        <v>74</v>
      </c>
      <c r="AQ435" s="1" t="s">
        <v>74</v>
      </c>
      <c r="AR435" s="1" t="s">
        <v>74</v>
      </c>
      <c r="AS435" s="1" t="s">
        <v>74</v>
      </c>
      <c r="AT435" s="1" t="s">
        <v>74</v>
      </c>
      <c r="AU435" s="1">
        <v>2012.0</v>
      </c>
      <c r="AV435" s="1">
        <v>56.0</v>
      </c>
      <c r="AW435" s="1">
        <v>3.0</v>
      </c>
      <c r="AX435" s="1" t="s">
        <v>74</v>
      </c>
      <c r="AY435" s="1" t="s">
        <v>74</v>
      </c>
      <c r="AZ435" s="1" t="s">
        <v>74</v>
      </c>
      <c r="BA435" s="1" t="s">
        <v>74</v>
      </c>
      <c r="BB435" s="1">
        <v>179.0</v>
      </c>
      <c r="BC435" s="1">
        <v>184.0</v>
      </c>
      <c r="BD435" s="1" t="s">
        <v>74</v>
      </c>
      <c r="BE435" s="1" t="s">
        <v>4307</v>
      </c>
      <c r="BF435" s="2" t="str">
        <f>HYPERLINK("http://dx.doi.org/10.4081/ejh.2012.e29","http://dx.doi.org/10.4081/ejh.2012.e29")</f>
        <v>http://dx.doi.org/10.4081/ejh.2012.e29</v>
      </c>
      <c r="BG435" s="1" t="s">
        <v>74</v>
      </c>
      <c r="BH435" s="1" t="s">
        <v>74</v>
      </c>
      <c r="BI435" s="1" t="s">
        <v>74</v>
      </c>
      <c r="BJ435" s="1" t="s">
        <v>74</v>
      </c>
      <c r="BK435" s="1" t="s">
        <v>74</v>
      </c>
      <c r="BL435" s="1" t="s">
        <v>74</v>
      </c>
      <c r="BM435" s="1" t="s">
        <v>74</v>
      </c>
      <c r="BN435" s="1">
        <v>2.3027345E7</v>
      </c>
      <c r="BO435" s="1" t="s">
        <v>74</v>
      </c>
      <c r="BP435" s="1" t="s">
        <v>74</v>
      </c>
      <c r="BQ435" s="1" t="s">
        <v>74</v>
      </c>
      <c r="BR435" s="1" t="s">
        <v>74</v>
      </c>
      <c r="BS435" s="1" t="s">
        <v>4308</v>
      </c>
      <c r="BT435" s="1" t="str">
        <f>HYPERLINK("https%3A%2F%2Fwww.webofscience.com%2Fwos%2Fwoscc%2Ffull-record%2FWOS:000314399500005","View Full Record in Web of Science")</f>
        <v>View Full Record in Web of Science</v>
      </c>
    </row>
    <row r="436" ht="12.75" customHeight="1">
      <c r="A436" s="1" t="s">
        <v>251</v>
      </c>
      <c r="B436" s="1" t="s">
        <v>4309</v>
      </c>
      <c r="C436" s="1" t="s">
        <v>74</v>
      </c>
      <c r="D436" s="1" t="s">
        <v>74</v>
      </c>
      <c r="E436" s="1" t="s">
        <v>253</v>
      </c>
      <c r="F436" s="1" t="s">
        <v>4310</v>
      </c>
      <c r="G436" s="1" t="s">
        <v>74</v>
      </c>
      <c r="H436" s="1" t="s">
        <v>74</v>
      </c>
      <c r="I436" s="1" t="s">
        <v>4311</v>
      </c>
      <c r="J436" s="1" t="s">
        <v>4312</v>
      </c>
      <c r="K436" s="1" t="s">
        <v>74</v>
      </c>
      <c r="L436" s="1" t="s">
        <v>74</v>
      </c>
      <c r="M436" s="1" t="s">
        <v>74</v>
      </c>
      <c r="N436" s="1" t="s">
        <v>74</v>
      </c>
      <c r="O436" s="1" t="s">
        <v>4313</v>
      </c>
      <c r="P436" s="1" t="s">
        <v>4314</v>
      </c>
      <c r="Q436" s="1" t="s">
        <v>4315</v>
      </c>
      <c r="R436" s="1" t="s">
        <v>4316</v>
      </c>
      <c r="S436" s="1" t="s">
        <v>4317</v>
      </c>
      <c r="T436" s="1" t="s">
        <v>74</v>
      </c>
      <c r="U436" s="1" t="s">
        <v>74</v>
      </c>
      <c r="V436" s="1" t="s">
        <v>4318</v>
      </c>
      <c r="W436" s="1" t="s">
        <v>74</v>
      </c>
      <c r="X436" s="1" t="s">
        <v>74</v>
      </c>
      <c r="Y436" s="1" t="s">
        <v>74</v>
      </c>
      <c r="Z436" s="1" t="s">
        <v>74</v>
      </c>
      <c r="AA436" s="1" t="s">
        <v>74</v>
      </c>
      <c r="AB436" s="1" t="s">
        <v>1480</v>
      </c>
      <c r="AC436" s="1" t="s">
        <v>74</v>
      </c>
      <c r="AD436" s="1" t="s">
        <v>74</v>
      </c>
      <c r="AE436" s="1" t="s">
        <v>74</v>
      </c>
      <c r="AF436" s="1" t="s">
        <v>74</v>
      </c>
      <c r="AG436" s="1" t="s">
        <v>74</v>
      </c>
      <c r="AH436" s="1" t="s">
        <v>74</v>
      </c>
      <c r="AI436" s="1" t="s">
        <v>74</v>
      </c>
      <c r="AJ436" s="1" t="s">
        <v>74</v>
      </c>
      <c r="AK436" s="1" t="s">
        <v>74</v>
      </c>
      <c r="AL436" s="1" t="s">
        <v>74</v>
      </c>
      <c r="AM436" s="1" t="s">
        <v>74</v>
      </c>
      <c r="AN436" s="1" t="s">
        <v>74</v>
      </c>
      <c r="AO436" s="1" t="s">
        <v>74</v>
      </c>
      <c r="AP436" s="1" t="s">
        <v>74</v>
      </c>
      <c r="AQ436" s="1" t="s">
        <v>4319</v>
      </c>
      <c r="AR436" s="1" t="s">
        <v>74</v>
      </c>
      <c r="AS436" s="1" t="s">
        <v>74</v>
      </c>
      <c r="AT436" s="1" t="s">
        <v>74</v>
      </c>
      <c r="AU436" s="1">
        <v>2012.0</v>
      </c>
      <c r="AV436" s="1" t="s">
        <v>74</v>
      </c>
      <c r="AW436" s="1" t="s">
        <v>74</v>
      </c>
      <c r="AX436" s="1" t="s">
        <v>74</v>
      </c>
      <c r="AY436" s="1" t="s">
        <v>74</v>
      </c>
      <c r="AZ436" s="1" t="s">
        <v>74</v>
      </c>
      <c r="BA436" s="1" t="s">
        <v>74</v>
      </c>
      <c r="BB436" s="1" t="s">
        <v>74</v>
      </c>
      <c r="BC436" s="1" t="s">
        <v>74</v>
      </c>
      <c r="BD436" s="1" t="s">
        <v>74</v>
      </c>
      <c r="BE436" s="1" t="s">
        <v>74</v>
      </c>
      <c r="BF436" s="1" t="s">
        <v>74</v>
      </c>
      <c r="BG436" s="1" t="s">
        <v>74</v>
      </c>
      <c r="BH436" s="1" t="s">
        <v>74</v>
      </c>
      <c r="BI436" s="1" t="s">
        <v>74</v>
      </c>
      <c r="BJ436" s="1" t="s">
        <v>74</v>
      </c>
      <c r="BK436" s="1" t="s">
        <v>74</v>
      </c>
      <c r="BL436" s="1" t="s">
        <v>74</v>
      </c>
      <c r="BM436" s="1" t="s">
        <v>74</v>
      </c>
      <c r="BN436" s="1" t="s">
        <v>74</v>
      </c>
      <c r="BO436" s="1" t="s">
        <v>74</v>
      </c>
      <c r="BP436" s="1" t="s">
        <v>74</v>
      </c>
      <c r="BQ436" s="1" t="s">
        <v>74</v>
      </c>
      <c r="BR436" s="1" t="s">
        <v>74</v>
      </c>
      <c r="BS436" s="1" t="s">
        <v>4320</v>
      </c>
      <c r="BT436" s="1" t="str">
        <f>HYPERLINK("https%3A%2F%2Fwww.webofscience.com%2Fwos%2Fwoscc%2Ffull-record%2FWOS:000346139000113","View Full Record in Web of Science")</f>
        <v>View Full Record in Web of Science</v>
      </c>
    </row>
    <row r="437" ht="12.75" customHeight="1">
      <c r="A437" s="1" t="s">
        <v>72</v>
      </c>
      <c r="B437" s="1" t="s">
        <v>4321</v>
      </c>
      <c r="C437" s="1" t="s">
        <v>74</v>
      </c>
      <c r="D437" s="1" t="s">
        <v>74</v>
      </c>
      <c r="E437" s="1" t="s">
        <v>74</v>
      </c>
      <c r="F437" s="1" t="s">
        <v>4322</v>
      </c>
      <c r="G437" s="1" t="s">
        <v>74</v>
      </c>
      <c r="H437" s="1" t="s">
        <v>74</v>
      </c>
      <c r="I437" s="1" t="s">
        <v>4323</v>
      </c>
      <c r="J437" s="1" t="s">
        <v>3394</v>
      </c>
      <c r="K437" s="1" t="s">
        <v>74</v>
      </c>
      <c r="L437" s="1" t="s">
        <v>74</v>
      </c>
      <c r="M437" s="1" t="s">
        <v>74</v>
      </c>
      <c r="N437" s="1" t="s">
        <v>74</v>
      </c>
      <c r="O437" s="1" t="s">
        <v>74</v>
      </c>
      <c r="P437" s="1" t="s">
        <v>74</v>
      </c>
      <c r="Q437" s="1" t="s">
        <v>74</v>
      </c>
      <c r="R437" s="1" t="s">
        <v>74</v>
      </c>
      <c r="S437" s="1" t="s">
        <v>74</v>
      </c>
      <c r="T437" s="1" t="s">
        <v>74</v>
      </c>
      <c r="U437" s="1" t="s">
        <v>74</v>
      </c>
      <c r="V437" s="1" t="s">
        <v>4324</v>
      </c>
      <c r="W437" s="1" t="s">
        <v>74</v>
      </c>
      <c r="X437" s="1" t="s">
        <v>74</v>
      </c>
      <c r="Y437" s="1" t="s">
        <v>74</v>
      </c>
      <c r="Z437" s="1" t="s">
        <v>74</v>
      </c>
      <c r="AA437" s="1" t="s">
        <v>4325</v>
      </c>
      <c r="AB437" s="1" t="s">
        <v>4326</v>
      </c>
      <c r="AC437" s="1" t="s">
        <v>74</v>
      </c>
      <c r="AD437" s="1" t="s">
        <v>74</v>
      </c>
      <c r="AE437" s="1" t="s">
        <v>74</v>
      </c>
      <c r="AF437" s="1" t="s">
        <v>74</v>
      </c>
      <c r="AG437" s="1" t="s">
        <v>74</v>
      </c>
      <c r="AH437" s="1" t="s">
        <v>74</v>
      </c>
      <c r="AI437" s="1" t="s">
        <v>74</v>
      </c>
      <c r="AJ437" s="1" t="s">
        <v>74</v>
      </c>
      <c r="AK437" s="1" t="s">
        <v>74</v>
      </c>
      <c r="AL437" s="1" t="s">
        <v>74</v>
      </c>
      <c r="AM437" s="1" t="s">
        <v>74</v>
      </c>
      <c r="AN437" s="1" t="s">
        <v>74</v>
      </c>
      <c r="AO437" s="1" t="s">
        <v>4327</v>
      </c>
      <c r="AP437" s="1" t="s">
        <v>4328</v>
      </c>
      <c r="AQ437" s="1" t="s">
        <v>74</v>
      </c>
      <c r="AR437" s="1" t="s">
        <v>74</v>
      </c>
      <c r="AS437" s="1" t="s">
        <v>74</v>
      </c>
      <c r="AT437" s="1" t="s">
        <v>4329</v>
      </c>
      <c r="AU437" s="1">
        <v>2011.0</v>
      </c>
      <c r="AV437" s="1">
        <v>83.0</v>
      </c>
      <c r="AW437" s="1">
        <v>6.0</v>
      </c>
      <c r="AX437" s="1" t="s">
        <v>74</v>
      </c>
      <c r="AY437" s="1" t="s">
        <v>74</v>
      </c>
      <c r="AZ437" s="1" t="s">
        <v>74</v>
      </c>
      <c r="BA437" s="1" t="s">
        <v>74</v>
      </c>
      <c r="BB437" s="1" t="s">
        <v>74</v>
      </c>
      <c r="BC437" s="1" t="s">
        <v>74</v>
      </c>
      <c r="BD437" s="1">
        <v>65025.0</v>
      </c>
      <c r="BE437" s="1" t="s">
        <v>4330</v>
      </c>
      <c r="BF437" s="2" t="str">
        <f>HYPERLINK("http://dx.doi.org/10.1103/PhysRevD.83.065025","http://dx.doi.org/10.1103/PhysRevD.83.065025")</f>
        <v>http://dx.doi.org/10.1103/PhysRevD.83.065025</v>
      </c>
      <c r="BG437" s="1" t="s">
        <v>74</v>
      </c>
      <c r="BH437" s="1" t="s">
        <v>74</v>
      </c>
      <c r="BI437" s="1" t="s">
        <v>74</v>
      </c>
      <c r="BJ437" s="1" t="s">
        <v>74</v>
      </c>
      <c r="BK437" s="1" t="s">
        <v>74</v>
      </c>
      <c r="BL437" s="1" t="s">
        <v>74</v>
      </c>
      <c r="BM437" s="1" t="s">
        <v>74</v>
      </c>
      <c r="BN437" s="1" t="s">
        <v>74</v>
      </c>
      <c r="BO437" s="1" t="s">
        <v>74</v>
      </c>
      <c r="BP437" s="1" t="s">
        <v>74</v>
      </c>
      <c r="BQ437" s="1" t="s">
        <v>74</v>
      </c>
      <c r="BR437" s="1" t="s">
        <v>74</v>
      </c>
      <c r="BS437" s="1" t="s">
        <v>4331</v>
      </c>
      <c r="BT437" s="1" t="str">
        <f>HYPERLINK("https%3A%2F%2Fwww.webofscience.com%2Fwos%2Fwoscc%2Ffull-record%2FWOS:000288696800007","View Full Record in Web of Science")</f>
        <v>View Full Record in Web of Science</v>
      </c>
    </row>
    <row r="438" ht="12.75" customHeight="1">
      <c r="A438" s="1" t="s">
        <v>72</v>
      </c>
      <c r="B438" s="1" t="s">
        <v>4332</v>
      </c>
      <c r="C438" s="1" t="s">
        <v>74</v>
      </c>
      <c r="D438" s="1" t="s">
        <v>74</v>
      </c>
      <c r="E438" s="1" t="s">
        <v>74</v>
      </c>
      <c r="F438" s="1" t="s">
        <v>4333</v>
      </c>
      <c r="G438" s="1" t="s">
        <v>74</v>
      </c>
      <c r="H438" s="1" t="s">
        <v>74</v>
      </c>
      <c r="I438" s="1" t="s">
        <v>4334</v>
      </c>
      <c r="J438" s="1" t="s">
        <v>3719</v>
      </c>
      <c r="K438" s="1" t="s">
        <v>74</v>
      </c>
      <c r="L438" s="1" t="s">
        <v>74</v>
      </c>
      <c r="M438" s="1" t="s">
        <v>74</v>
      </c>
      <c r="N438" s="1" t="s">
        <v>74</v>
      </c>
      <c r="O438" s="1" t="s">
        <v>74</v>
      </c>
      <c r="P438" s="1" t="s">
        <v>74</v>
      </c>
      <c r="Q438" s="1" t="s">
        <v>74</v>
      </c>
      <c r="R438" s="1" t="s">
        <v>74</v>
      </c>
      <c r="S438" s="1" t="s">
        <v>74</v>
      </c>
      <c r="T438" s="1" t="s">
        <v>74</v>
      </c>
      <c r="U438" s="1" t="s">
        <v>74</v>
      </c>
      <c r="V438" s="1" t="s">
        <v>4335</v>
      </c>
      <c r="W438" s="1" t="s">
        <v>74</v>
      </c>
      <c r="X438" s="1" t="s">
        <v>74</v>
      </c>
      <c r="Y438" s="1" t="s">
        <v>74</v>
      </c>
      <c r="Z438" s="1" t="s">
        <v>74</v>
      </c>
      <c r="AA438" s="1" t="s">
        <v>74</v>
      </c>
      <c r="AB438" s="1" t="s">
        <v>74</v>
      </c>
      <c r="AC438" s="1" t="s">
        <v>74</v>
      </c>
      <c r="AD438" s="1" t="s">
        <v>74</v>
      </c>
      <c r="AE438" s="1" t="s">
        <v>74</v>
      </c>
      <c r="AF438" s="1" t="s">
        <v>74</v>
      </c>
      <c r="AG438" s="1" t="s">
        <v>74</v>
      </c>
      <c r="AH438" s="1" t="s">
        <v>74</v>
      </c>
      <c r="AI438" s="1" t="s">
        <v>74</v>
      </c>
      <c r="AJ438" s="1" t="s">
        <v>74</v>
      </c>
      <c r="AK438" s="1" t="s">
        <v>74</v>
      </c>
      <c r="AL438" s="1" t="s">
        <v>74</v>
      </c>
      <c r="AM438" s="1" t="s">
        <v>74</v>
      </c>
      <c r="AN438" s="1" t="s">
        <v>74</v>
      </c>
      <c r="AO438" s="1" t="s">
        <v>3721</v>
      </c>
      <c r="AP438" s="1" t="s">
        <v>74</v>
      </c>
      <c r="AQ438" s="1" t="s">
        <v>74</v>
      </c>
      <c r="AR438" s="1" t="s">
        <v>74</v>
      </c>
      <c r="AS438" s="1" t="s">
        <v>74</v>
      </c>
      <c r="AT438" s="1" t="s">
        <v>1049</v>
      </c>
      <c r="AU438" s="1">
        <v>2010.0</v>
      </c>
      <c r="AV438" s="1">
        <v>48.0</v>
      </c>
      <c r="AW438" s="1">
        <v>11.0</v>
      </c>
      <c r="AX438" s="1" t="s">
        <v>74</v>
      </c>
      <c r="AY438" s="1" t="s">
        <v>74</v>
      </c>
      <c r="AZ438" s="1" t="s">
        <v>411</v>
      </c>
      <c r="BA438" s="1" t="s">
        <v>74</v>
      </c>
      <c r="BB438" s="1">
        <v>1544.0</v>
      </c>
      <c r="BC438" s="1">
        <v>1562.0</v>
      </c>
      <c r="BD438" s="1" t="s">
        <v>74</v>
      </c>
      <c r="BE438" s="1" t="s">
        <v>4336</v>
      </c>
      <c r="BF438" s="2" t="str">
        <f>HYPERLINK("http://dx.doi.org/10.1016/j.ijengsci.2010.07.010","http://dx.doi.org/10.1016/j.ijengsci.2010.07.010")</f>
        <v>http://dx.doi.org/10.1016/j.ijengsci.2010.07.010</v>
      </c>
      <c r="BG438" s="1" t="s">
        <v>74</v>
      </c>
      <c r="BH438" s="1" t="s">
        <v>74</v>
      </c>
      <c r="BI438" s="1" t="s">
        <v>74</v>
      </c>
      <c r="BJ438" s="1" t="s">
        <v>74</v>
      </c>
      <c r="BK438" s="1" t="s">
        <v>74</v>
      </c>
      <c r="BL438" s="1" t="s">
        <v>74</v>
      </c>
      <c r="BM438" s="1" t="s">
        <v>74</v>
      </c>
      <c r="BN438" s="1" t="s">
        <v>74</v>
      </c>
      <c r="BO438" s="1" t="s">
        <v>74</v>
      </c>
      <c r="BP438" s="1" t="s">
        <v>74</v>
      </c>
      <c r="BQ438" s="1" t="s">
        <v>74</v>
      </c>
      <c r="BR438" s="1" t="s">
        <v>74</v>
      </c>
      <c r="BS438" s="1" t="s">
        <v>4337</v>
      </c>
      <c r="BT438" s="1" t="str">
        <f>HYPERLINK("https%3A%2F%2Fwww.webofscience.com%2Fwos%2Fwoscc%2Ffull-record%2FWOS:000285955400046","View Full Record in Web of Science")</f>
        <v>View Full Record in Web of Science</v>
      </c>
    </row>
    <row r="439" ht="12.75" customHeight="1">
      <c r="A439" s="1" t="s">
        <v>72</v>
      </c>
      <c r="B439" s="1" t="s">
        <v>1336</v>
      </c>
      <c r="C439" s="1" t="s">
        <v>74</v>
      </c>
      <c r="D439" s="1" t="s">
        <v>74</v>
      </c>
      <c r="E439" s="1" t="s">
        <v>74</v>
      </c>
      <c r="F439" s="1" t="s">
        <v>1337</v>
      </c>
      <c r="G439" s="1" t="s">
        <v>74</v>
      </c>
      <c r="H439" s="1" t="s">
        <v>74</v>
      </c>
      <c r="I439" s="1" t="s">
        <v>4338</v>
      </c>
      <c r="J439" s="1" t="s">
        <v>1339</v>
      </c>
      <c r="K439" s="1" t="s">
        <v>74</v>
      </c>
      <c r="L439" s="1" t="s">
        <v>74</v>
      </c>
      <c r="M439" s="1" t="s">
        <v>74</v>
      </c>
      <c r="N439" s="1" t="s">
        <v>74</v>
      </c>
      <c r="O439" s="1" t="s">
        <v>74</v>
      </c>
      <c r="P439" s="1" t="s">
        <v>74</v>
      </c>
      <c r="Q439" s="1" t="s">
        <v>74</v>
      </c>
      <c r="R439" s="1" t="s">
        <v>74</v>
      </c>
      <c r="S439" s="1" t="s">
        <v>74</v>
      </c>
      <c r="T439" s="1" t="s">
        <v>74</v>
      </c>
      <c r="U439" s="1" t="s">
        <v>74</v>
      </c>
      <c r="V439" s="1" t="s">
        <v>4339</v>
      </c>
      <c r="W439" s="1" t="s">
        <v>74</v>
      </c>
      <c r="X439" s="1" t="s">
        <v>74</v>
      </c>
      <c r="Y439" s="1" t="s">
        <v>74</v>
      </c>
      <c r="Z439" s="1" t="s">
        <v>74</v>
      </c>
      <c r="AA439" s="1" t="s">
        <v>1341</v>
      </c>
      <c r="AB439" s="1" t="s">
        <v>74</v>
      </c>
      <c r="AC439" s="1" t="s">
        <v>74</v>
      </c>
      <c r="AD439" s="1" t="s">
        <v>74</v>
      </c>
      <c r="AE439" s="1" t="s">
        <v>74</v>
      </c>
      <c r="AF439" s="1" t="s">
        <v>74</v>
      </c>
      <c r="AG439" s="1" t="s">
        <v>74</v>
      </c>
      <c r="AH439" s="1" t="s">
        <v>74</v>
      </c>
      <c r="AI439" s="1" t="s">
        <v>74</v>
      </c>
      <c r="AJ439" s="1" t="s">
        <v>74</v>
      </c>
      <c r="AK439" s="1" t="s">
        <v>74</v>
      </c>
      <c r="AL439" s="1" t="s">
        <v>74</v>
      </c>
      <c r="AM439" s="1" t="s">
        <v>74</v>
      </c>
      <c r="AN439" s="1" t="s">
        <v>74</v>
      </c>
      <c r="AO439" s="1" t="s">
        <v>1342</v>
      </c>
      <c r="AP439" s="1" t="s">
        <v>4340</v>
      </c>
      <c r="AQ439" s="1" t="s">
        <v>74</v>
      </c>
      <c r="AR439" s="1" t="s">
        <v>74</v>
      </c>
      <c r="AS439" s="1" t="s">
        <v>74</v>
      </c>
      <c r="AT439" s="1" t="s">
        <v>4341</v>
      </c>
      <c r="AU439" s="1">
        <v>2009.0</v>
      </c>
      <c r="AV439" s="1">
        <v>26.0</v>
      </c>
      <c r="AW439" s="1">
        <v>6.0</v>
      </c>
      <c r="AX439" s="1" t="s">
        <v>74</v>
      </c>
      <c r="AY439" s="1" t="s">
        <v>74</v>
      </c>
      <c r="AZ439" s="1" t="s">
        <v>74</v>
      </c>
      <c r="BA439" s="1" t="s">
        <v>74</v>
      </c>
      <c r="BB439" s="1">
        <v>2091.0</v>
      </c>
      <c r="BC439" s="1">
        <v>2110.0</v>
      </c>
      <c r="BD439" s="1" t="s">
        <v>74</v>
      </c>
      <c r="BE439" s="1" t="s">
        <v>4342</v>
      </c>
      <c r="BF439" s="2" t="str">
        <f>HYPERLINK("http://dx.doi.org/10.1016/j.anihpc.2009.01.004","http://dx.doi.org/10.1016/j.anihpc.2009.01.004")</f>
        <v>http://dx.doi.org/10.1016/j.anihpc.2009.01.004</v>
      </c>
      <c r="BG439" s="1" t="s">
        <v>74</v>
      </c>
      <c r="BH439" s="1" t="s">
        <v>74</v>
      </c>
      <c r="BI439" s="1" t="s">
        <v>74</v>
      </c>
      <c r="BJ439" s="1" t="s">
        <v>74</v>
      </c>
      <c r="BK439" s="1" t="s">
        <v>74</v>
      </c>
      <c r="BL439" s="1" t="s">
        <v>74</v>
      </c>
      <c r="BM439" s="1" t="s">
        <v>74</v>
      </c>
      <c r="BN439" s="1" t="s">
        <v>74</v>
      </c>
      <c r="BO439" s="1" t="s">
        <v>74</v>
      </c>
      <c r="BP439" s="1" t="s">
        <v>74</v>
      </c>
      <c r="BQ439" s="1" t="s">
        <v>74</v>
      </c>
      <c r="BR439" s="1" t="s">
        <v>74</v>
      </c>
      <c r="BS439" s="1" t="s">
        <v>4343</v>
      </c>
      <c r="BT439" s="1" t="str">
        <f>HYPERLINK("https%3A%2F%2Fwww.webofscience.com%2Fwos%2Fwoscc%2Ffull-record%2FWOS:000272561600003","View Full Record in Web of Science")</f>
        <v>View Full Record in Web of Science</v>
      </c>
    </row>
    <row r="440" ht="12.75" customHeight="1">
      <c r="A440" s="1" t="s">
        <v>72</v>
      </c>
      <c r="B440" s="1" t="s">
        <v>4344</v>
      </c>
      <c r="C440" s="1" t="s">
        <v>74</v>
      </c>
      <c r="D440" s="1" t="s">
        <v>74</v>
      </c>
      <c r="E440" s="1" t="s">
        <v>74</v>
      </c>
      <c r="F440" s="1" t="s">
        <v>4345</v>
      </c>
      <c r="G440" s="1" t="s">
        <v>74</v>
      </c>
      <c r="H440" s="1" t="s">
        <v>74</v>
      </c>
      <c r="I440" s="1" t="s">
        <v>4346</v>
      </c>
      <c r="J440" s="1" t="s">
        <v>3550</v>
      </c>
      <c r="K440" s="1" t="s">
        <v>74</v>
      </c>
      <c r="L440" s="1" t="s">
        <v>74</v>
      </c>
      <c r="M440" s="1" t="s">
        <v>74</v>
      </c>
      <c r="N440" s="1" t="s">
        <v>74</v>
      </c>
      <c r="O440" s="1" t="s">
        <v>74</v>
      </c>
      <c r="P440" s="1" t="s">
        <v>74</v>
      </c>
      <c r="Q440" s="1" t="s">
        <v>74</v>
      </c>
      <c r="R440" s="1" t="s">
        <v>74</v>
      </c>
      <c r="S440" s="1" t="s">
        <v>74</v>
      </c>
      <c r="T440" s="1" t="s">
        <v>74</v>
      </c>
      <c r="U440" s="1" t="s">
        <v>74</v>
      </c>
      <c r="V440" s="1" t="s">
        <v>4347</v>
      </c>
      <c r="W440" s="1" t="s">
        <v>74</v>
      </c>
      <c r="X440" s="1" t="s">
        <v>74</v>
      </c>
      <c r="Y440" s="1" t="s">
        <v>74</v>
      </c>
      <c r="Z440" s="1" t="s">
        <v>74</v>
      </c>
      <c r="AA440" s="1" t="s">
        <v>4348</v>
      </c>
      <c r="AB440" s="1" t="s">
        <v>4349</v>
      </c>
      <c r="AC440" s="1" t="s">
        <v>74</v>
      </c>
      <c r="AD440" s="1" t="s">
        <v>74</v>
      </c>
      <c r="AE440" s="1" t="s">
        <v>74</v>
      </c>
      <c r="AF440" s="1" t="s">
        <v>74</v>
      </c>
      <c r="AG440" s="1" t="s">
        <v>74</v>
      </c>
      <c r="AH440" s="1" t="s">
        <v>74</v>
      </c>
      <c r="AI440" s="1" t="s">
        <v>74</v>
      </c>
      <c r="AJ440" s="1" t="s">
        <v>74</v>
      </c>
      <c r="AK440" s="1" t="s">
        <v>74</v>
      </c>
      <c r="AL440" s="1" t="s">
        <v>74</v>
      </c>
      <c r="AM440" s="1" t="s">
        <v>74</v>
      </c>
      <c r="AN440" s="1" t="s">
        <v>74</v>
      </c>
      <c r="AO440" s="1" t="s">
        <v>3554</v>
      </c>
      <c r="AP440" s="1" t="s">
        <v>74</v>
      </c>
      <c r="AQ440" s="1" t="s">
        <v>74</v>
      </c>
      <c r="AR440" s="1" t="s">
        <v>74</v>
      </c>
      <c r="AS440" s="1" t="s">
        <v>74</v>
      </c>
      <c r="AT440" s="1" t="s">
        <v>123</v>
      </c>
      <c r="AU440" s="1">
        <v>2009.0</v>
      </c>
      <c r="AV440" s="1">
        <v>23.0</v>
      </c>
      <c r="AW440" s="1">
        <v>7.0</v>
      </c>
      <c r="AX440" s="1" t="s">
        <v>74</v>
      </c>
      <c r="AY440" s="1" t="s">
        <v>74</v>
      </c>
      <c r="AZ440" s="1" t="s">
        <v>74</v>
      </c>
      <c r="BA440" s="1" t="s">
        <v>74</v>
      </c>
      <c r="BB440" s="1">
        <v>1810.0</v>
      </c>
      <c r="BC440" s="1">
        <v>1817.0</v>
      </c>
      <c r="BD440" s="1" t="s">
        <v>74</v>
      </c>
      <c r="BE440" s="1" t="s">
        <v>4350</v>
      </c>
      <c r="BF440" s="2" t="str">
        <f>HYPERLINK("http://dx.doi.org/10.1016/j.foodhyd.2009.01.014","http://dx.doi.org/10.1016/j.foodhyd.2009.01.014")</f>
        <v>http://dx.doi.org/10.1016/j.foodhyd.2009.01.014</v>
      </c>
      <c r="BG440" s="1" t="s">
        <v>74</v>
      </c>
      <c r="BH440" s="1" t="s">
        <v>74</v>
      </c>
      <c r="BI440" s="1" t="s">
        <v>74</v>
      </c>
      <c r="BJ440" s="1" t="s">
        <v>74</v>
      </c>
      <c r="BK440" s="1" t="s">
        <v>74</v>
      </c>
      <c r="BL440" s="1" t="s">
        <v>74</v>
      </c>
      <c r="BM440" s="1" t="s">
        <v>74</v>
      </c>
      <c r="BN440" s="1" t="s">
        <v>74</v>
      </c>
      <c r="BO440" s="1" t="s">
        <v>74</v>
      </c>
      <c r="BP440" s="1" t="s">
        <v>74</v>
      </c>
      <c r="BQ440" s="1" t="s">
        <v>74</v>
      </c>
      <c r="BR440" s="1" t="s">
        <v>74</v>
      </c>
      <c r="BS440" s="1" t="s">
        <v>4351</v>
      </c>
      <c r="BT440" s="1" t="str">
        <f>HYPERLINK("https%3A%2F%2Fwww.webofscience.com%2Fwos%2Fwoscc%2Ffull-record%2FWOS:000267478400023","View Full Record in Web of Science")</f>
        <v>View Full Record in Web of Science</v>
      </c>
    </row>
    <row r="441" ht="12.75" customHeight="1">
      <c r="A441" s="1" t="s">
        <v>72</v>
      </c>
      <c r="B441" s="1" t="s">
        <v>4352</v>
      </c>
      <c r="C441" s="1" t="s">
        <v>74</v>
      </c>
      <c r="D441" s="1" t="s">
        <v>74</v>
      </c>
      <c r="E441" s="1" t="s">
        <v>74</v>
      </c>
      <c r="F441" s="1" t="s">
        <v>4353</v>
      </c>
      <c r="G441" s="1" t="s">
        <v>74</v>
      </c>
      <c r="H441" s="1" t="s">
        <v>74</v>
      </c>
      <c r="I441" s="1" t="s">
        <v>4354</v>
      </c>
      <c r="J441" s="1" t="s">
        <v>582</v>
      </c>
      <c r="K441" s="1" t="s">
        <v>74</v>
      </c>
      <c r="L441" s="1" t="s">
        <v>74</v>
      </c>
      <c r="M441" s="1" t="s">
        <v>74</v>
      </c>
      <c r="N441" s="1" t="s">
        <v>74</v>
      </c>
      <c r="O441" s="1" t="s">
        <v>74</v>
      </c>
      <c r="P441" s="1" t="s">
        <v>74</v>
      </c>
      <c r="Q441" s="1" t="s">
        <v>74</v>
      </c>
      <c r="R441" s="1" t="s">
        <v>74</v>
      </c>
      <c r="S441" s="1" t="s">
        <v>74</v>
      </c>
      <c r="T441" s="1" t="s">
        <v>74</v>
      </c>
      <c r="U441" s="1" t="s">
        <v>74</v>
      </c>
      <c r="V441" s="1" t="s">
        <v>4355</v>
      </c>
      <c r="W441" s="1" t="s">
        <v>74</v>
      </c>
      <c r="X441" s="1" t="s">
        <v>74</v>
      </c>
      <c r="Y441" s="1" t="s">
        <v>74</v>
      </c>
      <c r="Z441" s="1" t="s">
        <v>74</v>
      </c>
      <c r="AA441" s="1" t="s">
        <v>4356</v>
      </c>
      <c r="AB441" s="1" t="s">
        <v>4357</v>
      </c>
      <c r="AC441" s="1" t="s">
        <v>74</v>
      </c>
      <c r="AD441" s="1" t="s">
        <v>74</v>
      </c>
      <c r="AE441" s="1" t="s">
        <v>74</v>
      </c>
      <c r="AF441" s="1" t="s">
        <v>74</v>
      </c>
      <c r="AG441" s="1" t="s">
        <v>74</v>
      </c>
      <c r="AH441" s="1" t="s">
        <v>74</v>
      </c>
      <c r="AI441" s="1" t="s">
        <v>74</v>
      </c>
      <c r="AJ441" s="1" t="s">
        <v>74</v>
      </c>
      <c r="AK441" s="1" t="s">
        <v>74</v>
      </c>
      <c r="AL441" s="1" t="s">
        <v>74</v>
      </c>
      <c r="AM441" s="1" t="s">
        <v>74</v>
      </c>
      <c r="AN441" s="1" t="s">
        <v>74</v>
      </c>
      <c r="AO441" s="1" t="s">
        <v>787</v>
      </c>
      <c r="AP441" s="1" t="s">
        <v>74</v>
      </c>
      <c r="AQ441" s="1" t="s">
        <v>74</v>
      </c>
      <c r="AR441" s="1" t="s">
        <v>74</v>
      </c>
      <c r="AS441" s="1" t="s">
        <v>74</v>
      </c>
      <c r="AT441" s="1" t="s">
        <v>215</v>
      </c>
      <c r="AU441" s="1">
        <v>2009.0</v>
      </c>
      <c r="AV441" s="1">
        <v>54.0</v>
      </c>
      <c r="AW441" s="1">
        <v>2.0</v>
      </c>
      <c r="AX441" s="1" t="s">
        <v>74</v>
      </c>
      <c r="AY441" s="1" t="s">
        <v>74</v>
      </c>
      <c r="AZ441" s="1" t="s">
        <v>74</v>
      </c>
      <c r="BA441" s="1" t="s">
        <v>74</v>
      </c>
      <c r="BB441" s="1">
        <v>119.0</v>
      </c>
      <c r="BC441" s="1">
        <v>122.0</v>
      </c>
      <c r="BD441" s="1" t="s">
        <v>74</v>
      </c>
      <c r="BE441" s="1" t="s">
        <v>74</v>
      </c>
      <c r="BF441" s="1" t="s">
        <v>74</v>
      </c>
      <c r="BG441" s="1" t="s">
        <v>74</v>
      </c>
      <c r="BH441" s="1" t="s">
        <v>74</v>
      </c>
      <c r="BI441" s="1" t="s">
        <v>74</v>
      </c>
      <c r="BJ441" s="1" t="s">
        <v>74</v>
      </c>
      <c r="BK441" s="1" t="s">
        <v>74</v>
      </c>
      <c r="BL441" s="1" t="s">
        <v>74</v>
      </c>
      <c r="BM441" s="1" t="s">
        <v>74</v>
      </c>
      <c r="BN441" s="1" t="s">
        <v>74</v>
      </c>
      <c r="BO441" s="1" t="s">
        <v>74</v>
      </c>
      <c r="BP441" s="1" t="s">
        <v>74</v>
      </c>
      <c r="BQ441" s="1" t="s">
        <v>74</v>
      </c>
      <c r="BR441" s="1" t="s">
        <v>74</v>
      </c>
      <c r="BS441" s="1" t="s">
        <v>4358</v>
      </c>
      <c r="BT441" s="1" t="str">
        <f>HYPERLINK("https%3A%2F%2Fwww.webofscience.com%2Fwos%2Fwoscc%2Ffull-record%2FWOS:000268073400004","View Full Record in Web of Science")</f>
        <v>View Full Record in Web of Science</v>
      </c>
    </row>
    <row r="442" ht="12.75" customHeight="1">
      <c r="A442" s="1" t="s">
        <v>72</v>
      </c>
      <c r="B442" s="1" t="s">
        <v>4359</v>
      </c>
      <c r="C442" s="1" t="s">
        <v>74</v>
      </c>
      <c r="D442" s="1" t="s">
        <v>74</v>
      </c>
      <c r="E442" s="1" t="s">
        <v>74</v>
      </c>
      <c r="F442" s="1" t="s">
        <v>4360</v>
      </c>
      <c r="G442" s="1" t="s">
        <v>74</v>
      </c>
      <c r="H442" s="1" t="s">
        <v>74</v>
      </c>
      <c r="I442" s="1" t="s">
        <v>4361</v>
      </c>
      <c r="J442" s="1" t="s">
        <v>2371</v>
      </c>
      <c r="K442" s="1" t="s">
        <v>74</v>
      </c>
      <c r="L442" s="1" t="s">
        <v>74</v>
      </c>
      <c r="M442" s="1" t="s">
        <v>74</v>
      </c>
      <c r="N442" s="1" t="s">
        <v>74</v>
      </c>
      <c r="O442" s="1" t="s">
        <v>74</v>
      </c>
      <c r="P442" s="1" t="s">
        <v>74</v>
      </c>
      <c r="Q442" s="1" t="s">
        <v>74</v>
      </c>
      <c r="R442" s="1" t="s">
        <v>74</v>
      </c>
      <c r="S442" s="1" t="s">
        <v>74</v>
      </c>
      <c r="T442" s="1" t="s">
        <v>74</v>
      </c>
      <c r="U442" s="1" t="s">
        <v>74</v>
      </c>
      <c r="V442" s="1" t="s">
        <v>4362</v>
      </c>
      <c r="W442" s="1" t="s">
        <v>74</v>
      </c>
      <c r="X442" s="1" t="s">
        <v>74</v>
      </c>
      <c r="Y442" s="1" t="s">
        <v>74</v>
      </c>
      <c r="Z442" s="1" t="s">
        <v>74</v>
      </c>
      <c r="AA442" s="1" t="s">
        <v>2302</v>
      </c>
      <c r="AB442" s="1" t="s">
        <v>74</v>
      </c>
      <c r="AC442" s="1" t="s">
        <v>74</v>
      </c>
      <c r="AD442" s="1" t="s">
        <v>74</v>
      </c>
      <c r="AE442" s="1" t="s">
        <v>74</v>
      </c>
      <c r="AF442" s="1" t="s">
        <v>74</v>
      </c>
      <c r="AG442" s="1" t="s">
        <v>74</v>
      </c>
      <c r="AH442" s="1" t="s">
        <v>74</v>
      </c>
      <c r="AI442" s="1" t="s">
        <v>74</v>
      </c>
      <c r="AJ442" s="1" t="s">
        <v>74</v>
      </c>
      <c r="AK442" s="1" t="s">
        <v>74</v>
      </c>
      <c r="AL442" s="1" t="s">
        <v>74</v>
      </c>
      <c r="AM442" s="1" t="s">
        <v>74</v>
      </c>
      <c r="AN442" s="1" t="s">
        <v>74</v>
      </c>
      <c r="AO442" s="1" t="s">
        <v>2372</v>
      </c>
      <c r="AP442" s="1" t="s">
        <v>4363</v>
      </c>
      <c r="AQ442" s="1" t="s">
        <v>74</v>
      </c>
      <c r="AR442" s="1" t="s">
        <v>74</v>
      </c>
      <c r="AS442" s="1" t="s">
        <v>74</v>
      </c>
      <c r="AT442" s="1" t="s">
        <v>2282</v>
      </c>
      <c r="AU442" s="1">
        <v>2009.0</v>
      </c>
      <c r="AV442" s="1">
        <v>70.0</v>
      </c>
      <c r="AW442" s="1">
        <v>2.0</v>
      </c>
      <c r="AX442" s="1" t="s">
        <v>74</v>
      </c>
      <c r="AY442" s="1" t="s">
        <v>74</v>
      </c>
      <c r="AZ442" s="1" t="s">
        <v>74</v>
      </c>
      <c r="BA442" s="1" t="s">
        <v>74</v>
      </c>
      <c r="BB442" s="1">
        <v>1023.0</v>
      </c>
      <c r="BC442" s="1">
        <v>1039.0</v>
      </c>
      <c r="BD442" s="1" t="s">
        <v>74</v>
      </c>
      <c r="BE442" s="1" t="s">
        <v>4364</v>
      </c>
      <c r="BF442" s="2" t="str">
        <f>HYPERLINK("http://dx.doi.org/10.1016/j.na.2008.01.029","http://dx.doi.org/10.1016/j.na.2008.01.029")</f>
        <v>http://dx.doi.org/10.1016/j.na.2008.01.029</v>
      </c>
      <c r="BG442" s="1" t="s">
        <v>74</v>
      </c>
      <c r="BH442" s="1" t="s">
        <v>74</v>
      </c>
      <c r="BI442" s="1" t="s">
        <v>74</v>
      </c>
      <c r="BJ442" s="1" t="s">
        <v>74</v>
      </c>
      <c r="BK442" s="1" t="s">
        <v>74</v>
      </c>
      <c r="BL442" s="1" t="s">
        <v>74</v>
      </c>
      <c r="BM442" s="1" t="s">
        <v>74</v>
      </c>
      <c r="BN442" s="1" t="s">
        <v>74</v>
      </c>
      <c r="BO442" s="1" t="s">
        <v>74</v>
      </c>
      <c r="BP442" s="1" t="s">
        <v>74</v>
      </c>
      <c r="BQ442" s="1" t="s">
        <v>74</v>
      </c>
      <c r="BR442" s="1" t="s">
        <v>74</v>
      </c>
      <c r="BS442" s="1" t="s">
        <v>4365</v>
      </c>
      <c r="BT442" s="1" t="str">
        <f>HYPERLINK("https%3A%2F%2Fwww.webofscience.com%2Fwos%2Fwoscc%2Ffull-record%2FWOS:000261625300035","View Full Record in Web of Science")</f>
        <v>View Full Record in Web of Science</v>
      </c>
    </row>
    <row r="443" ht="12.75" customHeight="1">
      <c r="A443" s="1" t="s">
        <v>72</v>
      </c>
      <c r="B443" s="1" t="s">
        <v>4366</v>
      </c>
      <c r="C443" s="1" t="s">
        <v>74</v>
      </c>
      <c r="D443" s="1" t="s">
        <v>74</v>
      </c>
      <c r="E443" s="1" t="s">
        <v>74</v>
      </c>
      <c r="F443" s="1" t="s">
        <v>4367</v>
      </c>
      <c r="G443" s="1" t="s">
        <v>74</v>
      </c>
      <c r="H443" s="1" t="s">
        <v>74</v>
      </c>
      <c r="I443" s="1" t="s">
        <v>4368</v>
      </c>
      <c r="J443" s="1" t="s">
        <v>4369</v>
      </c>
      <c r="K443" s="1" t="s">
        <v>74</v>
      </c>
      <c r="L443" s="1" t="s">
        <v>74</v>
      </c>
      <c r="M443" s="1" t="s">
        <v>74</v>
      </c>
      <c r="N443" s="1" t="s">
        <v>74</v>
      </c>
      <c r="O443" s="1" t="s">
        <v>74</v>
      </c>
      <c r="P443" s="1" t="s">
        <v>74</v>
      </c>
      <c r="Q443" s="1" t="s">
        <v>74</v>
      </c>
      <c r="R443" s="1" t="s">
        <v>74</v>
      </c>
      <c r="S443" s="1" t="s">
        <v>74</v>
      </c>
      <c r="T443" s="1" t="s">
        <v>74</v>
      </c>
      <c r="U443" s="1" t="s">
        <v>74</v>
      </c>
      <c r="V443" s="1" t="s">
        <v>4370</v>
      </c>
      <c r="W443" s="1" t="s">
        <v>74</v>
      </c>
      <c r="X443" s="1" t="s">
        <v>74</v>
      </c>
      <c r="Y443" s="1" t="s">
        <v>74</v>
      </c>
      <c r="Z443" s="1" t="s">
        <v>74</v>
      </c>
      <c r="AA443" s="1" t="s">
        <v>74</v>
      </c>
      <c r="AB443" s="1" t="s">
        <v>2147</v>
      </c>
      <c r="AC443" s="1" t="s">
        <v>74</v>
      </c>
      <c r="AD443" s="1" t="s">
        <v>74</v>
      </c>
      <c r="AE443" s="1" t="s">
        <v>74</v>
      </c>
      <c r="AF443" s="1" t="s">
        <v>74</v>
      </c>
      <c r="AG443" s="1" t="s">
        <v>74</v>
      </c>
      <c r="AH443" s="1" t="s">
        <v>74</v>
      </c>
      <c r="AI443" s="1" t="s">
        <v>74</v>
      </c>
      <c r="AJ443" s="1" t="s">
        <v>74</v>
      </c>
      <c r="AK443" s="1" t="s">
        <v>74</v>
      </c>
      <c r="AL443" s="1" t="s">
        <v>74</v>
      </c>
      <c r="AM443" s="1" t="s">
        <v>74</v>
      </c>
      <c r="AN443" s="1" t="s">
        <v>74</v>
      </c>
      <c r="AO443" s="1" t="s">
        <v>4371</v>
      </c>
      <c r="AP443" s="1" t="s">
        <v>4372</v>
      </c>
      <c r="AQ443" s="1" t="s">
        <v>74</v>
      </c>
      <c r="AR443" s="1" t="s">
        <v>74</v>
      </c>
      <c r="AS443" s="1" t="s">
        <v>74</v>
      </c>
      <c r="AT443" s="1" t="s">
        <v>459</v>
      </c>
      <c r="AU443" s="1">
        <v>2008.0</v>
      </c>
      <c r="AV443" s="1">
        <v>18.0</v>
      </c>
      <c r="AW443" s="1">
        <v>3.0</v>
      </c>
      <c r="AX443" s="1" t="s">
        <v>74</v>
      </c>
      <c r="AY443" s="1" t="s">
        <v>74</v>
      </c>
      <c r="AZ443" s="1" t="s">
        <v>74</v>
      </c>
      <c r="BA443" s="1" t="s">
        <v>74</v>
      </c>
      <c r="BB443" s="1">
        <v>988.0</v>
      </c>
      <c r="BC443" s="1">
        <v>1028.0</v>
      </c>
      <c r="BD443" s="1" t="s">
        <v>74</v>
      </c>
      <c r="BE443" s="1" t="s">
        <v>4373</v>
      </c>
      <c r="BF443" s="2" t="str">
        <f>HYPERLINK("http://dx.doi.org/10.1007/s00039-008-0667-6","http://dx.doi.org/10.1007/s00039-008-0667-6")</f>
        <v>http://dx.doi.org/10.1007/s00039-008-0667-6</v>
      </c>
      <c r="BG443" s="1" t="s">
        <v>74</v>
      </c>
      <c r="BH443" s="1" t="s">
        <v>74</v>
      </c>
      <c r="BI443" s="1" t="s">
        <v>74</v>
      </c>
      <c r="BJ443" s="1" t="s">
        <v>74</v>
      </c>
      <c r="BK443" s="1" t="s">
        <v>74</v>
      </c>
      <c r="BL443" s="1" t="s">
        <v>74</v>
      </c>
      <c r="BM443" s="1" t="s">
        <v>74</v>
      </c>
      <c r="BN443" s="1" t="s">
        <v>74</v>
      </c>
      <c r="BO443" s="1" t="s">
        <v>74</v>
      </c>
      <c r="BP443" s="1" t="s">
        <v>74</v>
      </c>
      <c r="BQ443" s="1" t="s">
        <v>74</v>
      </c>
      <c r="BR443" s="1" t="s">
        <v>74</v>
      </c>
      <c r="BS443" s="1" t="s">
        <v>4374</v>
      </c>
      <c r="BT443" s="1" t="str">
        <f>HYPERLINK("https%3A%2F%2Fwww.webofscience.com%2Fwos%2Fwoscc%2Ffull-record%2FWOS:000259369900009","View Full Record in Web of Science")</f>
        <v>View Full Record in Web of Science</v>
      </c>
    </row>
    <row r="444" ht="12.75" customHeight="1">
      <c r="A444" s="1" t="s">
        <v>72</v>
      </c>
      <c r="B444" s="1" t="s">
        <v>4375</v>
      </c>
      <c r="C444" s="1" t="s">
        <v>74</v>
      </c>
      <c r="D444" s="1" t="s">
        <v>74</v>
      </c>
      <c r="E444" s="1" t="s">
        <v>74</v>
      </c>
      <c r="F444" s="1" t="s">
        <v>4376</v>
      </c>
      <c r="G444" s="1" t="s">
        <v>74</v>
      </c>
      <c r="H444" s="1" t="s">
        <v>74</v>
      </c>
      <c r="I444" s="1" t="s">
        <v>4377</v>
      </c>
      <c r="J444" s="1" t="s">
        <v>3394</v>
      </c>
      <c r="K444" s="1" t="s">
        <v>74</v>
      </c>
      <c r="L444" s="1" t="s">
        <v>74</v>
      </c>
      <c r="M444" s="1" t="s">
        <v>74</v>
      </c>
      <c r="N444" s="1" t="s">
        <v>74</v>
      </c>
      <c r="O444" s="1" t="s">
        <v>74</v>
      </c>
      <c r="P444" s="1" t="s">
        <v>74</v>
      </c>
      <c r="Q444" s="1" t="s">
        <v>74</v>
      </c>
      <c r="R444" s="1" t="s">
        <v>74</v>
      </c>
      <c r="S444" s="1" t="s">
        <v>74</v>
      </c>
      <c r="T444" s="1" t="s">
        <v>74</v>
      </c>
      <c r="U444" s="1" t="s">
        <v>74</v>
      </c>
      <c r="V444" s="1" t="s">
        <v>4378</v>
      </c>
      <c r="W444" s="1" t="s">
        <v>74</v>
      </c>
      <c r="X444" s="1" t="s">
        <v>74</v>
      </c>
      <c r="Y444" s="1" t="s">
        <v>74</v>
      </c>
      <c r="Z444" s="1" t="s">
        <v>74</v>
      </c>
      <c r="AA444" s="1" t="s">
        <v>4379</v>
      </c>
      <c r="AB444" s="1" t="s">
        <v>4380</v>
      </c>
      <c r="AC444" s="1" t="s">
        <v>74</v>
      </c>
      <c r="AD444" s="1" t="s">
        <v>74</v>
      </c>
      <c r="AE444" s="1" t="s">
        <v>74</v>
      </c>
      <c r="AF444" s="1" t="s">
        <v>74</v>
      </c>
      <c r="AG444" s="1" t="s">
        <v>74</v>
      </c>
      <c r="AH444" s="1" t="s">
        <v>74</v>
      </c>
      <c r="AI444" s="1" t="s">
        <v>74</v>
      </c>
      <c r="AJ444" s="1" t="s">
        <v>74</v>
      </c>
      <c r="AK444" s="1" t="s">
        <v>74</v>
      </c>
      <c r="AL444" s="1" t="s">
        <v>74</v>
      </c>
      <c r="AM444" s="1" t="s">
        <v>74</v>
      </c>
      <c r="AN444" s="1" t="s">
        <v>74</v>
      </c>
      <c r="AO444" s="1" t="s">
        <v>4327</v>
      </c>
      <c r="AP444" s="1" t="s">
        <v>4328</v>
      </c>
      <c r="AQ444" s="1" t="s">
        <v>74</v>
      </c>
      <c r="AR444" s="1" t="s">
        <v>74</v>
      </c>
      <c r="AS444" s="1" t="s">
        <v>74</v>
      </c>
      <c r="AT444" s="1" t="s">
        <v>180</v>
      </c>
      <c r="AU444" s="1">
        <v>2008.0</v>
      </c>
      <c r="AV444" s="1">
        <v>77.0</v>
      </c>
      <c r="AW444" s="1">
        <v>10.0</v>
      </c>
      <c r="AX444" s="1" t="s">
        <v>74</v>
      </c>
      <c r="AY444" s="1" t="s">
        <v>74</v>
      </c>
      <c r="AZ444" s="1" t="s">
        <v>74</v>
      </c>
      <c r="BA444" s="1" t="s">
        <v>74</v>
      </c>
      <c r="BB444" s="1" t="s">
        <v>74</v>
      </c>
      <c r="BC444" s="1" t="s">
        <v>74</v>
      </c>
      <c r="BD444" s="1">
        <v>104030.0</v>
      </c>
      <c r="BE444" s="1" t="s">
        <v>4381</v>
      </c>
      <c r="BF444" s="2" t="str">
        <f>HYPERLINK("http://dx.doi.org/10.1103/PhysRevD.77.104030","http://dx.doi.org/10.1103/PhysRevD.77.104030")</f>
        <v>http://dx.doi.org/10.1103/PhysRevD.77.104030</v>
      </c>
      <c r="BG444" s="1" t="s">
        <v>74</v>
      </c>
      <c r="BH444" s="1" t="s">
        <v>74</v>
      </c>
      <c r="BI444" s="1" t="s">
        <v>74</v>
      </c>
      <c r="BJ444" s="1" t="s">
        <v>74</v>
      </c>
      <c r="BK444" s="1" t="s">
        <v>74</v>
      </c>
      <c r="BL444" s="1" t="s">
        <v>74</v>
      </c>
      <c r="BM444" s="1" t="s">
        <v>74</v>
      </c>
      <c r="BN444" s="1" t="s">
        <v>74</v>
      </c>
      <c r="BO444" s="1" t="s">
        <v>74</v>
      </c>
      <c r="BP444" s="1" t="s">
        <v>74</v>
      </c>
      <c r="BQ444" s="1" t="s">
        <v>74</v>
      </c>
      <c r="BR444" s="1" t="s">
        <v>74</v>
      </c>
      <c r="BS444" s="1" t="s">
        <v>4382</v>
      </c>
      <c r="BT444" s="1" t="str">
        <f>HYPERLINK("https%3A%2F%2Fwww.webofscience.com%2Fwos%2Fwoscc%2Ffull-record%2FWOS:000257329300074","View Full Record in Web of Science")</f>
        <v>View Full Record in Web of Science</v>
      </c>
    </row>
    <row r="445" ht="12.75" customHeight="1">
      <c r="A445" s="1" t="s">
        <v>72</v>
      </c>
      <c r="B445" s="1" t="s">
        <v>4383</v>
      </c>
      <c r="C445" s="1" t="s">
        <v>74</v>
      </c>
      <c r="D445" s="1" t="s">
        <v>74</v>
      </c>
      <c r="E445" s="1" t="s">
        <v>74</v>
      </c>
      <c r="F445" s="1" t="s">
        <v>4384</v>
      </c>
      <c r="G445" s="1" t="s">
        <v>74</v>
      </c>
      <c r="H445" s="1" t="s">
        <v>74</v>
      </c>
      <c r="I445" s="1" t="s">
        <v>4385</v>
      </c>
      <c r="J445" s="1" t="s">
        <v>4386</v>
      </c>
      <c r="K445" s="1" t="s">
        <v>74</v>
      </c>
      <c r="L445" s="1" t="s">
        <v>74</v>
      </c>
      <c r="M445" s="1" t="s">
        <v>74</v>
      </c>
      <c r="N445" s="1" t="s">
        <v>74</v>
      </c>
      <c r="O445" s="1" t="s">
        <v>74</v>
      </c>
      <c r="P445" s="1" t="s">
        <v>74</v>
      </c>
      <c r="Q445" s="1" t="s">
        <v>74</v>
      </c>
      <c r="R445" s="1" t="s">
        <v>74</v>
      </c>
      <c r="S445" s="1" t="s">
        <v>74</v>
      </c>
      <c r="T445" s="1" t="s">
        <v>74</v>
      </c>
      <c r="U445" s="1" t="s">
        <v>74</v>
      </c>
      <c r="V445" s="1" t="s">
        <v>4387</v>
      </c>
      <c r="W445" s="1" t="s">
        <v>74</v>
      </c>
      <c r="X445" s="1" t="s">
        <v>74</v>
      </c>
      <c r="Y445" s="1" t="s">
        <v>74</v>
      </c>
      <c r="Z445" s="1" t="s">
        <v>74</v>
      </c>
      <c r="AA445" s="1" t="s">
        <v>4388</v>
      </c>
      <c r="AB445" s="1" t="s">
        <v>4389</v>
      </c>
      <c r="AC445" s="1" t="s">
        <v>74</v>
      </c>
      <c r="AD445" s="1" t="s">
        <v>74</v>
      </c>
      <c r="AE445" s="1" t="s">
        <v>74</v>
      </c>
      <c r="AF445" s="1" t="s">
        <v>74</v>
      </c>
      <c r="AG445" s="1" t="s">
        <v>74</v>
      </c>
      <c r="AH445" s="1" t="s">
        <v>74</v>
      </c>
      <c r="AI445" s="1" t="s">
        <v>74</v>
      </c>
      <c r="AJ445" s="1" t="s">
        <v>74</v>
      </c>
      <c r="AK445" s="1" t="s">
        <v>74</v>
      </c>
      <c r="AL445" s="1" t="s">
        <v>74</v>
      </c>
      <c r="AM445" s="1" t="s">
        <v>74</v>
      </c>
      <c r="AN445" s="1" t="s">
        <v>74</v>
      </c>
      <c r="AO445" s="1" t="s">
        <v>4390</v>
      </c>
      <c r="AP445" s="1" t="s">
        <v>74</v>
      </c>
      <c r="AQ445" s="1" t="s">
        <v>74</v>
      </c>
      <c r="AR445" s="1" t="s">
        <v>74</v>
      </c>
      <c r="AS445" s="1" t="s">
        <v>74</v>
      </c>
      <c r="AT445" s="1" t="s">
        <v>694</v>
      </c>
      <c r="AU445" s="1">
        <v>2007.0</v>
      </c>
      <c r="AV445" s="1">
        <v>381.0</v>
      </c>
      <c r="AW445" s="1" t="s">
        <v>74</v>
      </c>
      <c r="AX445" s="1" t="s">
        <v>74</v>
      </c>
      <c r="AY445" s="1" t="s">
        <v>74</v>
      </c>
      <c r="AZ445" s="1" t="s">
        <v>74</v>
      </c>
      <c r="BA445" s="1" t="s">
        <v>74</v>
      </c>
      <c r="BB445" s="1">
        <v>411.0</v>
      </c>
      <c r="BC445" s="1">
        <v>419.0</v>
      </c>
      <c r="BD445" s="1" t="s">
        <v>74</v>
      </c>
      <c r="BE445" s="1" t="s">
        <v>4391</v>
      </c>
      <c r="BF445" s="2" t="str">
        <f>HYPERLINK("http://dx.doi.org/10.1016/j.physa.2007.03.052","http://dx.doi.org/10.1016/j.physa.2007.03.052")</f>
        <v>http://dx.doi.org/10.1016/j.physa.2007.03.052</v>
      </c>
      <c r="BG445" s="1" t="s">
        <v>74</v>
      </c>
      <c r="BH445" s="1" t="s">
        <v>74</v>
      </c>
      <c r="BI445" s="1" t="s">
        <v>74</v>
      </c>
      <c r="BJ445" s="1" t="s">
        <v>74</v>
      </c>
      <c r="BK445" s="1" t="s">
        <v>74</v>
      </c>
      <c r="BL445" s="1" t="s">
        <v>74</v>
      </c>
      <c r="BM445" s="1" t="s">
        <v>74</v>
      </c>
      <c r="BN445" s="1" t="s">
        <v>74</v>
      </c>
      <c r="BO445" s="1" t="s">
        <v>74</v>
      </c>
      <c r="BP445" s="1" t="s">
        <v>74</v>
      </c>
      <c r="BQ445" s="1" t="s">
        <v>74</v>
      </c>
      <c r="BR445" s="1" t="s">
        <v>74</v>
      </c>
      <c r="BS445" s="1" t="s">
        <v>4392</v>
      </c>
      <c r="BT445" s="1" t="str">
        <f>HYPERLINK("https%3A%2F%2Fwww.webofscience.com%2Fwos%2Fwoscc%2Ffull-record%2FWOS:000247700900036","View Full Record in Web of Science")</f>
        <v>View Full Record in Web of Science</v>
      </c>
    </row>
    <row r="446" ht="12.75" customHeight="1">
      <c r="A446" s="1" t="s">
        <v>72</v>
      </c>
      <c r="B446" s="1" t="s">
        <v>4393</v>
      </c>
      <c r="C446" s="1" t="s">
        <v>74</v>
      </c>
      <c r="D446" s="1" t="s">
        <v>74</v>
      </c>
      <c r="E446" s="1" t="s">
        <v>74</v>
      </c>
      <c r="F446" s="1" t="s">
        <v>4394</v>
      </c>
      <c r="G446" s="1" t="s">
        <v>74</v>
      </c>
      <c r="H446" s="1" t="s">
        <v>74</v>
      </c>
      <c r="I446" s="1" t="s">
        <v>4395</v>
      </c>
      <c r="J446" s="1" t="s">
        <v>1461</v>
      </c>
      <c r="K446" s="1" t="s">
        <v>74</v>
      </c>
      <c r="L446" s="1" t="s">
        <v>74</v>
      </c>
      <c r="M446" s="1" t="s">
        <v>74</v>
      </c>
      <c r="N446" s="1" t="s">
        <v>74</v>
      </c>
      <c r="O446" s="1" t="s">
        <v>74</v>
      </c>
      <c r="P446" s="1" t="s">
        <v>74</v>
      </c>
      <c r="Q446" s="1" t="s">
        <v>74</v>
      </c>
      <c r="R446" s="1" t="s">
        <v>74</v>
      </c>
      <c r="S446" s="1" t="s">
        <v>74</v>
      </c>
      <c r="T446" s="1" t="s">
        <v>74</v>
      </c>
      <c r="U446" s="1" t="s">
        <v>74</v>
      </c>
      <c r="V446" s="1" t="s">
        <v>4396</v>
      </c>
      <c r="W446" s="1" t="s">
        <v>74</v>
      </c>
      <c r="X446" s="1" t="s">
        <v>74</v>
      </c>
      <c r="Y446" s="1" t="s">
        <v>74</v>
      </c>
      <c r="Z446" s="1" t="s">
        <v>74</v>
      </c>
      <c r="AA446" s="1" t="s">
        <v>3652</v>
      </c>
      <c r="AB446" s="1" t="s">
        <v>74</v>
      </c>
      <c r="AC446" s="1" t="s">
        <v>74</v>
      </c>
      <c r="AD446" s="1" t="s">
        <v>74</v>
      </c>
      <c r="AE446" s="1" t="s">
        <v>74</v>
      </c>
      <c r="AF446" s="1" t="s">
        <v>74</v>
      </c>
      <c r="AG446" s="1" t="s">
        <v>74</v>
      </c>
      <c r="AH446" s="1" t="s">
        <v>74</v>
      </c>
      <c r="AI446" s="1" t="s">
        <v>74</v>
      </c>
      <c r="AJ446" s="1" t="s">
        <v>74</v>
      </c>
      <c r="AK446" s="1" t="s">
        <v>74</v>
      </c>
      <c r="AL446" s="1" t="s">
        <v>74</v>
      </c>
      <c r="AM446" s="1" t="s">
        <v>74</v>
      </c>
      <c r="AN446" s="1" t="s">
        <v>74</v>
      </c>
      <c r="AO446" s="1" t="s">
        <v>1465</v>
      </c>
      <c r="AP446" s="1" t="s">
        <v>4397</v>
      </c>
      <c r="AQ446" s="1" t="s">
        <v>74</v>
      </c>
      <c r="AR446" s="1" t="s">
        <v>74</v>
      </c>
      <c r="AS446" s="1" t="s">
        <v>74</v>
      </c>
      <c r="AT446" s="1" t="s">
        <v>852</v>
      </c>
      <c r="AU446" s="1">
        <v>2007.0</v>
      </c>
      <c r="AV446" s="1">
        <v>83.0</v>
      </c>
      <c r="AW446" s="1">
        <v>3.0</v>
      </c>
      <c r="AX446" s="1" t="s">
        <v>74</v>
      </c>
      <c r="AY446" s="1" t="s">
        <v>74</v>
      </c>
      <c r="AZ446" s="1" t="s">
        <v>74</v>
      </c>
      <c r="BA446" s="1" t="s">
        <v>74</v>
      </c>
      <c r="BB446" s="1">
        <v>475.0</v>
      </c>
      <c r="BC446" s="1">
        <v>480.0</v>
      </c>
      <c r="BD446" s="1" t="s">
        <v>74</v>
      </c>
      <c r="BE446" s="1" t="s">
        <v>4398</v>
      </c>
      <c r="BF446" s="2" t="str">
        <f>HYPERLINK("http://dx.doi.org/10.1562/2006-07-25-RA-983","http://dx.doi.org/10.1562/2006-07-25-RA-983")</f>
        <v>http://dx.doi.org/10.1562/2006-07-25-RA-983</v>
      </c>
      <c r="BG446" s="1" t="s">
        <v>74</v>
      </c>
      <c r="BH446" s="1" t="s">
        <v>74</v>
      </c>
      <c r="BI446" s="1" t="s">
        <v>74</v>
      </c>
      <c r="BJ446" s="1" t="s">
        <v>74</v>
      </c>
      <c r="BK446" s="1" t="s">
        <v>74</v>
      </c>
      <c r="BL446" s="1" t="s">
        <v>74</v>
      </c>
      <c r="BM446" s="1" t="s">
        <v>74</v>
      </c>
      <c r="BN446" s="1">
        <v>1.7034271E7</v>
      </c>
      <c r="BO446" s="1" t="s">
        <v>74</v>
      </c>
      <c r="BP446" s="1" t="s">
        <v>74</v>
      </c>
      <c r="BQ446" s="1" t="s">
        <v>74</v>
      </c>
      <c r="BR446" s="1" t="s">
        <v>74</v>
      </c>
      <c r="BS446" s="1" t="s">
        <v>4399</v>
      </c>
      <c r="BT446" s="1" t="str">
        <f>HYPERLINK("https%3A%2F%2Fwww.webofscience.com%2Fwos%2Fwoscc%2Ffull-record%2FWOS:000247327400002","View Full Record in Web of Science")</f>
        <v>View Full Record in Web of Science</v>
      </c>
    </row>
    <row r="447" ht="12.75" customHeight="1">
      <c r="A447" s="1" t="s">
        <v>72</v>
      </c>
      <c r="B447" s="1" t="s">
        <v>4400</v>
      </c>
      <c r="C447" s="1" t="s">
        <v>74</v>
      </c>
      <c r="D447" s="1" t="s">
        <v>74</v>
      </c>
      <c r="E447" s="1" t="s">
        <v>74</v>
      </c>
      <c r="F447" s="1" t="s">
        <v>4401</v>
      </c>
      <c r="G447" s="1" t="s">
        <v>74</v>
      </c>
      <c r="H447" s="1" t="s">
        <v>74</v>
      </c>
      <c r="I447" s="1" t="s">
        <v>4402</v>
      </c>
      <c r="J447" s="1" t="s">
        <v>2313</v>
      </c>
      <c r="K447" s="1" t="s">
        <v>74</v>
      </c>
      <c r="L447" s="1" t="s">
        <v>74</v>
      </c>
      <c r="M447" s="1" t="s">
        <v>74</v>
      </c>
      <c r="N447" s="1" t="s">
        <v>74</v>
      </c>
      <c r="O447" s="1" t="s">
        <v>74</v>
      </c>
      <c r="P447" s="1" t="s">
        <v>74</v>
      </c>
      <c r="Q447" s="1" t="s">
        <v>74</v>
      </c>
      <c r="R447" s="1" t="s">
        <v>74</v>
      </c>
      <c r="S447" s="1" t="s">
        <v>74</v>
      </c>
      <c r="T447" s="1" t="s">
        <v>74</v>
      </c>
      <c r="U447" s="1" t="s">
        <v>74</v>
      </c>
      <c r="V447" s="1" t="s">
        <v>4403</v>
      </c>
      <c r="W447" s="1" t="s">
        <v>74</v>
      </c>
      <c r="X447" s="1" t="s">
        <v>74</v>
      </c>
      <c r="Y447" s="1" t="s">
        <v>74</v>
      </c>
      <c r="Z447" s="1" t="s">
        <v>74</v>
      </c>
      <c r="AA447" s="1" t="s">
        <v>4404</v>
      </c>
      <c r="AB447" s="1" t="s">
        <v>4405</v>
      </c>
      <c r="AC447" s="1" t="s">
        <v>74</v>
      </c>
      <c r="AD447" s="1" t="s">
        <v>74</v>
      </c>
      <c r="AE447" s="1" t="s">
        <v>74</v>
      </c>
      <c r="AF447" s="1" t="s">
        <v>74</v>
      </c>
      <c r="AG447" s="1" t="s">
        <v>74</v>
      </c>
      <c r="AH447" s="1" t="s">
        <v>74</v>
      </c>
      <c r="AI447" s="1" t="s">
        <v>74</v>
      </c>
      <c r="AJ447" s="1" t="s">
        <v>74</v>
      </c>
      <c r="AK447" s="1" t="s">
        <v>74</v>
      </c>
      <c r="AL447" s="1" t="s">
        <v>74</v>
      </c>
      <c r="AM447" s="1" t="s">
        <v>74</v>
      </c>
      <c r="AN447" s="1" t="s">
        <v>74</v>
      </c>
      <c r="AO447" s="1" t="s">
        <v>2317</v>
      </c>
      <c r="AP447" s="1" t="s">
        <v>2318</v>
      </c>
      <c r="AQ447" s="1" t="s">
        <v>74</v>
      </c>
      <c r="AR447" s="1" t="s">
        <v>74</v>
      </c>
      <c r="AS447" s="1" t="s">
        <v>74</v>
      </c>
      <c r="AT447" s="1" t="s">
        <v>1266</v>
      </c>
      <c r="AU447" s="1">
        <v>2007.0</v>
      </c>
      <c r="AV447" s="1">
        <v>644.0</v>
      </c>
      <c r="AW447" s="1">
        <v>1.0</v>
      </c>
      <c r="AX447" s="1" t="s">
        <v>74</v>
      </c>
      <c r="AY447" s="1" t="s">
        <v>74</v>
      </c>
      <c r="AZ447" s="1" t="s">
        <v>74</v>
      </c>
      <c r="BA447" s="1" t="s">
        <v>74</v>
      </c>
      <c r="BB447" s="1">
        <v>94.0</v>
      </c>
      <c r="BC447" s="1">
        <v>98.0</v>
      </c>
      <c r="BD447" s="1" t="s">
        <v>74</v>
      </c>
      <c r="BE447" s="1" t="s">
        <v>4406</v>
      </c>
      <c r="BF447" s="2" t="str">
        <f>HYPERLINK("http://dx.doi.org/10.1016/j.physletb.2006.11.020","http://dx.doi.org/10.1016/j.physletb.2006.11.020")</f>
        <v>http://dx.doi.org/10.1016/j.physletb.2006.11.020</v>
      </c>
      <c r="BG447" s="1" t="s">
        <v>74</v>
      </c>
      <c r="BH447" s="1" t="s">
        <v>74</v>
      </c>
      <c r="BI447" s="1" t="s">
        <v>74</v>
      </c>
      <c r="BJ447" s="1" t="s">
        <v>74</v>
      </c>
      <c r="BK447" s="1" t="s">
        <v>74</v>
      </c>
      <c r="BL447" s="1" t="s">
        <v>74</v>
      </c>
      <c r="BM447" s="1" t="s">
        <v>74</v>
      </c>
      <c r="BN447" s="1" t="s">
        <v>74</v>
      </c>
      <c r="BO447" s="1" t="s">
        <v>74</v>
      </c>
      <c r="BP447" s="1" t="s">
        <v>74</v>
      </c>
      <c r="BQ447" s="1" t="s">
        <v>74</v>
      </c>
      <c r="BR447" s="1" t="s">
        <v>74</v>
      </c>
      <c r="BS447" s="1" t="s">
        <v>4407</v>
      </c>
      <c r="BT447" s="1" t="str">
        <f>HYPERLINK("https%3A%2F%2Fwww.webofscience.com%2Fwos%2Fwoscc%2Ffull-record%2FWOS:000243550200017","View Full Record in Web of Science")</f>
        <v>View Full Record in Web of Science</v>
      </c>
    </row>
    <row r="448" ht="12.75" customHeight="1">
      <c r="A448" s="1" t="s">
        <v>72</v>
      </c>
      <c r="B448" s="1" t="s">
        <v>4408</v>
      </c>
      <c r="C448" s="1" t="s">
        <v>74</v>
      </c>
      <c r="D448" s="1" t="s">
        <v>74</v>
      </c>
      <c r="E448" s="1" t="s">
        <v>74</v>
      </c>
      <c r="F448" s="1" t="s">
        <v>4409</v>
      </c>
      <c r="G448" s="1" t="s">
        <v>74</v>
      </c>
      <c r="H448" s="1" t="s">
        <v>74</v>
      </c>
      <c r="I448" s="1" t="s">
        <v>4410</v>
      </c>
      <c r="J448" s="1" t="s">
        <v>3394</v>
      </c>
      <c r="K448" s="1" t="s">
        <v>74</v>
      </c>
      <c r="L448" s="1" t="s">
        <v>74</v>
      </c>
      <c r="M448" s="1" t="s">
        <v>74</v>
      </c>
      <c r="N448" s="1" t="s">
        <v>74</v>
      </c>
      <c r="O448" s="1" t="s">
        <v>74</v>
      </c>
      <c r="P448" s="1" t="s">
        <v>74</v>
      </c>
      <c r="Q448" s="1" t="s">
        <v>74</v>
      </c>
      <c r="R448" s="1" t="s">
        <v>74</v>
      </c>
      <c r="S448" s="1" t="s">
        <v>74</v>
      </c>
      <c r="T448" s="1" t="s">
        <v>74</v>
      </c>
      <c r="U448" s="1" t="s">
        <v>74</v>
      </c>
      <c r="V448" s="1" t="s">
        <v>4411</v>
      </c>
      <c r="W448" s="1" t="s">
        <v>74</v>
      </c>
      <c r="X448" s="1" t="s">
        <v>74</v>
      </c>
      <c r="Y448" s="1" t="s">
        <v>74</v>
      </c>
      <c r="Z448" s="1" t="s">
        <v>74</v>
      </c>
      <c r="AA448" s="1" t="s">
        <v>74</v>
      </c>
      <c r="AB448" s="1" t="s">
        <v>74</v>
      </c>
      <c r="AC448" s="1" t="s">
        <v>74</v>
      </c>
      <c r="AD448" s="1" t="s">
        <v>74</v>
      </c>
      <c r="AE448" s="1" t="s">
        <v>74</v>
      </c>
      <c r="AF448" s="1" t="s">
        <v>74</v>
      </c>
      <c r="AG448" s="1" t="s">
        <v>74</v>
      </c>
      <c r="AH448" s="1" t="s">
        <v>74</v>
      </c>
      <c r="AI448" s="1" t="s">
        <v>74</v>
      </c>
      <c r="AJ448" s="1" t="s">
        <v>74</v>
      </c>
      <c r="AK448" s="1" t="s">
        <v>74</v>
      </c>
      <c r="AL448" s="1" t="s">
        <v>74</v>
      </c>
      <c r="AM448" s="1" t="s">
        <v>74</v>
      </c>
      <c r="AN448" s="1" t="s">
        <v>74</v>
      </c>
      <c r="AO448" s="1" t="s">
        <v>4327</v>
      </c>
      <c r="AP448" s="1" t="s">
        <v>4328</v>
      </c>
      <c r="AQ448" s="1" t="s">
        <v>74</v>
      </c>
      <c r="AR448" s="1" t="s">
        <v>74</v>
      </c>
      <c r="AS448" s="1" t="s">
        <v>74</v>
      </c>
      <c r="AT448" s="1" t="s">
        <v>180</v>
      </c>
      <c r="AU448" s="1">
        <v>2006.0</v>
      </c>
      <c r="AV448" s="1">
        <v>73.0</v>
      </c>
      <c r="AW448" s="1">
        <v>10.0</v>
      </c>
      <c r="AX448" s="1" t="s">
        <v>74</v>
      </c>
      <c r="AY448" s="1" t="s">
        <v>74</v>
      </c>
      <c r="AZ448" s="1" t="s">
        <v>74</v>
      </c>
      <c r="BA448" s="1" t="s">
        <v>74</v>
      </c>
      <c r="BB448" s="1" t="s">
        <v>74</v>
      </c>
      <c r="BC448" s="1" t="s">
        <v>74</v>
      </c>
      <c r="BD448" s="1">
        <v>104026.0</v>
      </c>
      <c r="BE448" s="1" t="s">
        <v>4412</v>
      </c>
      <c r="BF448" s="2" t="str">
        <f>HYPERLINK("http://dx.doi.org/10.1103/PhysRevD.73.104026","http://dx.doi.org/10.1103/PhysRevD.73.104026")</f>
        <v>http://dx.doi.org/10.1103/PhysRevD.73.104026</v>
      </c>
      <c r="BG448" s="1" t="s">
        <v>74</v>
      </c>
      <c r="BH448" s="1" t="s">
        <v>74</v>
      </c>
      <c r="BI448" s="1" t="s">
        <v>74</v>
      </c>
      <c r="BJ448" s="1" t="s">
        <v>74</v>
      </c>
      <c r="BK448" s="1" t="s">
        <v>74</v>
      </c>
      <c r="BL448" s="1" t="s">
        <v>74</v>
      </c>
      <c r="BM448" s="1" t="s">
        <v>74</v>
      </c>
      <c r="BN448" s="1" t="s">
        <v>74</v>
      </c>
      <c r="BO448" s="1" t="s">
        <v>74</v>
      </c>
      <c r="BP448" s="1" t="s">
        <v>74</v>
      </c>
      <c r="BQ448" s="1" t="s">
        <v>74</v>
      </c>
      <c r="BR448" s="1" t="s">
        <v>74</v>
      </c>
      <c r="BS448" s="1" t="s">
        <v>4413</v>
      </c>
      <c r="BT448" s="1" t="str">
        <f>HYPERLINK("https%3A%2F%2Fwww.webofscience.com%2Fwos%2Fwoscc%2Ffull-record%2FWOS:000237951100057","View Full Record in Web of Science")</f>
        <v>View Full Record in Web of Science</v>
      </c>
    </row>
    <row r="449" ht="12.75" customHeight="1">
      <c r="A449" s="1" t="s">
        <v>72</v>
      </c>
      <c r="B449" s="1" t="s">
        <v>4414</v>
      </c>
      <c r="C449" s="1" t="s">
        <v>74</v>
      </c>
      <c r="D449" s="1" t="s">
        <v>74</v>
      </c>
      <c r="E449" s="1" t="s">
        <v>74</v>
      </c>
      <c r="F449" s="1" t="s">
        <v>4414</v>
      </c>
      <c r="G449" s="1" t="s">
        <v>74</v>
      </c>
      <c r="H449" s="1" t="s">
        <v>74</v>
      </c>
      <c r="I449" s="1" t="s">
        <v>4415</v>
      </c>
      <c r="J449" s="1" t="s">
        <v>582</v>
      </c>
      <c r="K449" s="1" t="s">
        <v>74</v>
      </c>
      <c r="L449" s="1" t="s">
        <v>74</v>
      </c>
      <c r="M449" s="1" t="s">
        <v>74</v>
      </c>
      <c r="N449" s="1" t="s">
        <v>74</v>
      </c>
      <c r="O449" s="1" t="s">
        <v>74</v>
      </c>
      <c r="P449" s="1" t="s">
        <v>74</v>
      </c>
      <c r="Q449" s="1" t="s">
        <v>74</v>
      </c>
      <c r="R449" s="1" t="s">
        <v>74</v>
      </c>
      <c r="S449" s="1" t="s">
        <v>74</v>
      </c>
      <c r="T449" s="1" t="s">
        <v>74</v>
      </c>
      <c r="U449" s="1" t="s">
        <v>74</v>
      </c>
      <c r="V449" s="1" t="s">
        <v>4416</v>
      </c>
      <c r="W449" s="1" t="s">
        <v>74</v>
      </c>
      <c r="X449" s="1" t="s">
        <v>74</v>
      </c>
      <c r="Y449" s="1" t="s">
        <v>74</v>
      </c>
      <c r="Z449" s="1" t="s">
        <v>74</v>
      </c>
      <c r="AA449" s="1" t="s">
        <v>74</v>
      </c>
      <c r="AB449" s="1" t="s">
        <v>4417</v>
      </c>
      <c r="AC449" s="1" t="s">
        <v>74</v>
      </c>
      <c r="AD449" s="1" t="s">
        <v>74</v>
      </c>
      <c r="AE449" s="1" t="s">
        <v>74</v>
      </c>
      <c r="AF449" s="1" t="s">
        <v>74</v>
      </c>
      <c r="AG449" s="1" t="s">
        <v>74</v>
      </c>
      <c r="AH449" s="1" t="s">
        <v>74</v>
      </c>
      <c r="AI449" s="1" t="s">
        <v>74</v>
      </c>
      <c r="AJ449" s="1" t="s">
        <v>74</v>
      </c>
      <c r="AK449" s="1" t="s">
        <v>74</v>
      </c>
      <c r="AL449" s="1" t="s">
        <v>74</v>
      </c>
      <c r="AM449" s="1" t="s">
        <v>74</v>
      </c>
      <c r="AN449" s="1" t="s">
        <v>74</v>
      </c>
      <c r="AO449" s="1" t="s">
        <v>585</v>
      </c>
      <c r="AP449" s="1" t="s">
        <v>74</v>
      </c>
      <c r="AQ449" s="1" t="s">
        <v>74</v>
      </c>
      <c r="AR449" s="1" t="s">
        <v>74</v>
      </c>
      <c r="AS449" s="1" t="s">
        <v>74</v>
      </c>
      <c r="AT449" s="1" t="s">
        <v>215</v>
      </c>
      <c r="AU449" s="1">
        <v>2005.0</v>
      </c>
      <c r="AV449" s="1">
        <v>50.0</v>
      </c>
      <c r="AW449" s="1">
        <v>2.0</v>
      </c>
      <c r="AX449" s="1" t="s">
        <v>74</v>
      </c>
      <c r="AY449" s="1" t="s">
        <v>74</v>
      </c>
      <c r="AZ449" s="1" t="s">
        <v>74</v>
      </c>
      <c r="BA449" s="1" t="s">
        <v>74</v>
      </c>
      <c r="BB449" s="1">
        <v>501.0</v>
      </c>
      <c r="BC449" s="1">
        <v>504.0</v>
      </c>
      <c r="BD449" s="1" t="s">
        <v>74</v>
      </c>
      <c r="BE449" s="1" t="s">
        <v>74</v>
      </c>
      <c r="BF449" s="1" t="s">
        <v>74</v>
      </c>
      <c r="BG449" s="1" t="s">
        <v>74</v>
      </c>
      <c r="BH449" s="1" t="s">
        <v>74</v>
      </c>
      <c r="BI449" s="1" t="s">
        <v>74</v>
      </c>
      <c r="BJ449" s="1" t="s">
        <v>74</v>
      </c>
      <c r="BK449" s="1" t="s">
        <v>74</v>
      </c>
      <c r="BL449" s="1" t="s">
        <v>74</v>
      </c>
      <c r="BM449" s="1" t="s">
        <v>74</v>
      </c>
      <c r="BN449" s="1" t="s">
        <v>74</v>
      </c>
      <c r="BO449" s="1" t="s">
        <v>74</v>
      </c>
      <c r="BP449" s="1" t="s">
        <v>74</v>
      </c>
      <c r="BQ449" s="1" t="s">
        <v>74</v>
      </c>
      <c r="BR449" s="1" t="s">
        <v>74</v>
      </c>
      <c r="BS449" s="1" t="s">
        <v>4418</v>
      </c>
      <c r="BT449" s="1" t="str">
        <f>HYPERLINK("https%3A%2F%2Fwww.webofscience.com%2Fwos%2Fwoscc%2Ffull-record%2FWOS:000229785200012","View Full Record in Web of Science")</f>
        <v>View Full Record in Web of Science</v>
      </c>
    </row>
    <row r="450" ht="12.75" customHeight="1">
      <c r="A450" s="1" t="s">
        <v>72</v>
      </c>
      <c r="B450" s="1" t="s">
        <v>4419</v>
      </c>
      <c r="C450" s="1" t="s">
        <v>74</v>
      </c>
      <c r="D450" s="1" t="s">
        <v>74</v>
      </c>
      <c r="E450" s="1" t="s">
        <v>74</v>
      </c>
      <c r="F450" s="1" t="s">
        <v>4419</v>
      </c>
      <c r="G450" s="1" t="s">
        <v>74</v>
      </c>
      <c r="H450" s="1" t="s">
        <v>74</v>
      </c>
      <c r="I450" s="1" t="s">
        <v>4420</v>
      </c>
      <c r="J450" s="1" t="s">
        <v>1505</v>
      </c>
      <c r="K450" s="1" t="s">
        <v>74</v>
      </c>
      <c r="L450" s="1" t="s">
        <v>74</v>
      </c>
      <c r="M450" s="1" t="s">
        <v>74</v>
      </c>
      <c r="N450" s="1" t="s">
        <v>74</v>
      </c>
      <c r="O450" s="1" t="s">
        <v>1506</v>
      </c>
      <c r="P450" s="1" t="s">
        <v>1507</v>
      </c>
      <c r="Q450" s="1" t="s">
        <v>964</v>
      </c>
      <c r="R450" s="1" t="s">
        <v>1508</v>
      </c>
      <c r="S450" s="1" t="s">
        <v>74</v>
      </c>
      <c r="T450" s="1" t="s">
        <v>74</v>
      </c>
      <c r="U450" s="1" t="s">
        <v>74</v>
      </c>
      <c r="V450" s="1" t="s">
        <v>74</v>
      </c>
      <c r="W450" s="1" t="s">
        <v>74</v>
      </c>
      <c r="X450" s="1" t="s">
        <v>74</v>
      </c>
      <c r="Y450" s="1" t="s">
        <v>74</v>
      </c>
      <c r="Z450" s="1" t="s">
        <v>74</v>
      </c>
      <c r="AA450" s="1" t="s">
        <v>74</v>
      </c>
      <c r="AB450" s="1" t="s">
        <v>74</v>
      </c>
      <c r="AC450" s="1" t="s">
        <v>74</v>
      </c>
      <c r="AD450" s="1" t="s">
        <v>74</v>
      </c>
      <c r="AE450" s="1" t="s">
        <v>74</v>
      </c>
      <c r="AF450" s="1" t="s">
        <v>74</v>
      </c>
      <c r="AG450" s="1" t="s">
        <v>74</v>
      </c>
      <c r="AH450" s="1" t="s">
        <v>74</v>
      </c>
      <c r="AI450" s="1" t="s">
        <v>74</v>
      </c>
      <c r="AJ450" s="1" t="s">
        <v>74</v>
      </c>
      <c r="AK450" s="1" t="s">
        <v>74</v>
      </c>
      <c r="AL450" s="1" t="s">
        <v>74</v>
      </c>
      <c r="AM450" s="1" t="s">
        <v>74</v>
      </c>
      <c r="AN450" s="1" t="s">
        <v>74</v>
      </c>
      <c r="AO450" s="1" t="s">
        <v>1510</v>
      </c>
      <c r="AP450" s="1" t="s">
        <v>74</v>
      </c>
      <c r="AQ450" s="1" t="s">
        <v>74</v>
      </c>
      <c r="AR450" s="1" t="s">
        <v>74</v>
      </c>
      <c r="AS450" s="1" t="s">
        <v>74</v>
      </c>
      <c r="AT450" s="1" t="s">
        <v>1049</v>
      </c>
      <c r="AU450" s="1">
        <v>2004.0</v>
      </c>
      <c r="AV450" s="1">
        <v>15.0</v>
      </c>
      <c r="AW450" s="1" t="s">
        <v>74</v>
      </c>
      <c r="AX450" s="1" t="s">
        <v>74</v>
      </c>
      <c r="AY450" s="1" t="s">
        <v>1511</v>
      </c>
      <c r="AZ450" s="1" t="s">
        <v>74</v>
      </c>
      <c r="BA450" s="1">
        <v>383.0</v>
      </c>
      <c r="BB450" s="1" t="s">
        <v>4421</v>
      </c>
      <c r="BC450" s="1" t="s">
        <v>4421</v>
      </c>
      <c r="BD450" s="1" t="s">
        <v>74</v>
      </c>
      <c r="BE450" s="1" t="s">
        <v>74</v>
      </c>
      <c r="BF450" s="1" t="s">
        <v>74</v>
      </c>
      <c r="BG450" s="1" t="s">
        <v>74</v>
      </c>
      <c r="BH450" s="1" t="s">
        <v>74</v>
      </c>
      <c r="BI450" s="1" t="s">
        <v>74</v>
      </c>
      <c r="BJ450" s="1" t="s">
        <v>74</v>
      </c>
      <c r="BK450" s="1" t="s">
        <v>74</v>
      </c>
      <c r="BL450" s="1" t="s">
        <v>74</v>
      </c>
      <c r="BM450" s="1" t="s">
        <v>74</v>
      </c>
      <c r="BN450" s="1" t="s">
        <v>74</v>
      </c>
      <c r="BO450" s="1" t="s">
        <v>74</v>
      </c>
      <c r="BP450" s="1" t="s">
        <v>74</v>
      </c>
      <c r="BQ450" s="1" t="s">
        <v>74</v>
      </c>
      <c r="BR450" s="1" t="s">
        <v>74</v>
      </c>
      <c r="BS450" s="1" t="s">
        <v>4422</v>
      </c>
      <c r="BT450" s="1" t="str">
        <f>HYPERLINK("https%3A%2F%2Fwww.webofscience.com%2Fwos%2Fwoscc%2Ffull-record%2FWOS:000224648800384","View Full Record in Web of Science")</f>
        <v>View Full Record in Web of Science</v>
      </c>
    </row>
    <row r="451" ht="12.75" customHeight="1">
      <c r="A451" s="1" t="s">
        <v>72</v>
      </c>
      <c r="B451" s="1" t="s">
        <v>4423</v>
      </c>
      <c r="C451" s="1" t="s">
        <v>74</v>
      </c>
      <c r="D451" s="1" t="s">
        <v>74</v>
      </c>
      <c r="E451" s="1" t="s">
        <v>74</v>
      </c>
      <c r="F451" s="1" t="s">
        <v>4423</v>
      </c>
      <c r="G451" s="1" t="s">
        <v>74</v>
      </c>
      <c r="H451" s="1" t="s">
        <v>74</v>
      </c>
      <c r="I451" s="1" t="s">
        <v>4424</v>
      </c>
      <c r="J451" s="1" t="s">
        <v>2253</v>
      </c>
      <c r="K451" s="1" t="s">
        <v>74</v>
      </c>
      <c r="L451" s="1" t="s">
        <v>74</v>
      </c>
      <c r="M451" s="1" t="s">
        <v>74</v>
      </c>
      <c r="N451" s="1" t="s">
        <v>74</v>
      </c>
      <c r="O451" s="1" t="s">
        <v>74</v>
      </c>
      <c r="P451" s="1" t="s">
        <v>74</v>
      </c>
      <c r="Q451" s="1" t="s">
        <v>74</v>
      </c>
      <c r="R451" s="1" t="s">
        <v>74</v>
      </c>
      <c r="S451" s="1" t="s">
        <v>74</v>
      </c>
      <c r="T451" s="1" t="s">
        <v>74</v>
      </c>
      <c r="U451" s="1" t="s">
        <v>74</v>
      </c>
      <c r="V451" s="1" t="s">
        <v>4425</v>
      </c>
      <c r="W451" s="1" t="s">
        <v>74</v>
      </c>
      <c r="X451" s="1" t="s">
        <v>74</v>
      </c>
      <c r="Y451" s="1" t="s">
        <v>74</v>
      </c>
      <c r="Z451" s="1" t="s">
        <v>74</v>
      </c>
      <c r="AA451" s="1" t="s">
        <v>74</v>
      </c>
      <c r="AB451" s="1" t="s">
        <v>74</v>
      </c>
      <c r="AC451" s="1" t="s">
        <v>74</v>
      </c>
      <c r="AD451" s="1" t="s">
        <v>74</v>
      </c>
      <c r="AE451" s="1" t="s">
        <v>74</v>
      </c>
      <c r="AF451" s="1" t="s">
        <v>74</v>
      </c>
      <c r="AG451" s="1" t="s">
        <v>74</v>
      </c>
      <c r="AH451" s="1" t="s">
        <v>74</v>
      </c>
      <c r="AI451" s="1" t="s">
        <v>74</v>
      </c>
      <c r="AJ451" s="1" t="s">
        <v>74</v>
      </c>
      <c r="AK451" s="1" t="s">
        <v>74</v>
      </c>
      <c r="AL451" s="1" t="s">
        <v>74</v>
      </c>
      <c r="AM451" s="1" t="s">
        <v>74</v>
      </c>
      <c r="AN451" s="1" t="s">
        <v>74</v>
      </c>
      <c r="AO451" s="1" t="s">
        <v>2257</v>
      </c>
      <c r="AP451" s="1" t="s">
        <v>74</v>
      </c>
      <c r="AQ451" s="1" t="s">
        <v>74</v>
      </c>
      <c r="AR451" s="1" t="s">
        <v>74</v>
      </c>
      <c r="AS451" s="1" t="s">
        <v>74</v>
      </c>
      <c r="AT451" s="1" t="s">
        <v>74</v>
      </c>
      <c r="AU451" s="1">
        <v>2004.0</v>
      </c>
      <c r="AV451" s="1">
        <v>22.0</v>
      </c>
      <c r="AW451" s="1">
        <v>9.0</v>
      </c>
      <c r="AX451" s="1" t="s">
        <v>74</v>
      </c>
      <c r="AY451" s="1" t="s">
        <v>74</v>
      </c>
      <c r="AZ451" s="1" t="s">
        <v>74</v>
      </c>
      <c r="BA451" s="1" t="s">
        <v>74</v>
      </c>
      <c r="BB451" s="1">
        <v>2135.0</v>
      </c>
      <c r="BC451" s="1">
        <v>2150.0</v>
      </c>
      <c r="BD451" s="1" t="s">
        <v>74</v>
      </c>
      <c r="BE451" s="1" t="s">
        <v>4426</v>
      </c>
      <c r="BF451" s="2" t="str">
        <f>HYPERLINK("http://dx.doi.org/10.1081/LDRT-200034218","http://dx.doi.org/10.1081/LDRT-200034218")</f>
        <v>http://dx.doi.org/10.1081/LDRT-200034218</v>
      </c>
      <c r="BG451" s="1" t="s">
        <v>74</v>
      </c>
      <c r="BH451" s="1" t="s">
        <v>74</v>
      </c>
      <c r="BI451" s="1" t="s">
        <v>74</v>
      </c>
      <c r="BJ451" s="1" t="s">
        <v>74</v>
      </c>
      <c r="BK451" s="1" t="s">
        <v>74</v>
      </c>
      <c r="BL451" s="1" t="s">
        <v>74</v>
      </c>
      <c r="BM451" s="1" t="s">
        <v>74</v>
      </c>
      <c r="BN451" s="1" t="s">
        <v>74</v>
      </c>
      <c r="BO451" s="1" t="s">
        <v>74</v>
      </c>
      <c r="BP451" s="1" t="s">
        <v>74</v>
      </c>
      <c r="BQ451" s="1" t="s">
        <v>74</v>
      </c>
      <c r="BR451" s="1" t="s">
        <v>74</v>
      </c>
      <c r="BS451" s="1" t="s">
        <v>4427</v>
      </c>
      <c r="BT451" s="1" t="str">
        <f>HYPERLINK("https%3A%2F%2Fwww.webofscience.com%2Fwos%2Fwoscc%2Ffull-record%2FWOS:000224973700008","View Full Record in Web of Science")</f>
        <v>View Full Record in Web of Science</v>
      </c>
    </row>
    <row r="452" ht="12.75" customHeight="1">
      <c r="A452" s="1" t="s">
        <v>72</v>
      </c>
      <c r="B452" s="1" t="s">
        <v>4428</v>
      </c>
      <c r="C452" s="1" t="s">
        <v>74</v>
      </c>
      <c r="D452" s="1" t="s">
        <v>74</v>
      </c>
      <c r="E452" s="1" t="s">
        <v>74</v>
      </c>
      <c r="F452" s="1" t="s">
        <v>4428</v>
      </c>
      <c r="G452" s="1" t="s">
        <v>74</v>
      </c>
      <c r="H452" s="1" t="s">
        <v>74</v>
      </c>
      <c r="I452" s="1" t="s">
        <v>4429</v>
      </c>
      <c r="J452" s="1" t="s">
        <v>4430</v>
      </c>
      <c r="K452" s="1" t="s">
        <v>74</v>
      </c>
      <c r="L452" s="1" t="s">
        <v>74</v>
      </c>
      <c r="M452" s="1" t="s">
        <v>74</v>
      </c>
      <c r="N452" s="1" t="s">
        <v>74</v>
      </c>
      <c r="O452" s="1" t="s">
        <v>74</v>
      </c>
      <c r="P452" s="1" t="s">
        <v>74</v>
      </c>
      <c r="Q452" s="1" t="s">
        <v>74</v>
      </c>
      <c r="R452" s="1" t="s">
        <v>74</v>
      </c>
      <c r="S452" s="1" t="s">
        <v>74</v>
      </c>
      <c r="T452" s="1" t="s">
        <v>74</v>
      </c>
      <c r="U452" s="1" t="s">
        <v>74</v>
      </c>
      <c r="V452" s="1" t="s">
        <v>4431</v>
      </c>
      <c r="W452" s="1" t="s">
        <v>74</v>
      </c>
      <c r="X452" s="1" t="s">
        <v>74</v>
      </c>
      <c r="Y452" s="1" t="s">
        <v>74</v>
      </c>
      <c r="Z452" s="1" t="s">
        <v>74</v>
      </c>
      <c r="AA452" s="1" t="s">
        <v>4287</v>
      </c>
      <c r="AB452" s="1" t="s">
        <v>4432</v>
      </c>
      <c r="AC452" s="1" t="s">
        <v>74</v>
      </c>
      <c r="AD452" s="1" t="s">
        <v>74</v>
      </c>
      <c r="AE452" s="1" t="s">
        <v>74</v>
      </c>
      <c r="AF452" s="1" t="s">
        <v>74</v>
      </c>
      <c r="AG452" s="1" t="s">
        <v>74</v>
      </c>
      <c r="AH452" s="1" t="s">
        <v>74</v>
      </c>
      <c r="AI452" s="1" t="s">
        <v>74</v>
      </c>
      <c r="AJ452" s="1" t="s">
        <v>74</v>
      </c>
      <c r="AK452" s="1" t="s">
        <v>74</v>
      </c>
      <c r="AL452" s="1" t="s">
        <v>74</v>
      </c>
      <c r="AM452" s="1" t="s">
        <v>74</v>
      </c>
      <c r="AN452" s="1" t="s">
        <v>74</v>
      </c>
      <c r="AO452" s="1" t="s">
        <v>4433</v>
      </c>
      <c r="AP452" s="1" t="s">
        <v>74</v>
      </c>
      <c r="AQ452" s="1" t="s">
        <v>74</v>
      </c>
      <c r="AR452" s="1" t="s">
        <v>74</v>
      </c>
      <c r="AS452" s="1" t="s">
        <v>74</v>
      </c>
      <c r="AT452" s="1" t="s">
        <v>459</v>
      </c>
      <c r="AU452" s="1">
        <v>2003.0</v>
      </c>
      <c r="AV452" s="1">
        <v>10.0</v>
      </c>
      <c r="AW452" s="1">
        <v>3.0</v>
      </c>
      <c r="AX452" s="1" t="s">
        <v>74</v>
      </c>
      <c r="AY452" s="1" t="s">
        <v>74</v>
      </c>
      <c r="AZ452" s="1" t="s">
        <v>74</v>
      </c>
      <c r="BA452" s="1" t="s">
        <v>74</v>
      </c>
      <c r="BB452" s="1">
        <v>204.0</v>
      </c>
      <c r="BC452" s="1">
        <v>212.0</v>
      </c>
      <c r="BD452" s="1" t="s">
        <v>74</v>
      </c>
      <c r="BE452" s="1" t="s">
        <v>74</v>
      </c>
      <c r="BF452" s="1" t="s">
        <v>74</v>
      </c>
      <c r="BG452" s="1" t="s">
        <v>74</v>
      </c>
      <c r="BH452" s="1" t="s">
        <v>74</v>
      </c>
      <c r="BI452" s="1" t="s">
        <v>74</v>
      </c>
      <c r="BJ452" s="1" t="s">
        <v>74</v>
      </c>
      <c r="BK452" s="1" t="s">
        <v>74</v>
      </c>
      <c r="BL452" s="1" t="s">
        <v>74</v>
      </c>
      <c r="BM452" s="1" t="s">
        <v>74</v>
      </c>
      <c r="BN452" s="1" t="s">
        <v>74</v>
      </c>
      <c r="BO452" s="1" t="s">
        <v>74</v>
      </c>
      <c r="BP452" s="1" t="s">
        <v>74</v>
      </c>
      <c r="BQ452" s="1" t="s">
        <v>74</v>
      </c>
      <c r="BR452" s="1" t="s">
        <v>74</v>
      </c>
      <c r="BS452" s="1" t="s">
        <v>4434</v>
      </c>
      <c r="BT452" s="1" t="str">
        <f>HYPERLINK("https%3A%2F%2Fwww.webofscience.com%2Fwos%2Fwoscc%2Ffull-record%2FWOS:000185923400001","View Full Record in Web of Science")</f>
        <v>View Full Record in Web of Science</v>
      </c>
    </row>
    <row r="453" ht="12.75" customHeight="1">
      <c r="A453" s="1" t="s">
        <v>72</v>
      </c>
      <c r="B453" s="1" t="s">
        <v>4435</v>
      </c>
      <c r="C453" s="1" t="s">
        <v>74</v>
      </c>
      <c r="D453" s="1" t="s">
        <v>74</v>
      </c>
      <c r="E453" s="1" t="s">
        <v>74</v>
      </c>
      <c r="F453" s="1" t="s">
        <v>4435</v>
      </c>
      <c r="G453" s="1" t="s">
        <v>74</v>
      </c>
      <c r="H453" s="1" t="s">
        <v>74</v>
      </c>
      <c r="I453" s="1" t="s">
        <v>4436</v>
      </c>
      <c r="J453" s="1" t="s">
        <v>2313</v>
      </c>
      <c r="K453" s="1" t="s">
        <v>74</v>
      </c>
      <c r="L453" s="1" t="s">
        <v>74</v>
      </c>
      <c r="M453" s="1" t="s">
        <v>74</v>
      </c>
      <c r="N453" s="1" t="s">
        <v>74</v>
      </c>
      <c r="O453" s="1" t="s">
        <v>74</v>
      </c>
      <c r="P453" s="1" t="s">
        <v>74</v>
      </c>
      <c r="Q453" s="1" t="s">
        <v>74</v>
      </c>
      <c r="R453" s="1" t="s">
        <v>74</v>
      </c>
      <c r="S453" s="1" t="s">
        <v>74</v>
      </c>
      <c r="T453" s="1" t="s">
        <v>74</v>
      </c>
      <c r="U453" s="1" t="s">
        <v>74</v>
      </c>
      <c r="V453" s="1" t="s">
        <v>4437</v>
      </c>
      <c r="W453" s="1" t="s">
        <v>74</v>
      </c>
      <c r="X453" s="1" t="s">
        <v>74</v>
      </c>
      <c r="Y453" s="1" t="s">
        <v>74</v>
      </c>
      <c r="Z453" s="1" t="s">
        <v>74</v>
      </c>
      <c r="AA453" s="1" t="s">
        <v>74</v>
      </c>
      <c r="AB453" s="1" t="s">
        <v>74</v>
      </c>
      <c r="AC453" s="1" t="s">
        <v>74</v>
      </c>
      <c r="AD453" s="1" t="s">
        <v>74</v>
      </c>
      <c r="AE453" s="1" t="s">
        <v>74</v>
      </c>
      <c r="AF453" s="1" t="s">
        <v>74</v>
      </c>
      <c r="AG453" s="1" t="s">
        <v>74</v>
      </c>
      <c r="AH453" s="1" t="s">
        <v>74</v>
      </c>
      <c r="AI453" s="1" t="s">
        <v>74</v>
      </c>
      <c r="AJ453" s="1" t="s">
        <v>74</v>
      </c>
      <c r="AK453" s="1" t="s">
        <v>74</v>
      </c>
      <c r="AL453" s="1" t="s">
        <v>74</v>
      </c>
      <c r="AM453" s="1" t="s">
        <v>74</v>
      </c>
      <c r="AN453" s="1" t="s">
        <v>74</v>
      </c>
      <c r="AO453" s="1" t="s">
        <v>2317</v>
      </c>
      <c r="AP453" s="1" t="s">
        <v>2318</v>
      </c>
      <c r="AQ453" s="1" t="s">
        <v>74</v>
      </c>
      <c r="AR453" s="1" t="s">
        <v>74</v>
      </c>
      <c r="AS453" s="1" t="s">
        <v>74</v>
      </c>
      <c r="AT453" s="1" t="s">
        <v>4438</v>
      </c>
      <c r="AU453" s="1">
        <v>2001.0</v>
      </c>
      <c r="AV453" s="1">
        <v>501.0</v>
      </c>
      <c r="AW453" s="1" t="s">
        <v>2150</v>
      </c>
      <c r="AX453" s="1" t="s">
        <v>74</v>
      </c>
      <c r="AY453" s="1" t="s">
        <v>74</v>
      </c>
      <c r="AZ453" s="1" t="s">
        <v>74</v>
      </c>
      <c r="BA453" s="1" t="s">
        <v>74</v>
      </c>
      <c r="BB453" s="1">
        <v>150.0</v>
      </c>
      <c r="BC453" s="1">
        <v>155.0</v>
      </c>
      <c r="BD453" s="1" t="s">
        <v>74</v>
      </c>
      <c r="BE453" s="1" t="s">
        <v>4439</v>
      </c>
      <c r="BF453" s="2" t="str">
        <f>HYPERLINK("http://dx.doi.org/10.1016/S0370-2693(01)00098-3","http://dx.doi.org/10.1016/S0370-2693(01)00098-3")</f>
        <v>http://dx.doi.org/10.1016/S0370-2693(01)00098-3</v>
      </c>
      <c r="BG453" s="1" t="s">
        <v>74</v>
      </c>
      <c r="BH453" s="1" t="s">
        <v>74</v>
      </c>
      <c r="BI453" s="1" t="s">
        <v>74</v>
      </c>
      <c r="BJ453" s="1" t="s">
        <v>74</v>
      </c>
      <c r="BK453" s="1" t="s">
        <v>74</v>
      </c>
      <c r="BL453" s="1" t="s">
        <v>74</v>
      </c>
      <c r="BM453" s="1" t="s">
        <v>74</v>
      </c>
      <c r="BN453" s="1" t="s">
        <v>74</v>
      </c>
      <c r="BO453" s="1" t="s">
        <v>74</v>
      </c>
      <c r="BP453" s="1" t="s">
        <v>74</v>
      </c>
      <c r="BQ453" s="1" t="s">
        <v>74</v>
      </c>
      <c r="BR453" s="1" t="s">
        <v>74</v>
      </c>
      <c r="BS453" s="1" t="s">
        <v>4440</v>
      </c>
      <c r="BT453" s="1" t="str">
        <f>HYPERLINK("https%3A%2F%2Fwww.webofscience.com%2Fwos%2Fwoscc%2Ffull-record%2FWOS:000167350200019","View Full Record in Web of Science")</f>
        <v>View Full Record in Web of Science</v>
      </c>
    </row>
    <row r="454" ht="12.75" customHeight="1">
      <c r="A454" s="1" t="s">
        <v>72</v>
      </c>
      <c r="B454" s="1" t="s">
        <v>4441</v>
      </c>
      <c r="C454" s="1" t="s">
        <v>74</v>
      </c>
      <c r="D454" s="1" t="s">
        <v>74</v>
      </c>
      <c r="E454" s="1" t="s">
        <v>74</v>
      </c>
      <c r="F454" s="1" t="s">
        <v>4441</v>
      </c>
      <c r="G454" s="1" t="s">
        <v>74</v>
      </c>
      <c r="H454" s="1" t="s">
        <v>74</v>
      </c>
      <c r="I454" s="1" t="s">
        <v>4442</v>
      </c>
      <c r="J454" s="1" t="s">
        <v>4443</v>
      </c>
      <c r="K454" s="1" t="s">
        <v>74</v>
      </c>
      <c r="L454" s="1" t="s">
        <v>74</v>
      </c>
      <c r="M454" s="1" t="s">
        <v>74</v>
      </c>
      <c r="N454" s="1" t="s">
        <v>74</v>
      </c>
      <c r="O454" s="1" t="s">
        <v>74</v>
      </c>
      <c r="P454" s="1" t="s">
        <v>74</v>
      </c>
      <c r="Q454" s="1" t="s">
        <v>74</v>
      </c>
      <c r="R454" s="1" t="s">
        <v>74</v>
      </c>
      <c r="S454" s="1" t="s">
        <v>74</v>
      </c>
      <c r="T454" s="1" t="s">
        <v>74</v>
      </c>
      <c r="U454" s="1" t="s">
        <v>74</v>
      </c>
      <c r="V454" s="1" t="s">
        <v>4444</v>
      </c>
      <c r="W454" s="1" t="s">
        <v>74</v>
      </c>
      <c r="X454" s="1" t="s">
        <v>74</v>
      </c>
      <c r="Y454" s="1" t="s">
        <v>74</v>
      </c>
      <c r="Z454" s="1" t="s">
        <v>74</v>
      </c>
      <c r="AA454" s="1" t="s">
        <v>4445</v>
      </c>
      <c r="AB454" s="1" t="s">
        <v>4446</v>
      </c>
      <c r="AC454" s="1" t="s">
        <v>74</v>
      </c>
      <c r="AD454" s="1" t="s">
        <v>74</v>
      </c>
      <c r="AE454" s="1" t="s">
        <v>74</v>
      </c>
      <c r="AF454" s="1" t="s">
        <v>74</v>
      </c>
      <c r="AG454" s="1" t="s">
        <v>74</v>
      </c>
      <c r="AH454" s="1" t="s">
        <v>74</v>
      </c>
      <c r="AI454" s="1" t="s">
        <v>74</v>
      </c>
      <c r="AJ454" s="1" t="s">
        <v>74</v>
      </c>
      <c r="AK454" s="1" t="s">
        <v>74</v>
      </c>
      <c r="AL454" s="1" t="s">
        <v>74</v>
      </c>
      <c r="AM454" s="1" t="s">
        <v>74</v>
      </c>
      <c r="AN454" s="1" t="s">
        <v>74</v>
      </c>
      <c r="AO454" s="1" t="s">
        <v>4447</v>
      </c>
      <c r="AP454" s="1" t="s">
        <v>74</v>
      </c>
      <c r="AQ454" s="1" t="s">
        <v>74</v>
      </c>
      <c r="AR454" s="1" t="s">
        <v>74</v>
      </c>
      <c r="AS454" s="1" t="s">
        <v>74</v>
      </c>
      <c r="AT454" s="1" t="s">
        <v>4448</v>
      </c>
      <c r="AU454" s="1">
        <v>1998.0</v>
      </c>
      <c r="AV454" s="1">
        <v>166.0</v>
      </c>
      <c r="AW454" s="1">
        <v>1.0</v>
      </c>
      <c r="AX454" s="1" t="s">
        <v>74</v>
      </c>
      <c r="AY454" s="1" t="s">
        <v>74</v>
      </c>
      <c r="AZ454" s="1" t="s">
        <v>74</v>
      </c>
      <c r="BA454" s="1" t="s">
        <v>74</v>
      </c>
      <c r="BB454" s="1">
        <v>207.0</v>
      </c>
      <c r="BC454" s="1">
        <v>213.0</v>
      </c>
      <c r="BD454" s="1" t="s">
        <v>74</v>
      </c>
      <c r="BE454" s="1" t="s">
        <v>4449</v>
      </c>
      <c r="BF454" s="2" t="str">
        <f>HYPERLINK("http://dx.doi.org/10.1016/S0926-860X(97)00259-7","http://dx.doi.org/10.1016/S0926-860X(97)00259-7")</f>
        <v>http://dx.doi.org/10.1016/S0926-860X(97)00259-7</v>
      </c>
      <c r="BG454" s="1" t="s">
        <v>74</v>
      </c>
      <c r="BH454" s="1" t="s">
        <v>74</v>
      </c>
      <c r="BI454" s="1" t="s">
        <v>74</v>
      </c>
      <c r="BJ454" s="1" t="s">
        <v>74</v>
      </c>
      <c r="BK454" s="1" t="s">
        <v>74</v>
      </c>
      <c r="BL454" s="1" t="s">
        <v>74</v>
      </c>
      <c r="BM454" s="1" t="s">
        <v>74</v>
      </c>
      <c r="BN454" s="1" t="s">
        <v>74</v>
      </c>
      <c r="BO454" s="1" t="s">
        <v>74</v>
      </c>
      <c r="BP454" s="1" t="s">
        <v>74</v>
      </c>
      <c r="BQ454" s="1" t="s">
        <v>74</v>
      </c>
      <c r="BR454" s="1" t="s">
        <v>74</v>
      </c>
      <c r="BS454" s="1" t="s">
        <v>4450</v>
      </c>
      <c r="BT454" s="1" t="str">
        <f>HYPERLINK("https%3A%2F%2Fwww.webofscience.com%2Fwos%2Fwoscc%2Ffull-record%2FWOS:000071345400025","View Full Record in Web of Science")</f>
        <v>View Full Record in Web of Science</v>
      </c>
    </row>
    <row r="455" ht="12.75" customHeight="1">
      <c r="A455" s="1" t="s">
        <v>72</v>
      </c>
      <c r="B455" s="1" t="s">
        <v>4451</v>
      </c>
      <c r="C455" s="1" t="s">
        <v>74</v>
      </c>
      <c r="D455" s="1" t="s">
        <v>74</v>
      </c>
      <c r="E455" s="1" t="s">
        <v>74</v>
      </c>
      <c r="F455" s="1" t="s">
        <v>4451</v>
      </c>
      <c r="G455" s="1" t="s">
        <v>74</v>
      </c>
      <c r="H455" s="1" t="s">
        <v>74</v>
      </c>
      <c r="I455" s="1" t="s">
        <v>4452</v>
      </c>
      <c r="J455" s="1" t="s">
        <v>4453</v>
      </c>
      <c r="K455" s="1" t="s">
        <v>74</v>
      </c>
      <c r="L455" s="1" t="s">
        <v>74</v>
      </c>
      <c r="M455" s="1" t="s">
        <v>74</v>
      </c>
      <c r="N455" s="1" t="s">
        <v>74</v>
      </c>
      <c r="O455" s="1" t="s">
        <v>74</v>
      </c>
      <c r="P455" s="1" t="s">
        <v>74</v>
      </c>
      <c r="Q455" s="1" t="s">
        <v>74</v>
      </c>
      <c r="R455" s="1" t="s">
        <v>74</v>
      </c>
      <c r="S455" s="1" t="s">
        <v>74</v>
      </c>
      <c r="T455" s="1" t="s">
        <v>74</v>
      </c>
      <c r="U455" s="1" t="s">
        <v>74</v>
      </c>
      <c r="V455" s="1" t="s">
        <v>4454</v>
      </c>
      <c r="W455" s="1" t="s">
        <v>74</v>
      </c>
      <c r="X455" s="1" t="s">
        <v>74</v>
      </c>
      <c r="Y455" s="1" t="s">
        <v>74</v>
      </c>
      <c r="Z455" s="1" t="s">
        <v>74</v>
      </c>
      <c r="AA455" s="1" t="s">
        <v>74</v>
      </c>
      <c r="AB455" s="1" t="s">
        <v>4455</v>
      </c>
      <c r="AC455" s="1" t="s">
        <v>74</v>
      </c>
      <c r="AD455" s="1" t="s">
        <v>74</v>
      </c>
      <c r="AE455" s="1" t="s">
        <v>74</v>
      </c>
      <c r="AF455" s="1" t="s">
        <v>74</v>
      </c>
      <c r="AG455" s="1" t="s">
        <v>74</v>
      </c>
      <c r="AH455" s="1" t="s">
        <v>74</v>
      </c>
      <c r="AI455" s="1" t="s">
        <v>74</v>
      </c>
      <c r="AJ455" s="1" t="s">
        <v>74</v>
      </c>
      <c r="AK455" s="1" t="s">
        <v>74</v>
      </c>
      <c r="AL455" s="1" t="s">
        <v>74</v>
      </c>
      <c r="AM455" s="1" t="s">
        <v>74</v>
      </c>
      <c r="AN455" s="1" t="s">
        <v>74</v>
      </c>
      <c r="AO455" s="1" t="s">
        <v>4456</v>
      </c>
      <c r="AP455" s="1" t="s">
        <v>74</v>
      </c>
      <c r="AQ455" s="1" t="s">
        <v>74</v>
      </c>
      <c r="AR455" s="1" t="s">
        <v>74</v>
      </c>
      <c r="AS455" s="1" t="s">
        <v>74</v>
      </c>
      <c r="AT455" s="1" t="s">
        <v>310</v>
      </c>
      <c r="AU455" s="1">
        <v>1997.0</v>
      </c>
      <c r="AV455" s="1">
        <v>10.0</v>
      </c>
      <c r="AW455" s="1">
        <v>7.0</v>
      </c>
      <c r="AX455" s="1" t="s">
        <v>74</v>
      </c>
      <c r="AY455" s="1" t="s">
        <v>74</v>
      </c>
      <c r="AZ455" s="1" t="s">
        <v>74</v>
      </c>
      <c r="BA455" s="1" t="s">
        <v>74</v>
      </c>
      <c r="BB455" s="1">
        <v>707.0</v>
      </c>
      <c r="BC455" s="1">
        <v>721.0</v>
      </c>
      <c r="BD455" s="1" t="s">
        <v>74</v>
      </c>
      <c r="BE455" s="1" t="s">
        <v>4457</v>
      </c>
      <c r="BF455" s="2" t="str">
        <f>HYPERLINK("http://dx.doi.org/10.1016/S0892-6875(97)00050-2","http://dx.doi.org/10.1016/S0892-6875(97)00050-2")</f>
        <v>http://dx.doi.org/10.1016/S0892-6875(97)00050-2</v>
      </c>
      <c r="BG455" s="1" t="s">
        <v>74</v>
      </c>
      <c r="BH455" s="1" t="s">
        <v>74</v>
      </c>
      <c r="BI455" s="1" t="s">
        <v>74</v>
      </c>
      <c r="BJ455" s="1" t="s">
        <v>74</v>
      </c>
      <c r="BK455" s="1" t="s">
        <v>74</v>
      </c>
      <c r="BL455" s="1" t="s">
        <v>74</v>
      </c>
      <c r="BM455" s="1" t="s">
        <v>74</v>
      </c>
      <c r="BN455" s="1" t="s">
        <v>74</v>
      </c>
      <c r="BO455" s="1" t="s">
        <v>74</v>
      </c>
      <c r="BP455" s="1" t="s">
        <v>74</v>
      </c>
      <c r="BQ455" s="1" t="s">
        <v>74</v>
      </c>
      <c r="BR455" s="1" t="s">
        <v>74</v>
      </c>
      <c r="BS455" s="1" t="s">
        <v>4458</v>
      </c>
      <c r="BT455" s="1" t="str">
        <f>HYPERLINK("https%3A%2F%2Fwww.webofscience.com%2Fwos%2Fwoscc%2Ffull-record%2FWOS:A1997XJ10300005","View Full Record in Web of Science")</f>
        <v>View Full Record in Web of Science</v>
      </c>
    </row>
    <row r="456" ht="12.75" customHeight="1">
      <c r="A456" s="1" t="s">
        <v>72</v>
      </c>
      <c r="B456" s="1" t="s">
        <v>4459</v>
      </c>
      <c r="C456" s="1" t="s">
        <v>74</v>
      </c>
      <c r="D456" s="1" t="s">
        <v>74</v>
      </c>
      <c r="E456" s="1" t="s">
        <v>74</v>
      </c>
      <c r="F456" s="1" t="s">
        <v>4459</v>
      </c>
      <c r="G456" s="1" t="s">
        <v>74</v>
      </c>
      <c r="H456" s="1" t="s">
        <v>74</v>
      </c>
      <c r="I456" s="1" t="s">
        <v>4460</v>
      </c>
      <c r="J456" s="1" t="s">
        <v>1284</v>
      </c>
      <c r="K456" s="1" t="s">
        <v>74</v>
      </c>
      <c r="L456" s="1" t="s">
        <v>74</v>
      </c>
      <c r="M456" s="1" t="s">
        <v>74</v>
      </c>
      <c r="N456" s="1" t="s">
        <v>74</v>
      </c>
      <c r="O456" s="1" t="s">
        <v>74</v>
      </c>
      <c r="P456" s="1" t="s">
        <v>74</v>
      </c>
      <c r="Q456" s="1" t="s">
        <v>74</v>
      </c>
      <c r="R456" s="1" t="s">
        <v>74</v>
      </c>
      <c r="S456" s="1" t="s">
        <v>74</v>
      </c>
      <c r="T456" s="1" t="s">
        <v>74</v>
      </c>
      <c r="U456" s="1" t="s">
        <v>74</v>
      </c>
      <c r="V456" s="1" t="s">
        <v>74</v>
      </c>
      <c r="W456" s="1" t="s">
        <v>74</v>
      </c>
      <c r="X456" s="1" t="s">
        <v>74</v>
      </c>
      <c r="Y456" s="1" t="s">
        <v>74</v>
      </c>
      <c r="Z456" s="1" t="s">
        <v>74</v>
      </c>
      <c r="AA456" s="1" t="s">
        <v>4461</v>
      </c>
      <c r="AB456" s="1" t="s">
        <v>74</v>
      </c>
      <c r="AC456" s="1" t="s">
        <v>74</v>
      </c>
      <c r="AD456" s="1" t="s">
        <v>74</v>
      </c>
      <c r="AE456" s="1" t="s">
        <v>74</v>
      </c>
      <c r="AF456" s="1" t="s">
        <v>74</v>
      </c>
      <c r="AG456" s="1" t="s">
        <v>74</v>
      </c>
      <c r="AH456" s="1" t="s">
        <v>74</v>
      </c>
      <c r="AI456" s="1" t="s">
        <v>74</v>
      </c>
      <c r="AJ456" s="1" t="s">
        <v>74</v>
      </c>
      <c r="AK456" s="1" t="s">
        <v>74</v>
      </c>
      <c r="AL456" s="1" t="s">
        <v>74</v>
      </c>
      <c r="AM456" s="1" t="s">
        <v>74</v>
      </c>
      <c r="AN456" s="1" t="s">
        <v>74</v>
      </c>
      <c r="AO456" s="1" t="s">
        <v>1286</v>
      </c>
      <c r="AP456" s="1" t="s">
        <v>74</v>
      </c>
      <c r="AQ456" s="1" t="s">
        <v>74</v>
      </c>
      <c r="AR456" s="1" t="s">
        <v>74</v>
      </c>
      <c r="AS456" s="1" t="s">
        <v>74</v>
      </c>
      <c r="AT456" s="1" t="s">
        <v>4462</v>
      </c>
      <c r="AU456" s="1">
        <v>1997.0</v>
      </c>
      <c r="AV456" s="1">
        <v>213.0</v>
      </c>
      <c r="AW456" s="1" t="s">
        <v>74</v>
      </c>
      <c r="AX456" s="1">
        <v>2.0</v>
      </c>
      <c r="AY456" s="1" t="s">
        <v>74</v>
      </c>
      <c r="AZ456" s="1" t="s">
        <v>74</v>
      </c>
      <c r="BA456" s="1" t="s">
        <v>74</v>
      </c>
      <c r="BB456" s="1">
        <v>275.0</v>
      </c>
      <c r="BC456" s="1" t="s">
        <v>4463</v>
      </c>
      <c r="BD456" s="1" t="s">
        <v>74</v>
      </c>
      <c r="BE456" s="1" t="s">
        <v>74</v>
      </c>
      <c r="BF456" s="1" t="s">
        <v>74</v>
      </c>
      <c r="BG456" s="1" t="s">
        <v>74</v>
      </c>
      <c r="BH456" s="1" t="s">
        <v>74</v>
      </c>
      <c r="BI456" s="1" t="s">
        <v>74</v>
      </c>
      <c r="BJ456" s="1" t="s">
        <v>74</v>
      </c>
      <c r="BK456" s="1" t="s">
        <v>74</v>
      </c>
      <c r="BL456" s="1" t="s">
        <v>74</v>
      </c>
      <c r="BM456" s="1" t="s">
        <v>74</v>
      </c>
      <c r="BN456" s="1" t="s">
        <v>74</v>
      </c>
      <c r="BO456" s="1" t="s">
        <v>74</v>
      </c>
      <c r="BP456" s="1" t="s">
        <v>74</v>
      </c>
      <c r="BQ456" s="1" t="s">
        <v>74</v>
      </c>
      <c r="BR456" s="1" t="s">
        <v>74</v>
      </c>
      <c r="BS456" s="1" t="s">
        <v>4464</v>
      </c>
      <c r="BT456" s="1" t="str">
        <f>HYPERLINK("https%3A%2F%2Fwww.webofscience.com%2Fwos%2Fwoscc%2Ffull-record%2FWOS:A1997WP18700439","View Full Record in Web of Science")</f>
        <v>View Full Record in Web of Science</v>
      </c>
    </row>
    <row r="457" ht="12.75" customHeight="1">
      <c r="A457" s="1" t="s">
        <v>72</v>
      </c>
      <c r="B457" s="1" t="s">
        <v>4465</v>
      </c>
      <c r="C457" s="1" t="s">
        <v>74</v>
      </c>
      <c r="D457" s="1" t="s">
        <v>74</v>
      </c>
      <c r="E457" s="1" t="s">
        <v>74</v>
      </c>
      <c r="F457" s="1" t="s">
        <v>4465</v>
      </c>
      <c r="G457" s="1" t="s">
        <v>74</v>
      </c>
      <c r="H457" s="1" t="s">
        <v>74</v>
      </c>
      <c r="I457" s="1" t="s">
        <v>4466</v>
      </c>
      <c r="J457" s="1" t="s">
        <v>4467</v>
      </c>
      <c r="K457" s="1" t="s">
        <v>74</v>
      </c>
      <c r="L457" s="1" t="s">
        <v>74</v>
      </c>
      <c r="M457" s="1" t="s">
        <v>74</v>
      </c>
      <c r="N457" s="1" t="s">
        <v>74</v>
      </c>
      <c r="O457" s="1" t="s">
        <v>74</v>
      </c>
      <c r="P457" s="1" t="s">
        <v>74</v>
      </c>
      <c r="Q457" s="1" t="s">
        <v>74</v>
      </c>
      <c r="R457" s="1" t="s">
        <v>74</v>
      </c>
      <c r="S457" s="1" t="s">
        <v>74</v>
      </c>
      <c r="T457" s="1" t="s">
        <v>74</v>
      </c>
      <c r="U457" s="1" t="s">
        <v>74</v>
      </c>
      <c r="V457" s="1" t="s">
        <v>4468</v>
      </c>
      <c r="W457" s="1" t="s">
        <v>74</v>
      </c>
      <c r="X457" s="1" t="s">
        <v>74</v>
      </c>
      <c r="Y457" s="1" t="s">
        <v>74</v>
      </c>
      <c r="Z457" s="1" t="s">
        <v>74</v>
      </c>
      <c r="AA457" s="1" t="s">
        <v>4469</v>
      </c>
      <c r="AB457" s="1" t="s">
        <v>4470</v>
      </c>
      <c r="AC457" s="1" t="s">
        <v>74</v>
      </c>
      <c r="AD457" s="1" t="s">
        <v>74</v>
      </c>
      <c r="AE457" s="1" t="s">
        <v>74</v>
      </c>
      <c r="AF457" s="1" t="s">
        <v>74</v>
      </c>
      <c r="AG457" s="1" t="s">
        <v>74</v>
      </c>
      <c r="AH457" s="1" t="s">
        <v>74</v>
      </c>
      <c r="AI457" s="1" t="s">
        <v>74</v>
      </c>
      <c r="AJ457" s="1" t="s">
        <v>74</v>
      </c>
      <c r="AK457" s="1" t="s">
        <v>74</v>
      </c>
      <c r="AL457" s="1" t="s">
        <v>74</v>
      </c>
      <c r="AM457" s="1" t="s">
        <v>74</v>
      </c>
      <c r="AN457" s="1" t="s">
        <v>74</v>
      </c>
      <c r="AO457" s="1" t="s">
        <v>4471</v>
      </c>
      <c r="AP457" s="1" t="s">
        <v>74</v>
      </c>
      <c r="AQ457" s="1" t="s">
        <v>74</v>
      </c>
      <c r="AR457" s="1" t="s">
        <v>74</v>
      </c>
      <c r="AS457" s="1" t="s">
        <v>74</v>
      </c>
      <c r="AT457" s="1" t="s">
        <v>310</v>
      </c>
      <c r="AU457" s="1">
        <v>1996.0</v>
      </c>
      <c r="AV457" s="1">
        <v>15.0</v>
      </c>
      <c r="AW457" s="1">
        <v>5.0</v>
      </c>
      <c r="AX457" s="1" t="s">
        <v>74</v>
      </c>
      <c r="AY457" s="1" t="s">
        <v>74</v>
      </c>
      <c r="AZ457" s="1" t="s">
        <v>74</v>
      </c>
      <c r="BA457" s="1" t="s">
        <v>74</v>
      </c>
      <c r="BB457" s="1">
        <v>467.0</v>
      </c>
      <c r="BC457" s="1">
        <v>472.0</v>
      </c>
      <c r="BD457" s="1" t="s">
        <v>74</v>
      </c>
      <c r="BE457" s="1" t="s">
        <v>4472</v>
      </c>
      <c r="BF457" s="2" t="str">
        <f>HYPERLINK("http://dx.doi.org/10.1007/BF01886854","http://dx.doi.org/10.1007/BF01886854")</f>
        <v>http://dx.doi.org/10.1007/BF01886854</v>
      </c>
      <c r="BG457" s="1" t="s">
        <v>74</v>
      </c>
      <c r="BH457" s="1" t="s">
        <v>74</v>
      </c>
      <c r="BI457" s="1" t="s">
        <v>74</v>
      </c>
      <c r="BJ457" s="1" t="s">
        <v>74</v>
      </c>
      <c r="BK457" s="1" t="s">
        <v>74</v>
      </c>
      <c r="BL457" s="1" t="s">
        <v>74</v>
      </c>
      <c r="BM457" s="1" t="s">
        <v>74</v>
      </c>
      <c r="BN457" s="1">
        <v>8895092.0</v>
      </c>
      <c r="BO457" s="1" t="s">
        <v>74</v>
      </c>
      <c r="BP457" s="1" t="s">
        <v>74</v>
      </c>
      <c r="BQ457" s="1" t="s">
        <v>74</v>
      </c>
      <c r="BR457" s="1" t="s">
        <v>74</v>
      </c>
      <c r="BS457" s="1" t="s">
        <v>4473</v>
      </c>
      <c r="BT457" s="1" t="str">
        <f>HYPERLINK("https%3A%2F%2Fwww.webofscience.com%2Fwos%2Fwoscc%2Ffull-record%2FWOS:A1996VK77400007","View Full Record in Web of Science")</f>
        <v>View Full Record in Web of Science</v>
      </c>
    </row>
    <row r="458" ht="12.75" customHeight="1">
      <c r="A458" s="1" t="s">
        <v>72</v>
      </c>
      <c r="B458" s="1" t="s">
        <v>4474</v>
      </c>
      <c r="C458" s="1" t="s">
        <v>74</v>
      </c>
      <c r="D458" s="1" t="s">
        <v>74</v>
      </c>
      <c r="E458" s="1" t="s">
        <v>74</v>
      </c>
      <c r="F458" s="1" t="s">
        <v>4474</v>
      </c>
      <c r="G458" s="1" t="s">
        <v>74</v>
      </c>
      <c r="H458" s="1" t="s">
        <v>74</v>
      </c>
      <c r="I458" s="1" t="s">
        <v>4475</v>
      </c>
      <c r="J458" s="1" t="s">
        <v>4476</v>
      </c>
      <c r="K458" s="1" t="s">
        <v>74</v>
      </c>
      <c r="L458" s="1" t="s">
        <v>74</v>
      </c>
      <c r="M458" s="1" t="s">
        <v>74</v>
      </c>
      <c r="N458" s="1" t="s">
        <v>74</v>
      </c>
      <c r="O458" s="1" t="s">
        <v>74</v>
      </c>
      <c r="P458" s="1" t="s">
        <v>74</v>
      </c>
      <c r="Q458" s="1" t="s">
        <v>74</v>
      </c>
      <c r="R458" s="1" t="s">
        <v>74</v>
      </c>
      <c r="S458" s="1" t="s">
        <v>74</v>
      </c>
      <c r="T458" s="1" t="s">
        <v>74</v>
      </c>
      <c r="U458" s="1" t="s">
        <v>74</v>
      </c>
      <c r="V458" s="1" t="s">
        <v>4477</v>
      </c>
      <c r="W458" s="1" t="s">
        <v>74</v>
      </c>
      <c r="X458" s="1" t="s">
        <v>74</v>
      </c>
      <c r="Y458" s="1" t="s">
        <v>74</v>
      </c>
      <c r="Z458" s="1" t="s">
        <v>74</v>
      </c>
      <c r="AA458" s="1" t="s">
        <v>4478</v>
      </c>
      <c r="AB458" s="1" t="s">
        <v>4479</v>
      </c>
      <c r="AC458" s="1" t="s">
        <v>74</v>
      </c>
      <c r="AD458" s="1" t="s">
        <v>74</v>
      </c>
      <c r="AE458" s="1" t="s">
        <v>74</v>
      </c>
      <c r="AF458" s="1" t="s">
        <v>74</v>
      </c>
      <c r="AG458" s="1" t="s">
        <v>74</v>
      </c>
      <c r="AH458" s="1" t="s">
        <v>74</v>
      </c>
      <c r="AI458" s="1" t="s">
        <v>74</v>
      </c>
      <c r="AJ458" s="1" t="s">
        <v>74</v>
      </c>
      <c r="AK458" s="1" t="s">
        <v>74</v>
      </c>
      <c r="AL458" s="1" t="s">
        <v>74</v>
      </c>
      <c r="AM458" s="1" t="s">
        <v>74</v>
      </c>
      <c r="AN458" s="1" t="s">
        <v>74</v>
      </c>
      <c r="AO458" s="1" t="s">
        <v>4480</v>
      </c>
      <c r="AP458" s="1" t="s">
        <v>74</v>
      </c>
      <c r="AQ458" s="1" t="s">
        <v>74</v>
      </c>
      <c r="AR458" s="1" t="s">
        <v>74</v>
      </c>
      <c r="AS458" s="1" t="s">
        <v>74</v>
      </c>
      <c r="AT458" s="1" t="s">
        <v>169</v>
      </c>
      <c r="AU458" s="1">
        <v>1996.0</v>
      </c>
      <c r="AV458" s="1">
        <v>26.0</v>
      </c>
      <c r="AW458" s="1">
        <v>1.0</v>
      </c>
      <c r="AX458" s="1" t="s">
        <v>74</v>
      </c>
      <c r="AY458" s="1" t="s">
        <v>74</v>
      </c>
      <c r="AZ458" s="1" t="s">
        <v>74</v>
      </c>
      <c r="BA458" s="1" t="s">
        <v>74</v>
      </c>
      <c r="BB458" s="1">
        <v>95.0</v>
      </c>
      <c r="BC458" s="1">
        <v>101.0</v>
      </c>
      <c r="BD458" s="1" t="s">
        <v>74</v>
      </c>
      <c r="BE458" s="1" t="s">
        <v>4481</v>
      </c>
      <c r="BF458" s="2" t="str">
        <f>HYPERLINK("http://dx.doi.org/10.1007/BF00248194","http://dx.doi.org/10.1007/BF00248194")</f>
        <v>http://dx.doi.org/10.1007/BF00248194</v>
      </c>
      <c r="BG458" s="1" t="s">
        <v>74</v>
      </c>
      <c r="BH458" s="1" t="s">
        <v>74</v>
      </c>
      <c r="BI458" s="1" t="s">
        <v>74</v>
      </c>
      <c r="BJ458" s="1" t="s">
        <v>74</v>
      </c>
      <c r="BK458" s="1" t="s">
        <v>74</v>
      </c>
      <c r="BL458" s="1" t="s">
        <v>74</v>
      </c>
      <c r="BM458" s="1" t="s">
        <v>74</v>
      </c>
      <c r="BN458" s="1" t="s">
        <v>74</v>
      </c>
      <c r="BO458" s="1" t="s">
        <v>74</v>
      </c>
      <c r="BP458" s="1" t="s">
        <v>74</v>
      </c>
      <c r="BQ458" s="1" t="s">
        <v>74</v>
      </c>
      <c r="BR458" s="1" t="s">
        <v>74</v>
      </c>
      <c r="BS458" s="1" t="s">
        <v>4482</v>
      </c>
      <c r="BT458" s="1" t="str">
        <f>HYPERLINK("https%3A%2F%2Fwww.webofscience.com%2Fwos%2Fwoscc%2Ffull-record%2FWOS:A1996TU75000013","View Full Record in Web of Science")</f>
        <v>View Full Record in Web of Science</v>
      </c>
    </row>
    <row r="459" ht="12.75" customHeight="1">
      <c r="A459" s="1" t="s">
        <v>72</v>
      </c>
      <c r="B459" s="1" t="s">
        <v>4483</v>
      </c>
      <c r="C459" s="1" t="s">
        <v>74</v>
      </c>
      <c r="D459" s="1" t="s">
        <v>74</v>
      </c>
      <c r="E459" s="1" t="s">
        <v>74</v>
      </c>
      <c r="F459" s="1" t="s">
        <v>4483</v>
      </c>
      <c r="G459" s="1" t="s">
        <v>74</v>
      </c>
      <c r="H459" s="1" t="s">
        <v>74</v>
      </c>
      <c r="I459" s="1" t="s">
        <v>4484</v>
      </c>
      <c r="J459" s="1" t="s">
        <v>1597</v>
      </c>
      <c r="K459" s="1" t="s">
        <v>74</v>
      </c>
      <c r="L459" s="1" t="s">
        <v>74</v>
      </c>
      <c r="M459" s="1" t="s">
        <v>74</v>
      </c>
      <c r="N459" s="1" t="s">
        <v>74</v>
      </c>
      <c r="O459" s="1" t="s">
        <v>74</v>
      </c>
      <c r="P459" s="1" t="s">
        <v>74</v>
      </c>
      <c r="Q459" s="1" t="s">
        <v>74</v>
      </c>
      <c r="R459" s="1" t="s">
        <v>74</v>
      </c>
      <c r="S459" s="1" t="s">
        <v>74</v>
      </c>
      <c r="T459" s="1" t="s">
        <v>74</v>
      </c>
      <c r="U459" s="1" t="s">
        <v>74</v>
      </c>
      <c r="V459" s="1" t="s">
        <v>4485</v>
      </c>
      <c r="W459" s="1" t="s">
        <v>74</v>
      </c>
      <c r="X459" s="1" t="s">
        <v>74</v>
      </c>
      <c r="Y459" s="1" t="s">
        <v>74</v>
      </c>
      <c r="Z459" s="1" t="s">
        <v>74</v>
      </c>
      <c r="AA459" s="1" t="s">
        <v>4486</v>
      </c>
      <c r="AB459" s="1" t="s">
        <v>4487</v>
      </c>
      <c r="AC459" s="1" t="s">
        <v>74</v>
      </c>
      <c r="AD459" s="1" t="s">
        <v>74</v>
      </c>
      <c r="AE459" s="1" t="s">
        <v>74</v>
      </c>
      <c r="AF459" s="1" t="s">
        <v>74</v>
      </c>
      <c r="AG459" s="1" t="s">
        <v>74</v>
      </c>
      <c r="AH459" s="1" t="s">
        <v>74</v>
      </c>
      <c r="AI459" s="1" t="s">
        <v>74</v>
      </c>
      <c r="AJ459" s="1" t="s">
        <v>74</v>
      </c>
      <c r="AK459" s="1" t="s">
        <v>74</v>
      </c>
      <c r="AL459" s="1" t="s">
        <v>74</v>
      </c>
      <c r="AM459" s="1" t="s">
        <v>74</v>
      </c>
      <c r="AN459" s="1" t="s">
        <v>74</v>
      </c>
      <c r="AO459" s="1" t="s">
        <v>1601</v>
      </c>
      <c r="AP459" s="1" t="s">
        <v>74</v>
      </c>
      <c r="AQ459" s="1" t="s">
        <v>74</v>
      </c>
      <c r="AR459" s="1" t="s">
        <v>74</v>
      </c>
      <c r="AS459" s="1" t="s">
        <v>74</v>
      </c>
      <c r="AT459" s="1" t="s">
        <v>650</v>
      </c>
      <c r="AU459" s="1">
        <v>1994.0</v>
      </c>
      <c r="AV459" s="1">
        <v>35.0</v>
      </c>
      <c r="AW459" s="1">
        <v>4.0</v>
      </c>
      <c r="AX459" s="1" t="s">
        <v>74</v>
      </c>
      <c r="AY459" s="1" t="s">
        <v>74</v>
      </c>
      <c r="AZ459" s="1" t="s">
        <v>74</v>
      </c>
      <c r="BA459" s="1" t="s">
        <v>74</v>
      </c>
      <c r="BB459" s="1">
        <v>873.0</v>
      </c>
      <c r="BC459" s="1">
        <v>876.0</v>
      </c>
      <c r="BD459" s="1" t="s">
        <v>74</v>
      </c>
      <c r="BE459" s="1" t="s">
        <v>4488</v>
      </c>
      <c r="BF459" s="2" t="str">
        <f>HYPERLINK("http://dx.doi.org/10.1016/S0031-9422(00)90629-0","http://dx.doi.org/10.1016/S0031-9422(00)90629-0")</f>
        <v>http://dx.doi.org/10.1016/S0031-9422(00)90629-0</v>
      </c>
      <c r="BG459" s="1" t="s">
        <v>74</v>
      </c>
      <c r="BH459" s="1" t="s">
        <v>74</v>
      </c>
      <c r="BI459" s="1" t="s">
        <v>74</v>
      </c>
      <c r="BJ459" s="1" t="s">
        <v>74</v>
      </c>
      <c r="BK459" s="1" t="s">
        <v>74</v>
      </c>
      <c r="BL459" s="1" t="s">
        <v>74</v>
      </c>
      <c r="BM459" s="1" t="s">
        <v>74</v>
      </c>
      <c r="BN459" s="1" t="s">
        <v>74</v>
      </c>
      <c r="BO459" s="1" t="s">
        <v>74</v>
      </c>
      <c r="BP459" s="1" t="s">
        <v>74</v>
      </c>
      <c r="BQ459" s="1" t="s">
        <v>74</v>
      </c>
      <c r="BR459" s="1" t="s">
        <v>74</v>
      </c>
      <c r="BS459" s="1" t="s">
        <v>4489</v>
      </c>
      <c r="BT459" s="1" t="str">
        <f>HYPERLINK("https%3A%2F%2Fwww.webofscience.com%2Fwos%2Fwoscc%2Ffull-record%2FWOS:A1994ND08200008","View Full Record in Web of Science")</f>
        <v>View Full Record in Web of Science</v>
      </c>
    </row>
    <row r="460" ht="12.75" customHeight="1">
      <c r="A460" s="1" t="s">
        <v>72</v>
      </c>
      <c r="B460" s="1" t="s">
        <v>4490</v>
      </c>
      <c r="C460" s="1" t="s">
        <v>74</v>
      </c>
      <c r="D460" s="1" t="s">
        <v>74</v>
      </c>
      <c r="E460" s="1" t="s">
        <v>74</v>
      </c>
      <c r="F460" s="1" t="s">
        <v>4490</v>
      </c>
      <c r="G460" s="1" t="s">
        <v>74</v>
      </c>
      <c r="H460" s="1" t="s">
        <v>74</v>
      </c>
      <c r="I460" s="1" t="s">
        <v>4491</v>
      </c>
      <c r="J460" s="1" t="s">
        <v>4492</v>
      </c>
      <c r="K460" s="1" t="s">
        <v>74</v>
      </c>
      <c r="L460" s="1" t="s">
        <v>74</v>
      </c>
      <c r="M460" s="1" t="s">
        <v>74</v>
      </c>
      <c r="N460" s="1" t="s">
        <v>74</v>
      </c>
      <c r="O460" s="1" t="s">
        <v>74</v>
      </c>
      <c r="P460" s="1" t="s">
        <v>74</v>
      </c>
      <c r="Q460" s="1" t="s">
        <v>74</v>
      </c>
      <c r="R460" s="1" t="s">
        <v>74</v>
      </c>
      <c r="S460" s="1" t="s">
        <v>74</v>
      </c>
      <c r="T460" s="1" t="s">
        <v>74</v>
      </c>
      <c r="U460" s="1" t="s">
        <v>74</v>
      </c>
      <c r="V460" s="1" t="s">
        <v>4493</v>
      </c>
      <c r="W460" s="1" t="s">
        <v>74</v>
      </c>
      <c r="X460" s="1" t="s">
        <v>74</v>
      </c>
      <c r="Y460" s="1" t="s">
        <v>74</v>
      </c>
      <c r="Z460" s="1" t="s">
        <v>74</v>
      </c>
      <c r="AA460" s="1" t="s">
        <v>74</v>
      </c>
      <c r="AB460" s="1" t="s">
        <v>4494</v>
      </c>
      <c r="AC460" s="1" t="s">
        <v>74</v>
      </c>
      <c r="AD460" s="1" t="s">
        <v>74</v>
      </c>
      <c r="AE460" s="1" t="s">
        <v>74</v>
      </c>
      <c r="AF460" s="1" t="s">
        <v>74</v>
      </c>
      <c r="AG460" s="1" t="s">
        <v>74</v>
      </c>
      <c r="AH460" s="1" t="s">
        <v>74</v>
      </c>
      <c r="AI460" s="1" t="s">
        <v>74</v>
      </c>
      <c r="AJ460" s="1" t="s">
        <v>74</v>
      </c>
      <c r="AK460" s="1" t="s">
        <v>74</v>
      </c>
      <c r="AL460" s="1" t="s">
        <v>74</v>
      </c>
      <c r="AM460" s="1" t="s">
        <v>74</v>
      </c>
      <c r="AN460" s="1" t="s">
        <v>74</v>
      </c>
      <c r="AO460" s="1" t="s">
        <v>4495</v>
      </c>
      <c r="AP460" s="1" t="s">
        <v>74</v>
      </c>
      <c r="AQ460" s="1" t="s">
        <v>74</v>
      </c>
      <c r="AR460" s="1" t="s">
        <v>74</v>
      </c>
      <c r="AS460" s="1" t="s">
        <v>74</v>
      </c>
      <c r="AT460" s="1" t="s">
        <v>2282</v>
      </c>
      <c r="AU460" s="1">
        <v>1992.0</v>
      </c>
      <c r="AV460" s="1">
        <v>48.0</v>
      </c>
      <c r="AW460" s="1" t="s">
        <v>74</v>
      </c>
      <c r="AX460" s="1">
        <v>1.0</v>
      </c>
      <c r="AY460" s="1" t="s">
        <v>74</v>
      </c>
      <c r="AZ460" s="1" t="s">
        <v>74</v>
      </c>
      <c r="BA460" s="1" t="s">
        <v>74</v>
      </c>
      <c r="BB460" s="1">
        <v>143.0</v>
      </c>
      <c r="BC460" s="1">
        <v>145.0</v>
      </c>
      <c r="BD460" s="1" t="s">
        <v>74</v>
      </c>
      <c r="BE460" s="1" t="s">
        <v>4496</v>
      </c>
      <c r="BF460" s="2" t="str">
        <f>HYPERLINK("http://dx.doi.org/10.1107/S0108270191008594","http://dx.doi.org/10.1107/S0108270191008594")</f>
        <v>http://dx.doi.org/10.1107/S0108270191008594</v>
      </c>
      <c r="BG460" s="1" t="s">
        <v>74</v>
      </c>
      <c r="BH460" s="1" t="s">
        <v>74</v>
      </c>
      <c r="BI460" s="1" t="s">
        <v>74</v>
      </c>
      <c r="BJ460" s="1" t="s">
        <v>74</v>
      </c>
      <c r="BK460" s="1" t="s">
        <v>74</v>
      </c>
      <c r="BL460" s="1" t="s">
        <v>74</v>
      </c>
      <c r="BM460" s="1" t="s">
        <v>74</v>
      </c>
      <c r="BN460" s="1" t="s">
        <v>74</v>
      </c>
      <c r="BO460" s="1" t="s">
        <v>74</v>
      </c>
      <c r="BP460" s="1" t="s">
        <v>74</v>
      </c>
      <c r="BQ460" s="1" t="s">
        <v>74</v>
      </c>
      <c r="BR460" s="1" t="s">
        <v>74</v>
      </c>
      <c r="BS460" s="1" t="s">
        <v>4497</v>
      </c>
      <c r="BT460" s="1" t="str">
        <f>HYPERLINK("https%3A%2F%2Fwww.webofscience.com%2Fwos%2Fwoscc%2Ffull-record%2FWOS:A1992HB16300052","View Full Record in Web of Science")</f>
        <v>View Full Record in Web of Science</v>
      </c>
    </row>
    <row r="461" ht="12.75" customHeight="1">
      <c r="A461" s="1" t="s">
        <v>72</v>
      </c>
      <c r="B461" s="1" t="s">
        <v>4498</v>
      </c>
      <c r="C461" s="1" t="s">
        <v>74</v>
      </c>
      <c r="D461" s="1" t="s">
        <v>74</v>
      </c>
      <c r="E461" s="1" t="s">
        <v>74</v>
      </c>
      <c r="F461" s="1" t="s">
        <v>4498</v>
      </c>
      <c r="G461" s="1" t="s">
        <v>74</v>
      </c>
      <c r="H461" s="1" t="s">
        <v>74</v>
      </c>
      <c r="I461" s="1" t="s">
        <v>4499</v>
      </c>
      <c r="J461" s="1" t="s">
        <v>4500</v>
      </c>
      <c r="K461" s="1" t="s">
        <v>74</v>
      </c>
      <c r="L461" s="1" t="s">
        <v>74</v>
      </c>
      <c r="M461" s="1" t="s">
        <v>74</v>
      </c>
      <c r="N461" s="1" t="s">
        <v>74</v>
      </c>
      <c r="O461" s="1" t="s">
        <v>4501</v>
      </c>
      <c r="P461" s="1" t="s">
        <v>4502</v>
      </c>
      <c r="Q461" s="1" t="s">
        <v>4503</v>
      </c>
      <c r="R461" s="1" t="s">
        <v>74</v>
      </c>
      <c r="S461" s="1" t="s">
        <v>74</v>
      </c>
      <c r="T461" s="1" t="s">
        <v>74</v>
      </c>
      <c r="U461" s="1" t="s">
        <v>74</v>
      </c>
      <c r="V461" s="1" t="s">
        <v>4504</v>
      </c>
      <c r="W461" s="1" t="s">
        <v>74</v>
      </c>
      <c r="X461" s="1" t="s">
        <v>74</v>
      </c>
      <c r="Y461" s="1" t="s">
        <v>74</v>
      </c>
      <c r="Z461" s="1" t="s">
        <v>74</v>
      </c>
      <c r="AA461" s="1" t="s">
        <v>4505</v>
      </c>
      <c r="AB461" s="1" t="s">
        <v>4506</v>
      </c>
      <c r="AC461" s="1" t="s">
        <v>74</v>
      </c>
      <c r="AD461" s="1" t="s">
        <v>74</v>
      </c>
      <c r="AE461" s="1" t="s">
        <v>74</v>
      </c>
      <c r="AF461" s="1" t="s">
        <v>74</v>
      </c>
      <c r="AG461" s="1" t="s">
        <v>74</v>
      </c>
      <c r="AH461" s="1" t="s">
        <v>74</v>
      </c>
      <c r="AI461" s="1" t="s">
        <v>74</v>
      </c>
      <c r="AJ461" s="1" t="s">
        <v>74</v>
      </c>
      <c r="AK461" s="1" t="s">
        <v>74</v>
      </c>
      <c r="AL461" s="1" t="s">
        <v>74</v>
      </c>
      <c r="AM461" s="1" t="s">
        <v>74</v>
      </c>
      <c r="AN461" s="1" t="s">
        <v>74</v>
      </c>
      <c r="AO461" s="1" t="s">
        <v>4507</v>
      </c>
      <c r="AP461" s="1" t="s">
        <v>74</v>
      </c>
      <c r="AQ461" s="1" t="s">
        <v>74</v>
      </c>
      <c r="AR461" s="1" t="s">
        <v>74</v>
      </c>
      <c r="AS461" s="1" t="s">
        <v>74</v>
      </c>
      <c r="AT461" s="1" t="s">
        <v>4508</v>
      </c>
      <c r="AU461" s="1">
        <v>1991.0</v>
      </c>
      <c r="AV461" s="1">
        <v>172.0</v>
      </c>
      <c r="AW461" s="1" t="s">
        <v>74</v>
      </c>
      <c r="AX461" s="1" t="s">
        <v>242</v>
      </c>
      <c r="AY461" s="1" t="s">
        <v>74</v>
      </c>
      <c r="AZ461" s="1" t="s">
        <v>74</v>
      </c>
      <c r="BA461" s="1" t="s">
        <v>74</v>
      </c>
      <c r="BB461" s="1">
        <v>557.0</v>
      </c>
      <c r="BC461" s="1">
        <v>571.0</v>
      </c>
      <c r="BD461" s="1" t="s">
        <v>74</v>
      </c>
      <c r="BE461" s="1" t="s">
        <v>74</v>
      </c>
      <c r="BF461" s="1" t="s">
        <v>74</v>
      </c>
      <c r="BG461" s="1" t="s">
        <v>74</v>
      </c>
      <c r="BH461" s="1" t="s">
        <v>74</v>
      </c>
      <c r="BI461" s="1" t="s">
        <v>74</v>
      </c>
      <c r="BJ461" s="1" t="s">
        <v>74</v>
      </c>
      <c r="BK461" s="1" t="s">
        <v>74</v>
      </c>
      <c r="BL461" s="1" t="s">
        <v>74</v>
      </c>
      <c r="BM461" s="1" t="s">
        <v>74</v>
      </c>
      <c r="BN461" s="1" t="s">
        <v>74</v>
      </c>
      <c r="BO461" s="1" t="s">
        <v>74</v>
      </c>
      <c r="BP461" s="1" t="s">
        <v>74</v>
      </c>
      <c r="BQ461" s="1" t="s">
        <v>74</v>
      </c>
      <c r="BR461" s="1" t="s">
        <v>74</v>
      </c>
      <c r="BS461" s="1" t="s">
        <v>4509</v>
      </c>
      <c r="BT461" s="1" t="str">
        <f>HYPERLINK("https%3A%2F%2Fwww.webofscience.com%2Fwos%2Fwoscc%2Ffull-record%2FWOS:A1991GH22900011","View Full Record in Web of Science")</f>
        <v>View Full Record in Web of Science</v>
      </c>
    </row>
    <row r="462" ht="12.75" customHeight="1">
      <c r="A462" s="1" t="s">
        <v>72</v>
      </c>
      <c r="B462" s="1" t="s">
        <v>4510</v>
      </c>
      <c r="C462" s="1" t="s">
        <v>74</v>
      </c>
      <c r="D462" s="1" t="s">
        <v>74</v>
      </c>
      <c r="E462" s="1" t="s">
        <v>74</v>
      </c>
      <c r="F462" s="1" t="s">
        <v>4510</v>
      </c>
      <c r="G462" s="1" t="s">
        <v>74</v>
      </c>
      <c r="H462" s="1" t="s">
        <v>74</v>
      </c>
      <c r="I462" s="1" t="s">
        <v>4511</v>
      </c>
      <c r="J462" s="1" t="s">
        <v>1651</v>
      </c>
      <c r="K462" s="1" t="s">
        <v>74</v>
      </c>
      <c r="L462" s="1" t="s">
        <v>74</v>
      </c>
      <c r="M462" s="1" t="s">
        <v>74</v>
      </c>
      <c r="N462" s="1" t="s">
        <v>74</v>
      </c>
      <c r="O462" s="1" t="s">
        <v>74</v>
      </c>
      <c r="P462" s="1" t="s">
        <v>74</v>
      </c>
      <c r="Q462" s="1" t="s">
        <v>74</v>
      </c>
      <c r="R462" s="1" t="s">
        <v>74</v>
      </c>
      <c r="S462" s="1" t="s">
        <v>74</v>
      </c>
      <c r="T462" s="1" t="s">
        <v>74</v>
      </c>
      <c r="U462" s="1" t="s">
        <v>74</v>
      </c>
      <c r="V462" s="1" t="s">
        <v>74</v>
      </c>
      <c r="W462" s="1" t="s">
        <v>74</v>
      </c>
      <c r="X462" s="1" t="s">
        <v>74</v>
      </c>
      <c r="Y462" s="1" t="s">
        <v>74</v>
      </c>
      <c r="Z462" s="1" t="s">
        <v>74</v>
      </c>
      <c r="AA462" s="1" t="s">
        <v>74</v>
      </c>
      <c r="AB462" s="1" t="s">
        <v>74</v>
      </c>
      <c r="AC462" s="1" t="s">
        <v>74</v>
      </c>
      <c r="AD462" s="1" t="s">
        <v>74</v>
      </c>
      <c r="AE462" s="1" t="s">
        <v>74</v>
      </c>
      <c r="AF462" s="1" t="s">
        <v>74</v>
      </c>
      <c r="AG462" s="1" t="s">
        <v>74</v>
      </c>
      <c r="AH462" s="1" t="s">
        <v>74</v>
      </c>
      <c r="AI462" s="1" t="s">
        <v>74</v>
      </c>
      <c r="AJ462" s="1" t="s">
        <v>74</v>
      </c>
      <c r="AK462" s="1" t="s">
        <v>74</v>
      </c>
      <c r="AL462" s="1" t="s">
        <v>74</v>
      </c>
      <c r="AM462" s="1" t="s">
        <v>74</v>
      </c>
      <c r="AN462" s="1" t="s">
        <v>74</v>
      </c>
      <c r="AO462" s="1" t="s">
        <v>1653</v>
      </c>
      <c r="AP462" s="1" t="s">
        <v>74</v>
      </c>
      <c r="AQ462" s="1" t="s">
        <v>74</v>
      </c>
      <c r="AR462" s="1" t="s">
        <v>74</v>
      </c>
      <c r="AS462" s="1" t="s">
        <v>74</v>
      </c>
      <c r="AT462" s="1" t="s">
        <v>650</v>
      </c>
      <c r="AU462" s="1">
        <v>1988.0</v>
      </c>
      <c r="AV462" s="1">
        <v>33.0</v>
      </c>
      <c r="AW462" s="1">
        <v>1.0</v>
      </c>
      <c r="AX462" s="1" t="s">
        <v>74</v>
      </c>
      <c r="AY462" s="1" t="s">
        <v>74</v>
      </c>
      <c r="AZ462" s="1" t="s">
        <v>74</v>
      </c>
      <c r="BA462" s="1" t="s">
        <v>74</v>
      </c>
      <c r="BB462" s="1">
        <v>13.0</v>
      </c>
      <c r="BC462" s="1">
        <v>21.0</v>
      </c>
      <c r="BD462" s="1" t="s">
        <v>74</v>
      </c>
      <c r="BE462" s="1" t="s">
        <v>74</v>
      </c>
      <c r="BF462" s="1" t="s">
        <v>74</v>
      </c>
      <c r="BG462" s="1" t="s">
        <v>74</v>
      </c>
      <c r="BH462" s="1" t="s">
        <v>74</v>
      </c>
      <c r="BI462" s="1" t="s">
        <v>74</v>
      </c>
      <c r="BJ462" s="1" t="s">
        <v>74</v>
      </c>
      <c r="BK462" s="1" t="s">
        <v>74</v>
      </c>
      <c r="BL462" s="1" t="s">
        <v>74</v>
      </c>
      <c r="BM462" s="1" t="s">
        <v>74</v>
      </c>
      <c r="BN462" s="1" t="s">
        <v>74</v>
      </c>
      <c r="BO462" s="1" t="s">
        <v>74</v>
      </c>
      <c r="BP462" s="1" t="s">
        <v>74</v>
      </c>
      <c r="BQ462" s="1" t="s">
        <v>74</v>
      </c>
      <c r="BR462" s="1" t="s">
        <v>74</v>
      </c>
      <c r="BS462" s="1" t="s">
        <v>4512</v>
      </c>
      <c r="BT462" s="1" t="str">
        <f>HYPERLINK("https%3A%2F%2Fwww.webofscience.com%2Fwos%2Fwoscc%2Ffull-record%2FWOS:A1988M418700003","View Full Record in Web of Science")</f>
        <v>View Full Record in Web of Science</v>
      </c>
    </row>
    <row r="463" ht="12.75" customHeight="1">
      <c r="A463" s="1" t="s">
        <v>72</v>
      </c>
      <c r="B463" s="1" t="s">
        <v>4513</v>
      </c>
      <c r="C463" s="1" t="s">
        <v>74</v>
      </c>
      <c r="D463" s="1" t="s">
        <v>74</v>
      </c>
      <c r="E463" s="1" t="s">
        <v>74</v>
      </c>
      <c r="F463" s="1" t="s">
        <v>4513</v>
      </c>
      <c r="G463" s="1" t="s">
        <v>74</v>
      </c>
      <c r="H463" s="1" t="s">
        <v>74</v>
      </c>
      <c r="I463" s="1" t="s">
        <v>4514</v>
      </c>
      <c r="J463" s="1" t="s">
        <v>856</v>
      </c>
      <c r="K463" s="1" t="s">
        <v>74</v>
      </c>
      <c r="L463" s="1" t="s">
        <v>74</v>
      </c>
      <c r="M463" s="1" t="s">
        <v>74</v>
      </c>
      <c r="N463" s="1" t="s">
        <v>74</v>
      </c>
      <c r="O463" s="1" t="s">
        <v>74</v>
      </c>
      <c r="P463" s="1" t="s">
        <v>74</v>
      </c>
      <c r="Q463" s="1" t="s">
        <v>74</v>
      </c>
      <c r="R463" s="1" t="s">
        <v>74</v>
      </c>
      <c r="S463" s="1" t="s">
        <v>74</v>
      </c>
      <c r="T463" s="1" t="s">
        <v>74</v>
      </c>
      <c r="U463" s="1" t="s">
        <v>74</v>
      </c>
      <c r="V463" s="1" t="s">
        <v>74</v>
      </c>
      <c r="W463" s="1" t="s">
        <v>74</v>
      </c>
      <c r="X463" s="1" t="s">
        <v>74</v>
      </c>
      <c r="Y463" s="1" t="s">
        <v>74</v>
      </c>
      <c r="Z463" s="1" t="s">
        <v>74</v>
      </c>
      <c r="AA463" s="1" t="s">
        <v>4515</v>
      </c>
      <c r="AB463" s="1" t="s">
        <v>4516</v>
      </c>
      <c r="AC463" s="1" t="s">
        <v>74</v>
      </c>
      <c r="AD463" s="1" t="s">
        <v>74</v>
      </c>
      <c r="AE463" s="1" t="s">
        <v>74</v>
      </c>
      <c r="AF463" s="1" t="s">
        <v>74</v>
      </c>
      <c r="AG463" s="1" t="s">
        <v>74</v>
      </c>
      <c r="AH463" s="1" t="s">
        <v>74</v>
      </c>
      <c r="AI463" s="1" t="s">
        <v>74</v>
      </c>
      <c r="AJ463" s="1" t="s">
        <v>74</v>
      </c>
      <c r="AK463" s="1" t="s">
        <v>74</v>
      </c>
      <c r="AL463" s="1" t="s">
        <v>74</v>
      </c>
      <c r="AM463" s="1" t="s">
        <v>74</v>
      </c>
      <c r="AN463" s="1" t="s">
        <v>74</v>
      </c>
      <c r="AO463" s="1" t="s">
        <v>860</v>
      </c>
      <c r="AP463" s="1" t="s">
        <v>74</v>
      </c>
      <c r="AQ463" s="1" t="s">
        <v>74</v>
      </c>
      <c r="AR463" s="1" t="s">
        <v>74</v>
      </c>
      <c r="AS463" s="1" t="s">
        <v>74</v>
      </c>
      <c r="AT463" s="1" t="s">
        <v>74</v>
      </c>
      <c r="AU463" s="1">
        <v>1983.0</v>
      </c>
      <c r="AV463" s="1">
        <v>96.0</v>
      </c>
      <c r="AW463" s="1">
        <v>1.0</v>
      </c>
      <c r="AX463" s="1" t="s">
        <v>74</v>
      </c>
      <c r="AY463" s="1" t="s">
        <v>74</v>
      </c>
      <c r="AZ463" s="1" t="s">
        <v>74</v>
      </c>
      <c r="BA463" s="1" t="s">
        <v>74</v>
      </c>
      <c r="BB463" s="1">
        <v>293.0</v>
      </c>
      <c r="BC463" s="1">
        <v>295.0</v>
      </c>
      <c r="BD463" s="1" t="s">
        <v>74</v>
      </c>
      <c r="BE463" s="1" t="s">
        <v>4517</v>
      </c>
      <c r="BF463" s="2" t="str">
        <f>HYPERLINK("http://dx.doi.org/10.1016/0021-9797(83)90031-0","http://dx.doi.org/10.1016/0021-9797(83)90031-0")</f>
        <v>http://dx.doi.org/10.1016/0021-9797(83)90031-0</v>
      </c>
      <c r="BG463" s="1" t="s">
        <v>74</v>
      </c>
      <c r="BH463" s="1" t="s">
        <v>74</v>
      </c>
      <c r="BI463" s="1" t="s">
        <v>74</v>
      </c>
      <c r="BJ463" s="1" t="s">
        <v>74</v>
      </c>
      <c r="BK463" s="1" t="s">
        <v>74</v>
      </c>
      <c r="BL463" s="1" t="s">
        <v>74</v>
      </c>
      <c r="BM463" s="1" t="s">
        <v>74</v>
      </c>
      <c r="BN463" s="1" t="s">
        <v>74</v>
      </c>
      <c r="BO463" s="1" t="s">
        <v>74</v>
      </c>
      <c r="BP463" s="1" t="s">
        <v>74</v>
      </c>
      <c r="BQ463" s="1" t="s">
        <v>74</v>
      </c>
      <c r="BR463" s="1" t="s">
        <v>74</v>
      </c>
      <c r="BS463" s="1" t="s">
        <v>4518</v>
      </c>
      <c r="BT463" s="1" t="str">
        <f>HYPERLINK("https%3A%2F%2Fwww.webofscience.com%2Fwos%2Fwoscc%2Ffull-record%2FWOS:A1983RQ15500030","View Full Record in Web of Science")</f>
        <v>View Full Record in Web of Science</v>
      </c>
    </row>
    <row r="464" ht="12.75" customHeight="1">
      <c r="A464" s="1" t="s">
        <v>72</v>
      </c>
      <c r="B464" s="1" t="s">
        <v>4519</v>
      </c>
      <c r="C464" s="1" t="s">
        <v>74</v>
      </c>
      <c r="D464" s="1" t="s">
        <v>74</v>
      </c>
      <c r="E464" s="1" t="s">
        <v>74</v>
      </c>
      <c r="F464" s="1" t="s">
        <v>4520</v>
      </c>
      <c r="G464" s="1" t="s">
        <v>74</v>
      </c>
      <c r="H464" s="1" t="s">
        <v>74</v>
      </c>
      <c r="I464" s="1" t="s">
        <v>4521</v>
      </c>
      <c r="J464" s="1" t="s">
        <v>4522</v>
      </c>
      <c r="K464" s="1" t="s">
        <v>74</v>
      </c>
      <c r="L464" s="1" t="s">
        <v>74</v>
      </c>
      <c r="M464" s="1" t="s">
        <v>74</v>
      </c>
      <c r="N464" s="1" t="s">
        <v>74</v>
      </c>
      <c r="O464" s="1" t="s">
        <v>74</v>
      </c>
      <c r="P464" s="1" t="s">
        <v>74</v>
      </c>
      <c r="Q464" s="1" t="s">
        <v>74</v>
      </c>
      <c r="R464" s="1" t="s">
        <v>74</v>
      </c>
      <c r="S464" s="1" t="s">
        <v>74</v>
      </c>
      <c r="T464" s="1" t="s">
        <v>74</v>
      </c>
      <c r="U464" s="1" t="s">
        <v>74</v>
      </c>
      <c r="V464" s="1" t="s">
        <v>4523</v>
      </c>
      <c r="W464" s="1" t="s">
        <v>74</v>
      </c>
      <c r="X464" s="1" t="s">
        <v>74</v>
      </c>
      <c r="Y464" s="1" t="s">
        <v>74</v>
      </c>
      <c r="Z464" s="1" t="s">
        <v>74</v>
      </c>
      <c r="AA464" s="1" t="s">
        <v>4524</v>
      </c>
      <c r="AB464" s="1" t="s">
        <v>4525</v>
      </c>
      <c r="AC464" s="1" t="s">
        <v>74</v>
      </c>
      <c r="AD464" s="1" t="s">
        <v>74</v>
      </c>
      <c r="AE464" s="1" t="s">
        <v>74</v>
      </c>
      <c r="AF464" s="1" t="s">
        <v>74</v>
      </c>
      <c r="AG464" s="1" t="s">
        <v>74</v>
      </c>
      <c r="AH464" s="1" t="s">
        <v>74</v>
      </c>
      <c r="AI464" s="1" t="s">
        <v>74</v>
      </c>
      <c r="AJ464" s="1" t="s">
        <v>74</v>
      </c>
      <c r="AK464" s="1" t="s">
        <v>74</v>
      </c>
      <c r="AL464" s="1" t="s">
        <v>74</v>
      </c>
      <c r="AM464" s="1" t="s">
        <v>74</v>
      </c>
      <c r="AN464" s="1" t="s">
        <v>74</v>
      </c>
      <c r="AO464" s="1" t="s">
        <v>4526</v>
      </c>
      <c r="AP464" s="1" t="s">
        <v>4527</v>
      </c>
      <c r="AQ464" s="1" t="s">
        <v>74</v>
      </c>
      <c r="AR464" s="1" t="s">
        <v>74</v>
      </c>
      <c r="AS464" s="1" t="s">
        <v>74</v>
      </c>
      <c r="AT464" s="1" t="s">
        <v>4528</v>
      </c>
      <c r="AU464" s="1">
        <v>2025.0</v>
      </c>
      <c r="AV464" s="1" t="s">
        <v>74</v>
      </c>
      <c r="AW464" s="1" t="s">
        <v>74</v>
      </c>
      <c r="AX464" s="1" t="s">
        <v>74</v>
      </c>
      <c r="AY464" s="1" t="s">
        <v>74</v>
      </c>
      <c r="AZ464" s="1" t="s">
        <v>74</v>
      </c>
      <c r="BA464" s="1" t="s">
        <v>74</v>
      </c>
      <c r="BB464" s="1" t="s">
        <v>74</v>
      </c>
      <c r="BC464" s="1" t="s">
        <v>74</v>
      </c>
      <c r="BD464" s="1" t="s">
        <v>74</v>
      </c>
      <c r="BE464" s="1" t="s">
        <v>4529</v>
      </c>
      <c r="BF464" s="2" t="str">
        <f>HYPERLINK("http://dx.doi.org/10.1080/10871209.2025.2486815","http://dx.doi.org/10.1080/10871209.2025.2486815")</f>
        <v>http://dx.doi.org/10.1080/10871209.2025.2486815</v>
      </c>
      <c r="BG464" s="1" t="s">
        <v>74</v>
      </c>
      <c r="BH464" s="1" t="s">
        <v>4530</v>
      </c>
      <c r="BI464" s="1" t="s">
        <v>74</v>
      </c>
      <c r="BJ464" s="1" t="s">
        <v>74</v>
      </c>
      <c r="BK464" s="1" t="s">
        <v>74</v>
      </c>
      <c r="BL464" s="1" t="s">
        <v>74</v>
      </c>
      <c r="BM464" s="1" t="s">
        <v>74</v>
      </c>
      <c r="BN464" s="1" t="s">
        <v>74</v>
      </c>
      <c r="BO464" s="1" t="s">
        <v>74</v>
      </c>
      <c r="BP464" s="1" t="s">
        <v>74</v>
      </c>
      <c r="BQ464" s="1" t="s">
        <v>74</v>
      </c>
      <c r="BR464" s="1" t="s">
        <v>74</v>
      </c>
      <c r="BS464" s="1" t="s">
        <v>4531</v>
      </c>
      <c r="BT464" s="1" t="str">
        <f>HYPERLINK("https%3A%2F%2Fwww.webofscience.com%2Fwos%2Fwoscc%2Ffull-record%2FWOS:001461325500001","View Full Record in Web of Science")</f>
        <v>View Full Record in Web of Science</v>
      </c>
    </row>
    <row r="465" ht="12.75" customHeight="1">
      <c r="A465" s="1" t="s">
        <v>72</v>
      </c>
      <c r="B465" s="1" t="s">
        <v>4532</v>
      </c>
      <c r="C465" s="1" t="s">
        <v>74</v>
      </c>
      <c r="D465" s="1" t="s">
        <v>74</v>
      </c>
      <c r="E465" s="1" t="s">
        <v>74</v>
      </c>
      <c r="F465" s="1" t="s">
        <v>4533</v>
      </c>
      <c r="G465" s="1" t="s">
        <v>74</v>
      </c>
      <c r="H465" s="1" t="s">
        <v>74</v>
      </c>
      <c r="I465" s="1" t="s">
        <v>4534</v>
      </c>
      <c r="J465" s="1" t="s">
        <v>4535</v>
      </c>
      <c r="K465" s="1" t="s">
        <v>74</v>
      </c>
      <c r="L465" s="1" t="s">
        <v>74</v>
      </c>
      <c r="M465" s="1" t="s">
        <v>74</v>
      </c>
      <c r="N465" s="1" t="s">
        <v>74</v>
      </c>
      <c r="O465" s="1" t="s">
        <v>74</v>
      </c>
      <c r="P465" s="1" t="s">
        <v>74</v>
      </c>
      <c r="Q465" s="1" t="s">
        <v>74</v>
      </c>
      <c r="R465" s="1" t="s">
        <v>74</v>
      </c>
      <c r="S465" s="1" t="s">
        <v>74</v>
      </c>
      <c r="T465" s="1" t="s">
        <v>74</v>
      </c>
      <c r="U465" s="1" t="s">
        <v>74</v>
      </c>
      <c r="V465" s="1" t="s">
        <v>4536</v>
      </c>
      <c r="W465" s="1" t="s">
        <v>74</v>
      </c>
      <c r="X465" s="1" t="s">
        <v>74</v>
      </c>
      <c r="Y465" s="1" t="s">
        <v>74</v>
      </c>
      <c r="Z465" s="1" t="s">
        <v>74</v>
      </c>
      <c r="AA465" s="1" t="s">
        <v>74</v>
      </c>
      <c r="AB465" s="1" t="s">
        <v>4537</v>
      </c>
      <c r="AC465" s="1" t="s">
        <v>74</v>
      </c>
      <c r="AD465" s="1" t="s">
        <v>74</v>
      </c>
      <c r="AE465" s="1" t="s">
        <v>74</v>
      </c>
      <c r="AF465" s="1" t="s">
        <v>74</v>
      </c>
      <c r="AG465" s="1" t="s">
        <v>74</v>
      </c>
      <c r="AH465" s="1" t="s">
        <v>74</v>
      </c>
      <c r="AI465" s="1" t="s">
        <v>74</v>
      </c>
      <c r="AJ465" s="1" t="s">
        <v>74</v>
      </c>
      <c r="AK465" s="1" t="s">
        <v>74</v>
      </c>
      <c r="AL465" s="1" t="s">
        <v>74</v>
      </c>
      <c r="AM465" s="1" t="s">
        <v>74</v>
      </c>
      <c r="AN465" s="1" t="s">
        <v>74</v>
      </c>
      <c r="AO465" s="1" t="s">
        <v>4538</v>
      </c>
      <c r="AP465" s="1" t="s">
        <v>4539</v>
      </c>
      <c r="AQ465" s="1" t="s">
        <v>74</v>
      </c>
      <c r="AR465" s="1" t="s">
        <v>74</v>
      </c>
      <c r="AS465" s="1" t="s">
        <v>74</v>
      </c>
      <c r="AT465" s="1" t="s">
        <v>2108</v>
      </c>
      <c r="AU465" s="1">
        <v>2024.0</v>
      </c>
      <c r="AV465" s="1">
        <v>103.0</v>
      </c>
      <c r="AW465" s="1" t="s">
        <v>74</v>
      </c>
      <c r="AX465" s="1" t="s">
        <v>3792</v>
      </c>
      <c r="AY465" s="1" t="s">
        <v>74</v>
      </c>
      <c r="AZ465" s="1" t="s">
        <v>74</v>
      </c>
      <c r="BA465" s="1" t="s">
        <v>74</v>
      </c>
      <c r="BB465" s="1" t="s">
        <v>74</v>
      </c>
      <c r="BC465" s="1" t="s">
        <v>74</v>
      </c>
      <c r="BD465" s="1">
        <v>114235.0</v>
      </c>
      <c r="BE465" s="1" t="s">
        <v>4540</v>
      </c>
      <c r="BF465" s="2" t="str">
        <f>HYPERLINK("http://dx.doi.org/10.1016/j.est.2024.114235","http://dx.doi.org/10.1016/j.est.2024.114235")</f>
        <v>http://dx.doi.org/10.1016/j.est.2024.114235</v>
      </c>
      <c r="BG465" s="1" t="s">
        <v>74</v>
      </c>
      <c r="BH465" s="1" t="s">
        <v>916</v>
      </c>
      <c r="BI465" s="1" t="s">
        <v>74</v>
      </c>
      <c r="BJ465" s="1" t="s">
        <v>74</v>
      </c>
      <c r="BK465" s="1" t="s">
        <v>74</v>
      </c>
      <c r="BL465" s="1" t="s">
        <v>74</v>
      </c>
      <c r="BM465" s="1" t="s">
        <v>74</v>
      </c>
      <c r="BN465" s="1" t="s">
        <v>74</v>
      </c>
      <c r="BO465" s="1" t="s">
        <v>74</v>
      </c>
      <c r="BP465" s="1" t="s">
        <v>74</v>
      </c>
      <c r="BQ465" s="1" t="s">
        <v>74</v>
      </c>
      <c r="BR465" s="1" t="s">
        <v>74</v>
      </c>
      <c r="BS465" s="1" t="s">
        <v>4541</v>
      </c>
      <c r="BT465" s="1" t="str">
        <f>HYPERLINK("https%3A%2F%2Fwww.webofscience.com%2Fwos%2Fwoscc%2Ffull-record%2FWOS:001344312400001","View Full Record in Web of Science")</f>
        <v>View Full Record in Web of Science</v>
      </c>
    </row>
    <row r="466" ht="12.75" customHeight="1">
      <c r="A466" s="1" t="s">
        <v>72</v>
      </c>
      <c r="B466" s="1" t="s">
        <v>4542</v>
      </c>
      <c r="C466" s="1" t="s">
        <v>74</v>
      </c>
      <c r="D466" s="1" t="s">
        <v>74</v>
      </c>
      <c r="E466" s="1" t="s">
        <v>74</v>
      </c>
      <c r="F466" s="1" t="s">
        <v>4543</v>
      </c>
      <c r="G466" s="1" t="s">
        <v>74</v>
      </c>
      <c r="H466" s="1" t="s">
        <v>74</v>
      </c>
      <c r="I466" s="1" t="s">
        <v>4544</v>
      </c>
      <c r="J466" s="1" t="s">
        <v>4545</v>
      </c>
      <c r="K466" s="1" t="s">
        <v>74</v>
      </c>
      <c r="L466" s="1" t="s">
        <v>74</v>
      </c>
      <c r="M466" s="1" t="s">
        <v>74</v>
      </c>
      <c r="N466" s="1" t="s">
        <v>74</v>
      </c>
      <c r="O466" s="1" t="s">
        <v>74</v>
      </c>
      <c r="P466" s="1" t="s">
        <v>74</v>
      </c>
      <c r="Q466" s="1" t="s">
        <v>74</v>
      </c>
      <c r="R466" s="1" t="s">
        <v>74</v>
      </c>
      <c r="S466" s="1" t="s">
        <v>74</v>
      </c>
      <c r="T466" s="1" t="s">
        <v>74</v>
      </c>
      <c r="U466" s="1" t="s">
        <v>74</v>
      </c>
      <c r="V466" s="1" t="s">
        <v>4546</v>
      </c>
      <c r="W466" s="1" t="s">
        <v>74</v>
      </c>
      <c r="X466" s="1" t="s">
        <v>74</v>
      </c>
      <c r="Y466" s="1" t="s">
        <v>74</v>
      </c>
      <c r="Z466" s="1" t="s">
        <v>74</v>
      </c>
      <c r="AA466" s="1" t="s">
        <v>74</v>
      </c>
      <c r="AB466" s="1" t="s">
        <v>4547</v>
      </c>
      <c r="AC466" s="1" t="s">
        <v>74</v>
      </c>
      <c r="AD466" s="1" t="s">
        <v>74</v>
      </c>
      <c r="AE466" s="1" t="s">
        <v>74</v>
      </c>
      <c r="AF466" s="1" t="s">
        <v>74</v>
      </c>
      <c r="AG466" s="1" t="s">
        <v>74</v>
      </c>
      <c r="AH466" s="1" t="s">
        <v>74</v>
      </c>
      <c r="AI466" s="1" t="s">
        <v>74</v>
      </c>
      <c r="AJ466" s="1" t="s">
        <v>74</v>
      </c>
      <c r="AK466" s="1" t="s">
        <v>74</v>
      </c>
      <c r="AL466" s="1" t="s">
        <v>74</v>
      </c>
      <c r="AM466" s="1" t="s">
        <v>74</v>
      </c>
      <c r="AN466" s="1" t="s">
        <v>74</v>
      </c>
      <c r="AO466" s="1" t="s">
        <v>4548</v>
      </c>
      <c r="AP466" s="1" t="s">
        <v>4549</v>
      </c>
      <c r="AQ466" s="1" t="s">
        <v>74</v>
      </c>
      <c r="AR466" s="1" t="s">
        <v>74</v>
      </c>
      <c r="AS466" s="1" t="s">
        <v>74</v>
      </c>
      <c r="AT466" s="1" t="s">
        <v>4550</v>
      </c>
      <c r="AU466" s="1">
        <v>2024.0</v>
      </c>
      <c r="AV466" s="1">
        <v>228.0</v>
      </c>
      <c r="AW466" s="1" t="s">
        <v>74</v>
      </c>
      <c r="AX466" s="1" t="s">
        <v>74</v>
      </c>
      <c r="AY466" s="1" t="s">
        <v>74</v>
      </c>
      <c r="AZ466" s="1" t="s">
        <v>74</v>
      </c>
      <c r="BA466" s="1" t="s">
        <v>74</v>
      </c>
      <c r="BB466" s="1" t="s">
        <v>74</v>
      </c>
      <c r="BC466" s="1" t="s">
        <v>74</v>
      </c>
      <c r="BD466" s="1">
        <v>125642.0</v>
      </c>
      <c r="BE466" s="1" t="s">
        <v>4551</v>
      </c>
      <c r="BF466" s="2" t="str">
        <f>HYPERLINK("http://dx.doi.org/10.1016/j.ijheatmasstransfer.2024.125642","http://dx.doi.org/10.1016/j.ijheatmasstransfer.2024.125642")</f>
        <v>http://dx.doi.org/10.1016/j.ijheatmasstransfer.2024.125642</v>
      </c>
      <c r="BG466" s="1" t="s">
        <v>74</v>
      </c>
      <c r="BH466" s="1" t="s">
        <v>4552</v>
      </c>
      <c r="BI466" s="1" t="s">
        <v>74</v>
      </c>
      <c r="BJ466" s="1" t="s">
        <v>74</v>
      </c>
      <c r="BK466" s="1" t="s">
        <v>74</v>
      </c>
      <c r="BL466" s="1" t="s">
        <v>74</v>
      </c>
      <c r="BM466" s="1" t="s">
        <v>74</v>
      </c>
      <c r="BN466" s="1" t="s">
        <v>74</v>
      </c>
      <c r="BO466" s="1" t="s">
        <v>74</v>
      </c>
      <c r="BP466" s="1" t="s">
        <v>74</v>
      </c>
      <c r="BQ466" s="1" t="s">
        <v>74</v>
      </c>
      <c r="BR466" s="1" t="s">
        <v>74</v>
      </c>
      <c r="BS466" s="1" t="s">
        <v>4553</v>
      </c>
      <c r="BT466" s="1" t="str">
        <f>HYPERLINK("https%3A%2F%2Fwww.webofscience.com%2Fwos%2Fwoscc%2Ffull-record%2FWOS:001325609200001","View Full Record in Web of Science")</f>
        <v>View Full Record in Web of Science</v>
      </c>
    </row>
    <row r="467" ht="12.75" customHeight="1">
      <c r="A467" s="1" t="s">
        <v>72</v>
      </c>
      <c r="B467" s="1" t="s">
        <v>4554</v>
      </c>
      <c r="C467" s="1" t="s">
        <v>74</v>
      </c>
      <c r="D467" s="1" t="s">
        <v>74</v>
      </c>
      <c r="E467" s="1" t="s">
        <v>74</v>
      </c>
      <c r="F467" s="1" t="s">
        <v>4555</v>
      </c>
      <c r="G467" s="1" t="s">
        <v>74</v>
      </c>
      <c r="H467" s="1" t="s">
        <v>74</v>
      </c>
      <c r="I467" s="1" t="s">
        <v>4556</v>
      </c>
      <c r="J467" s="1" t="s">
        <v>4557</v>
      </c>
      <c r="K467" s="1" t="s">
        <v>74</v>
      </c>
      <c r="L467" s="1" t="s">
        <v>74</v>
      </c>
      <c r="M467" s="1" t="s">
        <v>74</v>
      </c>
      <c r="N467" s="1" t="s">
        <v>74</v>
      </c>
      <c r="O467" s="1" t="s">
        <v>74</v>
      </c>
      <c r="P467" s="1" t="s">
        <v>74</v>
      </c>
      <c r="Q467" s="1" t="s">
        <v>74</v>
      </c>
      <c r="R467" s="1" t="s">
        <v>74</v>
      </c>
      <c r="S467" s="1" t="s">
        <v>74</v>
      </c>
      <c r="T467" s="1" t="s">
        <v>74</v>
      </c>
      <c r="U467" s="1" t="s">
        <v>74</v>
      </c>
      <c r="V467" s="1" t="s">
        <v>4558</v>
      </c>
      <c r="W467" s="1" t="s">
        <v>74</v>
      </c>
      <c r="X467" s="1" t="s">
        <v>74</v>
      </c>
      <c r="Y467" s="1" t="s">
        <v>74</v>
      </c>
      <c r="Z467" s="1" t="s">
        <v>74</v>
      </c>
      <c r="AA467" s="1" t="s">
        <v>74</v>
      </c>
      <c r="AB467" s="1" t="s">
        <v>4559</v>
      </c>
      <c r="AC467" s="1" t="s">
        <v>74</v>
      </c>
      <c r="AD467" s="1" t="s">
        <v>74</v>
      </c>
      <c r="AE467" s="1" t="s">
        <v>74</v>
      </c>
      <c r="AF467" s="1" t="s">
        <v>74</v>
      </c>
      <c r="AG467" s="1" t="s">
        <v>74</v>
      </c>
      <c r="AH467" s="1" t="s">
        <v>74</v>
      </c>
      <c r="AI467" s="1" t="s">
        <v>74</v>
      </c>
      <c r="AJ467" s="1" t="s">
        <v>74</v>
      </c>
      <c r="AK467" s="1" t="s">
        <v>74</v>
      </c>
      <c r="AL467" s="1" t="s">
        <v>74</v>
      </c>
      <c r="AM467" s="1" t="s">
        <v>74</v>
      </c>
      <c r="AN467" s="1" t="s">
        <v>74</v>
      </c>
      <c r="AO467" s="1" t="s">
        <v>74</v>
      </c>
      <c r="AP467" s="1" t="s">
        <v>4560</v>
      </c>
      <c r="AQ467" s="1" t="s">
        <v>74</v>
      </c>
      <c r="AR467" s="1" t="s">
        <v>74</v>
      </c>
      <c r="AS467" s="1" t="s">
        <v>74</v>
      </c>
      <c r="AT467" s="1" t="s">
        <v>158</v>
      </c>
      <c r="AU467" s="1">
        <v>2024.0</v>
      </c>
      <c r="AV467" s="1">
        <v>24.0</v>
      </c>
      <c r="AW467" s="1">
        <v>1.0</v>
      </c>
      <c r="AX467" s="1" t="s">
        <v>74</v>
      </c>
      <c r="AY467" s="1" t="s">
        <v>74</v>
      </c>
      <c r="AZ467" s="1" t="s">
        <v>74</v>
      </c>
      <c r="BA467" s="1" t="s">
        <v>74</v>
      </c>
      <c r="BB467" s="1" t="s">
        <v>74</v>
      </c>
      <c r="BC467" s="1" t="s">
        <v>74</v>
      </c>
      <c r="BD467" s="1">
        <v>386.0</v>
      </c>
      <c r="BE467" s="1" t="s">
        <v>4561</v>
      </c>
      <c r="BF467" s="2" t="str">
        <f>HYPERLINK("http://dx.doi.org/10.1186/s12877-024-04986-3","http://dx.doi.org/10.1186/s12877-024-04986-3")</f>
        <v>http://dx.doi.org/10.1186/s12877-024-04986-3</v>
      </c>
      <c r="BG467" s="1" t="s">
        <v>74</v>
      </c>
      <c r="BH467" s="1" t="s">
        <v>74</v>
      </c>
      <c r="BI467" s="1" t="s">
        <v>74</v>
      </c>
      <c r="BJ467" s="1" t="s">
        <v>74</v>
      </c>
      <c r="BK467" s="1" t="s">
        <v>74</v>
      </c>
      <c r="BL467" s="1" t="s">
        <v>74</v>
      </c>
      <c r="BM467" s="1" t="s">
        <v>74</v>
      </c>
      <c r="BN467" s="1">
        <v>3.8693485E7</v>
      </c>
      <c r="BO467" s="1" t="s">
        <v>74</v>
      </c>
      <c r="BP467" s="1" t="s">
        <v>74</v>
      </c>
      <c r="BQ467" s="1" t="s">
        <v>74</v>
      </c>
      <c r="BR467" s="1" t="s">
        <v>74</v>
      </c>
      <c r="BS467" s="1" t="s">
        <v>4562</v>
      </c>
      <c r="BT467" s="1" t="str">
        <f>HYPERLINK("https%3A%2F%2Fwww.webofscience.com%2Fwos%2Fwoscc%2Ffull-record%2FWOS:001225925400004","View Full Record in Web of Science")</f>
        <v>View Full Record in Web of Science</v>
      </c>
    </row>
    <row r="468" ht="12.75" customHeight="1">
      <c r="A468" s="1" t="s">
        <v>72</v>
      </c>
      <c r="B468" s="1" t="s">
        <v>1194</v>
      </c>
      <c r="C468" s="1" t="s">
        <v>74</v>
      </c>
      <c r="D468" s="1" t="s">
        <v>74</v>
      </c>
      <c r="E468" s="1" t="s">
        <v>74</v>
      </c>
      <c r="F468" s="1" t="s">
        <v>1195</v>
      </c>
      <c r="G468" s="1" t="s">
        <v>74</v>
      </c>
      <c r="H468" s="1" t="s">
        <v>74</v>
      </c>
      <c r="I468" s="1" t="s">
        <v>4563</v>
      </c>
      <c r="J468" s="1" t="s">
        <v>4564</v>
      </c>
      <c r="K468" s="1" t="s">
        <v>74</v>
      </c>
      <c r="L468" s="1" t="s">
        <v>74</v>
      </c>
      <c r="M468" s="1" t="s">
        <v>74</v>
      </c>
      <c r="N468" s="1" t="s">
        <v>74</v>
      </c>
      <c r="O468" s="1" t="s">
        <v>74</v>
      </c>
      <c r="P468" s="1" t="s">
        <v>74</v>
      </c>
      <c r="Q468" s="1" t="s">
        <v>74</v>
      </c>
      <c r="R468" s="1" t="s">
        <v>74</v>
      </c>
      <c r="S468" s="1" t="s">
        <v>74</v>
      </c>
      <c r="T468" s="1" t="s">
        <v>74</v>
      </c>
      <c r="U468" s="1" t="s">
        <v>74</v>
      </c>
      <c r="V468" s="1" t="s">
        <v>4565</v>
      </c>
      <c r="W468" s="1" t="s">
        <v>74</v>
      </c>
      <c r="X468" s="1" t="s">
        <v>74</v>
      </c>
      <c r="Y468" s="1" t="s">
        <v>74</v>
      </c>
      <c r="Z468" s="1" t="s">
        <v>74</v>
      </c>
      <c r="AA468" s="1" t="s">
        <v>74</v>
      </c>
      <c r="AB468" s="1" t="s">
        <v>74</v>
      </c>
      <c r="AC468" s="1" t="s">
        <v>74</v>
      </c>
      <c r="AD468" s="1" t="s">
        <v>74</v>
      </c>
      <c r="AE468" s="1" t="s">
        <v>74</v>
      </c>
      <c r="AF468" s="1" t="s">
        <v>74</v>
      </c>
      <c r="AG468" s="1" t="s">
        <v>74</v>
      </c>
      <c r="AH468" s="1" t="s">
        <v>74</v>
      </c>
      <c r="AI468" s="1" t="s">
        <v>74</v>
      </c>
      <c r="AJ468" s="1" t="s">
        <v>74</v>
      </c>
      <c r="AK468" s="1" t="s">
        <v>74</v>
      </c>
      <c r="AL468" s="1" t="s">
        <v>74</v>
      </c>
      <c r="AM468" s="1" t="s">
        <v>74</v>
      </c>
      <c r="AN468" s="1" t="s">
        <v>74</v>
      </c>
      <c r="AO468" s="1" t="s">
        <v>74</v>
      </c>
      <c r="AP468" s="1" t="s">
        <v>4566</v>
      </c>
      <c r="AQ468" s="1" t="s">
        <v>74</v>
      </c>
      <c r="AR468" s="1" t="s">
        <v>74</v>
      </c>
      <c r="AS468" s="1" t="s">
        <v>74</v>
      </c>
      <c r="AT468" s="1" t="s">
        <v>169</v>
      </c>
      <c r="AU468" s="1">
        <v>2024.0</v>
      </c>
      <c r="AV468" s="1">
        <v>13.0</v>
      </c>
      <c r="AW468" s="1">
        <v>1.0</v>
      </c>
      <c r="AX468" s="1" t="s">
        <v>74</v>
      </c>
      <c r="AY468" s="1" t="s">
        <v>74</v>
      </c>
      <c r="AZ468" s="1" t="s">
        <v>74</v>
      </c>
      <c r="BA468" s="1" t="s">
        <v>74</v>
      </c>
      <c r="BB468" s="1" t="s">
        <v>74</v>
      </c>
      <c r="BC468" s="1" t="s">
        <v>74</v>
      </c>
      <c r="BD468" s="1">
        <v>39.0</v>
      </c>
      <c r="BE468" s="1" t="s">
        <v>4567</v>
      </c>
      <c r="BF468" s="2" t="str">
        <f>HYPERLINK("http://dx.doi.org/10.3390/land13010039","http://dx.doi.org/10.3390/land13010039")</f>
        <v>http://dx.doi.org/10.3390/land13010039</v>
      </c>
      <c r="BG468" s="1" t="s">
        <v>74</v>
      </c>
      <c r="BH468" s="1" t="s">
        <v>74</v>
      </c>
      <c r="BI468" s="1" t="s">
        <v>74</v>
      </c>
      <c r="BJ468" s="1" t="s">
        <v>74</v>
      </c>
      <c r="BK468" s="1" t="s">
        <v>74</v>
      </c>
      <c r="BL468" s="1" t="s">
        <v>74</v>
      </c>
      <c r="BM468" s="1" t="s">
        <v>74</v>
      </c>
      <c r="BN468" s="1" t="s">
        <v>74</v>
      </c>
      <c r="BO468" s="1" t="s">
        <v>74</v>
      </c>
      <c r="BP468" s="1" t="s">
        <v>74</v>
      </c>
      <c r="BQ468" s="1" t="s">
        <v>74</v>
      </c>
      <c r="BR468" s="1" t="s">
        <v>74</v>
      </c>
      <c r="BS468" s="1" t="s">
        <v>4568</v>
      </c>
      <c r="BT468" s="1" t="str">
        <f>HYPERLINK("https%3A%2F%2Fwww.webofscience.com%2Fwos%2Fwoscc%2Ffull-record%2FWOS:001151529500001","View Full Record in Web of Science")</f>
        <v>View Full Record in Web of Science</v>
      </c>
    </row>
    <row r="469" ht="12.75" customHeight="1">
      <c r="A469" s="1" t="s">
        <v>72</v>
      </c>
      <c r="B469" s="1" t="s">
        <v>4569</v>
      </c>
      <c r="C469" s="1" t="s">
        <v>74</v>
      </c>
      <c r="D469" s="1" t="s">
        <v>74</v>
      </c>
      <c r="E469" s="1" t="s">
        <v>74</v>
      </c>
      <c r="F469" s="1" t="s">
        <v>4570</v>
      </c>
      <c r="G469" s="1" t="s">
        <v>74</v>
      </c>
      <c r="H469" s="1" t="s">
        <v>74</v>
      </c>
      <c r="I469" s="1" t="s">
        <v>4571</v>
      </c>
      <c r="J469" s="1" t="s">
        <v>3964</v>
      </c>
      <c r="K469" s="1" t="s">
        <v>74</v>
      </c>
      <c r="L469" s="1" t="s">
        <v>74</v>
      </c>
      <c r="M469" s="1" t="s">
        <v>74</v>
      </c>
      <c r="N469" s="1" t="s">
        <v>74</v>
      </c>
      <c r="O469" s="1" t="s">
        <v>74</v>
      </c>
      <c r="P469" s="1" t="s">
        <v>74</v>
      </c>
      <c r="Q469" s="1" t="s">
        <v>74</v>
      </c>
      <c r="R469" s="1" t="s">
        <v>74</v>
      </c>
      <c r="S469" s="1" t="s">
        <v>74</v>
      </c>
      <c r="T469" s="1" t="s">
        <v>74</v>
      </c>
      <c r="U469" s="1" t="s">
        <v>74</v>
      </c>
      <c r="V469" s="1" t="s">
        <v>4572</v>
      </c>
      <c r="W469" s="1" t="s">
        <v>74</v>
      </c>
      <c r="X469" s="1" t="s">
        <v>74</v>
      </c>
      <c r="Y469" s="1" t="s">
        <v>74</v>
      </c>
      <c r="Z469" s="1" t="s">
        <v>74</v>
      </c>
      <c r="AA469" s="1" t="s">
        <v>4573</v>
      </c>
      <c r="AB469" s="1" t="s">
        <v>4574</v>
      </c>
      <c r="AC469" s="1" t="s">
        <v>74</v>
      </c>
      <c r="AD469" s="1" t="s">
        <v>74</v>
      </c>
      <c r="AE469" s="1" t="s">
        <v>74</v>
      </c>
      <c r="AF469" s="1" t="s">
        <v>74</v>
      </c>
      <c r="AG469" s="1" t="s">
        <v>74</v>
      </c>
      <c r="AH469" s="1" t="s">
        <v>74</v>
      </c>
      <c r="AI469" s="1" t="s">
        <v>74</v>
      </c>
      <c r="AJ469" s="1" t="s">
        <v>74</v>
      </c>
      <c r="AK469" s="1" t="s">
        <v>74</v>
      </c>
      <c r="AL469" s="1" t="s">
        <v>74</v>
      </c>
      <c r="AM469" s="1" t="s">
        <v>74</v>
      </c>
      <c r="AN469" s="1" t="s">
        <v>74</v>
      </c>
      <c r="AO469" s="1" t="s">
        <v>74</v>
      </c>
      <c r="AP469" s="1" t="s">
        <v>3968</v>
      </c>
      <c r="AQ469" s="1" t="s">
        <v>74</v>
      </c>
      <c r="AR469" s="1" t="s">
        <v>74</v>
      </c>
      <c r="AS469" s="1" t="s">
        <v>74</v>
      </c>
      <c r="AT469" s="1" t="s">
        <v>169</v>
      </c>
      <c r="AU469" s="1">
        <v>2024.0</v>
      </c>
      <c r="AV469" s="1">
        <v>16.0</v>
      </c>
      <c r="AW469" s="1">
        <v>2.0</v>
      </c>
      <c r="AX469" s="1" t="s">
        <v>74</v>
      </c>
      <c r="AY469" s="1" t="s">
        <v>74</v>
      </c>
      <c r="AZ469" s="1" t="s">
        <v>74</v>
      </c>
      <c r="BA469" s="1" t="s">
        <v>74</v>
      </c>
      <c r="BB469" s="1" t="s">
        <v>74</v>
      </c>
      <c r="BC469" s="1" t="s">
        <v>74</v>
      </c>
      <c r="BD469" s="1">
        <v>187.0</v>
      </c>
      <c r="BE469" s="1" t="s">
        <v>4575</v>
      </c>
      <c r="BF469" s="2" t="str">
        <f>HYPERLINK("http://dx.doi.org/10.3390/polym16020187","http://dx.doi.org/10.3390/polym16020187")</f>
        <v>http://dx.doi.org/10.3390/polym16020187</v>
      </c>
      <c r="BG469" s="1" t="s">
        <v>74</v>
      </c>
      <c r="BH469" s="1" t="s">
        <v>74</v>
      </c>
      <c r="BI469" s="1" t="s">
        <v>74</v>
      </c>
      <c r="BJ469" s="1" t="s">
        <v>74</v>
      </c>
      <c r="BK469" s="1" t="s">
        <v>74</v>
      </c>
      <c r="BL469" s="1" t="s">
        <v>74</v>
      </c>
      <c r="BM469" s="1" t="s">
        <v>74</v>
      </c>
      <c r="BN469" s="1">
        <v>3.8256986E7</v>
      </c>
      <c r="BO469" s="1" t="s">
        <v>74</v>
      </c>
      <c r="BP469" s="1" t="s">
        <v>74</v>
      </c>
      <c r="BQ469" s="1" t="s">
        <v>74</v>
      </c>
      <c r="BR469" s="1" t="s">
        <v>74</v>
      </c>
      <c r="BS469" s="1" t="s">
        <v>4576</v>
      </c>
      <c r="BT469" s="1" t="str">
        <f>HYPERLINK("https%3A%2F%2Fwww.webofscience.com%2Fwos%2Fwoscc%2Ffull-record%2FWOS:001152936700001","View Full Record in Web of Science")</f>
        <v>View Full Record in Web of Science</v>
      </c>
    </row>
    <row r="470" ht="12.75" customHeight="1">
      <c r="A470" s="1" t="s">
        <v>72</v>
      </c>
      <c r="B470" s="1" t="s">
        <v>4577</v>
      </c>
      <c r="C470" s="1" t="s">
        <v>74</v>
      </c>
      <c r="D470" s="1" t="s">
        <v>74</v>
      </c>
      <c r="E470" s="1" t="s">
        <v>74</v>
      </c>
      <c r="F470" s="1" t="s">
        <v>4578</v>
      </c>
      <c r="G470" s="1" t="s">
        <v>74</v>
      </c>
      <c r="H470" s="1" t="s">
        <v>74</v>
      </c>
      <c r="I470" s="1" t="s">
        <v>4579</v>
      </c>
      <c r="J470" s="1" t="s">
        <v>186</v>
      </c>
      <c r="K470" s="1" t="s">
        <v>74</v>
      </c>
      <c r="L470" s="1" t="s">
        <v>74</v>
      </c>
      <c r="M470" s="1" t="s">
        <v>74</v>
      </c>
      <c r="N470" s="1" t="s">
        <v>74</v>
      </c>
      <c r="O470" s="1" t="s">
        <v>74</v>
      </c>
      <c r="P470" s="1" t="s">
        <v>74</v>
      </c>
      <c r="Q470" s="1" t="s">
        <v>74</v>
      </c>
      <c r="R470" s="1" t="s">
        <v>74</v>
      </c>
      <c r="S470" s="1" t="s">
        <v>74</v>
      </c>
      <c r="T470" s="1" t="s">
        <v>74</v>
      </c>
      <c r="U470" s="1" t="s">
        <v>74</v>
      </c>
      <c r="V470" s="1" t="s">
        <v>4580</v>
      </c>
      <c r="W470" s="1" t="s">
        <v>74</v>
      </c>
      <c r="X470" s="1" t="s">
        <v>74</v>
      </c>
      <c r="Y470" s="1" t="s">
        <v>74</v>
      </c>
      <c r="Z470" s="1" t="s">
        <v>74</v>
      </c>
      <c r="AA470" s="1" t="s">
        <v>4581</v>
      </c>
      <c r="AB470" s="1" t="s">
        <v>4582</v>
      </c>
      <c r="AC470" s="1" t="s">
        <v>74</v>
      </c>
      <c r="AD470" s="1" t="s">
        <v>74</v>
      </c>
      <c r="AE470" s="1" t="s">
        <v>74</v>
      </c>
      <c r="AF470" s="1" t="s">
        <v>74</v>
      </c>
      <c r="AG470" s="1" t="s">
        <v>74</v>
      </c>
      <c r="AH470" s="1" t="s">
        <v>74</v>
      </c>
      <c r="AI470" s="1" t="s">
        <v>74</v>
      </c>
      <c r="AJ470" s="1" t="s">
        <v>74</v>
      </c>
      <c r="AK470" s="1" t="s">
        <v>74</v>
      </c>
      <c r="AL470" s="1" t="s">
        <v>74</v>
      </c>
      <c r="AM470" s="1" t="s">
        <v>74</v>
      </c>
      <c r="AN470" s="1" t="s">
        <v>74</v>
      </c>
      <c r="AO470" s="1" t="s">
        <v>190</v>
      </c>
      <c r="AP470" s="1" t="s">
        <v>74</v>
      </c>
      <c r="AQ470" s="1" t="s">
        <v>74</v>
      </c>
      <c r="AR470" s="1" t="s">
        <v>74</v>
      </c>
      <c r="AS470" s="1" t="s">
        <v>74</v>
      </c>
      <c r="AT470" s="1" t="s">
        <v>4583</v>
      </c>
      <c r="AU470" s="1">
        <v>2023.0</v>
      </c>
      <c r="AV470" s="1">
        <v>18.0</v>
      </c>
      <c r="AW470" s="1">
        <v>9.0</v>
      </c>
      <c r="AX470" s="1" t="s">
        <v>74</v>
      </c>
      <c r="AY470" s="1" t="s">
        <v>74</v>
      </c>
      <c r="AZ470" s="1" t="s">
        <v>74</v>
      </c>
      <c r="BA470" s="1" t="s">
        <v>74</v>
      </c>
      <c r="BB470" s="1" t="s">
        <v>74</v>
      </c>
      <c r="BC470" s="1" t="s">
        <v>74</v>
      </c>
      <c r="BD470" s="1" t="s">
        <v>4584</v>
      </c>
      <c r="BE470" s="1" t="s">
        <v>4585</v>
      </c>
      <c r="BF470" s="2" t="str">
        <f>HYPERLINK("http://dx.doi.org/10.1371/journal.pone.0291838","http://dx.doi.org/10.1371/journal.pone.0291838")</f>
        <v>http://dx.doi.org/10.1371/journal.pone.0291838</v>
      </c>
      <c r="BG470" s="1" t="s">
        <v>74</v>
      </c>
      <c r="BH470" s="1" t="s">
        <v>74</v>
      </c>
      <c r="BI470" s="1" t="s">
        <v>74</v>
      </c>
      <c r="BJ470" s="1" t="s">
        <v>74</v>
      </c>
      <c r="BK470" s="1" t="s">
        <v>74</v>
      </c>
      <c r="BL470" s="1" t="s">
        <v>74</v>
      </c>
      <c r="BM470" s="1" t="s">
        <v>74</v>
      </c>
      <c r="BN470" s="1">
        <v>3.772933E7</v>
      </c>
      <c r="BO470" s="1" t="s">
        <v>74</v>
      </c>
      <c r="BP470" s="1" t="s">
        <v>74</v>
      </c>
      <c r="BQ470" s="1" t="s">
        <v>74</v>
      </c>
      <c r="BR470" s="1" t="s">
        <v>74</v>
      </c>
      <c r="BS470" s="1" t="s">
        <v>4586</v>
      </c>
      <c r="BT470" s="1" t="str">
        <f>HYPERLINK("https%3A%2F%2Fwww.webofscience.com%2Fwos%2Fwoscc%2Ffull-record%2FWOS:001088222800055","View Full Record in Web of Science")</f>
        <v>View Full Record in Web of Science</v>
      </c>
    </row>
    <row r="471" ht="12.75" customHeight="1">
      <c r="A471" s="1" t="s">
        <v>72</v>
      </c>
      <c r="B471" s="1" t="s">
        <v>4587</v>
      </c>
      <c r="C471" s="1" t="s">
        <v>74</v>
      </c>
      <c r="D471" s="1" t="s">
        <v>74</v>
      </c>
      <c r="E471" s="1" t="s">
        <v>74</v>
      </c>
      <c r="F471" s="1" t="s">
        <v>4588</v>
      </c>
      <c r="G471" s="1" t="s">
        <v>74</v>
      </c>
      <c r="H471" s="1" t="s">
        <v>74</v>
      </c>
      <c r="I471" s="1" t="s">
        <v>4589</v>
      </c>
      <c r="J471" s="1" t="s">
        <v>4590</v>
      </c>
      <c r="K471" s="1" t="s">
        <v>74</v>
      </c>
      <c r="L471" s="1" t="s">
        <v>74</v>
      </c>
      <c r="M471" s="1" t="s">
        <v>74</v>
      </c>
      <c r="N471" s="1" t="s">
        <v>74</v>
      </c>
      <c r="O471" s="1" t="s">
        <v>74</v>
      </c>
      <c r="P471" s="1" t="s">
        <v>74</v>
      </c>
      <c r="Q471" s="1" t="s">
        <v>74</v>
      </c>
      <c r="R471" s="1" t="s">
        <v>74</v>
      </c>
      <c r="S471" s="1" t="s">
        <v>74</v>
      </c>
      <c r="T471" s="1" t="s">
        <v>74</v>
      </c>
      <c r="U471" s="1" t="s">
        <v>74</v>
      </c>
      <c r="V471" s="1" t="s">
        <v>4591</v>
      </c>
      <c r="W471" s="1" t="s">
        <v>74</v>
      </c>
      <c r="X471" s="1" t="s">
        <v>74</v>
      </c>
      <c r="Y471" s="1" t="s">
        <v>74</v>
      </c>
      <c r="Z471" s="1" t="s">
        <v>74</v>
      </c>
      <c r="AA471" s="1" t="s">
        <v>933</v>
      </c>
      <c r="AB471" s="1" t="s">
        <v>4592</v>
      </c>
      <c r="AC471" s="1" t="s">
        <v>74</v>
      </c>
      <c r="AD471" s="1" t="s">
        <v>74</v>
      </c>
      <c r="AE471" s="1" t="s">
        <v>74</v>
      </c>
      <c r="AF471" s="1" t="s">
        <v>74</v>
      </c>
      <c r="AG471" s="1" t="s">
        <v>74</v>
      </c>
      <c r="AH471" s="1" t="s">
        <v>74</v>
      </c>
      <c r="AI471" s="1" t="s">
        <v>74</v>
      </c>
      <c r="AJ471" s="1" t="s">
        <v>74</v>
      </c>
      <c r="AK471" s="1" t="s">
        <v>74</v>
      </c>
      <c r="AL471" s="1" t="s">
        <v>74</v>
      </c>
      <c r="AM471" s="1" t="s">
        <v>74</v>
      </c>
      <c r="AN471" s="1" t="s">
        <v>74</v>
      </c>
      <c r="AO471" s="1" t="s">
        <v>74</v>
      </c>
      <c r="AP471" s="1" t="s">
        <v>4593</v>
      </c>
      <c r="AQ471" s="1" t="s">
        <v>74</v>
      </c>
      <c r="AR471" s="1" t="s">
        <v>74</v>
      </c>
      <c r="AS471" s="1" t="s">
        <v>74</v>
      </c>
      <c r="AT471" s="1" t="s">
        <v>459</v>
      </c>
      <c r="AU471" s="1">
        <v>2023.0</v>
      </c>
      <c r="AV471" s="1">
        <v>7.0</v>
      </c>
      <c r="AW471" s="1">
        <v>3.0</v>
      </c>
      <c r="AX471" s="1" t="s">
        <v>74</v>
      </c>
      <c r="AY471" s="1" t="s">
        <v>74</v>
      </c>
      <c r="AZ471" s="1" t="s">
        <v>74</v>
      </c>
      <c r="BA471" s="1" t="s">
        <v>74</v>
      </c>
      <c r="BB471" s="1" t="s">
        <v>74</v>
      </c>
      <c r="BC471" s="1" t="s">
        <v>74</v>
      </c>
      <c r="BD471" s="1">
        <v>49.0</v>
      </c>
      <c r="BE471" s="1" t="s">
        <v>4594</v>
      </c>
      <c r="BF471" s="2" t="str">
        <f>HYPERLINK("http://dx.doi.org/10.3390/colloids7030049","http://dx.doi.org/10.3390/colloids7030049")</f>
        <v>http://dx.doi.org/10.3390/colloids7030049</v>
      </c>
      <c r="BG471" s="1" t="s">
        <v>74</v>
      </c>
      <c r="BH471" s="1" t="s">
        <v>74</v>
      </c>
      <c r="BI471" s="1" t="s">
        <v>74</v>
      </c>
      <c r="BJ471" s="1" t="s">
        <v>74</v>
      </c>
      <c r="BK471" s="1" t="s">
        <v>74</v>
      </c>
      <c r="BL471" s="1" t="s">
        <v>74</v>
      </c>
      <c r="BM471" s="1" t="s">
        <v>74</v>
      </c>
      <c r="BN471" s="1" t="s">
        <v>74</v>
      </c>
      <c r="BO471" s="1" t="s">
        <v>74</v>
      </c>
      <c r="BP471" s="1" t="s">
        <v>74</v>
      </c>
      <c r="BQ471" s="1" t="s">
        <v>74</v>
      </c>
      <c r="BR471" s="1" t="s">
        <v>74</v>
      </c>
      <c r="BS471" s="1" t="s">
        <v>4595</v>
      </c>
      <c r="BT471" s="1" t="str">
        <f>HYPERLINK("https%3A%2F%2Fwww.webofscience.com%2Fwos%2Fwoscc%2Ffull-record%2FWOS:001071263900001","View Full Record in Web of Science")</f>
        <v>View Full Record in Web of Science</v>
      </c>
    </row>
    <row r="472" ht="12.75" customHeight="1">
      <c r="A472" s="1" t="s">
        <v>72</v>
      </c>
      <c r="B472" s="1" t="s">
        <v>4596</v>
      </c>
      <c r="C472" s="1" t="s">
        <v>74</v>
      </c>
      <c r="D472" s="1" t="s">
        <v>74</v>
      </c>
      <c r="E472" s="1" t="s">
        <v>74</v>
      </c>
      <c r="F472" s="1" t="s">
        <v>4597</v>
      </c>
      <c r="G472" s="1" t="s">
        <v>74</v>
      </c>
      <c r="H472" s="1" t="s">
        <v>74</v>
      </c>
      <c r="I472" s="1" t="s">
        <v>4598</v>
      </c>
      <c r="J472" s="1" t="s">
        <v>4599</v>
      </c>
      <c r="K472" s="1" t="s">
        <v>74</v>
      </c>
      <c r="L472" s="1" t="s">
        <v>74</v>
      </c>
      <c r="M472" s="1" t="s">
        <v>74</v>
      </c>
      <c r="N472" s="1" t="s">
        <v>74</v>
      </c>
      <c r="O472" s="1" t="s">
        <v>4600</v>
      </c>
      <c r="P472" s="1" t="s">
        <v>4601</v>
      </c>
      <c r="Q472" s="1" t="s">
        <v>4602</v>
      </c>
      <c r="R472" s="1" t="s">
        <v>74</v>
      </c>
      <c r="S472" s="1" t="s">
        <v>74</v>
      </c>
      <c r="T472" s="1" t="s">
        <v>74</v>
      </c>
      <c r="U472" s="1" t="s">
        <v>74</v>
      </c>
      <c r="V472" s="1" t="s">
        <v>74</v>
      </c>
      <c r="W472" s="1" t="s">
        <v>74</v>
      </c>
      <c r="X472" s="1" t="s">
        <v>74</v>
      </c>
      <c r="Y472" s="1" t="s">
        <v>74</v>
      </c>
      <c r="Z472" s="1" t="s">
        <v>74</v>
      </c>
      <c r="AA472" s="1" t="s">
        <v>4603</v>
      </c>
      <c r="AB472" s="1" t="s">
        <v>74</v>
      </c>
      <c r="AC472" s="1" t="s">
        <v>74</v>
      </c>
      <c r="AD472" s="1" t="s">
        <v>74</v>
      </c>
      <c r="AE472" s="1" t="s">
        <v>74</v>
      </c>
      <c r="AF472" s="1" t="s">
        <v>74</v>
      </c>
      <c r="AG472" s="1" t="s">
        <v>74</v>
      </c>
      <c r="AH472" s="1" t="s">
        <v>74</v>
      </c>
      <c r="AI472" s="1" t="s">
        <v>74</v>
      </c>
      <c r="AJ472" s="1" t="s">
        <v>74</v>
      </c>
      <c r="AK472" s="1" t="s">
        <v>74</v>
      </c>
      <c r="AL472" s="1" t="s">
        <v>74</v>
      </c>
      <c r="AM472" s="1" t="s">
        <v>74</v>
      </c>
      <c r="AN472" s="1" t="s">
        <v>74</v>
      </c>
      <c r="AO472" s="1" t="s">
        <v>4604</v>
      </c>
      <c r="AP472" s="1" t="s">
        <v>4605</v>
      </c>
      <c r="AQ472" s="1" t="s">
        <v>74</v>
      </c>
      <c r="AR472" s="1" t="s">
        <v>74</v>
      </c>
      <c r="AS472" s="1" t="s">
        <v>74</v>
      </c>
      <c r="AT472" s="1" t="s">
        <v>310</v>
      </c>
      <c r="AU472" s="1">
        <v>2023.0</v>
      </c>
      <c r="AV472" s="1">
        <v>71.0</v>
      </c>
      <c r="AW472" s="1" t="s">
        <v>74</v>
      </c>
      <c r="AX472" s="1" t="s">
        <v>74</v>
      </c>
      <c r="AY472" s="1">
        <v>1.0</v>
      </c>
      <c r="AZ472" s="1" t="s">
        <v>74</v>
      </c>
      <c r="BA472" s="1" t="s">
        <v>4606</v>
      </c>
      <c r="BB472" s="1" t="s">
        <v>4607</v>
      </c>
      <c r="BC472" s="1" t="s">
        <v>4607</v>
      </c>
      <c r="BD472" s="1" t="s">
        <v>74</v>
      </c>
      <c r="BE472" s="1" t="s">
        <v>74</v>
      </c>
      <c r="BF472" s="1" t="s">
        <v>74</v>
      </c>
      <c r="BG472" s="1" t="s">
        <v>74</v>
      </c>
      <c r="BH472" s="1" t="s">
        <v>74</v>
      </c>
      <c r="BI472" s="1" t="s">
        <v>74</v>
      </c>
      <c r="BJ472" s="1" t="s">
        <v>74</v>
      </c>
      <c r="BK472" s="1" t="s">
        <v>74</v>
      </c>
      <c r="BL472" s="1" t="s">
        <v>74</v>
      </c>
      <c r="BM472" s="1" t="s">
        <v>74</v>
      </c>
      <c r="BN472" s="1" t="s">
        <v>74</v>
      </c>
      <c r="BO472" s="1" t="s">
        <v>74</v>
      </c>
      <c r="BP472" s="1" t="s">
        <v>74</v>
      </c>
      <c r="BQ472" s="1" t="s">
        <v>74</v>
      </c>
      <c r="BR472" s="1" t="s">
        <v>74</v>
      </c>
      <c r="BS472" s="1" t="s">
        <v>4608</v>
      </c>
      <c r="BT472" s="1" t="str">
        <f>HYPERLINK("https%3A%2F%2Fwww.webofscience.com%2Fwos%2Fwoscc%2Ffull-record%2FWOS:001191372500701","View Full Record in Web of Science")</f>
        <v>View Full Record in Web of Science</v>
      </c>
    </row>
    <row r="473" ht="12.75" customHeight="1">
      <c r="A473" s="1" t="s">
        <v>72</v>
      </c>
      <c r="B473" s="1" t="s">
        <v>4609</v>
      </c>
      <c r="C473" s="1" t="s">
        <v>74</v>
      </c>
      <c r="D473" s="1" t="s">
        <v>74</v>
      </c>
      <c r="E473" s="1" t="s">
        <v>74</v>
      </c>
      <c r="F473" s="1" t="s">
        <v>4610</v>
      </c>
      <c r="G473" s="1" t="s">
        <v>74</v>
      </c>
      <c r="H473" s="1" t="s">
        <v>74</v>
      </c>
      <c r="I473" s="1" t="s">
        <v>4611</v>
      </c>
      <c r="J473" s="1" t="s">
        <v>4612</v>
      </c>
      <c r="K473" s="1" t="s">
        <v>74</v>
      </c>
      <c r="L473" s="1" t="s">
        <v>74</v>
      </c>
      <c r="M473" s="1" t="s">
        <v>74</v>
      </c>
      <c r="N473" s="1" t="s">
        <v>74</v>
      </c>
      <c r="O473" s="1" t="s">
        <v>74</v>
      </c>
      <c r="P473" s="1" t="s">
        <v>74</v>
      </c>
      <c r="Q473" s="1" t="s">
        <v>74</v>
      </c>
      <c r="R473" s="1" t="s">
        <v>74</v>
      </c>
      <c r="S473" s="1" t="s">
        <v>74</v>
      </c>
      <c r="T473" s="1" t="s">
        <v>74</v>
      </c>
      <c r="U473" s="1" t="s">
        <v>74</v>
      </c>
      <c r="V473" s="1" t="s">
        <v>4613</v>
      </c>
      <c r="W473" s="1" t="s">
        <v>74</v>
      </c>
      <c r="X473" s="1" t="s">
        <v>74</v>
      </c>
      <c r="Y473" s="1" t="s">
        <v>74</v>
      </c>
      <c r="Z473" s="1" t="s">
        <v>74</v>
      </c>
      <c r="AA473" s="1" t="s">
        <v>4614</v>
      </c>
      <c r="AB473" s="1" t="s">
        <v>4615</v>
      </c>
      <c r="AC473" s="1" t="s">
        <v>74</v>
      </c>
      <c r="AD473" s="1" t="s">
        <v>74</v>
      </c>
      <c r="AE473" s="1" t="s">
        <v>74</v>
      </c>
      <c r="AF473" s="1" t="s">
        <v>74</v>
      </c>
      <c r="AG473" s="1" t="s">
        <v>74</v>
      </c>
      <c r="AH473" s="1" t="s">
        <v>74</v>
      </c>
      <c r="AI473" s="1" t="s">
        <v>74</v>
      </c>
      <c r="AJ473" s="1" t="s">
        <v>74</v>
      </c>
      <c r="AK473" s="1" t="s">
        <v>74</v>
      </c>
      <c r="AL473" s="1" t="s">
        <v>74</v>
      </c>
      <c r="AM473" s="1" t="s">
        <v>74</v>
      </c>
      <c r="AN473" s="1" t="s">
        <v>74</v>
      </c>
      <c r="AO473" s="1" t="s">
        <v>74</v>
      </c>
      <c r="AP473" s="1" t="s">
        <v>4616</v>
      </c>
      <c r="AQ473" s="1" t="s">
        <v>74</v>
      </c>
      <c r="AR473" s="1" t="s">
        <v>74</v>
      </c>
      <c r="AS473" s="1" t="s">
        <v>74</v>
      </c>
      <c r="AT473" s="1" t="s">
        <v>650</v>
      </c>
      <c r="AU473" s="1">
        <v>2023.0</v>
      </c>
      <c r="AV473" s="1">
        <v>12.0</v>
      </c>
      <c r="AW473" s="1">
        <v>3.0</v>
      </c>
      <c r="AX473" s="1" t="s">
        <v>74</v>
      </c>
      <c r="AY473" s="1" t="s">
        <v>74</v>
      </c>
      <c r="AZ473" s="1" t="s">
        <v>74</v>
      </c>
      <c r="BA473" s="1" t="s">
        <v>74</v>
      </c>
      <c r="BB473" s="1" t="s">
        <v>74</v>
      </c>
      <c r="BC473" s="1" t="s">
        <v>74</v>
      </c>
      <c r="BD473" s="1">
        <v>180.0</v>
      </c>
      <c r="BE473" s="1" t="s">
        <v>4617</v>
      </c>
      <c r="BF473" s="2" t="str">
        <f>HYPERLINK("http://dx.doi.org/10.3390/socsci12030180","http://dx.doi.org/10.3390/socsci12030180")</f>
        <v>http://dx.doi.org/10.3390/socsci12030180</v>
      </c>
      <c r="BG473" s="1" t="s">
        <v>74</v>
      </c>
      <c r="BH473" s="1" t="s">
        <v>74</v>
      </c>
      <c r="BI473" s="1" t="s">
        <v>74</v>
      </c>
      <c r="BJ473" s="1" t="s">
        <v>74</v>
      </c>
      <c r="BK473" s="1" t="s">
        <v>74</v>
      </c>
      <c r="BL473" s="1" t="s">
        <v>74</v>
      </c>
      <c r="BM473" s="1" t="s">
        <v>74</v>
      </c>
      <c r="BN473" s="1" t="s">
        <v>74</v>
      </c>
      <c r="BO473" s="1" t="s">
        <v>74</v>
      </c>
      <c r="BP473" s="1" t="s">
        <v>74</v>
      </c>
      <c r="BQ473" s="1" t="s">
        <v>74</v>
      </c>
      <c r="BR473" s="1" t="s">
        <v>74</v>
      </c>
      <c r="BS473" s="1" t="s">
        <v>4618</v>
      </c>
      <c r="BT473" s="1" t="str">
        <f>HYPERLINK("https%3A%2F%2Fwww.webofscience.com%2Fwos%2Fwoscc%2Ffull-record%2FWOS:000959904800001","View Full Record in Web of Science")</f>
        <v>View Full Record in Web of Science</v>
      </c>
    </row>
    <row r="474" ht="12.75" customHeight="1">
      <c r="A474" s="1" t="s">
        <v>72</v>
      </c>
      <c r="B474" s="1" t="s">
        <v>4619</v>
      </c>
      <c r="C474" s="1" t="s">
        <v>74</v>
      </c>
      <c r="D474" s="1" t="s">
        <v>74</v>
      </c>
      <c r="E474" s="1" t="s">
        <v>74</v>
      </c>
      <c r="F474" s="1" t="s">
        <v>4620</v>
      </c>
      <c r="G474" s="1" t="s">
        <v>74</v>
      </c>
      <c r="H474" s="1" t="s">
        <v>74</v>
      </c>
      <c r="I474" s="1" t="s">
        <v>4621</v>
      </c>
      <c r="J474" s="1" t="s">
        <v>4622</v>
      </c>
      <c r="K474" s="1" t="s">
        <v>74</v>
      </c>
      <c r="L474" s="1" t="s">
        <v>74</v>
      </c>
      <c r="M474" s="1" t="s">
        <v>74</v>
      </c>
      <c r="N474" s="1" t="s">
        <v>74</v>
      </c>
      <c r="O474" s="1" t="s">
        <v>74</v>
      </c>
      <c r="P474" s="1" t="s">
        <v>74</v>
      </c>
      <c r="Q474" s="1" t="s">
        <v>74</v>
      </c>
      <c r="R474" s="1" t="s">
        <v>74</v>
      </c>
      <c r="S474" s="1" t="s">
        <v>74</v>
      </c>
      <c r="T474" s="1" t="s">
        <v>74</v>
      </c>
      <c r="U474" s="1" t="s">
        <v>74</v>
      </c>
      <c r="V474" s="1" t="s">
        <v>74</v>
      </c>
      <c r="W474" s="1" t="s">
        <v>74</v>
      </c>
      <c r="X474" s="1" t="s">
        <v>74</v>
      </c>
      <c r="Y474" s="1" t="s">
        <v>74</v>
      </c>
      <c r="Z474" s="1" t="s">
        <v>74</v>
      </c>
      <c r="AA474" s="1" t="s">
        <v>4623</v>
      </c>
      <c r="AB474" s="1" t="s">
        <v>4624</v>
      </c>
      <c r="AC474" s="1" t="s">
        <v>74</v>
      </c>
      <c r="AD474" s="1" t="s">
        <v>74</v>
      </c>
      <c r="AE474" s="1" t="s">
        <v>74</v>
      </c>
      <c r="AF474" s="1" t="s">
        <v>74</v>
      </c>
      <c r="AG474" s="1" t="s">
        <v>74</v>
      </c>
      <c r="AH474" s="1" t="s">
        <v>74</v>
      </c>
      <c r="AI474" s="1" t="s">
        <v>74</v>
      </c>
      <c r="AJ474" s="1" t="s">
        <v>74</v>
      </c>
      <c r="AK474" s="1" t="s">
        <v>74</v>
      </c>
      <c r="AL474" s="1" t="s">
        <v>74</v>
      </c>
      <c r="AM474" s="1" t="s">
        <v>74</v>
      </c>
      <c r="AN474" s="1" t="s">
        <v>74</v>
      </c>
      <c r="AO474" s="1" t="s">
        <v>424</v>
      </c>
      <c r="AP474" s="1" t="s">
        <v>425</v>
      </c>
      <c r="AQ474" s="1" t="s">
        <v>74</v>
      </c>
      <c r="AR474" s="1" t="s">
        <v>74</v>
      </c>
      <c r="AS474" s="1" t="s">
        <v>74</v>
      </c>
      <c r="AT474" s="1" t="s">
        <v>459</v>
      </c>
      <c r="AU474" s="1">
        <v>2022.0</v>
      </c>
      <c r="AV474" s="1">
        <v>54.0</v>
      </c>
      <c r="AW474" s="1">
        <v>9.0</v>
      </c>
      <c r="AX474" s="1" t="s">
        <v>74</v>
      </c>
      <c r="AY474" s="1" t="s">
        <v>1511</v>
      </c>
      <c r="AZ474" s="1" t="s">
        <v>74</v>
      </c>
      <c r="BA474" s="1">
        <v>2450.0</v>
      </c>
      <c r="BB474" s="1">
        <v>461.0</v>
      </c>
      <c r="BC474" s="1">
        <v>461.0</v>
      </c>
      <c r="BD474" s="1" t="s">
        <v>74</v>
      </c>
      <c r="BE474" s="1" t="s">
        <v>74</v>
      </c>
      <c r="BF474" s="1" t="s">
        <v>74</v>
      </c>
      <c r="BG474" s="1" t="s">
        <v>74</v>
      </c>
      <c r="BH474" s="1" t="s">
        <v>74</v>
      </c>
      <c r="BI474" s="1" t="s">
        <v>74</v>
      </c>
      <c r="BJ474" s="1" t="s">
        <v>74</v>
      </c>
      <c r="BK474" s="1" t="s">
        <v>74</v>
      </c>
      <c r="BL474" s="1" t="s">
        <v>74</v>
      </c>
      <c r="BM474" s="1" t="s">
        <v>74</v>
      </c>
      <c r="BN474" s="1" t="s">
        <v>74</v>
      </c>
      <c r="BO474" s="1" t="s">
        <v>74</v>
      </c>
      <c r="BP474" s="1" t="s">
        <v>74</v>
      </c>
      <c r="BQ474" s="1" t="s">
        <v>74</v>
      </c>
      <c r="BR474" s="1" t="s">
        <v>74</v>
      </c>
      <c r="BS474" s="1" t="s">
        <v>4625</v>
      </c>
      <c r="BT474" s="1" t="str">
        <f>HYPERLINK("https%3A%2F%2Fwww.webofscience.com%2Fwos%2Fwoscc%2Ffull-record%2FWOS:000888056602072","View Full Record in Web of Science")</f>
        <v>View Full Record in Web of Science</v>
      </c>
    </row>
    <row r="475" ht="12.75" customHeight="1">
      <c r="A475" s="1" t="s">
        <v>72</v>
      </c>
      <c r="B475" s="1" t="s">
        <v>4626</v>
      </c>
      <c r="C475" s="1" t="s">
        <v>74</v>
      </c>
      <c r="D475" s="1" t="s">
        <v>74</v>
      </c>
      <c r="E475" s="1" t="s">
        <v>74</v>
      </c>
      <c r="F475" s="1" t="s">
        <v>4627</v>
      </c>
      <c r="G475" s="1" t="s">
        <v>74</v>
      </c>
      <c r="H475" s="1" t="s">
        <v>74</v>
      </c>
      <c r="I475" s="1" t="s">
        <v>4628</v>
      </c>
      <c r="J475" s="1" t="s">
        <v>4629</v>
      </c>
      <c r="K475" s="1" t="s">
        <v>74</v>
      </c>
      <c r="L475" s="1" t="s">
        <v>74</v>
      </c>
      <c r="M475" s="1" t="s">
        <v>74</v>
      </c>
      <c r="N475" s="1" t="s">
        <v>74</v>
      </c>
      <c r="O475" s="1" t="s">
        <v>74</v>
      </c>
      <c r="P475" s="1" t="s">
        <v>74</v>
      </c>
      <c r="Q475" s="1" t="s">
        <v>74</v>
      </c>
      <c r="R475" s="1" t="s">
        <v>74</v>
      </c>
      <c r="S475" s="1" t="s">
        <v>74</v>
      </c>
      <c r="T475" s="1" t="s">
        <v>74</v>
      </c>
      <c r="U475" s="1" t="s">
        <v>74</v>
      </c>
      <c r="V475" s="1" t="s">
        <v>4630</v>
      </c>
      <c r="W475" s="1" t="s">
        <v>74</v>
      </c>
      <c r="X475" s="1" t="s">
        <v>74</v>
      </c>
      <c r="Y475" s="1" t="s">
        <v>74</v>
      </c>
      <c r="Z475" s="1" t="s">
        <v>74</v>
      </c>
      <c r="AA475" s="1" t="s">
        <v>74</v>
      </c>
      <c r="AB475" s="1" t="s">
        <v>74</v>
      </c>
      <c r="AC475" s="1" t="s">
        <v>74</v>
      </c>
      <c r="AD475" s="1" t="s">
        <v>74</v>
      </c>
      <c r="AE475" s="1" t="s">
        <v>74</v>
      </c>
      <c r="AF475" s="1" t="s">
        <v>74</v>
      </c>
      <c r="AG475" s="1" t="s">
        <v>74</v>
      </c>
      <c r="AH475" s="1" t="s">
        <v>74</v>
      </c>
      <c r="AI475" s="1" t="s">
        <v>74</v>
      </c>
      <c r="AJ475" s="1" t="s">
        <v>74</v>
      </c>
      <c r="AK475" s="1" t="s">
        <v>74</v>
      </c>
      <c r="AL475" s="1" t="s">
        <v>74</v>
      </c>
      <c r="AM475" s="1" t="s">
        <v>74</v>
      </c>
      <c r="AN475" s="1" t="s">
        <v>74</v>
      </c>
      <c r="AO475" s="1" t="s">
        <v>4631</v>
      </c>
      <c r="AP475" s="1" t="s">
        <v>74</v>
      </c>
      <c r="AQ475" s="1" t="s">
        <v>74</v>
      </c>
      <c r="AR475" s="1" t="s">
        <v>74</v>
      </c>
      <c r="AS475" s="1" t="s">
        <v>74</v>
      </c>
      <c r="AT475" s="1" t="s">
        <v>1412</v>
      </c>
      <c r="AU475" s="1">
        <v>2022.0</v>
      </c>
      <c r="AV475" s="1">
        <v>89.0</v>
      </c>
      <c r="AW475" s="1">
        <v>355.0</v>
      </c>
      <c r="AX475" s="1" t="s">
        <v>74</v>
      </c>
      <c r="AY475" s="1" t="s">
        <v>74</v>
      </c>
      <c r="AZ475" s="1" t="s">
        <v>74</v>
      </c>
      <c r="BA475" s="1" t="s">
        <v>74</v>
      </c>
      <c r="BB475" s="1">
        <v>943.0</v>
      </c>
      <c r="BC475" s="1">
        <v>977.0</v>
      </c>
      <c r="BD475" s="1" t="s">
        <v>74</v>
      </c>
      <c r="BE475" s="1" t="s">
        <v>4632</v>
      </c>
      <c r="BF475" s="2" t="str">
        <f>HYPERLINK("http://dx.doi.org/10.20430/ete.v89i355.1595","http://dx.doi.org/10.20430/ete.v89i355.1595")</f>
        <v>http://dx.doi.org/10.20430/ete.v89i355.1595</v>
      </c>
      <c r="BG475" s="1" t="s">
        <v>74</v>
      </c>
      <c r="BH475" s="1" t="s">
        <v>74</v>
      </c>
      <c r="BI475" s="1" t="s">
        <v>74</v>
      </c>
      <c r="BJ475" s="1" t="s">
        <v>74</v>
      </c>
      <c r="BK475" s="1" t="s">
        <v>74</v>
      </c>
      <c r="BL475" s="1" t="s">
        <v>74</v>
      </c>
      <c r="BM475" s="1" t="s">
        <v>74</v>
      </c>
      <c r="BN475" s="1" t="s">
        <v>74</v>
      </c>
      <c r="BO475" s="1" t="s">
        <v>74</v>
      </c>
      <c r="BP475" s="1" t="s">
        <v>74</v>
      </c>
      <c r="BQ475" s="1" t="s">
        <v>74</v>
      </c>
      <c r="BR475" s="1" t="s">
        <v>74</v>
      </c>
      <c r="BS475" s="1" t="s">
        <v>4633</v>
      </c>
      <c r="BT475" s="1" t="str">
        <f>HYPERLINK("https%3A%2F%2Fwww.webofscience.com%2Fwos%2Fwoscc%2Ffull-record%2FWOS:000822837400009","View Full Record in Web of Science")</f>
        <v>View Full Record in Web of Science</v>
      </c>
    </row>
    <row r="476" ht="12.75" customHeight="1">
      <c r="A476" s="1" t="s">
        <v>72</v>
      </c>
      <c r="B476" s="1" t="s">
        <v>4634</v>
      </c>
      <c r="C476" s="1" t="s">
        <v>74</v>
      </c>
      <c r="D476" s="1" t="s">
        <v>74</v>
      </c>
      <c r="E476" s="1" t="s">
        <v>74</v>
      </c>
      <c r="F476" s="1" t="s">
        <v>4635</v>
      </c>
      <c r="G476" s="1" t="s">
        <v>74</v>
      </c>
      <c r="H476" s="1" t="s">
        <v>74</v>
      </c>
      <c r="I476" s="1" t="s">
        <v>4636</v>
      </c>
      <c r="J476" s="1" t="s">
        <v>2748</v>
      </c>
      <c r="K476" s="1" t="s">
        <v>74</v>
      </c>
      <c r="L476" s="1" t="s">
        <v>74</v>
      </c>
      <c r="M476" s="1" t="s">
        <v>74</v>
      </c>
      <c r="N476" s="1" t="s">
        <v>74</v>
      </c>
      <c r="O476" s="1" t="s">
        <v>74</v>
      </c>
      <c r="P476" s="1" t="s">
        <v>74</v>
      </c>
      <c r="Q476" s="1" t="s">
        <v>74</v>
      </c>
      <c r="R476" s="1" t="s">
        <v>74</v>
      </c>
      <c r="S476" s="1" t="s">
        <v>74</v>
      </c>
      <c r="T476" s="1" t="s">
        <v>74</v>
      </c>
      <c r="U476" s="1" t="s">
        <v>74</v>
      </c>
      <c r="V476" s="1" t="s">
        <v>4637</v>
      </c>
      <c r="W476" s="1" t="s">
        <v>74</v>
      </c>
      <c r="X476" s="1" t="s">
        <v>74</v>
      </c>
      <c r="Y476" s="1" t="s">
        <v>74</v>
      </c>
      <c r="Z476" s="1" t="s">
        <v>74</v>
      </c>
      <c r="AA476" s="1" t="s">
        <v>74</v>
      </c>
      <c r="AB476" s="1" t="s">
        <v>74</v>
      </c>
      <c r="AC476" s="1" t="s">
        <v>74</v>
      </c>
      <c r="AD476" s="1" t="s">
        <v>74</v>
      </c>
      <c r="AE476" s="1" t="s">
        <v>74</v>
      </c>
      <c r="AF476" s="1" t="s">
        <v>74</v>
      </c>
      <c r="AG476" s="1" t="s">
        <v>74</v>
      </c>
      <c r="AH476" s="1" t="s">
        <v>74</v>
      </c>
      <c r="AI476" s="1" t="s">
        <v>74</v>
      </c>
      <c r="AJ476" s="1" t="s">
        <v>74</v>
      </c>
      <c r="AK476" s="1" t="s">
        <v>74</v>
      </c>
      <c r="AL476" s="1" t="s">
        <v>74</v>
      </c>
      <c r="AM476" s="1" t="s">
        <v>74</v>
      </c>
      <c r="AN476" s="1" t="s">
        <v>74</v>
      </c>
      <c r="AO476" s="1" t="s">
        <v>2750</v>
      </c>
      <c r="AP476" s="1" t="s">
        <v>74</v>
      </c>
      <c r="AQ476" s="1" t="s">
        <v>74</v>
      </c>
      <c r="AR476" s="1" t="s">
        <v>74</v>
      </c>
      <c r="AS476" s="1" t="s">
        <v>74</v>
      </c>
      <c r="AT476" s="1" t="s">
        <v>320</v>
      </c>
      <c r="AU476" s="1">
        <v>2022.0</v>
      </c>
      <c r="AV476" s="1">
        <v>55.0</v>
      </c>
      <c r="AW476" s="1">
        <v>2.0</v>
      </c>
      <c r="AX476" s="1" t="s">
        <v>74</v>
      </c>
      <c r="AY476" s="1" t="s">
        <v>74</v>
      </c>
      <c r="AZ476" s="1" t="s">
        <v>74</v>
      </c>
      <c r="BA476" s="1" t="s">
        <v>74</v>
      </c>
      <c r="BB476" s="1">
        <v>217.0</v>
      </c>
      <c r="BC476" s="1">
        <v>255.0</v>
      </c>
      <c r="BD476" s="1" t="s">
        <v>74</v>
      </c>
      <c r="BE476" s="1" t="s">
        <v>74</v>
      </c>
      <c r="BF476" s="1" t="s">
        <v>74</v>
      </c>
      <c r="BG476" s="1" t="s">
        <v>74</v>
      </c>
      <c r="BH476" s="1" t="s">
        <v>74</v>
      </c>
      <c r="BI476" s="1" t="s">
        <v>74</v>
      </c>
      <c r="BJ476" s="1" t="s">
        <v>74</v>
      </c>
      <c r="BK476" s="1" t="s">
        <v>74</v>
      </c>
      <c r="BL476" s="1" t="s">
        <v>74</v>
      </c>
      <c r="BM476" s="1" t="s">
        <v>74</v>
      </c>
      <c r="BN476" s="1" t="s">
        <v>74</v>
      </c>
      <c r="BO476" s="1" t="s">
        <v>74</v>
      </c>
      <c r="BP476" s="1" t="s">
        <v>74</v>
      </c>
      <c r="BQ476" s="1" t="s">
        <v>74</v>
      </c>
      <c r="BR476" s="1" t="s">
        <v>74</v>
      </c>
      <c r="BS476" s="1" t="s">
        <v>4638</v>
      </c>
      <c r="BT476" s="1" t="str">
        <f>HYPERLINK("https%3A%2F%2Fwww.webofscience.com%2Fwos%2Fwoscc%2Ffull-record%2FWOS:000976783400007","View Full Record in Web of Science")</f>
        <v>View Full Record in Web of Science</v>
      </c>
    </row>
    <row r="477" ht="12.75" customHeight="1">
      <c r="A477" s="1" t="s">
        <v>72</v>
      </c>
      <c r="B477" s="1" t="s">
        <v>4639</v>
      </c>
      <c r="C477" s="1" t="s">
        <v>74</v>
      </c>
      <c r="D477" s="1" t="s">
        <v>74</v>
      </c>
      <c r="E477" s="1" t="s">
        <v>74</v>
      </c>
      <c r="F477" s="1" t="s">
        <v>4640</v>
      </c>
      <c r="G477" s="1" t="s">
        <v>74</v>
      </c>
      <c r="H477" s="1" t="s">
        <v>74</v>
      </c>
      <c r="I477" s="1" t="s">
        <v>4641</v>
      </c>
      <c r="J477" s="1" t="s">
        <v>4642</v>
      </c>
      <c r="K477" s="1" t="s">
        <v>74</v>
      </c>
      <c r="L477" s="1" t="s">
        <v>74</v>
      </c>
      <c r="M477" s="1" t="s">
        <v>74</v>
      </c>
      <c r="N477" s="1" t="s">
        <v>74</v>
      </c>
      <c r="O477" s="1" t="s">
        <v>74</v>
      </c>
      <c r="P477" s="1" t="s">
        <v>74</v>
      </c>
      <c r="Q477" s="1" t="s">
        <v>74</v>
      </c>
      <c r="R477" s="1" t="s">
        <v>74</v>
      </c>
      <c r="S477" s="1" t="s">
        <v>74</v>
      </c>
      <c r="T477" s="1" t="s">
        <v>74</v>
      </c>
      <c r="U477" s="1" t="s">
        <v>74</v>
      </c>
      <c r="V477" s="1" t="s">
        <v>4643</v>
      </c>
      <c r="W477" s="1" t="s">
        <v>74</v>
      </c>
      <c r="X477" s="1" t="s">
        <v>74</v>
      </c>
      <c r="Y477" s="1" t="s">
        <v>74</v>
      </c>
      <c r="Z477" s="1" t="s">
        <v>74</v>
      </c>
      <c r="AA477" s="1" t="s">
        <v>4644</v>
      </c>
      <c r="AB477" s="1" t="s">
        <v>4645</v>
      </c>
      <c r="AC477" s="1" t="s">
        <v>74</v>
      </c>
      <c r="AD477" s="1" t="s">
        <v>74</v>
      </c>
      <c r="AE477" s="1" t="s">
        <v>74</v>
      </c>
      <c r="AF477" s="1" t="s">
        <v>74</v>
      </c>
      <c r="AG477" s="1" t="s">
        <v>74</v>
      </c>
      <c r="AH477" s="1" t="s">
        <v>74</v>
      </c>
      <c r="AI477" s="1" t="s">
        <v>74</v>
      </c>
      <c r="AJ477" s="1" t="s">
        <v>74</v>
      </c>
      <c r="AK477" s="1" t="s">
        <v>74</v>
      </c>
      <c r="AL477" s="1" t="s">
        <v>74</v>
      </c>
      <c r="AM477" s="1" t="s">
        <v>74</v>
      </c>
      <c r="AN477" s="1" t="s">
        <v>74</v>
      </c>
      <c r="AO477" s="1" t="s">
        <v>4646</v>
      </c>
      <c r="AP477" s="1" t="s">
        <v>74</v>
      </c>
      <c r="AQ477" s="1" t="s">
        <v>74</v>
      </c>
      <c r="AR477" s="1" t="s">
        <v>74</v>
      </c>
      <c r="AS477" s="1" t="s">
        <v>74</v>
      </c>
      <c r="AT477" s="1" t="s">
        <v>180</v>
      </c>
      <c r="AU477" s="1">
        <v>2022.0</v>
      </c>
      <c r="AV477" s="1">
        <v>12.0</v>
      </c>
      <c r="AW477" s="1">
        <v>5.0</v>
      </c>
      <c r="AX477" s="1" t="s">
        <v>74</v>
      </c>
      <c r="AY477" s="1" t="s">
        <v>74</v>
      </c>
      <c r="AZ477" s="1" t="s">
        <v>74</v>
      </c>
      <c r="BA477" s="1" t="s">
        <v>74</v>
      </c>
      <c r="BB477" s="1" t="s">
        <v>74</v>
      </c>
      <c r="BC477" s="1" t="s">
        <v>74</v>
      </c>
      <c r="BD477" s="1" t="s">
        <v>4647</v>
      </c>
      <c r="BE477" s="1" t="s">
        <v>4648</v>
      </c>
      <c r="BF477" s="2" t="str">
        <f>HYPERLINK("http://dx.doi.org/10.1136/bmjopen-2022-061345","http://dx.doi.org/10.1136/bmjopen-2022-061345")</f>
        <v>http://dx.doi.org/10.1136/bmjopen-2022-061345</v>
      </c>
      <c r="BG477" s="1" t="s">
        <v>74</v>
      </c>
      <c r="BH477" s="1" t="s">
        <v>74</v>
      </c>
      <c r="BI477" s="1" t="s">
        <v>74</v>
      </c>
      <c r="BJ477" s="1" t="s">
        <v>74</v>
      </c>
      <c r="BK477" s="1" t="s">
        <v>74</v>
      </c>
      <c r="BL477" s="1" t="s">
        <v>74</v>
      </c>
      <c r="BM477" s="1" t="s">
        <v>74</v>
      </c>
      <c r="BN477" s="1">
        <v>3.5589344E7</v>
      </c>
      <c r="BO477" s="1" t="s">
        <v>74</v>
      </c>
      <c r="BP477" s="1" t="s">
        <v>74</v>
      </c>
      <c r="BQ477" s="1" t="s">
        <v>74</v>
      </c>
      <c r="BR477" s="1" t="s">
        <v>74</v>
      </c>
      <c r="BS477" s="1" t="s">
        <v>4649</v>
      </c>
      <c r="BT477" s="1" t="str">
        <f>HYPERLINK("https%3A%2F%2Fwww.webofscience.com%2Fwos%2Fwoscc%2Ffull-record%2FWOS:000798799500013","View Full Record in Web of Science")</f>
        <v>View Full Record in Web of Science</v>
      </c>
    </row>
    <row r="478" ht="12.75" customHeight="1">
      <c r="A478" s="1" t="s">
        <v>72</v>
      </c>
      <c r="B478" s="1" t="s">
        <v>4650</v>
      </c>
      <c r="C478" s="1" t="s">
        <v>74</v>
      </c>
      <c r="D478" s="1" t="s">
        <v>74</v>
      </c>
      <c r="E478" s="1" t="s">
        <v>74</v>
      </c>
      <c r="F478" s="1" t="s">
        <v>4651</v>
      </c>
      <c r="G478" s="1" t="s">
        <v>74</v>
      </c>
      <c r="H478" s="1" t="s">
        <v>74</v>
      </c>
      <c r="I478" s="1" t="s">
        <v>4652</v>
      </c>
      <c r="J478" s="1" t="s">
        <v>1709</v>
      </c>
      <c r="K478" s="1" t="s">
        <v>74</v>
      </c>
      <c r="L478" s="1" t="s">
        <v>74</v>
      </c>
      <c r="M478" s="1" t="s">
        <v>74</v>
      </c>
      <c r="N478" s="1" t="s">
        <v>74</v>
      </c>
      <c r="O478" s="1" t="s">
        <v>74</v>
      </c>
      <c r="P478" s="1" t="s">
        <v>74</v>
      </c>
      <c r="Q478" s="1" t="s">
        <v>74</v>
      </c>
      <c r="R478" s="1" t="s">
        <v>74</v>
      </c>
      <c r="S478" s="1" t="s">
        <v>74</v>
      </c>
      <c r="T478" s="1" t="s">
        <v>74</v>
      </c>
      <c r="U478" s="1" t="s">
        <v>74</v>
      </c>
      <c r="V478" s="1" t="s">
        <v>4653</v>
      </c>
      <c r="W478" s="1" t="s">
        <v>74</v>
      </c>
      <c r="X478" s="1" t="s">
        <v>74</v>
      </c>
      <c r="Y478" s="1" t="s">
        <v>74</v>
      </c>
      <c r="Z478" s="1" t="s">
        <v>74</v>
      </c>
      <c r="AA478" s="1" t="s">
        <v>4654</v>
      </c>
      <c r="AB478" s="1" t="s">
        <v>4655</v>
      </c>
      <c r="AC478" s="1" t="s">
        <v>74</v>
      </c>
      <c r="AD478" s="1" t="s">
        <v>74</v>
      </c>
      <c r="AE478" s="1" t="s">
        <v>74</v>
      </c>
      <c r="AF478" s="1" t="s">
        <v>74</v>
      </c>
      <c r="AG478" s="1" t="s">
        <v>74</v>
      </c>
      <c r="AH478" s="1" t="s">
        <v>74</v>
      </c>
      <c r="AI478" s="1" t="s">
        <v>74</v>
      </c>
      <c r="AJ478" s="1" t="s">
        <v>74</v>
      </c>
      <c r="AK478" s="1" t="s">
        <v>74</v>
      </c>
      <c r="AL478" s="1" t="s">
        <v>74</v>
      </c>
      <c r="AM478" s="1" t="s">
        <v>74</v>
      </c>
      <c r="AN478" s="1" t="s">
        <v>74</v>
      </c>
      <c r="AO478" s="1" t="s">
        <v>74</v>
      </c>
      <c r="AP478" s="1" t="s">
        <v>1712</v>
      </c>
      <c r="AQ478" s="1" t="s">
        <v>74</v>
      </c>
      <c r="AR478" s="1" t="s">
        <v>74</v>
      </c>
      <c r="AS478" s="1" t="s">
        <v>74</v>
      </c>
      <c r="AT478" s="1" t="s">
        <v>180</v>
      </c>
      <c r="AU478" s="1">
        <v>2022.0</v>
      </c>
      <c r="AV478" s="1">
        <v>10.0</v>
      </c>
      <c r="AW478" s="1">
        <v>10.0</v>
      </c>
      <c r="AX478" s="1" t="s">
        <v>74</v>
      </c>
      <c r="AY478" s="1" t="s">
        <v>74</v>
      </c>
      <c r="AZ478" s="1" t="s">
        <v>74</v>
      </c>
      <c r="BA478" s="1" t="s">
        <v>74</v>
      </c>
      <c r="BB478" s="1" t="s">
        <v>74</v>
      </c>
      <c r="BC478" s="1" t="s">
        <v>74</v>
      </c>
      <c r="BD478" s="1">
        <v>1705.0</v>
      </c>
      <c r="BE478" s="1" t="s">
        <v>4656</v>
      </c>
      <c r="BF478" s="2" t="str">
        <f>HYPERLINK("http://dx.doi.org/10.3390/math10101705","http://dx.doi.org/10.3390/math10101705")</f>
        <v>http://dx.doi.org/10.3390/math10101705</v>
      </c>
      <c r="BG478" s="1" t="s">
        <v>74</v>
      </c>
      <c r="BH478" s="1" t="s">
        <v>74</v>
      </c>
      <c r="BI478" s="1" t="s">
        <v>74</v>
      </c>
      <c r="BJ478" s="1" t="s">
        <v>74</v>
      </c>
      <c r="BK478" s="1" t="s">
        <v>74</v>
      </c>
      <c r="BL478" s="1" t="s">
        <v>74</v>
      </c>
      <c r="BM478" s="1" t="s">
        <v>74</v>
      </c>
      <c r="BN478" s="1" t="s">
        <v>74</v>
      </c>
      <c r="BO478" s="1" t="s">
        <v>74</v>
      </c>
      <c r="BP478" s="1" t="s">
        <v>74</v>
      </c>
      <c r="BQ478" s="1" t="s">
        <v>74</v>
      </c>
      <c r="BR478" s="1" t="s">
        <v>74</v>
      </c>
      <c r="BS478" s="1" t="s">
        <v>4657</v>
      </c>
      <c r="BT478" s="1" t="str">
        <f>HYPERLINK("https%3A%2F%2Fwww.webofscience.com%2Fwos%2Fwoscc%2Ffull-record%2FWOS:000801342800001","View Full Record in Web of Science")</f>
        <v>View Full Record in Web of Science</v>
      </c>
    </row>
    <row r="479" ht="12.75" customHeight="1">
      <c r="A479" s="1" t="s">
        <v>72</v>
      </c>
      <c r="B479" s="1" t="s">
        <v>4658</v>
      </c>
      <c r="C479" s="1" t="s">
        <v>74</v>
      </c>
      <c r="D479" s="1" t="s">
        <v>74</v>
      </c>
      <c r="E479" s="1" t="s">
        <v>74</v>
      </c>
      <c r="F479" s="1" t="s">
        <v>4659</v>
      </c>
      <c r="G479" s="1" t="s">
        <v>74</v>
      </c>
      <c r="H479" s="1" t="s">
        <v>74</v>
      </c>
      <c r="I479" s="1" t="s">
        <v>4660</v>
      </c>
      <c r="J479" s="1" t="s">
        <v>1893</v>
      </c>
      <c r="K479" s="1" t="s">
        <v>74</v>
      </c>
      <c r="L479" s="1" t="s">
        <v>74</v>
      </c>
      <c r="M479" s="1" t="s">
        <v>74</v>
      </c>
      <c r="N479" s="1" t="s">
        <v>74</v>
      </c>
      <c r="O479" s="1" t="s">
        <v>74</v>
      </c>
      <c r="P479" s="1" t="s">
        <v>74</v>
      </c>
      <c r="Q479" s="1" t="s">
        <v>74</v>
      </c>
      <c r="R479" s="1" t="s">
        <v>74</v>
      </c>
      <c r="S479" s="1" t="s">
        <v>74</v>
      </c>
      <c r="T479" s="1" t="s">
        <v>74</v>
      </c>
      <c r="U479" s="1" t="s">
        <v>74</v>
      </c>
      <c r="V479" s="1" t="s">
        <v>4661</v>
      </c>
      <c r="W479" s="1" t="s">
        <v>74</v>
      </c>
      <c r="X479" s="1" t="s">
        <v>74</v>
      </c>
      <c r="Y479" s="1" t="s">
        <v>74</v>
      </c>
      <c r="Z479" s="1" t="s">
        <v>74</v>
      </c>
      <c r="AA479" s="1" t="s">
        <v>4662</v>
      </c>
      <c r="AB479" s="1" t="s">
        <v>4663</v>
      </c>
      <c r="AC479" s="1" t="s">
        <v>74</v>
      </c>
      <c r="AD479" s="1" t="s">
        <v>74</v>
      </c>
      <c r="AE479" s="1" t="s">
        <v>74</v>
      </c>
      <c r="AF479" s="1" t="s">
        <v>74</v>
      </c>
      <c r="AG479" s="1" t="s">
        <v>74</v>
      </c>
      <c r="AH479" s="1" t="s">
        <v>74</v>
      </c>
      <c r="AI479" s="1" t="s">
        <v>74</v>
      </c>
      <c r="AJ479" s="1" t="s">
        <v>74</v>
      </c>
      <c r="AK479" s="1" t="s">
        <v>74</v>
      </c>
      <c r="AL479" s="1" t="s">
        <v>74</v>
      </c>
      <c r="AM479" s="1" t="s">
        <v>74</v>
      </c>
      <c r="AN479" s="1" t="s">
        <v>74</v>
      </c>
      <c r="AO479" s="1" t="s">
        <v>1897</v>
      </c>
      <c r="AP479" s="1" t="s">
        <v>74</v>
      </c>
      <c r="AQ479" s="1" t="s">
        <v>74</v>
      </c>
      <c r="AR479" s="1" t="s">
        <v>74</v>
      </c>
      <c r="AS479" s="1" t="s">
        <v>74</v>
      </c>
      <c r="AT479" s="1" t="s">
        <v>74</v>
      </c>
      <c r="AU479" s="1">
        <v>2022.0</v>
      </c>
      <c r="AV479" s="1">
        <v>31.0</v>
      </c>
      <c r="AW479" s="1">
        <v>1.0</v>
      </c>
      <c r="AX479" s="1" t="s">
        <v>74</v>
      </c>
      <c r="AY479" s="1" t="s">
        <v>74</v>
      </c>
      <c r="AZ479" s="1" t="s">
        <v>74</v>
      </c>
      <c r="BA479" s="1" t="s">
        <v>74</v>
      </c>
      <c r="BB479" s="1" t="s">
        <v>74</v>
      </c>
      <c r="BC479" s="1" t="s">
        <v>74</v>
      </c>
      <c r="BD479" s="1" t="s">
        <v>74</v>
      </c>
      <c r="BE479" s="1" t="s">
        <v>4664</v>
      </c>
      <c r="BF479" s="2" t="str">
        <f>HYPERLINK("http://dx.doi.org/10.22325/fes/res.2022.91","http://dx.doi.org/10.22325/fes/res.2022.91")</f>
        <v>http://dx.doi.org/10.22325/fes/res.2022.91</v>
      </c>
      <c r="BG479" s="1" t="s">
        <v>74</v>
      </c>
      <c r="BH479" s="1" t="s">
        <v>74</v>
      </c>
      <c r="BI479" s="1" t="s">
        <v>74</v>
      </c>
      <c r="BJ479" s="1" t="s">
        <v>74</v>
      </c>
      <c r="BK479" s="1" t="s">
        <v>74</v>
      </c>
      <c r="BL479" s="1" t="s">
        <v>74</v>
      </c>
      <c r="BM479" s="1" t="s">
        <v>74</v>
      </c>
      <c r="BN479" s="1" t="s">
        <v>74</v>
      </c>
      <c r="BO479" s="1" t="s">
        <v>74</v>
      </c>
      <c r="BP479" s="1" t="s">
        <v>74</v>
      </c>
      <c r="BQ479" s="1" t="s">
        <v>74</v>
      </c>
      <c r="BR479" s="1" t="s">
        <v>74</v>
      </c>
      <c r="BS479" s="1" t="s">
        <v>4665</v>
      </c>
      <c r="BT479" s="1" t="str">
        <f>HYPERLINK("https%3A%2F%2Fwww.webofscience.com%2Fwos%2Fwoscc%2Ffull-record%2FWOS:000740277000014","View Full Record in Web of Science")</f>
        <v>View Full Record in Web of Science</v>
      </c>
    </row>
    <row r="480" ht="12.75" customHeight="1">
      <c r="A480" s="1" t="s">
        <v>72</v>
      </c>
      <c r="B480" s="1" t="s">
        <v>4666</v>
      </c>
      <c r="C480" s="1" t="s">
        <v>74</v>
      </c>
      <c r="D480" s="1" t="s">
        <v>74</v>
      </c>
      <c r="E480" s="1" t="s">
        <v>74</v>
      </c>
      <c r="F480" s="1" t="s">
        <v>4667</v>
      </c>
      <c r="G480" s="1" t="s">
        <v>74</v>
      </c>
      <c r="H480" s="1" t="s">
        <v>74</v>
      </c>
      <c r="I480" s="1" t="s">
        <v>4668</v>
      </c>
      <c r="J480" s="1" t="s">
        <v>1239</v>
      </c>
      <c r="K480" s="1" t="s">
        <v>74</v>
      </c>
      <c r="L480" s="1" t="s">
        <v>74</v>
      </c>
      <c r="M480" s="1" t="s">
        <v>74</v>
      </c>
      <c r="N480" s="1" t="s">
        <v>74</v>
      </c>
      <c r="O480" s="1" t="s">
        <v>74</v>
      </c>
      <c r="P480" s="1" t="s">
        <v>74</v>
      </c>
      <c r="Q480" s="1" t="s">
        <v>74</v>
      </c>
      <c r="R480" s="1" t="s">
        <v>74</v>
      </c>
      <c r="S480" s="1" t="s">
        <v>74</v>
      </c>
      <c r="T480" s="1" t="s">
        <v>74</v>
      </c>
      <c r="U480" s="1" t="s">
        <v>74</v>
      </c>
      <c r="V480" s="1" t="s">
        <v>4669</v>
      </c>
      <c r="W480" s="1" t="s">
        <v>74</v>
      </c>
      <c r="X480" s="1" t="s">
        <v>74</v>
      </c>
      <c r="Y480" s="1" t="s">
        <v>74</v>
      </c>
      <c r="Z480" s="1" t="s">
        <v>74</v>
      </c>
      <c r="AA480" s="1" t="s">
        <v>4670</v>
      </c>
      <c r="AB480" s="1" t="s">
        <v>4671</v>
      </c>
      <c r="AC480" s="1" t="s">
        <v>74</v>
      </c>
      <c r="AD480" s="1" t="s">
        <v>74</v>
      </c>
      <c r="AE480" s="1" t="s">
        <v>74</v>
      </c>
      <c r="AF480" s="1" t="s">
        <v>74</v>
      </c>
      <c r="AG480" s="1" t="s">
        <v>74</v>
      </c>
      <c r="AH480" s="1" t="s">
        <v>74</v>
      </c>
      <c r="AI480" s="1" t="s">
        <v>74</v>
      </c>
      <c r="AJ480" s="1" t="s">
        <v>74</v>
      </c>
      <c r="AK480" s="1" t="s">
        <v>74</v>
      </c>
      <c r="AL480" s="1" t="s">
        <v>74</v>
      </c>
      <c r="AM480" s="1" t="s">
        <v>74</v>
      </c>
      <c r="AN480" s="1" t="s">
        <v>74</v>
      </c>
      <c r="AO480" s="1" t="s">
        <v>74</v>
      </c>
      <c r="AP480" s="1" t="s">
        <v>1243</v>
      </c>
      <c r="AQ480" s="1" t="s">
        <v>74</v>
      </c>
      <c r="AR480" s="1" t="s">
        <v>74</v>
      </c>
      <c r="AS480" s="1" t="s">
        <v>74</v>
      </c>
      <c r="AT480" s="1" t="s">
        <v>110</v>
      </c>
      <c r="AU480" s="1">
        <v>2021.0</v>
      </c>
      <c r="AV480" s="1">
        <v>13.0</v>
      </c>
      <c r="AW480" s="1">
        <v>24.0</v>
      </c>
      <c r="AX480" s="1" t="s">
        <v>74</v>
      </c>
      <c r="AY480" s="1" t="s">
        <v>74</v>
      </c>
      <c r="AZ480" s="1" t="s">
        <v>74</v>
      </c>
      <c r="BA480" s="1" t="s">
        <v>74</v>
      </c>
      <c r="BB480" s="1" t="s">
        <v>74</v>
      </c>
      <c r="BC480" s="1" t="s">
        <v>74</v>
      </c>
      <c r="BD480" s="1">
        <v>13681.0</v>
      </c>
      <c r="BE480" s="1" t="s">
        <v>4672</v>
      </c>
      <c r="BF480" s="2" t="str">
        <f>HYPERLINK("http://dx.doi.org/10.3390/su132413681","http://dx.doi.org/10.3390/su132413681")</f>
        <v>http://dx.doi.org/10.3390/su132413681</v>
      </c>
      <c r="BG480" s="1" t="s">
        <v>74</v>
      </c>
      <c r="BH480" s="1" t="s">
        <v>74</v>
      </c>
      <c r="BI480" s="1" t="s">
        <v>74</v>
      </c>
      <c r="BJ480" s="1" t="s">
        <v>74</v>
      </c>
      <c r="BK480" s="1" t="s">
        <v>74</v>
      </c>
      <c r="BL480" s="1" t="s">
        <v>74</v>
      </c>
      <c r="BM480" s="1" t="s">
        <v>74</v>
      </c>
      <c r="BN480" s="1" t="s">
        <v>74</v>
      </c>
      <c r="BO480" s="1" t="s">
        <v>74</v>
      </c>
      <c r="BP480" s="1" t="s">
        <v>74</v>
      </c>
      <c r="BQ480" s="1" t="s">
        <v>74</v>
      </c>
      <c r="BR480" s="1" t="s">
        <v>74</v>
      </c>
      <c r="BS480" s="1" t="s">
        <v>4673</v>
      </c>
      <c r="BT480" s="1" t="str">
        <f>HYPERLINK("https%3A%2F%2Fwww.webofscience.com%2Fwos%2Fwoscc%2Ffull-record%2FWOS:000742877400001","View Full Record in Web of Science")</f>
        <v>View Full Record in Web of Science</v>
      </c>
    </row>
    <row r="481" ht="12.75" customHeight="1">
      <c r="A481" s="1" t="s">
        <v>72</v>
      </c>
      <c r="B481" s="1" t="s">
        <v>4674</v>
      </c>
      <c r="C481" s="1" t="s">
        <v>74</v>
      </c>
      <c r="D481" s="1" t="s">
        <v>74</v>
      </c>
      <c r="E481" s="1" t="s">
        <v>74</v>
      </c>
      <c r="F481" s="1" t="s">
        <v>4675</v>
      </c>
      <c r="G481" s="1" t="s">
        <v>74</v>
      </c>
      <c r="H481" s="1" t="s">
        <v>74</v>
      </c>
      <c r="I481" s="1" t="s">
        <v>4676</v>
      </c>
      <c r="J481" s="1" t="s">
        <v>4268</v>
      </c>
      <c r="K481" s="1" t="s">
        <v>74</v>
      </c>
      <c r="L481" s="1" t="s">
        <v>74</v>
      </c>
      <c r="M481" s="1" t="s">
        <v>74</v>
      </c>
      <c r="N481" s="1" t="s">
        <v>74</v>
      </c>
      <c r="O481" s="1" t="s">
        <v>74</v>
      </c>
      <c r="P481" s="1" t="s">
        <v>74</v>
      </c>
      <c r="Q481" s="1" t="s">
        <v>74</v>
      </c>
      <c r="R481" s="1" t="s">
        <v>74</v>
      </c>
      <c r="S481" s="1" t="s">
        <v>74</v>
      </c>
      <c r="T481" s="1" t="s">
        <v>74</v>
      </c>
      <c r="U481" s="1" t="s">
        <v>74</v>
      </c>
      <c r="V481" s="1" t="s">
        <v>4677</v>
      </c>
      <c r="W481" s="1" t="s">
        <v>74</v>
      </c>
      <c r="X481" s="1" t="s">
        <v>74</v>
      </c>
      <c r="Y481" s="1" t="s">
        <v>74</v>
      </c>
      <c r="Z481" s="1" t="s">
        <v>74</v>
      </c>
      <c r="AA481" s="1" t="s">
        <v>74</v>
      </c>
      <c r="AB481" s="1" t="s">
        <v>4678</v>
      </c>
      <c r="AC481" s="1" t="s">
        <v>74</v>
      </c>
      <c r="AD481" s="1" t="s">
        <v>74</v>
      </c>
      <c r="AE481" s="1" t="s">
        <v>74</v>
      </c>
      <c r="AF481" s="1" t="s">
        <v>74</v>
      </c>
      <c r="AG481" s="1" t="s">
        <v>74</v>
      </c>
      <c r="AH481" s="1" t="s">
        <v>74</v>
      </c>
      <c r="AI481" s="1" t="s">
        <v>74</v>
      </c>
      <c r="AJ481" s="1" t="s">
        <v>74</v>
      </c>
      <c r="AK481" s="1" t="s">
        <v>74</v>
      </c>
      <c r="AL481" s="1" t="s">
        <v>74</v>
      </c>
      <c r="AM481" s="1" t="s">
        <v>74</v>
      </c>
      <c r="AN481" s="1" t="s">
        <v>74</v>
      </c>
      <c r="AO481" s="1" t="s">
        <v>4271</v>
      </c>
      <c r="AP481" s="1" t="s">
        <v>4272</v>
      </c>
      <c r="AQ481" s="1" t="s">
        <v>74</v>
      </c>
      <c r="AR481" s="1" t="s">
        <v>74</v>
      </c>
      <c r="AS481" s="1" t="s">
        <v>74</v>
      </c>
      <c r="AT481" s="1" t="s">
        <v>169</v>
      </c>
      <c r="AU481" s="1">
        <v>2022.0</v>
      </c>
      <c r="AV481" s="1">
        <v>23.0</v>
      </c>
      <c r="AW481" s="1">
        <v>1.0</v>
      </c>
      <c r="AX481" s="1" t="s">
        <v>74</v>
      </c>
      <c r="AY481" s="1" t="s">
        <v>74</v>
      </c>
      <c r="AZ481" s="1" t="s">
        <v>74</v>
      </c>
      <c r="BA481" s="1" t="s">
        <v>74</v>
      </c>
      <c r="BB481" s="1">
        <v>25.0</v>
      </c>
      <c r="BC481" s="1">
        <v>47.0</v>
      </c>
      <c r="BD481" s="1" t="s">
        <v>74</v>
      </c>
      <c r="BE481" s="1" t="s">
        <v>4679</v>
      </c>
      <c r="BF481" s="2" t="str">
        <f>HYPERLINK("http://dx.doi.org/10.1007/s00023-021-01105-5","http://dx.doi.org/10.1007/s00023-021-01105-5")</f>
        <v>http://dx.doi.org/10.1007/s00023-021-01105-5</v>
      </c>
      <c r="BG481" s="1" t="s">
        <v>74</v>
      </c>
      <c r="BH481" s="1" t="s">
        <v>4680</v>
      </c>
      <c r="BI481" s="1" t="s">
        <v>74</v>
      </c>
      <c r="BJ481" s="1" t="s">
        <v>74</v>
      </c>
      <c r="BK481" s="1" t="s">
        <v>74</v>
      </c>
      <c r="BL481" s="1" t="s">
        <v>74</v>
      </c>
      <c r="BM481" s="1" t="s">
        <v>74</v>
      </c>
      <c r="BN481" s="1" t="s">
        <v>74</v>
      </c>
      <c r="BO481" s="1" t="s">
        <v>74</v>
      </c>
      <c r="BP481" s="1" t="s">
        <v>74</v>
      </c>
      <c r="BQ481" s="1" t="s">
        <v>74</v>
      </c>
      <c r="BR481" s="1" t="s">
        <v>74</v>
      </c>
      <c r="BS481" s="1" t="s">
        <v>4681</v>
      </c>
      <c r="BT481" s="1" t="str">
        <f>HYPERLINK("https%3A%2F%2Fwww.webofscience.com%2Fwos%2Fwoscc%2Ffull-record%2FWOS:000691966300001","View Full Record in Web of Science")</f>
        <v>View Full Record in Web of Science</v>
      </c>
    </row>
    <row r="482" ht="12.75" customHeight="1">
      <c r="A482" s="1" t="s">
        <v>72</v>
      </c>
      <c r="B482" s="1" t="s">
        <v>4682</v>
      </c>
      <c r="C482" s="1" t="s">
        <v>74</v>
      </c>
      <c r="D482" s="1" t="s">
        <v>74</v>
      </c>
      <c r="E482" s="1" t="s">
        <v>74</v>
      </c>
      <c r="F482" s="1" t="s">
        <v>4683</v>
      </c>
      <c r="G482" s="1" t="s">
        <v>74</v>
      </c>
      <c r="H482" s="1" t="s">
        <v>74</v>
      </c>
      <c r="I482" s="1" t="s">
        <v>4684</v>
      </c>
      <c r="J482" s="1" t="s">
        <v>2145</v>
      </c>
      <c r="K482" s="1" t="s">
        <v>74</v>
      </c>
      <c r="L482" s="1" t="s">
        <v>74</v>
      </c>
      <c r="M482" s="1" t="s">
        <v>74</v>
      </c>
      <c r="N482" s="1" t="s">
        <v>74</v>
      </c>
      <c r="O482" s="1" t="s">
        <v>74</v>
      </c>
      <c r="P482" s="1" t="s">
        <v>74</v>
      </c>
      <c r="Q482" s="1" t="s">
        <v>74</v>
      </c>
      <c r="R482" s="1" t="s">
        <v>74</v>
      </c>
      <c r="S482" s="1" t="s">
        <v>74</v>
      </c>
      <c r="T482" s="1" t="s">
        <v>74</v>
      </c>
      <c r="U482" s="1" t="s">
        <v>74</v>
      </c>
      <c r="V482" s="1" t="s">
        <v>4685</v>
      </c>
      <c r="W482" s="1" t="s">
        <v>74</v>
      </c>
      <c r="X482" s="1" t="s">
        <v>74</v>
      </c>
      <c r="Y482" s="1" t="s">
        <v>74</v>
      </c>
      <c r="Z482" s="1" t="s">
        <v>74</v>
      </c>
      <c r="AA482" s="1" t="s">
        <v>74</v>
      </c>
      <c r="AB482" s="1" t="s">
        <v>4686</v>
      </c>
      <c r="AC482" s="1" t="s">
        <v>74</v>
      </c>
      <c r="AD482" s="1" t="s">
        <v>74</v>
      </c>
      <c r="AE482" s="1" t="s">
        <v>74</v>
      </c>
      <c r="AF482" s="1" t="s">
        <v>74</v>
      </c>
      <c r="AG482" s="1" t="s">
        <v>74</v>
      </c>
      <c r="AH482" s="1" t="s">
        <v>74</v>
      </c>
      <c r="AI482" s="1" t="s">
        <v>74</v>
      </c>
      <c r="AJ482" s="1" t="s">
        <v>74</v>
      </c>
      <c r="AK482" s="1" t="s">
        <v>74</v>
      </c>
      <c r="AL482" s="1" t="s">
        <v>74</v>
      </c>
      <c r="AM482" s="1" t="s">
        <v>74</v>
      </c>
      <c r="AN482" s="1" t="s">
        <v>74</v>
      </c>
      <c r="AO482" s="1" t="s">
        <v>2148</v>
      </c>
      <c r="AP482" s="1" t="s">
        <v>2149</v>
      </c>
      <c r="AQ482" s="1" t="s">
        <v>74</v>
      </c>
      <c r="AR482" s="1" t="s">
        <v>74</v>
      </c>
      <c r="AS482" s="1" t="s">
        <v>74</v>
      </c>
      <c r="AT482" s="1" t="s">
        <v>123</v>
      </c>
      <c r="AU482" s="1">
        <v>2021.0</v>
      </c>
      <c r="AV482" s="1">
        <v>299.0</v>
      </c>
      <c r="AW482" s="1" t="s">
        <v>2150</v>
      </c>
      <c r="AX482" s="1" t="s">
        <v>74</v>
      </c>
      <c r="AY482" s="1" t="s">
        <v>74</v>
      </c>
      <c r="AZ482" s="1" t="s">
        <v>74</v>
      </c>
      <c r="BA482" s="1" t="s">
        <v>74</v>
      </c>
      <c r="BB482" s="1">
        <v>961.0</v>
      </c>
      <c r="BC482" s="1">
        <v>995.0</v>
      </c>
      <c r="BD482" s="1" t="s">
        <v>74</v>
      </c>
      <c r="BE482" s="1" t="s">
        <v>4687</v>
      </c>
      <c r="BF482" s="2" t="str">
        <f>HYPERLINK("http://dx.doi.org/10.1007/s00209-021-02707-9","http://dx.doi.org/10.1007/s00209-021-02707-9")</f>
        <v>http://dx.doi.org/10.1007/s00209-021-02707-9</v>
      </c>
      <c r="BG482" s="1" t="s">
        <v>74</v>
      </c>
      <c r="BH482" s="1" t="s">
        <v>2592</v>
      </c>
      <c r="BI482" s="1" t="s">
        <v>74</v>
      </c>
      <c r="BJ482" s="1" t="s">
        <v>74</v>
      </c>
      <c r="BK482" s="1" t="s">
        <v>74</v>
      </c>
      <c r="BL482" s="1" t="s">
        <v>74</v>
      </c>
      <c r="BM482" s="1" t="s">
        <v>74</v>
      </c>
      <c r="BN482" s="1" t="s">
        <v>74</v>
      </c>
      <c r="BO482" s="1" t="s">
        <v>74</v>
      </c>
      <c r="BP482" s="1" t="s">
        <v>74</v>
      </c>
      <c r="BQ482" s="1" t="s">
        <v>74</v>
      </c>
      <c r="BR482" s="1" t="s">
        <v>74</v>
      </c>
      <c r="BS482" s="1" t="s">
        <v>4688</v>
      </c>
      <c r="BT482" s="1" t="str">
        <f>HYPERLINK("https%3A%2F%2Fwww.webofscience.com%2Fwos%2Fwoscc%2Ffull-record%2FWOS:000625342900002","View Full Record in Web of Science")</f>
        <v>View Full Record in Web of Science</v>
      </c>
    </row>
    <row r="483" ht="12.75" customHeight="1">
      <c r="A483" s="1" t="s">
        <v>72</v>
      </c>
      <c r="B483" s="1" t="s">
        <v>4689</v>
      </c>
      <c r="C483" s="1" t="s">
        <v>74</v>
      </c>
      <c r="D483" s="1" t="s">
        <v>74</v>
      </c>
      <c r="E483" s="1" t="s">
        <v>74</v>
      </c>
      <c r="F483" s="1" t="s">
        <v>4690</v>
      </c>
      <c r="G483" s="1" t="s">
        <v>74</v>
      </c>
      <c r="H483" s="1" t="s">
        <v>74</v>
      </c>
      <c r="I483" s="1" t="s">
        <v>4691</v>
      </c>
      <c r="J483" s="1" t="s">
        <v>2524</v>
      </c>
      <c r="K483" s="1" t="s">
        <v>74</v>
      </c>
      <c r="L483" s="1" t="s">
        <v>74</v>
      </c>
      <c r="M483" s="1" t="s">
        <v>74</v>
      </c>
      <c r="N483" s="1" t="s">
        <v>74</v>
      </c>
      <c r="O483" s="1" t="s">
        <v>74</v>
      </c>
      <c r="P483" s="1" t="s">
        <v>74</v>
      </c>
      <c r="Q483" s="1" t="s">
        <v>74</v>
      </c>
      <c r="R483" s="1" t="s">
        <v>74</v>
      </c>
      <c r="S483" s="1" t="s">
        <v>74</v>
      </c>
      <c r="T483" s="1" t="s">
        <v>74</v>
      </c>
      <c r="U483" s="1" t="s">
        <v>74</v>
      </c>
      <c r="V483" s="1" t="s">
        <v>4692</v>
      </c>
      <c r="W483" s="1" t="s">
        <v>74</v>
      </c>
      <c r="X483" s="1" t="s">
        <v>74</v>
      </c>
      <c r="Y483" s="1" t="s">
        <v>74</v>
      </c>
      <c r="Z483" s="1" t="s">
        <v>74</v>
      </c>
      <c r="AA483" s="1" t="s">
        <v>4693</v>
      </c>
      <c r="AB483" s="1" t="s">
        <v>4694</v>
      </c>
      <c r="AC483" s="1" t="s">
        <v>74</v>
      </c>
      <c r="AD483" s="1" t="s">
        <v>74</v>
      </c>
      <c r="AE483" s="1" t="s">
        <v>74</v>
      </c>
      <c r="AF483" s="1" t="s">
        <v>74</v>
      </c>
      <c r="AG483" s="1" t="s">
        <v>74</v>
      </c>
      <c r="AH483" s="1" t="s">
        <v>74</v>
      </c>
      <c r="AI483" s="1" t="s">
        <v>74</v>
      </c>
      <c r="AJ483" s="1" t="s">
        <v>74</v>
      </c>
      <c r="AK483" s="1" t="s">
        <v>74</v>
      </c>
      <c r="AL483" s="1" t="s">
        <v>74</v>
      </c>
      <c r="AM483" s="1" t="s">
        <v>74</v>
      </c>
      <c r="AN483" s="1" t="s">
        <v>74</v>
      </c>
      <c r="AO483" s="1" t="s">
        <v>74</v>
      </c>
      <c r="AP483" s="1" t="s">
        <v>2528</v>
      </c>
      <c r="AQ483" s="1" t="s">
        <v>74</v>
      </c>
      <c r="AR483" s="1" t="s">
        <v>74</v>
      </c>
      <c r="AS483" s="1" t="s">
        <v>74</v>
      </c>
      <c r="AT483" s="1" t="s">
        <v>360</v>
      </c>
      <c r="AU483" s="1">
        <v>2021.0</v>
      </c>
      <c r="AV483" s="1">
        <v>11.0</v>
      </c>
      <c r="AW483" s="1">
        <v>2.0</v>
      </c>
      <c r="AX483" s="1" t="s">
        <v>74</v>
      </c>
      <c r="AY483" s="1" t="s">
        <v>74</v>
      </c>
      <c r="AZ483" s="1" t="s">
        <v>74</v>
      </c>
      <c r="BA483" s="1" t="s">
        <v>74</v>
      </c>
      <c r="BB483" s="1" t="s">
        <v>74</v>
      </c>
      <c r="BC483" s="1" t="s">
        <v>74</v>
      </c>
      <c r="BD483" s="1">
        <v>180.0</v>
      </c>
      <c r="BE483" s="1" t="s">
        <v>4695</v>
      </c>
      <c r="BF483" s="2" t="str">
        <f>HYPERLINK("http://dx.doi.org/10.3390/min11020180","http://dx.doi.org/10.3390/min11020180")</f>
        <v>http://dx.doi.org/10.3390/min11020180</v>
      </c>
      <c r="BG483" s="1" t="s">
        <v>74</v>
      </c>
      <c r="BH483" s="1" t="s">
        <v>74</v>
      </c>
      <c r="BI483" s="1" t="s">
        <v>74</v>
      </c>
      <c r="BJ483" s="1" t="s">
        <v>74</v>
      </c>
      <c r="BK483" s="1" t="s">
        <v>74</v>
      </c>
      <c r="BL483" s="1" t="s">
        <v>74</v>
      </c>
      <c r="BM483" s="1" t="s">
        <v>74</v>
      </c>
      <c r="BN483" s="1" t="s">
        <v>74</v>
      </c>
      <c r="BO483" s="1" t="s">
        <v>74</v>
      </c>
      <c r="BP483" s="1" t="s">
        <v>74</v>
      </c>
      <c r="BQ483" s="1" t="s">
        <v>74</v>
      </c>
      <c r="BR483" s="1" t="s">
        <v>74</v>
      </c>
      <c r="BS483" s="1" t="s">
        <v>4696</v>
      </c>
      <c r="BT483" s="1" t="str">
        <f>HYPERLINK("https%3A%2F%2Fwww.webofscience.com%2Fwos%2Fwoscc%2Ffull-record%2FWOS:000622846700001","View Full Record in Web of Science")</f>
        <v>View Full Record in Web of Science</v>
      </c>
    </row>
    <row r="484" ht="12.75" customHeight="1">
      <c r="A484" s="1" t="s">
        <v>242</v>
      </c>
      <c r="B484" s="1" t="s">
        <v>4697</v>
      </c>
      <c r="C484" s="1" t="s">
        <v>74</v>
      </c>
      <c r="D484" s="1" t="s">
        <v>4698</v>
      </c>
      <c r="E484" s="1" t="s">
        <v>74</v>
      </c>
      <c r="F484" s="1" t="s">
        <v>4699</v>
      </c>
      <c r="G484" s="1" t="s">
        <v>74</v>
      </c>
      <c r="H484" s="1" t="s">
        <v>74</v>
      </c>
      <c r="I484" s="1" t="s">
        <v>4700</v>
      </c>
      <c r="J484" s="1" t="s">
        <v>4701</v>
      </c>
      <c r="K484" s="1" t="s">
        <v>4702</v>
      </c>
      <c r="L484" s="1" t="s">
        <v>74</v>
      </c>
      <c r="M484" s="1" t="s">
        <v>74</v>
      </c>
      <c r="N484" s="1" t="s">
        <v>74</v>
      </c>
      <c r="O484" s="1" t="s">
        <v>74</v>
      </c>
      <c r="P484" s="1" t="s">
        <v>74</v>
      </c>
      <c r="Q484" s="1" t="s">
        <v>74</v>
      </c>
      <c r="R484" s="1" t="s">
        <v>74</v>
      </c>
      <c r="S484" s="1" t="s">
        <v>74</v>
      </c>
      <c r="T484" s="1" t="s">
        <v>74</v>
      </c>
      <c r="U484" s="1" t="s">
        <v>74</v>
      </c>
      <c r="V484" s="1" t="s">
        <v>74</v>
      </c>
      <c r="W484" s="1" t="s">
        <v>74</v>
      </c>
      <c r="X484" s="1" t="s">
        <v>74</v>
      </c>
      <c r="Y484" s="1" t="s">
        <v>74</v>
      </c>
      <c r="Z484" s="1" t="s">
        <v>74</v>
      </c>
      <c r="AA484" s="1" t="s">
        <v>74</v>
      </c>
      <c r="AB484" s="1" t="s">
        <v>74</v>
      </c>
      <c r="AC484" s="1" t="s">
        <v>74</v>
      </c>
      <c r="AD484" s="1" t="s">
        <v>74</v>
      </c>
      <c r="AE484" s="1" t="s">
        <v>74</v>
      </c>
      <c r="AF484" s="1" t="s">
        <v>74</v>
      </c>
      <c r="AG484" s="1" t="s">
        <v>74</v>
      </c>
      <c r="AH484" s="1" t="s">
        <v>74</v>
      </c>
      <c r="AI484" s="1" t="s">
        <v>74</v>
      </c>
      <c r="AJ484" s="1" t="s">
        <v>74</v>
      </c>
      <c r="AK484" s="1" t="s">
        <v>74</v>
      </c>
      <c r="AL484" s="1" t="s">
        <v>74</v>
      </c>
      <c r="AM484" s="1" t="s">
        <v>74</v>
      </c>
      <c r="AN484" s="1" t="s">
        <v>74</v>
      </c>
      <c r="AO484" s="1" t="s">
        <v>74</v>
      </c>
      <c r="AP484" s="1" t="s">
        <v>74</v>
      </c>
      <c r="AQ484" s="1" t="s">
        <v>4703</v>
      </c>
      <c r="AR484" s="1" t="s">
        <v>74</v>
      </c>
      <c r="AS484" s="1" t="s">
        <v>74</v>
      </c>
      <c r="AT484" s="1" t="s">
        <v>74</v>
      </c>
      <c r="AU484" s="1">
        <v>2021.0</v>
      </c>
      <c r="AV484" s="1" t="s">
        <v>74</v>
      </c>
      <c r="AW484" s="1" t="s">
        <v>74</v>
      </c>
      <c r="AX484" s="1" t="s">
        <v>74</v>
      </c>
      <c r="AY484" s="1" t="s">
        <v>74</v>
      </c>
      <c r="AZ484" s="1" t="s">
        <v>74</v>
      </c>
      <c r="BA484" s="1" t="s">
        <v>74</v>
      </c>
      <c r="BB484" s="1">
        <v>87.0</v>
      </c>
      <c r="BC484" s="1">
        <v>102.0</v>
      </c>
      <c r="BD484" s="1" t="s">
        <v>74</v>
      </c>
      <c r="BE484" s="1" t="s">
        <v>74</v>
      </c>
      <c r="BF484" s="1" t="s">
        <v>74</v>
      </c>
      <c r="BG484" s="1" t="s">
        <v>74</v>
      </c>
      <c r="BH484" s="1" t="s">
        <v>74</v>
      </c>
      <c r="BI484" s="1" t="s">
        <v>74</v>
      </c>
      <c r="BJ484" s="1" t="s">
        <v>74</v>
      </c>
      <c r="BK484" s="1" t="s">
        <v>74</v>
      </c>
      <c r="BL484" s="1" t="s">
        <v>74</v>
      </c>
      <c r="BM484" s="1" t="s">
        <v>74</v>
      </c>
      <c r="BN484" s="1" t="s">
        <v>74</v>
      </c>
      <c r="BO484" s="1" t="s">
        <v>74</v>
      </c>
      <c r="BP484" s="1" t="s">
        <v>74</v>
      </c>
      <c r="BQ484" s="1" t="s">
        <v>74</v>
      </c>
      <c r="BR484" s="1" t="s">
        <v>74</v>
      </c>
      <c r="BS484" s="1" t="s">
        <v>4704</v>
      </c>
      <c r="BT484" s="1" t="str">
        <f>HYPERLINK("https%3A%2F%2Fwww.webofscience.com%2Fwos%2Fwoscc%2Ffull-record%2FWOS:000749002300007","View Full Record in Web of Science")</f>
        <v>View Full Record in Web of Science</v>
      </c>
    </row>
    <row r="485" ht="12.75" customHeight="1">
      <c r="A485" s="1" t="s">
        <v>72</v>
      </c>
      <c r="B485" s="1" t="s">
        <v>4705</v>
      </c>
      <c r="C485" s="1" t="s">
        <v>74</v>
      </c>
      <c r="D485" s="1" t="s">
        <v>74</v>
      </c>
      <c r="E485" s="1" t="s">
        <v>74</v>
      </c>
      <c r="F485" s="1" t="s">
        <v>4706</v>
      </c>
      <c r="G485" s="1" t="s">
        <v>74</v>
      </c>
      <c r="H485" s="1" t="s">
        <v>74</v>
      </c>
      <c r="I485" s="1" t="s">
        <v>4707</v>
      </c>
      <c r="J485" s="1" t="s">
        <v>4050</v>
      </c>
      <c r="K485" s="1" t="s">
        <v>74</v>
      </c>
      <c r="L485" s="1" t="s">
        <v>74</v>
      </c>
      <c r="M485" s="1" t="s">
        <v>74</v>
      </c>
      <c r="N485" s="1" t="s">
        <v>74</v>
      </c>
      <c r="O485" s="1" t="s">
        <v>74</v>
      </c>
      <c r="P485" s="1" t="s">
        <v>74</v>
      </c>
      <c r="Q485" s="1" t="s">
        <v>74</v>
      </c>
      <c r="R485" s="1" t="s">
        <v>74</v>
      </c>
      <c r="S485" s="1" t="s">
        <v>74</v>
      </c>
      <c r="T485" s="1" t="s">
        <v>74</v>
      </c>
      <c r="U485" s="1" t="s">
        <v>74</v>
      </c>
      <c r="V485" s="1" t="s">
        <v>4708</v>
      </c>
      <c r="W485" s="1" t="s">
        <v>74</v>
      </c>
      <c r="X485" s="1" t="s">
        <v>74</v>
      </c>
      <c r="Y485" s="1" t="s">
        <v>74</v>
      </c>
      <c r="Z485" s="1" t="s">
        <v>74</v>
      </c>
      <c r="AA485" s="1" t="s">
        <v>4709</v>
      </c>
      <c r="AB485" s="1" t="s">
        <v>4710</v>
      </c>
      <c r="AC485" s="1" t="s">
        <v>74</v>
      </c>
      <c r="AD485" s="1" t="s">
        <v>74</v>
      </c>
      <c r="AE485" s="1" t="s">
        <v>74</v>
      </c>
      <c r="AF485" s="1" t="s">
        <v>74</v>
      </c>
      <c r="AG485" s="1" t="s">
        <v>74</v>
      </c>
      <c r="AH485" s="1" t="s">
        <v>74</v>
      </c>
      <c r="AI485" s="1" t="s">
        <v>74</v>
      </c>
      <c r="AJ485" s="1" t="s">
        <v>74</v>
      </c>
      <c r="AK485" s="1" t="s">
        <v>74</v>
      </c>
      <c r="AL485" s="1" t="s">
        <v>74</v>
      </c>
      <c r="AM485" s="1" t="s">
        <v>74</v>
      </c>
      <c r="AN485" s="1" t="s">
        <v>74</v>
      </c>
      <c r="AO485" s="1" t="s">
        <v>74</v>
      </c>
      <c r="AP485" s="1" t="s">
        <v>4054</v>
      </c>
      <c r="AQ485" s="1" t="s">
        <v>74</v>
      </c>
      <c r="AR485" s="1" t="s">
        <v>74</v>
      </c>
      <c r="AS485" s="1" t="s">
        <v>74</v>
      </c>
      <c r="AT485" s="1" t="s">
        <v>459</v>
      </c>
      <c r="AU485" s="1">
        <v>2020.0</v>
      </c>
      <c r="AV485" s="1">
        <v>8.0</v>
      </c>
      <c r="AW485" s="1">
        <v>9.0</v>
      </c>
      <c r="AX485" s="1" t="s">
        <v>74</v>
      </c>
      <c r="AY485" s="1" t="s">
        <v>74</v>
      </c>
      <c r="AZ485" s="1" t="s">
        <v>74</v>
      </c>
      <c r="BA485" s="1" t="s">
        <v>74</v>
      </c>
      <c r="BB485" s="1" t="s">
        <v>74</v>
      </c>
      <c r="BC485" s="1" t="s">
        <v>74</v>
      </c>
      <c r="BD485" s="1">
        <v>1320.0</v>
      </c>
      <c r="BE485" s="1" t="s">
        <v>4711</v>
      </c>
      <c r="BF485" s="2" t="str">
        <f>HYPERLINK("http://dx.doi.org/10.3390/microorganisms8091320","http://dx.doi.org/10.3390/microorganisms8091320")</f>
        <v>http://dx.doi.org/10.3390/microorganisms8091320</v>
      </c>
      <c r="BG485" s="1" t="s">
        <v>74</v>
      </c>
      <c r="BH485" s="1" t="s">
        <v>74</v>
      </c>
      <c r="BI485" s="1" t="s">
        <v>74</v>
      </c>
      <c r="BJ485" s="1" t="s">
        <v>74</v>
      </c>
      <c r="BK485" s="1" t="s">
        <v>74</v>
      </c>
      <c r="BL485" s="1" t="s">
        <v>74</v>
      </c>
      <c r="BM485" s="1" t="s">
        <v>74</v>
      </c>
      <c r="BN485" s="1">
        <v>3.2872599E7</v>
      </c>
      <c r="BO485" s="1" t="s">
        <v>74</v>
      </c>
      <c r="BP485" s="1" t="s">
        <v>74</v>
      </c>
      <c r="BQ485" s="1" t="s">
        <v>74</v>
      </c>
      <c r="BR485" s="1" t="s">
        <v>74</v>
      </c>
      <c r="BS485" s="1" t="s">
        <v>4712</v>
      </c>
      <c r="BT485" s="1" t="str">
        <f>HYPERLINK("https%3A%2F%2Fwww.webofscience.com%2Fwos%2Fwoscc%2Ffull-record%2FWOS:000581974700001","View Full Record in Web of Science")</f>
        <v>View Full Record in Web of Science</v>
      </c>
    </row>
    <row r="486" ht="12.75" customHeight="1">
      <c r="A486" s="1" t="s">
        <v>251</v>
      </c>
      <c r="B486" s="1" t="s">
        <v>4713</v>
      </c>
      <c r="C486" s="1" t="s">
        <v>74</v>
      </c>
      <c r="D486" s="1" t="s">
        <v>4714</v>
      </c>
      <c r="E486" s="1" t="s">
        <v>74</v>
      </c>
      <c r="F486" s="1" t="s">
        <v>4715</v>
      </c>
      <c r="G486" s="1" t="s">
        <v>74</v>
      </c>
      <c r="H486" s="1" t="s">
        <v>74</v>
      </c>
      <c r="I486" s="1" t="s">
        <v>4716</v>
      </c>
      <c r="J486" s="1" t="s">
        <v>4717</v>
      </c>
      <c r="K486" s="1" t="s">
        <v>4718</v>
      </c>
      <c r="L486" s="1" t="s">
        <v>74</v>
      </c>
      <c r="M486" s="1" t="s">
        <v>74</v>
      </c>
      <c r="N486" s="1" t="s">
        <v>74</v>
      </c>
      <c r="O486" s="1" t="s">
        <v>4719</v>
      </c>
      <c r="P486" s="1" t="s">
        <v>4720</v>
      </c>
      <c r="Q486" s="1" t="s">
        <v>4721</v>
      </c>
      <c r="R486" s="1" t="s">
        <v>74</v>
      </c>
      <c r="S486" s="1" t="s">
        <v>4722</v>
      </c>
      <c r="T486" s="1" t="s">
        <v>74</v>
      </c>
      <c r="U486" s="1" t="s">
        <v>74</v>
      </c>
      <c r="V486" s="1" t="s">
        <v>4723</v>
      </c>
      <c r="W486" s="1" t="s">
        <v>74</v>
      </c>
      <c r="X486" s="1" t="s">
        <v>74</v>
      </c>
      <c r="Y486" s="1" t="s">
        <v>74</v>
      </c>
      <c r="Z486" s="1" t="s">
        <v>74</v>
      </c>
      <c r="AA486" s="1" t="s">
        <v>74</v>
      </c>
      <c r="AB486" s="1" t="s">
        <v>4724</v>
      </c>
      <c r="AC486" s="1" t="s">
        <v>74</v>
      </c>
      <c r="AD486" s="1" t="s">
        <v>74</v>
      </c>
      <c r="AE486" s="1" t="s">
        <v>74</v>
      </c>
      <c r="AF486" s="1" t="s">
        <v>74</v>
      </c>
      <c r="AG486" s="1" t="s">
        <v>74</v>
      </c>
      <c r="AH486" s="1" t="s">
        <v>74</v>
      </c>
      <c r="AI486" s="1" t="s">
        <v>74</v>
      </c>
      <c r="AJ486" s="1" t="s">
        <v>74</v>
      </c>
      <c r="AK486" s="1" t="s">
        <v>74</v>
      </c>
      <c r="AL486" s="1" t="s">
        <v>74</v>
      </c>
      <c r="AM486" s="1" t="s">
        <v>74</v>
      </c>
      <c r="AN486" s="1" t="s">
        <v>74</v>
      </c>
      <c r="AO486" s="1" t="s">
        <v>4725</v>
      </c>
      <c r="AP486" s="1" t="s">
        <v>4726</v>
      </c>
      <c r="AQ486" s="1" t="s">
        <v>4727</v>
      </c>
      <c r="AR486" s="1" t="s">
        <v>74</v>
      </c>
      <c r="AS486" s="1" t="s">
        <v>74</v>
      </c>
      <c r="AT486" s="1" t="s">
        <v>74</v>
      </c>
      <c r="AU486" s="1">
        <v>2020.0</v>
      </c>
      <c r="AV486" s="1">
        <v>1026.0</v>
      </c>
      <c r="AW486" s="1" t="s">
        <v>74</v>
      </c>
      <c r="AX486" s="1" t="s">
        <v>74</v>
      </c>
      <c r="AY486" s="1" t="s">
        <v>74</v>
      </c>
      <c r="AZ486" s="1" t="s">
        <v>74</v>
      </c>
      <c r="BA486" s="1" t="s">
        <v>74</v>
      </c>
      <c r="BB486" s="1">
        <v>523.0</v>
      </c>
      <c r="BC486" s="1">
        <v>528.0</v>
      </c>
      <c r="BD486" s="1" t="s">
        <v>74</v>
      </c>
      <c r="BE486" s="1" t="s">
        <v>4728</v>
      </c>
      <c r="BF486" s="2" t="str">
        <f>HYPERLINK("http://dx.doi.org/10.1007/978-3-030-27928-8_79","http://dx.doi.org/10.1007/978-3-030-27928-8_79")</f>
        <v>http://dx.doi.org/10.1007/978-3-030-27928-8_79</v>
      </c>
      <c r="BG486" s="1" t="s">
        <v>74</v>
      </c>
      <c r="BH486" s="1" t="s">
        <v>74</v>
      </c>
      <c r="BI486" s="1" t="s">
        <v>74</v>
      </c>
      <c r="BJ486" s="1" t="s">
        <v>74</v>
      </c>
      <c r="BK486" s="1" t="s">
        <v>74</v>
      </c>
      <c r="BL486" s="1" t="s">
        <v>74</v>
      </c>
      <c r="BM486" s="1" t="s">
        <v>74</v>
      </c>
      <c r="BN486" s="1" t="s">
        <v>74</v>
      </c>
      <c r="BO486" s="1" t="s">
        <v>74</v>
      </c>
      <c r="BP486" s="1" t="s">
        <v>74</v>
      </c>
      <c r="BQ486" s="1" t="s">
        <v>74</v>
      </c>
      <c r="BR486" s="1" t="s">
        <v>74</v>
      </c>
      <c r="BS486" s="1" t="s">
        <v>4729</v>
      </c>
      <c r="BT486" s="1" t="str">
        <f>HYPERLINK("https%3A%2F%2Fwww.webofscience.com%2Fwos%2Fwoscc%2Ffull-record%2FWOS:000625366900079","View Full Record in Web of Science")</f>
        <v>View Full Record in Web of Science</v>
      </c>
    </row>
    <row r="487" ht="12.75" customHeight="1">
      <c r="A487" s="1" t="s">
        <v>72</v>
      </c>
      <c r="B487" s="1" t="s">
        <v>4730</v>
      </c>
      <c r="C487" s="1" t="s">
        <v>74</v>
      </c>
      <c r="D487" s="1" t="s">
        <v>74</v>
      </c>
      <c r="E487" s="1" t="s">
        <v>74</v>
      </c>
      <c r="F487" s="1" t="s">
        <v>4731</v>
      </c>
      <c r="G487" s="1" t="s">
        <v>74</v>
      </c>
      <c r="H487" s="1" t="s">
        <v>74</v>
      </c>
      <c r="I487" s="1" t="s">
        <v>4732</v>
      </c>
      <c r="J487" s="1" t="s">
        <v>4733</v>
      </c>
      <c r="K487" s="1" t="s">
        <v>74</v>
      </c>
      <c r="L487" s="1" t="s">
        <v>74</v>
      </c>
      <c r="M487" s="1" t="s">
        <v>74</v>
      </c>
      <c r="N487" s="1" t="s">
        <v>74</v>
      </c>
      <c r="O487" s="1" t="s">
        <v>74</v>
      </c>
      <c r="P487" s="1" t="s">
        <v>74</v>
      </c>
      <c r="Q487" s="1" t="s">
        <v>74</v>
      </c>
      <c r="R487" s="1" t="s">
        <v>74</v>
      </c>
      <c r="S487" s="1" t="s">
        <v>74</v>
      </c>
      <c r="T487" s="1" t="s">
        <v>74</v>
      </c>
      <c r="U487" s="1" t="s">
        <v>74</v>
      </c>
      <c r="V487" s="1" t="s">
        <v>4734</v>
      </c>
      <c r="W487" s="1" t="s">
        <v>74</v>
      </c>
      <c r="X487" s="1" t="s">
        <v>74</v>
      </c>
      <c r="Y487" s="1" t="s">
        <v>74</v>
      </c>
      <c r="Z487" s="1" t="s">
        <v>74</v>
      </c>
      <c r="AA487" s="1" t="s">
        <v>4735</v>
      </c>
      <c r="AB487" s="1" t="s">
        <v>74</v>
      </c>
      <c r="AC487" s="1" t="s">
        <v>74</v>
      </c>
      <c r="AD487" s="1" t="s">
        <v>74</v>
      </c>
      <c r="AE487" s="1" t="s">
        <v>74</v>
      </c>
      <c r="AF487" s="1" t="s">
        <v>74</v>
      </c>
      <c r="AG487" s="1" t="s">
        <v>74</v>
      </c>
      <c r="AH487" s="1" t="s">
        <v>74</v>
      </c>
      <c r="AI487" s="1" t="s">
        <v>74</v>
      </c>
      <c r="AJ487" s="1" t="s">
        <v>74</v>
      </c>
      <c r="AK487" s="1" t="s">
        <v>74</v>
      </c>
      <c r="AL487" s="1" t="s">
        <v>74</v>
      </c>
      <c r="AM487" s="1" t="s">
        <v>74</v>
      </c>
      <c r="AN487" s="1" t="s">
        <v>74</v>
      </c>
      <c r="AO487" s="1" t="s">
        <v>4736</v>
      </c>
      <c r="AP487" s="1" t="s">
        <v>4737</v>
      </c>
      <c r="AQ487" s="1" t="s">
        <v>74</v>
      </c>
      <c r="AR487" s="1" t="s">
        <v>74</v>
      </c>
      <c r="AS487" s="1" t="s">
        <v>74</v>
      </c>
      <c r="AT487" s="1" t="s">
        <v>4738</v>
      </c>
      <c r="AU487" s="1">
        <v>2020.0</v>
      </c>
      <c r="AV487" s="1">
        <v>82.0</v>
      </c>
      <c r="AW487" s="1">
        <v>1.0</v>
      </c>
      <c r="AX487" s="1" t="s">
        <v>74</v>
      </c>
      <c r="AY487" s="1" t="s">
        <v>74</v>
      </c>
      <c r="AZ487" s="1" t="s">
        <v>74</v>
      </c>
      <c r="BA487" s="1" t="s">
        <v>74</v>
      </c>
      <c r="BB487" s="1">
        <v>51.0</v>
      </c>
      <c r="BC487" s="1">
        <v>74.0</v>
      </c>
      <c r="BD487" s="1" t="s">
        <v>74</v>
      </c>
      <c r="BE487" s="1" t="s">
        <v>4739</v>
      </c>
      <c r="BF487" s="2" t="str">
        <f>HYPERLINK("http://dx.doi.org/10.35362/rie8213684","http://dx.doi.org/10.35362/rie8213684")</f>
        <v>http://dx.doi.org/10.35362/rie8213684</v>
      </c>
      <c r="BG487" s="1" t="s">
        <v>74</v>
      </c>
      <c r="BH487" s="1" t="s">
        <v>74</v>
      </c>
      <c r="BI487" s="1" t="s">
        <v>74</v>
      </c>
      <c r="BJ487" s="1" t="s">
        <v>74</v>
      </c>
      <c r="BK487" s="1" t="s">
        <v>74</v>
      </c>
      <c r="BL487" s="1" t="s">
        <v>74</v>
      </c>
      <c r="BM487" s="1" t="s">
        <v>74</v>
      </c>
      <c r="BN487" s="1" t="s">
        <v>74</v>
      </c>
      <c r="BO487" s="1" t="s">
        <v>74</v>
      </c>
      <c r="BP487" s="1" t="s">
        <v>74</v>
      </c>
      <c r="BQ487" s="1" t="s">
        <v>74</v>
      </c>
      <c r="BR487" s="1" t="s">
        <v>74</v>
      </c>
      <c r="BS487" s="1" t="s">
        <v>4740</v>
      </c>
      <c r="BT487" s="1" t="str">
        <f>HYPERLINK("https%3A%2F%2Fwww.webofscience.com%2Fwos%2Fwoscc%2Ffull-record%2FWOS:000508019600004","View Full Record in Web of Science")</f>
        <v>View Full Record in Web of Science</v>
      </c>
    </row>
    <row r="488" ht="12.75" customHeight="1">
      <c r="A488" s="1" t="s">
        <v>72</v>
      </c>
      <c r="B488" s="1" t="s">
        <v>4741</v>
      </c>
      <c r="C488" s="1" t="s">
        <v>74</v>
      </c>
      <c r="D488" s="1" t="s">
        <v>74</v>
      </c>
      <c r="E488" s="1" t="s">
        <v>74</v>
      </c>
      <c r="F488" s="1" t="s">
        <v>4742</v>
      </c>
      <c r="G488" s="1" t="s">
        <v>74</v>
      </c>
      <c r="H488" s="1" t="s">
        <v>74</v>
      </c>
      <c r="I488" s="1" t="s">
        <v>4743</v>
      </c>
      <c r="J488" s="1" t="s">
        <v>3945</v>
      </c>
      <c r="K488" s="1" t="s">
        <v>74</v>
      </c>
      <c r="L488" s="1" t="s">
        <v>74</v>
      </c>
      <c r="M488" s="1" t="s">
        <v>74</v>
      </c>
      <c r="N488" s="1" t="s">
        <v>74</v>
      </c>
      <c r="O488" s="1" t="s">
        <v>74</v>
      </c>
      <c r="P488" s="1" t="s">
        <v>74</v>
      </c>
      <c r="Q488" s="1" t="s">
        <v>74</v>
      </c>
      <c r="R488" s="1" t="s">
        <v>74</v>
      </c>
      <c r="S488" s="1" t="s">
        <v>74</v>
      </c>
      <c r="T488" s="1" t="s">
        <v>74</v>
      </c>
      <c r="U488" s="1" t="s">
        <v>74</v>
      </c>
      <c r="V488" s="1" t="s">
        <v>4744</v>
      </c>
      <c r="W488" s="1" t="s">
        <v>74</v>
      </c>
      <c r="X488" s="1" t="s">
        <v>74</v>
      </c>
      <c r="Y488" s="1" t="s">
        <v>74</v>
      </c>
      <c r="Z488" s="1" t="s">
        <v>74</v>
      </c>
      <c r="AA488" s="1" t="s">
        <v>4745</v>
      </c>
      <c r="AB488" s="1" t="s">
        <v>4746</v>
      </c>
      <c r="AC488" s="1" t="s">
        <v>74</v>
      </c>
      <c r="AD488" s="1" t="s">
        <v>74</v>
      </c>
      <c r="AE488" s="1" t="s">
        <v>74</v>
      </c>
      <c r="AF488" s="1" t="s">
        <v>74</v>
      </c>
      <c r="AG488" s="1" t="s">
        <v>74</v>
      </c>
      <c r="AH488" s="1" t="s">
        <v>74</v>
      </c>
      <c r="AI488" s="1" t="s">
        <v>74</v>
      </c>
      <c r="AJ488" s="1" t="s">
        <v>74</v>
      </c>
      <c r="AK488" s="1" t="s">
        <v>74</v>
      </c>
      <c r="AL488" s="1" t="s">
        <v>74</v>
      </c>
      <c r="AM488" s="1" t="s">
        <v>74</v>
      </c>
      <c r="AN488" s="1" t="s">
        <v>74</v>
      </c>
      <c r="AO488" s="1" t="s">
        <v>3949</v>
      </c>
      <c r="AP488" s="1" t="s">
        <v>74</v>
      </c>
      <c r="AQ488" s="1" t="s">
        <v>74</v>
      </c>
      <c r="AR488" s="1" t="s">
        <v>74</v>
      </c>
      <c r="AS488" s="1" t="s">
        <v>74</v>
      </c>
      <c r="AT488" s="1" t="s">
        <v>4747</v>
      </c>
      <c r="AU488" s="1">
        <v>2019.0</v>
      </c>
      <c r="AV488" s="1">
        <v>6.0</v>
      </c>
      <c r="AW488" s="1">
        <v>23.0</v>
      </c>
      <c r="AX488" s="1" t="s">
        <v>74</v>
      </c>
      <c r="AY488" s="1" t="s">
        <v>74</v>
      </c>
      <c r="AZ488" s="1" t="s">
        <v>74</v>
      </c>
      <c r="BA488" s="1" t="s">
        <v>74</v>
      </c>
      <c r="BB488" s="1">
        <v>3896.0</v>
      </c>
      <c r="BC488" s="1">
        <v>3901.0</v>
      </c>
      <c r="BD488" s="1" t="s">
        <v>74</v>
      </c>
      <c r="BE488" s="1" t="s">
        <v>4748</v>
      </c>
      <c r="BF488" s="2" t="str">
        <f>HYPERLINK("http://dx.doi.org/10.1039/c9qo01043b","http://dx.doi.org/10.1039/c9qo01043b")</f>
        <v>http://dx.doi.org/10.1039/c9qo01043b</v>
      </c>
      <c r="BG488" s="1" t="s">
        <v>74</v>
      </c>
      <c r="BH488" s="1" t="s">
        <v>74</v>
      </c>
      <c r="BI488" s="1" t="s">
        <v>74</v>
      </c>
      <c r="BJ488" s="1" t="s">
        <v>74</v>
      </c>
      <c r="BK488" s="1" t="s">
        <v>74</v>
      </c>
      <c r="BL488" s="1" t="s">
        <v>74</v>
      </c>
      <c r="BM488" s="1" t="s">
        <v>74</v>
      </c>
      <c r="BN488" s="1" t="s">
        <v>74</v>
      </c>
      <c r="BO488" s="1" t="s">
        <v>74</v>
      </c>
      <c r="BP488" s="1" t="s">
        <v>74</v>
      </c>
      <c r="BQ488" s="1" t="s">
        <v>74</v>
      </c>
      <c r="BR488" s="1" t="s">
        <v>74</v>
      </c>
      <c r="BS488" s="1" t="s">
        <v>4749</v>
      </c>
      <c r="BT488" s="1" t="str">
        <f>HYPERLINK("https%3A%2F%2Fwww.webofscience.com%2Fwos%2Fwoscc%2Ffull-record%2FWOS:000498642500013","View Full Record in Web of Science")</f>
        <v>View Full Record in Web of Science</v>
      </c>
    </row>
    <row r="489" ht="12.75" customHeight="1">
      <c r="A489" s="1" t="s">
        <v>72</v>
      </c>
      <c r="B489" s="1" t="s">
        <v>4750</v>
      </c>
      <c r="C489" s="1" t="s">
        <v>74</v>
      </c>
      <c r="D489" s="1" t="s">
        <v>74</v>
      </c>
      <c r="E489" s="1" t="s">
        <v>74</v>
      </c>
      <c r="F489" s="1" t="s">
        <v>4751</v>
      </c>
      <c r="G489" s="1" t="s">
        <v>74</v>
      </c>
      <c r="H489" s="1" t="s">
        <v>74</v>
      </c>
      <c r="I489" s="1" t="s">
        <v>4752</v>
      </c>
      <c r="J489" s="1" t="s">
        <v>4753</v>
      </c>
      <c r="K489" s="1" t="s">
        <v>74</v>
      </c>
      <c r="L489" s="1" t="s">
        <v>74</v>
      </c>
      <c r="M489" s="1" t="s">
        <v>74</v>
      </c>
      <c r="N489" s="1" t="s">
        <v>74</v>
      </c>
      <c r="O489" s="1" t="s">
        <v>74</v>
      </c>
      <c r="P489" s="1" t="s">
        <v>74</v>
      </c>
      <c r="Q489" s="1" t="s">
        <v>74</v>
      </c>
      <c r="R489" s="1" t="s">
        <v>74</v>
      </c>
      <c r="S489" s="1" t="s">
        <v>74</v>
      </c>
      <c r="T489" s="1" t="s">
        <v>74</v>
      </c>
      <c r="U489" s="1" t="s">
        <v>74</v>
      </c>
      <c r="V489" s="1" t="s">
        <v>4754</v>
      </c>
      <c r="W489" s="1" t="s">
        <v>74</v>
      </c>
      <c r="X489" s="1" t="s">
        <v>74</v>
      </c>
      <c r="Y489" s="1" t="s">
        <v>74</v>
      </c>
      <c r="Z489" s="1" t="s">
        <v>74</v>
      </c>
      <c r="AA489" s="1" t="s">
        <v>4755</v>
      </c>
      <c r="AB489" s="1" t="s">
        <v>4756</v>
      </c>
      <c r="AC489" s="1" t="s">
        <v>74</v>
      </c>
      <c r="AD489" s="1" t="s">
        <v>74</v>
      </c>
      <c r="AE489" s="1" t="s">
        <v>74</v>
      </c>
      <c r="AF489" s="1" t="s">
        <v>74</v>
      </c>
      <c r="AG489" s="1" t="s">
        <v>74</v>
      </c>
      <c r="AH489" s="1" t="s">
        <v>74</v>
      </c>
      <c r="AI489" s="1" t="s">
        <v>74</v>
      </c>
      <c r="AJ489" s="1" t="s">
        <v>74</v>
      </c>
      <c r="AK489" s="1" t="s">
        <v>74</v>
      </c>
      <c r="AL489" s="1" t="s">
        <v>74</v>
      </c>
      <c r="AM489" s="1" t="s">
        <v>74</v>
      </c>
      <c r="AN489" s="1" t="s">
        <v>74</v>
      </c>
      <c r="AO489" s="1" t="s">
        <v>4757</v>
      </c>
      <c r="AP489" s="1" t="s">
        <v>4758</v>
      </c>
      <c r="AQ489" s="1" t="s">
        <v>74</v>
      </c>
      <c r="AR489" s="1" t="s">
        <v>74</v>
      </c>
      <c r="AS489" s="1" t="s">
        <v>74</v>
      </c>
      <c r="AT489" s="1" t="s">
        <v>459</v>
      </c>
      <c r="AU489" s="1">
        <v>2018.0</v>
      </c>
      <c r="AV489" s="1">
        <v>206.0</v>
      </c>
      <c r="AW489" s="1" t="s">
        <v>74</v>
      </c>
      <c r="AX489" s="1" t="s">
        <v>74</v>
      </c>
      <c r="AY489" s="1" t="s">
        <v>74</v>
      </c>
      <c r="AZ489" s="1" t="s">
        <v>74</v>
      </c>
      <c r="BA489" s="1" t="s">
        <v>74</v>
      </c>
      <c r="BB489" s="1">
        <v>709.0</v>
      </c>
      <c r="BC489" s="1">
        <v>717.0</v>
      </c>
      <c r="BD489" s="1" t="s">
        <v>74</v>
      </c>
      <c r="BE489" s="1" t="s">
        <v>4759</v>
      </c>
      <c r="BF489" s="2" t="str">
        <f>HYPERLINK("http://dx.doi.org/10.1016/j.chemosphere.2018.04.175","http://dx.doi.org/10.1016/j.chemosphere.2018.04.175")</f>
        <v>http://dx.doi.org/10.1016/j.chemosphere.2018.04.175</v>
      </c>
      <c r="BG489" s="1" t="s">
        <v>74</v>
      </c>
      <c r="BH489" s="1" t="s">
        <v>74</v>
      </c>
      <c r="BI489" s="1" t="s">
        <v>74</v>
      </c>
      <c r="BJ489" s="1" t="s">
        <v>74</v>
      </c>
      <c r="BK489" s="1" t="s">
        <v>74</v>
      </c>
      <c r="BL489" s="1" t="s">
        <v>74</v>
      </c>
      <c r="BM489" s="1" t="s">
        <v>74</v>
      </c>
      <c r="BN489" s="1">
        <v>2.9783056E7</v>
      </c>
      <c r="BO489" s="1" t="s">
        <v>74</v>
      </c>
      <c r="BP489" s="1" t="s">
        <v>74</v>
      </c>
      <c r="BQ489" s="1" t="s">
        <v>74</v>
      </c>
      <c r="BR489" s="1" t="s">
        <v>74</v>
      </c>
      <c r="BS489" s="1" t="s">
        <v>4760</v>
      </c>
      <c r="BT489" s="1" t="str">
        <f>HYPERLINK("https%3A%2F%2Fwww.webofscience.com%2Fwos%2Fwoscc%2Ffull-record%2FWOS:000436215600079","View Full Record in Web of Science")</f>
        <v>View Full Record in Web of Science</v>
      </c>
    </row>
    <row r="490" ht="12.75" customHeight="1">
      <c r="A490" s="1" t="s">
        <v>72</v>
      </c>
      <c r="B490" s="1" t="s">
        <v>4761</v>
      </c>
      <c r="C490" s="1" t="s">
        <v>74</v>
      </c>
      <c r="D490" s="1" t="s">
        <v>74</v>
      </c>
      <c r="E490" s="1" t="s">
        <v>74</v>
      </c>
      <c r="F490" s="1" t="s">
        <v>4762</v>
      </c>
      <c r="G490" s="1" t="s">
        <v>74</v>
      </c>
      <c r="H490" s="1" t="s">
        <v>74</v>
      </c>
      <c r="I490" s="1" t="s">
        <v>4763</v>
      </c>
      <c r="J490" s="1" t="s">
        <v>4764</v>
      </c>
      <c r="K490" s="1" t="s">
        <v>74</v>
      </c>
      <c r="L490" s="1" t="s">
        <v>74</v>
      </c>
      <c r="M490" s="1" t="s">
        <v>74</v>
      </c>
      <c r="N490" s="1" t="s">
        <v>74</v>
      </c>
      <c r="O490" s="1" t="s">
        <v>74</v>
      </c>
      <c r="P490" s="1" t="s">
        <v>74</v>
      </c>
      <c r="Q490" s="1" t="s">
        <v>74</v>
      </c>
      <c r="R490" s="1" t="s">
        <v>74</v>
      </c>
      <c r="S490" s="1" t="s">
        <v>74</v>
      </c>
      <c r="T490" s="1" t="s">
        <v>74</v>
      </c>
      <c r="U490" s="1" t="s">
        <v>74</v>
      </c>
      <c r="V490" s="1" t="s">
        <v>4765</v>
      </c>
      <c r="W490" s="1" t="s">
        <v>74</v>
      </c>
      <c r="X490" s="1" t="s">
        <v>74</v>
      </c>
      <c r="Y490" s="1" t="s">
        <v>74</v>
      </c>
      <c r="Z490" s="1" t="s">
        <v>74</v>
      </c>
      <c r="AA490" s="1" t="s">
        <v>4766</v>
      </c>
      <c r="AB490" s="1" t="s">
        <v>4767</v>
      </c>
      <c r="AC490" s="1" t="s">
        <v>74</v>
      </c>
      <c r="AD490" s="1" t="s">
        <v>74</v>
      </c>
      <c r="AE490" s="1" t="s">
        <v>74</v>
      </c>
      <c r="AF490" s="1" t="s">
        <v>74</v>
      </c>
      <c r="AG490" s="1" t="s">
        <v>74</v>
      </c>
      <c r="AH490" s="1" t="s">
        <v>74</v>
      </c>
      <c r="AI490" s="1" t="s">
        <v>74</v>
      </c>
      <c r="AJ490" s="1" t="s">
        <v>74</v>
      </c>
      <c r="AK490" s="1" t="s">
        <v>74</v>
      </c>
      <c r="AL490" s="1" t="s">
        <v>74</v>
      </c>
      <c r="AM490" s="1" t="s">
        <v>74</v>
      </c>
      <c r="AN490" s="1" t="s">
        <v>74</v>
      </c>
      <c r="AO490" s="1" t="s">
        <v>4768</v>
      </c>
      <c r="AP490" s="1" t="s">
        <v>74</v>
      </c>
      <c r="AQ490" s="1" t="s">
        <v>74</v>
      </c>
      <c r="AR490" s="1" t="s">
        <v>74</v>
      </c>
      <c r="AS490" s="1" t="s">
        <v>74</v>
      </c>
      <c r="AT490" s="1" t="s">
        <v>1412</v>
      </c>
      <c r="AU490" s="1">
        <v>2018.0</v>
      </c>
      <c r="AV490" s="1">
        <v>3.0</v>
      </c>
      <c r="AW490" s="1">
        <v>48.0</v>
      </c>
      <c r="AX490" s="1" t="s">
        <v>74</v>
      </c>
      <c r="AY490" s="1" t="s">
        <v>74</v>
      </c>
      <c r="AZ490" s="1" t="s">
        <v>74</v>
      </c>
      <c r="BA490" s="1" t="s">
        <v>74</v>
      </c>
      <c r="BB490" s="1">
        <v>19.0</v>
      </c>
      <c r="BC490" s="1">
        <v>27.0</v>
      </c>
      <c r="BD490" s="1" t="s">
        <v>74</v>
      </c>
      <c r="BE490" s="1" t="s">
        <v>4769</v>
      </c>
      <c r="BF490" s="2" t="str">
        <f>HYPERLINK("http://dx.doi.org/10.21865/RIDEP48.3.02","http://dx.doi.org/10.21865/RIDEP48.3.02")</f>
        <v>http://dx.doi.org/10.21865/RIDEP48.3.02</v>
      </c>
      <c r="BG490" s="1" t="s">
        <v>74</v>
      </c>
      <c r="BH490" s="1" t="s">
        <v>74</v>
      </c>
      <c r="BI490" s="1" t="s">
        <v>74</v>
      </c>
      <c r="BJ490" s="1" t="s">
        <v>74</v>
      </c>
      <c r="BK490" s="1" t="s">
        <v>74</v>
      </c>
      <c r="BL490" s="1" t="s">
        <v>74</v>
      </c>
      <c r="BM490" s="1" t="s">
        <v>74</v>
      </c>
      <c r="BN490" s="1" t="s">
        <v>74</v>
      </c>
      <c r="BO490" s="1" t="s">
        <v>74</v>
      </c>
      <c r="BP490" s="1" t="s">
        <v>74</v>
      </c>
      <c r="BQ490" s="1" t="s">
        <v>74</v>
      </c>
      <c r="BR490" s="1" t="s">
        <v>74</v>
      </c>
      <c r="BS490" s="1" t="s">
        <v>4770</v>
      </c>
      <c r="BT490" s="1" t="str">
        <f>HYPERLINK("https%3A%2F%2Fwww.webofscience.com%2Fwos%2Fwoscc%2Ffull-record%2FWOS:000440873000003","View Full Record in Web of Science")</f>
        <v>View Full Record in Web of Science</v>
      </c>
    </row>
    <row r="491" ht="12.75" customHeight="1">
      <c r="A491" s="1" t="s">
        <v>72</v>
      </c>
      <c r="B491" s="1" t="s">
        <v>4771</v>
      </c>
      <c r="C491" s="1" t="s">
        <v>74</v>
      </c>
      <c r="D491" s="1" t="s">
        <v>74</v>
      </c>
      <c r="E491" s="1" t="s">
        <v>74</v>
      </c>
      <c r="F491" s="1" t="s">
        <v>4772</v>
      </c>
      <c r="G491" s="1" t="s">
        <v>74</v>
      </c>
      <c r="H491" s="1" t="s">
        <v>74</v>
      </c>
      <c r="I491" s="1" t="s">
        <v>4773</v>
      </c>
      <c r="J491" s="1" t="s">
        <v>4774</v>
      </c>
      <c r="K491" s="1" t="s">
        <v>74</v>
      </c>
      <c r="L491" s="1" t="s">
        <v>74</v>
      </c>
      <c r="M491" s="1" t="s">
        <v>74</v>
      </c>
      <c r="N491" s="1" t="s">
        <v>74</v>
      </c>
      <c r="O491" s="1" t="s">
        <v>74</v>
      </c>
      <c r="P491" s="1" t="s">
        <v>74</v>
      </c>
      <c r="Q491" s="1" t="s">
        <v>74</v>
      </c>
      <c r="R491" s="1" t="s">
        <v>74</v>
      </c>
      <c r="S491" s="1" t="s">
        <v>74</v>
      </c>
      <c r="T491" s="1" t="s">
        <v>74</v>
      </c>
      <c r="U491" s="1" t="s">
        <v>74</v>
      </c>
      <c r="V491" s="1" t="s">
        <v>4775</v>
      </c>
      <c r="W491" s="1" t="s">
        <v>74</v>
      </c>
      <c r="X491" s="1" t="s">
        <v>74</v>
      </c>
      <c r="Y491" s="1" t="s">
        <v>74</v>
      </c>
      <c r="Z491" s="1" t="s">
        <v>74</v>
      </c>
      <c r="AA491" s="1" t="s">
        <v>4776</v>
      </c>
      <c r="AB491" s="1" t="s">
        <v>4777</v>
      </c>
      <c r="AC491" s="1" t="s">
        <v>74</v>
      </c>
      <c r="AD491" s="1" t="s">
        <v>74</v>
      </c>
      <c r="AE491" s="1" t="s">
        <v>74</v>
      </c>
      <c r="AF491" s="1" t="s">
        <v>74</v>
      </c>
      <c r="AG491" s="1" t="s">
        <v>74</v>
      </c>
      <c r="AH491" s="1" t="s">
        <v>74</v>
      </c>
      <c r="AI491" s="1" t="s">
        <v>74</v>
      </c>
      <c r="AJ491" s="1" t="s">
        <v>74</v>
      </c>
      <c r="AK491" s="1" t="s">
        <v>74</v>
      </c>
      <c r="AL491" s="1" t="s">
        <v>74</v>
      </c>
      <c r="AM491" s="1" t="s">
        <v>74</v>
      </c>
      <c r="AN491" s="1" t="s">
        <v>74</v>
      </c>
      <c r="AO491" s="1" t="s">
        <v>4778</v>
      </c>
      <c r="AP491" s="1" t="s">
        <v>4779</v>
      </c>
      <c r="AQ491" s="1" t="s">
        <v>74</v>
      </c>
      <c r="AR491" s="1" t="s">
        <v>74</v>
      </c>
      <c r="AS491" s="1" t="s">
        <v>74</v>
      </c>
      <c r="AT491" s="1" t="s">
        <v>215</v>
      </c>
      <c r="AU491" s="1">
        <v>2018.0</v>
      </c>
      <c r="AV491" s="1">
        <v>81.0</v>
      </c>
      <c r="AW491" s="1" t="s">
        <v>74</v>
      </c>
      <c r="AX491" s="1" t="s">
        <v>74</v>
      </c>
      <c r="AY491" s="1" t="s">
        <v>74</v>
      </c>
      <c r="AZ491" s="1" t="s">
        <v>74</v>
      </c>
      <c r="BA491" s="1" t="s">
        <v>74</v>
      </c>
      <c r="BB491" s="1">
        <v>131.0</v>
      </c>
      <c r="BC491" s="1">
        <v>137.0</v>
      </c>
      <c r="BD491" s="1" t="s">
        <v>74</v>
      </c>
      <c r="BE491" s="1" t="s">
        <v>4780</v>
      </c>
      <c r="BF491" s="2" t="str">
        <f>HYPERLINK("http://dx.doi.org/10.1016/j.idairyj.2018.02.003","http://dx.doi.org/10.1016/j.idairyj.2018.02.003")</f>
        <v>http://dx.doi.org/10.1016/j.idairyj.2018.02.003</v>
      </c>
      <c r="BG491" s="1" t="s">
        <v>74</v>
      </c>
      <c r="BH491" s="1" t="s">
        <v>74</v>
      </c>
      <c r="BI491" s="1" t="s">
        <v>74</v>
      </c>
      <c r="BJ491" s="1" t="s">
        <v>74</v>
      </c>
      <c r="BK491" s="1" t="s">
        <v>74</v>
      </c>
      <c r="BL491" s="1" t="s">
        <v>74</v>
      </c>
      <c r="BM491" s="1" t="s">
        <v>74</v>
      </c>
      <c r="BN491" s="1" t="s">
        <v>74</v>
      </c>
      <c r="BO491" s="1" t="s">
        <v>74</v>
      </c>
      <c r="BP491" s="1" t="s">
        <v>74</v>
      </c>
      <c r="BQ491" s="1" t="s">
        <v>74</v>
      </c>
      <c r="BR491" s="1" t="s">
        <v>74</v>
      </c>
      <c r="BS491" s="1" t="s">
        <v>4781</v>
      </c>
      <c r="BT491" s="1" t="str">
        <f>HYPERLINK("https%3A%2F%2Fwww.webofscience.com%2Fwos%2Fwoscc%2Ffull-record%2FWOS:000428922700017","View Full Record in Web of Science")</f>
        <v>View Full Record in Web of Science</v>
      </c>
    </row>
    <row r="492" ht="12.75" customHeight="1">
      <c r="A492" s="1" t="s">
        <v>72</v>
      </c>
      <c r="B492" s="1" t="s">
        <v>4782</v>
      </c>
      <c r="C492" s="1" t="s">
        <v>74</v>
      </c>
      <c r="D492" s="1" t="s">
        <v>74</v>
      </c>
      <c r="E492" s="1" t="s">
        <v>74</v>
      </c>
      <c r="F492" s="1" t="s">
        <v>4783</v>
      </c>
      <c r="G492" s="1" t="s">
        <v>74</v>
      </c>
      <c r="H492" s="1" t="s">
        <v>74</v>
      </c>
      <c r="I492" s="1" t="s">
        <v>4784</v>
      </c>
      <c r="J492" s="1" t="s">
        <v>4785</v>
      </c>
      <c r="K492" s="1" t="s">
        <v>74</v>
      </c>
      <c r="L492" s="1" t="s">
        <v>74</v>
      </c>
      <c r="M492" s="1" t="s">
        <v>74</v>
      </c>
      <c r="N492" s="1" t="s">
        <v>74</v>
      </c>
      <c r="O492" s="1" t="s">
        <v>74</v>
      </c>
      <c r="P492" s="1" t="s">
        <v>74</v>
      </c>
      <c r="Q492" s="1" t="s">
        <v>74</v>
      </c>
      <c r="R492" s="1" t="s">
        <v>74</v>
      </c>
      <c r="S492" s="1" t="s">
        <v>74</v>
      </c>
      <c r="T492" s="1" t="s">
        <v>74</v>
      </c>
      <c r="U492" s="1" t="s">
        <v>74</v>
      </c>
      <c r="V492" s="1" t="s">
        <v>4786</v>
      </c>
      <c r="W492" s="1" t="s">
        <v>74</v>
      </c>
      <c r="X492" s="1" t="s">
        <v>74</v>
      </c>
      <c r="Y492" s="1" t="s">
        <v>74</v>
      </c>
      <c r="Z492" s="1" t="s">
        <v>74</v>
      </c>
      <c r="AA492" s="1" t="s">
        <v>4787</v>
      </c>
      <c r="AB492" s="1" t="s">
        <v>4788</v>
      </c>
      <c r="AC492" s="1" t="s">
        <v>74</v>
      </c>
      <c r="AD492" s="1" t="s">
        <v>74</v>
      </c>
      <c r="AE492" s="1" t="s">
        <v>74</v>
      </c>
      <c r="AF492" s="1" t="s">
        <v>74</v>
      </c>
      <c r="AG492" s="1" t="s">
        <v>74</v>
      </c>
      <c r="AH492" s="1" t="s">
        <v>74</v>
      </c>
      <c r="AI492" s="1" t="s">
        <v>74</v>
      </c>
      <c r="AJ492" s="1" t="s">
        <v>74</v>
      </c>
      <c r="AK492" s="1" t="s">
        <v>74</v>
      </c>
      <c r="AL492" s="1" t="s">
        <v>74</v>
      </c>
      <c r="AM492" s="1" t="s">
        <v>74</v>
      </c>
      <c r="AN492" s="1" t="s">
        <v>74</v>
      </c>
      <c r="AO492" s="1" t="s">
        <v>4789</v>
      </c>
      <c r="AP492" s="1" t="s">
        <v>4790</v>
      </c>
      <c r="AQ492" s="1" t="s">
        <v>74</v>
      </c>
      <c r="AR492" s="1" t="s">
        <v>74</v>
      </c>
      <c r="AS492" s="1" t="s">
        <v>74</v>
      </c>
      <c r="AT492" s="1" t="s">
        <v>215</v>
      </c>
      <c r="AU492" s="1">
        <v>2018.0</v>
      </c>
      <c r="AV492" s="1">
        <v>226.0</v>
      </c>
      <c r="AW492" s="1">
        <v>2.0</v>
      </c>
      <c r="AX492" s="1" t="s">
        <v>74</v>
      </c>
      <c r="AY492" s="1" t="s">
        <v>74</v>
      </c>
      <c r="AZ492" s="1" t="s">
        <v>74</v>
      </c>
      <c r="BA492" s="1" t="s">
        <v>74</v>
      </c>
      <c r="BB492" s="1">
        <v>505.0</v>
      </c>
      <c r="BC492" s="1">
        <v>534.0</v>
      </c>
      <c r="BD492" s="1" t="s">
        <v>74</v>
      </c>
      <c r="BE492" s="1" t="s">
        <v>4791</v>
      </c>
      <c r="BF492" s="2" t="str">
        <f>HYPERLINK("http://dx.doi.org/10.1007/s11856-018-1705-1","http://dx.doi.org/10.1007/s11856-018-1705-1")</f>
        <v>http://dx.doi.org/10.1007/s11856-018-1705-1</v>
      </c>
      <c r="BG492" s="1" t="s">
        <v>74</v>
      </c>
      <c r="BH492" s="1" t="s">
        <v>74</v>
      </c>
      <c r="BI492" s="1" t="s">
        <v>74</v>
      </c>
      <c r="BJ492" s="1" t="s">
        <v>74</v>
      </c>
      <c r="BK492" s="1" t="s">
        <v>74</v>
      </c>
      <c r="BL492" s="1" t="s">
        <v>74</v>
      </c>
      <c r="BM492" s="1" t="s">
        <v>74</v>
      </c>
      <c r="BN492" s="1" t="s">
        <v>74</v>
      </c>
      <c r="BO492" s="1" t="s">
        <v>74</v>
      </c>
      <c r="BP492" s="1" t="s">
        <v>74</v>
      </c>
      <c r="BQ492" s="1" t="s">
        <v>74</v>
      </c>
      <c r="BR492" s="1" t="s">
        <v>74</v>
      </c>
      <c r="BS492" s="1" t="s">
        <v>4792</v>
      </c>
      <c r="BT492" s="1" t="str">
        <f>HYPERLINK("https%3A%2F%2Fwww.webofscience.com%2Fwos%2Fwoscc%2Ffull-record%2FWOS:000437012800001","View Full Record in Web of Science")</f>
        <v>View Full Record in Web of Science</v>
      </c>
    </row>
    <row r="493" ht="12.75" customHeight="1">
      <c r="A493" s="1" t="s">
        <v>251</v>
      </c>
      <c r="B493" s="1" t="s">
        <v>4793</v>
      </c>
      <c r="C493" s="1" t="s">
        <v>74</v>
      </c>
      <c r="D493" s="1" t="s">
        <v>4794</v>
      </c>
      <c r="E493" s="1" t="s">
        <v>74</v>
      </c>
      <c r="F493" s="1" t="s">
        <v>4795</v>
      </c>
      <c r="G493" s="1" t="s">
        <v>74</v>
      </c>
      <c r="H493" s="1" t="s">
        <v>74</v>
      </c>
      <c r="I493" s="1" t="s">
        <v>4796</v>
      </c>
      <c r="J493" s="1" t="s">
        <v>4797</v>
      </c>
      <c r="K493" s="1" t="s">
        <v>669</v>
      </c>
      <c r="L493" s="1" t="s">
        <v>74</v>
      </c>
      <c r="M493" s="1" t="s">
        <v>74</v>
      </c>
      <c r="N493" s="1" t="s">
        <v>74</v>
      </c>
      <c r="O493" s="1" t="s">
        <v>4798</v>
      </c>
      <c r="P493" s="1" t="s">
        <v>4799</v>
      </c>
      <c r="Q493" s="1" t="s">
        <v>4800</v>
      </c>
      <c r="R493" s="1" t="s">
        <v>74</v>
      </c>
      <c r="S493" s="1" t="s">
        <v>74</v>
      </c>
      <c r="T493" s="1" t="s">
        <v>74</v>
      </c>
      <c r="U493" s="1" t="s">
        <v>74</v>
      </c>
      <c r="V493" s="1" t="s">
        <v>4801</v>
      </c>
      <c r="W493" s="1" t="s">
        <v>74</v>
      </c>
      <c r="X493" s="1" t="s">
        <v>74</v>
      </c>
      <c r="Y493" s="1" t="s">
        <v>74</v>
      </c>
      <c r="Z493" s="1" t="s">
        <v>74</v>
      </c>
      <c r="AA493" s="1" t="s">
        <v>2757</v>
      </c>
      <c r="AB493" s="1" t="s">
        <v>2758</v>
      </c>
      <c r="AC493" s="1" t="s">
        <v>74</v>
      </c>
      <c r="AD493" s="1" t="s">
        <v>74</v>
      </c>
      <c r="AE493" s="1" t="s">
        <v>74</v>
      </c>
      <c r="AF493" s="1" t="s">
        <v>74</v>
      </c>
      <c r="AG493" s="1" t="s">
        <v>74</v>
      </c>
      <c r="AH493" s="1" t="s">
        <v>74</v>
      </c>
      <c r="AI493" s="1" t="s">
        <v>74</v>
      </c>
      <c r="AJ493" s="1" t="s">
        <v>74</v>
      </c>
      <c r="AK493" s="1" t="s">
        <v>74</v>
      </c>
      <c r="AL493" s="1" t="s">
        <v>74</v>
      </c>
      <c r="AM493" s="1" t="s">
        <v>74</v>
      </c>
      <c r="AN493" s="1" t="s">
        <v>74</v>
      </c>
      <c r="AO493" s="1" t="s">
        <v>675</v>
      </c>
      <c r="AP493" s="1" t="s">
        <v>676</v>
      </c>
      <c r="AQ493" s="1" t="s">
        <v>4802</v>
      </c>
      <c r="AR493" s="1" t="s">
        <v>74</v>
      </c>
      <c r="AS493" s="1" t="s">
        <v>74</v>
      </c>
      <c r="AT493" s="1" t="s">
        <v>74</v>
      </c>
      <c r="AU493" s="1">
        <v>2018.0</v>
      </c>
      <c r="AV493" s="1">
        <v>10976.0</v>
      </c>
      <c r="AW493" s="1" t="s">
        <v>74</v>
      </c>
      <c r="AX493" s="1" t="s">
        <v>74</v>
      </c>
      <c r="AY493" s="1" t="s">
        <v>74</v>
      </c>
      <c r="AZ493" s="1" t="s">
        <v>74</v>
      </c>
      <c r="BA493" s="1" t="s">
        <v>74</v>
      </c>
      <c r="BB493" s="1">
        <v>180.0</v>
      </c>
      <c r="BC493" s="1">
        <v>191.0</v>
      </c>
      <c r="BD493" s="1" t="s">
        <v>74</v>
      </c>
      <c r="BE493" s="1" t="s">
        <v>4803</v>
      </c>
      <c r="BF493" s="2" t="str">
        <f>HYPERLINK("http://dx.doi.org/10.1007/978-3-319-94776-1_16","http://dx.doi.org/10.1007/978-3-319-94776-1_16")</f>
        <v>http://dx.doi.org/10.1007/978-3-319-94776-1_16</v>
      </c>
      <c r="BG493" s="1" t="s">
        <v>74</v>
      </c>
      <c r="BH493" s="1" t="s">
        <v>74</v>
      </c>
      <c r="BI493" s="1" t="s">
        <v>74</v>
      </c>
      <c r="BJ493" s="1" t="s">
        <v>74</v>
      </c>
      <c r="BK493" s="1" t="s">
        <v>74</v>
      </c>
      <c r="BL493" s="1" t="s">
        <v>74</v>
      </c>
      <c r="BM493" s="1" t="s">
        <v>74</v>
      </c>
      <c r="BN493" s="1" t="s">
        <v>74</v>
      </c>
      <c r="BO493" s="1" t="s">
        <v>74</v>
      </c>
      <c r="BP493" s="1" t="s">
        <v>74</v>
      </c>
      <c r="BQ493" s="1" t="s">
        <v>74</v>
      </c>
      <c r="BR493" s="1" t="s">
        <v>74</v>
      </c>
      <c r="BS493" s="1" t="s">
        <v>4804</v>
      </c>
      <c r="BT493" s="1" t="str">
        <f>HYPERLINK("https%3A%2F%2Fwww.webofscience.com%2Fwos%2Fwoscc%2Ffull-record%2FWOS:000489763300016","View Full Record in Web of Science")</f>
        <v>View Full Record in Web of Science</v>
      </c>
    </row>
    <row r="494" ht="12.75" customHeight="1">
      <c r="A494" s="1" t="s">
        <v>72</v>
      </c>
      <c r="B494" s="1" t="s">
        <v>4805</v>
      </c>
      <c r="C494" s="1" t="s">
        <v>74</v>
      </c>
      <c r="D494" s="1" t="s">
        <v>74</v>
      </c>
      <c r="E494" s="1" t="s">
        <v>74</v>
      </c>
      <c r="F494" s="1" t="s">
        <v>4806</v>
      </c>
      <c r="G494" s="1" t="s">
        <v>74</v>
      </c>
      <c r="H494" s="1" t="s">
        <v>74</v>
      </c>
      <c r="I494" s="1" t="s">
        <v>4807</v>
      </c>
      <c r="J494" s="1" t="s">
        <v>3018</v>
      </c>
      <c r="K494" s="1" t="s">
        <v>74</v>
      </c>
      <c r="L494" s="1" t="s">
        <v>74</v>
      </c>
      <c r="M494" s="1" t="s">
        <v>74</v>
      </c>
      <c r="N494" s="1" t="s">
        <v>74</v>
      </c>
      <c r="O494" s="1" t="s">
        <v>74</v>
      </c>
      <c r="P494" s="1" t="s">
        <v>74</v>
      </c>
      <c r="Q494" s="1" t="s">
        <v>74</v>
      </c>
      <c r="R494" s="1" t="s">
        <v>74</v>
      </c>
      <c r="S494" s="1" t="s">
        <v>74</v>
      </c>
      <c r="T494" s="1" t="s">
        <v>74</v>
      </c>
      <c r="U494" s="1" t="s">
        <v>74</v>
      </c>
      <c r="V494" s="1" t="s">
        <v>4808</v>
      </c>
      <c r="W494" s="1" t="s">
        <v>74</v>
      </c>
      <c r="X494" s="1" t="s">
        <v>74</v>
      </c>
      <c r="Y494" s="1" t="s">
        <v>74</v>
      </c>
      <c r="Z494" s="1" t="s">
        <v>74</v>
      </c>
      <c r="AA494" s="1" t="s">
        <v>74</v>
      </c>
      <c r="AB494" s="1" t="s">
        <v>74</v>
      </c>
      <c r="AC494" s="1" t="s">
        <v>74</v>
      </c>
      <c r="AD494" s="1" t="s">
        <v>74</v>
      </c>
      <c r="AE494" s="1" t="s">
        <v>74</v>
      </c>
      <c r="AF494" s="1" t="s">
        <v>74</v>
      </c>
      <c r="AG494" s="1" t="s">
        <v>74</v>
      </c>
      <c r="AH494" s="1" t="s">
        <v>74</v>
      </c>
      <c r="AI494" s="1" t="s">
        <v>74</v>
      </c>
      <c r="AJ494" s="1" t="s">
        <v>74</v>
      </c>
      <c r="AK494" s="1" t="s">
        <v>74</v>
      </c>
      <c r="AL494" s="1" t="s">
        <v>74</v>
      </c>
      <c r="AM494" s="1" t="s">
        <v>74</v>
      </c>
      <c r="AN494" s="1" t="s">
        <v>74</v>
      </c>
      <c r="AO494" s="1" t="s">
        <v>3020</v>
      </c>
      <c r="AP494" s="1" t="s">
        <v>74</v>
      </c>
      <c r="AQ494" s="1" t="s">
        <v>74</v>
      </c>
      <c r="AR494" s="1" t="s">
        <v>74</v>
      </c>
      <c r="AS494" s="1" t="s">
        <v>74</v>
      </c>
      <c r="AT494" s="1" t="s">
        <v>74</v>
      </c>
      <c r="AU494" s="1">
        <v>2018.0</v>
      </c>
      <c r="AV494" s="1">
        <v>24.0</v>
      </c>
      <c r="AW494" s="1">
        <v>1.0</v>
      </c>
      <c r="AX494" s="1" t="s">
        <v>74</v>
      </c>
      <c r="AY494" s="1" t="s">
        <v>74</v>
      </c>
      <c r="AZ494" s="1" t="s">
        <v>74</v>
      </c>
      <c r="BA494" s="1" t="s">
        <v>74</v>
      </c>
      <c r="BB494" s="1">
        <v>95.0</v>
      </c>
      <c r="BC494" s="1">
        <v>104.0</v>
      </c>
      <c r="BD494" s="1" t="s">
        <v>74</v>
      </c>
      <c r="BE494" s="1" t="s">
        <v>4809</v>
      </c>
      <c r="BF494" s="2" t="str">
        <f>HYPERLINK("http://dx.doi.org/10.4067/S1726-569X2018000100095","http://dx.doi.org/10.4067/S1726-569X2018000100095")</f>
        <v>http://dx.doi.org/10.4067/S1726-569X2018000100095</v>
      </c>
      <c r="BG494" s="1" t="s">
        <v>74</v>
      </c>
      <c r="BH494" s="1" t="s">
        <v>74</v>
      </c>
      <c r="BI494" s="1" t="s">
        <v>74</v>
      </c>
      <c r="BJ494" s="1" t="s">
        <v>74</v>
      </c>
      <c r="BK494" s="1" t="s">
        <v>74</v>
      </c>
      <c r="BL494" s="1" t="s">
        <v>74</v>
      </c>
      <c r="BM494" s="1" t="s">
        <v>74</v>
      </c>
      <c r="BN494" s="1" t="s">
        <v>74</v>
      </c>
      <c r="BO494" s="1" t="s">
        <v>74</v>
      </c>
      <c r="BP494" s="1" t="s">
        <v>74</v>
      </c>
      <c r="BQ494" s="1" t="s">
        <v>74</v>
      </c>
      <c r="BR494" s="1" t="s">
        <v>74</v>
      </c>
      <c r="BS494" s="1" t="s">
        <v>4810</v>
      </c>
      <c r="BT494" s="1" t="str">
        <f>HYPERLINK("https%3A%2F%2Fwww.webofscience.com%2Fwos%2Fwoscc%2Ffull-record%2FWOS:000434512900011","View Full Record in Web of Science")</f>
        <v>View Full Record in Web of Science</v>
      </c>
    </row>
    <row r="495" ht="12.75" customHeight="1">
      <c r="A495" s="1" t="s">
        <v>72</v>
      </c>
      <c r="B495" s="1" t="s">
        <v>4811</v>
      </c>
      <c r="C495" s="1" t="s">
        <v>74</v>
      </c>
      <c r="D495" s="1" t="s">
        <v>74</v>
      </c>
      <c r="E495" s="1" t="s">
        <v>74</v>
      </c>
      <c r="F495" s="1" t="s">
        <v>4812</v>
      </c>
      <c r="G495" s="1" t="s">
        <v>74</v>
      </c>
      <c r="H495" s="1" t="s">
        <v>74</v>
      </c>
      <c r="I495" s="1" t="s">
        <v>4813</v>
      </c>
      <c r="J495" s="1" t="s">
        <v>4814</v>
      </c>
      <c r="K495" s="1" t="s">
        <v>74</v>
      </c>
      <c r="L495" s="1" t="s">
        <v>74</v>
      </c>
      <c r="M495" s="1" t="s">
        <v>74</v>
      </c>
      <c r="N495" s="1" t="s">
        <v>74</v>
      </c>
      <c r="O495" s="1" t="s">
        <v>74</v>
      </c>
      <c r="P495" s="1" t="s">
        <v>74</v>
      </c>
      <c r="Q495" s="1" t="s">
        <v>74</v>
      </c>
      <c r="R495" s="1" t="s">
        <v>74</v>
      </c>
      <c r="S495" s="1" t="s">
        <v>74</v>
      </c>
      <c r="T495" s="1" t="s">
        <v>74</v>
      </c>
      <c r="U495" s="1" t="s">
        <v>74</v>
      </c>
      <c r="V495" s="1" t="s">
        <v>4815</v>
      </c>
      <c r="W495" s="1" t="s">
        <v>74</v>
      </c>
      <c r="X495" s="1" t="s">
        <v>74</v>
      </c>
      <c r="Y495" s="1" t="s">
        <v>74</v>
      </c>
      <c r="Z495" s="1" t="s">
        <v>74</v>
      </c>
      <c r="AA495" s="1" t="s">
        <v>4816</v>
      </c>
      <c r="AB495" s="1" t="s">
        <v>4817</v>
      </c>
      <c r="AC495" s="1" t="s">
        <v>74</v>
      </c>
      <c r="AD495" s="1" t="s">
        <v>74</v>
      </c>
      <c r="AE495" s="1" t="s">
        <v>74</v>
      </c>
      <c r="AF495" s="1" t="s">
        <v>74</v>
      </c>
      <c r="AG495" s="1" t="s">
        <v>74</v>
      </c>
      <c r="AH495" s="1" t="s">
        <v>74</v>
      </c>
      <c r="AI495" s="1" t="s">
        <v>74</v>
      </c>
      <c r="AJ495" s="1" t="s">
        <v>74</v>
      </c>
      <c r="AK495" s="1" t="s">
        <v>74</v>
      </c>
      <c r="AL495" s="1" t="s">
        <v>74</v>
      </c>
      <c r="AM495" s="1" t="s">
        <v>74</v>
      </c>
      <c r="AN495" s="1" t="s">
        <v>74</v>
      </c>
      <c r="AO495" s="1" t="s">
        <v>4818</v>
      </c>
      <c r="AP495" s="1" t="s">
        <v>74</v>
      </c>
      <c r="AQ495" s="1" t="s">
        <v>74</v>
      </c>
      <c r="AR495" s="1" t="s">
        <v>74</v>
      </c>
      <c r="AS495" s="1" t="s">
        <v>74</v>
      </c>
      <c r="AT495" s="1" t="s">
        <v>74</v>
      </c>
      <c r="AU495" s="1">
        <v>2018.0</v>
      </c>
      <c r="AV495" s="1">
        <v>8.0</v>
      </c>
      <c r="AW495" s="1">
        <v>49.0</v>
      </c>
      <c r="AX495" s="1" t="s">
        <v>74</v>
      </c>
      <c r="AY495" s="1" t="s">
        <v>74</v>
      </c>
      <c r="AZ495" s="1" t="s">
        <v>74</v>
      </c>
      <c r="BA495" s="1" t="s">
        <v>74</v>
      </c>
      <c r="BB495" s="1">
        <v>27919.0</v>
      </c>
      <c r="BC495" s="1">
        <v>27923.0</v>
      </c>
      <c r="BD495" s="1" t="s">
        <v>74</v>
      </c>
      <c r="BE495" s="1" t="s">
        <v>4819</v>
      </c>
      <c r="BF495" s="2" t="str">
        <f>HYPERLINK("http://dx.doi.org/10.1039/c8ra03815e","http://dx.doi.org/10.1039/c8ra03815e")</f>
        <v>http://dx.doi.org/10.1039/c8ra03815e</v>
      </c>
      <c r="BG495" s="1" t="s">
        <v>74</v>
      </c>
      <c r="BH495" s="1" t="s">
        <v>74</v>
      </c>
      <c r="BI495" s="1" t="s">
        <v>74</v>
      </c>
      <c r="BJ495" s="1" t="s">
        <v>74</v>
      </c>
      <c r="BK495" s="1" t="s">
        <v>74</v>
      </c>
      <c r="BL495" s="1" t="s">
        <v>74</v>
      </c>
      <c r="BM495" s="1" t="s">
        <v>74</v>
      </c>
      <c r="BN495" s="1">
        <v>3.5542724E7</v>
      </c>
      <c r="BO495" s="1" t="s">
        <v>74</v>
      </c>
      <c r="BP495" s="1" t="s">
        <v>74</v>
      </c>
      <c r="BQ495" s="1" t="s">
        <v>74</v>
      </c>
      <c r="BR495" s="1" t="s">
        <v>74</v>
      </c>
      <c r="BS495" s="1" t="s">
        <v>4820</v>
      </c>
      <c r="BT495" s="1" t="str">
        <f>HYPERLINK("https%3A%2F%2Fwww.webofscience.com%2Fwos%2Fwoscc%2Ffull-record%2FWOS:000442078800033","View Full Record in Web of Science")</f>
        <v>View Full Record in Web of Science</v>
      </c>
    </row>
    <row r="496" ht="12.75" customHeight="1">
      <c r="A496" s="1" t="s">
        <v>72</v>
      </c>
      <c r="B496" s="1" t="s">
        <v>4821</v>
      </c>
      <c r="C496" s="1" t="s">
        <v>74</v>
      </c>
      <c r="D496" s="1" t="s">
        <v>74</v>
      </c>
      <c r="E496" s="1" t="s">
        <v>74</v>
      </c>
      <c r="F496" s="1" t="s">
        <v>4822</v>
      </c>
      <c r="G496" s="1" t="s">
        <v>74</v>
      </c>
      <c r="H496" s="1" t="s">
        <v>74</v>
      </c>
      <c r="I496" s="1" t="s">
        <v>4823</v>
      </c>
      <c r="J496" s="1" t="s">
        <v>4824</v>
      </c>
      <c r="K496" s="1" t="s">
        <v>74</v>
      </c>
      <c r="L496" s="1" t="s">
        <v>74</v>
      </c>
      <c r="M496" s="1" t="s">
        <v>74</v>
      </c>
      <c r="N496" s="1" t="s">
        <v>74</v>
      </c>
      <c r="O496" s="1" t="s">
        <v>74</v>
      </c>
      <c r="P496" s="1" t="s">
        <v>74</v>
      </c>
      <c r="Q496" s="1" t="s">
        <v>74</v>
      </c>
      <c r="R496" s="1" t="s">
        <v>74</v>
      </c>
      <c r="S496" s="1" t="s">
        <v>74</v>
      </c>
      <c r="T496" s="1" t="s">
        <v>74</v>
      </c>
      <c r="U496" s="1" t="s">
        <v>74</v>
      </c>
      <c r="V496" s="1" t="s">
        <v>4825</v>
      </c>
      <c r="W496" s="1" t="s">
        <v>74</v>
      </c>
      <c r="X496" s="1" t="s">
        <v>74</v>
      </c>
      <c r="Y496" s="1" t="s">
        <v>74</v>
      </c>
      <c r="Z496" s="1" t="s">
        <v>74</v>
      </c>
      <c r="AA496" s="1" t="s">
        <v>4826</v>
      </c>
      <c r="AB496" s="1" t="s">
        <v>4827</v>
      </c>
      <c r="AC496" s="1" t="s">
        <v>74</v>
      </c>
      <c r="AD496" s="1" t="s">
        <v>74</v>
      </c>
      <c r="AE496" s="1" t="s">
        <v>74</v>
      </c>
      <c r="AF496" s="1" t="s">
        <v>74</v>
      </c>
      <c r="AG496" s="1" t="s">
        <v>74</v>
      </c>
      <c r="AH496" s="1" t="s">
        <v>74</v>
      </c>
      <c r="AI496" s="1" t="s">
        <v>74</v>
      </c>
      <c r="AJ496" s="1" t="s">
        <v>74</v>
      </c>
      <c r="AK496" s="1" t="s">
        <v>74</v>
      </c>
      <c r="AL496" s="1" t="s">
        <v>74</v>
      </c>
      <c r="AM496" s="1" t="s">
        <v>74</v>
      </c>
      <c r="AN496" s="1" t="s">
        <v>74</v>
      </c>
      <c r="AO496" s="1" t="s">
        <v>4828</v>
      </c>
      <c r="AP496" s="1" t="s">
        <v>74</v>
      </c>
      <c r="AQ496" s="1" t="s">
        <v>74</v>
      </c>
      <c r="AR496" s="1" t="s">
        <v>74</v>
      </c>
      <c r="AS496" s="1" t="s">
        <v>74</v>
      </c>
      <c r="AT496" s="1" t="s">
        <v>215</v>
      </c>
      <c r="AU496" s="1">
        <v>2017.0</v>
      </c>
      <c r="AV496" s="1">
        <v>64.0</v>
      </c>
      <c r="AW496" s="1" t="s">
        <v>74</v>
      </c>
      <c r="AX496" s="1" t="s">
        <v>74</v>
      </c>
      <c r="AY496" s="1" t="s">
        <v>74</v>
      </c>
      <c r="AZ496" s="1" t="s">
        <v>74</v>
      </c>
      <c r="BA496" s="1" t="s">
        <v>74</v>
      </c>
      <c r="BB496" s="1">
        <v>140.0</v>
      </c>
      <c r="BC496" s="1">
        <v>148.0</v>
      </c>
      <c r="BD496" s="1" t="s">
        <v>74</v>
      </c>
      <c r="BE496" s="1" t="s">
        <v>4829</v>
      </c>
      <c r="BF496" s="2" t="str">
        <f>HYPERLINK("http://dx.doi.org/10.1016/j.wasman.2017.03.023","http://dx.doi.org/10.1016/j.wasman.2017.03.023")</f>
        <v>http://dx.doi.org/10.1016/j.wasman.2017.03.023</v>
      </c>
      <c r="BG496" s="1" t="s">
        <v>74</v>
      </c>
      <c r="BH496" s="1" t="s">
        <v>74</v>
      </c>
      <c r="BI496" s="1" t="s">
        <v>74</v>
      </c>
      <c r="BJ496" s="1" t="s">
        <v>74</v>
      </c>
      <c r="BK496" s="1" t="s">
        <v>74</v>
      </c>
      <c r="BL496" s="1" t="s">
        <v>74</v>
      </c>
      <c r="BM496" s="1" t="s">
        <v>74</v>
      </c>
      <c r="BN496" s="1">
        <v>2.8325706E7</v>
      </c>
      <c r="BO496" s="1" t="s">
        <v>74</v>
      </c>
      <c r="BP496" s="1" t="s">
        <v>74</v>
      </c>
      <c r="BQ496" s="1" t="s">
        <v>74</v>
      </c>
      <c r="BR496" s="1" t="s">
        <v>74</v>
      </c>
      <c r="BS496" s="1" t="s">
        <v>4830</v>
      </c>
      <c r="BT496" s="1" t="str">
        <f>HYPERLINK("https%3A%2F%2Fwww.webofscience.com%2Fwos%2Fwoscc%2Ffull-record%2FWOS:000403862100016","View Full Record in Web of Science")</f>
        <v>View Full Record in Web of Science</v>
      </c>
    </row>
    <row r="497" ht="12.75" customHeight="1">
      <c r="A497" s="1" t="s">
        <v>72</v>
      </c>
      <c r="B497" s="1" t="s">
        <v>4831</v>
      </c>
      <c r="C497" s="1" t="s">
        <v>74</v>
      </c>
      <c r="D497" s="1" t="s">
        <v>74</v>
      </c>
      <c r="E497" s="1" t="s">
        <v>74</v>
      </c>
      <c r="F497" s="1" t="s">
        <v>4832</v>
      </c>
      <c r="G497" s="1" t="s">
        <v>74</v>
      </c>
      <c r="H497" s="1" t="s">
        <v>74</v>
      </c>
      <c r="I497" s="1" t="s">
        <v>4833</v>
      </c>
      <c r="J497" s="1" t="s">
        <v>4834</v>
      </c>
      <c r="K497" s="1" t="s">
        <v>74</v>
      </c>
      <c r="L497" s="1" t="s">
        <v>74</v>
      </c>
      <c r="M497" s="1" t="s">
        <v>74</v>
      </c>
      <c r="N497" s="1" t="s">
        <v>74</v>
      </c>
      <c r="O497" s="1" t="s">
        <v>74</v>
      </c>
      <c r="P497" s="1" t="s">
        <v>74</v>
      </c>
      <c r="Q497" s="1" t="s">
        <v>74</v>
      </c>
      <c r="R497" s="1" t="s">
        <v>74</v>
      </c>
      <c r="S497" s="1" t="s">
        <v>74</v>
      </c>
      <c r="T497" s="1" t="s">
        <v>74</v>
      </c>
      <c r="U497" s="1" t="s">
        <v>74</v>
      </c>
      <c r="V497" s="1" t="s">
        <v>4835</v>
      </c>
      <c r="W497" s="1" t="s">
        <v>74</v>
      </c>
      <c r="X497" s="1" t="s">
        <v>74</v>
      </c>
      <c r="Y497" s="1" t="s">
        <v>74</v>
      </c>
      <c r="Z497" s="1" t="s">
        <v>74</v>
      </c>
      <c r="AA497" s="1" t="s">
        <v>4836</v>
      </c>
      <c r="AB497" s="1" t="s">
        <v>4837</v>
      </c>
      <c r="AC497" s="1" t="s">
        <v>74</v>
      </c>
      <c r="AD497" s="1" t="s">
        <v>74</v>
      </c>
      <c r="AE497" s="1" t="s">
        <v>74</v>
      </c>
      <c r="AF497" s="1" t="s">
        <v>74</v>
      </c>
      <c r="AG497" s="1" t="s">
        <v>74</v>
      </c>
      <c r="AH497" s="1" t="s">
        <v>74</v>
      </c>
      <c r="AI497" s="1" t="s">
        <v>74</v>
      </c>
      <c r="AJ497" s="1" t="s">
        <v>74</v>
      </c>
      <c r="AK497" s="1" t="s">
        <v>74</v>
      </c>
      <c r="AL497" s="1" t="s">
        <v>74</v>
      </c>
      <c r="AM497" s="1" t="s">
        <v>74</v>
      </c>
      <c r="AN497" s="1" t="s">
        <v>74</v>
      </c>
      <c r="AO497" s="1" t="s">
        <v>4838</v>
      </c>
      <c r="AP497" s="1" t="s">
        <v>74</v>
      </c>
      <c r="AQ497" s="1" t="s">
        <v>74</v>
      </c>
      <c r="AR497" s="1" t="s">
        <v>74</v>
      </c>
      <c r="AS497" s="1" t="s">
        <v>74</v>
      </c>
      <c r="AT497" s="1" t="s">
        <v>215</v>
      </c>
      <c r="AU497" s="1">
        <v>2017.0</v>
      </c>
      <c r="AV497" s="1">
        <v>19.0</v>
      </c>
      <c r="AW497" s="1">
        <v>2.0</v>
      </c>
      <c r="AX497" s="1" t="s">
        <v>74</v>
      </c>
      <c r="AY497" s="1" t="s">
        <v>74</v>
      </c>
      <c r="AZ497" s="1" t="s">
        <v>74</v>
      </c>
      <c r="BA497" s="1" t="s">
        <v>74</v>
      </c>
      <c r="BB497" s="1">
        <v>3.0</v>
      </c>
      <c r="BC497" s="1">
        <v>10.0</v>
      </c>
      <c r="BD497" s="1" t="s">
        <v>74</v>
      </c>
      <c r="BE497" s="1" t="s">
        <v>74</v>
      </c>
      <c r="BF497" s="1" t="s">
        <v>74</v>
      </c>
      <c r="BG497" s="1" t="s">
        <v>74</v>
      </c>
      <c r="BH497" s="1" t="s">
        <v>74</v>
      </c>
      <c r="BI497" s="1" t="s">
        <v>74</v>
      </c>
      <c r="BJ497" s="1" t="s">
        <v>74</v>
      </c>
      <c r="BK497" s="1" t="s">
        <v>74</v>
      </c>
      <c r="BL497" s="1" t="s">
        <v>74</v>
      </c>
      <c r="BM497" s="1" t="s">
        <v>74</v>
      </c>
      <c r="BN497" s="1" t="s">
        <v>74</v>
      </c>
      <c r="BO497" s="1" t="s">
        <v>74</v>
      </c>
      <c r="BP497" s="1" t="s">
        <v>74</v>
      </c>
      <c r="BQ497" s="1" t="s">
        <v>74</v>
      </c>
      <c r="BR497" s="1" t="s">
        <v>74</v>
      </c>
      <c r="BS497" s="1" t="s">
        <v>4839</v>
      </c>
      <c r="BT497" s="1" t="str">
        <f>HYPERLINK("https%3A%2F%2Fwww.webofscience.com%2Fwos%2Fwoscc%2Ffull-record%2FWOS:000404695500001","View Full Record in Web of Science")</f>
        <v>View Full Record in Web of Science</v>
      </c>
    </row>
    <row r="498" ht="12.75" customHeight="1">
      <c r="A498" s="1" t="s">
        <v>72</v>
      </c>
      <c r="B498" s="1" t="s">
        <v>4840</v>
      </c>
      <c r="C498" s="1" t="s">
        <v>74</v>
      </c>
      <c r="D498" s="1" t="s">
        <v>74</v>
      </c>
      <c r="E498" s="1" t="s">
        <v>74</v>
      </c>
      <c r="F498" s="1" t="s">
        <v>4841</v>
      </c>
      <c r="G498" s="1" t="s">
        <v>74</v>
      </c>
      <c r="H498" s="1" t="s">
        <v>74</v>
      </c>
      <c r="I498" s="1" t="s">
        <v>4842</v>
      </c>
      <c r="J498" s="1" t="s">
        <v>4843</v>
      </c>
      <c r="K498" s="1" t="s">
        <v>74</v>
      </c>
      <c r="L498" s="1" t="s">
        <v>74</v>
      </c>
      <c r="M498" s="1" t="s">
        <v>74</v>
      </c>
      <c r="N498" s="1" t="s">
        <v>74</v>
      </c>
      <c r="O498" s="1" t="s">
        <v>74</v>
      </c>
      <c r="P498" s="1" t="s">
        <v>74</v>
      </c>
      <c r="Q498" s="1" t="s">
        <v>74</v>
      </c>
      <c r="R498" s="1" t="s">
        <v>74</v>
      </c>
      <c r="S498" s="1" t="s">
        <v>74</v>
      </c>
      <c r="T498" s="1" t="s">
        <v>74</v>
      </c>
      <c r="U498" s="1" t="s">
        <v>74</v>
      </c>
      <c r="V498" s="1" t="s">
        <v>4844</v>
      </c>
      <c r="W498" s="1" t="s">
        <v>74</v>
      </c>
      <c r="X498" s="1" t="s">
        <v>74</v>
      </c>
      <c r="Y498" s="1" t="s">
        <v>74</v>
      </c>
      <c r="Z498" s="1" t="s">
        <v>74</v>
      </c>
      <c r="AA498" s="1" t="s">
        <v>4845</v>
      </c>
      <c r="AB498" s="1" t="s">
        <v>4132</v>
      </c>
      <c r="AC498" s="1" t="s">
        <v>74</v>
      </c>
      <c r="AD498" s="1" t="s">
        <v>74</v>
      </c>
      <c r="AE498" s="1" t="s">
        <v>74</v>
      </c>
      <c r="AF498" s="1" t="s">
        <v>74</v>
      </c>
      <c r="AG498" s="1" t="s">
        <v>74</v>
      </c>
      <c r="AH498" s="1" t="s">
        <v>74</v>
      </c>
      <c r="AI498" s="1" t="s">
        <v>74</v>
      </c>
      <c r="AJ498" s="1" t="s">
        <v>74</v>
      </c>
      <c r="AK498" s="1" t="s">
        <v>74</v>
      </c>
      <c r="AL498" s="1" t="s">
        <v>74</v>
      </c>
      <c r="AM498" s="1" t="s">
        <v>74</v>
      </c>
      <c r="AN498" s="1" t="s">
        <v>74</v>
      </c>
      <c r="AO498" s="1" t="s">
        <v>4846</v>
      </c>
      <c r="AP498" s="1" t="s">
        <v>4847</v>
      </c>
      <c r="AQ498" s="1" t="s">
        <v>74</v>
      </c>
      <c r="AR498" s="1" t="s">
        <v>74</v>
      </c>
      <c r="AS498" s="1" t="s">
        <v>74</v>
      </c>
      <c r="AT498" s="1" t="s">
        <v>459</v>
      </c>
      <c r="AU498" s="1">
        <v>2016.0</v>
      </c>
      <c r="AV498" s="1">
        <v>107.0</v>
      </c>
      <c r="AW498" s="1" t="s">
        <v>74</v>
      </c>
      <c r="AX498" s="1" t="s">
        <v>74</v>
      </c>
      <c r="AY498" s="1" t="s">
        <v>74</v>
      </c>
      <c r="AZ498" s="1" t="s">
        <v>74</v>
      </c>
      <c r="BA498" s="1" t="s">
        <v>74</v>
      </c>
      <c r="BB498" s="1">
        <v>247.0</v>
      </c>
      <c r="BC498" s="1">
        <v>258.0</v>
      </c>
      <c r="BD498" s="1" t="s">
        <v>74</v>
      </c>
      <c r="BE498" s="1" t="s">
        <v>4848</v>
      </c>
      <c r="BF498" s="2" t="str">
        <f>HYPERLINK("http://dx.doi.org/10.1016/j.ijthermalsci.2016.04.007","http://dx.doi.org/10.1016/j.ijthermalsci.2016.04.007")</f>
        <v>http://dx.doi.org/10.1016/j.ijthermalsci.2016.04.007</v>
      </c>
      <c r="BG498" s="1" t="s">
        <v>74</v>
      </c>
      <c r="BH498" s="1" t="s">
        <v>74</v>
      </c>
      <c r="BI498" s="1" t="s">
        <v>74</v>
      </c>
      <c r="BJ498" s="1" t="s">
        <v>74</v>
      </c>
      <c r="BK498" s="1" t="s">
        <v>74</v>
      </c>
      <c r="BL498" s="1" t="s">
        <v>74</v>
      </c>
      <c r="BM498" s="1" t="s">
        <v>74</v>
      </c>
      <c r="BN498" s="1" t="s">
        <v>74</v>
      </c>
      <c r="BO498" s="1" t="s">
        <v>74</v>
      </c>
      <c r="BP498" s="1" t="s">
        <v>74</v>
      </c>
      <c r="BQ498" s="1" t="s">
        <v>74</v>
      </c>
      <c r="BR498" s="1" t="s">
        <v>74</v>
      </c>
      <c r="BS498" s="1" t="s">
        <v>4849</v>
      </c>
      <c r="BT498" s="1" t="str">
        <f>HYPERLINK("https%3A%2F%2Fwww.webofscience.com%2Fwos%2Fwoscc%2Ffull-record%2FWOS:000378666400024","View Full Record in Web of Science")</f>
        <v>View Full Record in Web of Science</v>
      </c>
    </row>
    <row r="499" ht="12.75" customHeight="1">
      <c r="A499" s="1" t="s">
        <v>72</v>
      </c>
      <c r="B499" s="1" t="s">
        <v>4850</v>
      </c>
      <c r="C499" s="1" t="s">
        <v>74</v>
      </c>
      <c r="D499" s="1" t="s">
        <v>74</v>
      </c>
      <c r="E499" s="1" t="s">
        <v>74</v>
      </c>
      <c r="F499" s="1" t="s">
        <v>4851</v>
      </c>
      <c r="G499" s="1" t="s">
        <v>74</v>
      </c>
      <c r="H499" s="1" t="s">
        <v>74</v>
      </c>
      <c r="I499" s="1" t="s">
        <v>4852</v>
      </c>
      <c r="J499" s="1" t="s">
        <v>481</v>
      </c>
      <c r="K499" s="1" t="s">
        <v>74</v>
      </c>
      <c r="L499" s="1" t="s">
        <v>74</v>
      </c>
      <c r="M499" s="1" t="s">
        <v>74</v>
      </c>
      <c r="N499" s="1" t="s">
        <v>74</v>
      </c>
      <c r="O499" s="1" t="s">
        <v>74</v>
      </c>
      <c r="P499" s="1" t="s">
        <v>74</v>
      </c>
      <c r="Q499" s="1" t="s">
        <v>74</v>
      </c>
      <c r="R499" s="1" t="s">
        <v>74</v>
      </c>
      <c r="S499" s="1" t="s">
        <v>74</v>
      </c>
      <c r="T499" s="1" t="s">
        <v>74</v>
      </c>
      <c r="U499" s="1" t="s">
        <v>74</v>
      </c>
      <c r="V499" s="1" t="s">
        <v>4853</v>
      </c>
      <c r="W499" s="1" t="s">
        <v>74</v>
      </c>
      <c r="X499" s="1" t="s">
        <v>74</v>
      </c>
      <c r="Y499" s="1" t="s">
        <v>74</v>
      </c>
      <c r="Z499" s="1" t="s">
        <v>74</v>
      </c>
      <c r="AA499" s="1" t="s">
        <v>4854</v>
      </c>
      <c r="AB499" s="1" t="s">
        <v>74</v>
      </c>
      <c r="AC499" s="1" t="s">
        <v>74</v>
      </c>
      <c r="AD499" s="1" t="s">
        <v>74</v>
      </c>
      <c r="AE499" s="1" t="s">
        <v>74</v>
      </c>
      <c r="AF499" s="1" t="s">
        <v>74</v>
      </c>
      <c r="AG499" s="1" t="s">
        <v>74</v>
      </c>
      <c r="AH499" s="1" t="s">
        <v>74</v>
      </c>
      <c r="AI499" s="1" t="s">
        <v>74</v>
      </c>
      <c r="AJ499" s="1" t="s">
        <v>74</v>
      </c>
      <c r="AK499" s="1" t="s">
        <v>74</v>
      </c>
      <c r="AL499" s="1" t="s">
        <v>74</v>
      </c>
      <c r="AM499" s="1" t="s">
        <v>74</v>
      </c>
      <c r="AN499" s="1" t="s">
        <v>74</v>
      </c>
      <c r="AO499" s="1" t="s">
        <v>483</v>
      </c>
      <c r="AP499" s="1" t="s">
        <v>74</v>
      </c>
      <c r="AQ499" s="1" t="s">
        <v>74</v>
      </c>
      <c r="AR499" s="1" t="s">
        <v>74</v>
      </c>
      <c r="AS499" s="1" t="s">
        <v>74</v>
      </c>
      <c r="AT499" s="1" t="s">
        <v>215</v>
      </c>
      <c r="AU499" s="1">
        <v>2016.0</v>
      </c>
      <c r="AV499" s="1" t="s">
        <v>74</v>
      </c>
      <c r="AW499" s="1">
        <v>52.0</v>
      </c>
      <c r="AX499" s="1" t="s">
        <v>74</v>
      </c>
      <c r="AY499" s="1" t="s">
        <v>74</v>
      </c>
      <c r="AZ499" s="1" t="s">
        <v>74</v>
      </c>
      <c r="BA499" s="1" t="s">
        <v>74</v>
      </c>
      <c r="BB499" s="1">
        <v>69.0</v>
      </c>
      <c r="BC499" s="1" t="s">
        <v>4855</v>
      </c>
      <c r="BD499" s="1" t="s">
        <v>74</v>
      </c>
      <c r="BE499" s="1" t="s">
        <v>74</v>
      </c>
      <c r="BF499" s="1" t="s">
        <v>74</v>
      </c>
      <c r="BG499" s="1" t="s">
        <v>74</v>
      </c>
      <c r="BH499" s="1" t="s">
        <v>74</v>
      </c>
      <c r="BI499" s="1" t="s">
        <v>74</v>
      </c>
      <c r="BJ499" s="1" t="s">
        <v>74</v>
      </c>
      <c r="BK499" s="1" t="s">
        <v>74</v>
      </c>
      <c r="BL499" s="1" t="s">
        <v>74</v>
      </c>
      <c r="BM499" s="1" t="s">
        <v>74</v>
      </c>
      <c r="BN499" s="1" t="s">
        <v>74</v>
      </c>
      <c r="BO499" s="1" t="s">
        <v>74</v>
      </c>
      <c r="BP499" s="1" t="s">
        <v>74</v>
      </c>
      <c r="BQ499" s="1" t="s">
        <v>74</v>
      </c>
      <c r="BR499" s="1" t="s">
        <v>74</v>
      </c>
      <c r="BS499" s="1" t="s">
        <v>4856</v>
      </c>
      <c r="BT499" s="1" t="str">
        <f>HYPERLINK("https%3A%2F%2Fwww.webofscience.com%2Fwos%2Fwoscc%2Ffull-record%2FWOS:000393521400006","View Full Record in Web of Science")</f>
        <v>View Full Record in Web of Science</v>
      </c>
    </row>
    <row r="500" ht="12.75" customHeight="1">
      <c r="A500" s="1" t="s">
        <v>251</v>
      </c>
      <c r="B500" s="1" t="s">
        <v>267</v>
      </c>
      <c r="C500" s="1" t="s">
        <v>74</v>
      </c>
      <c r="D500" s="1" t="s">
        <v>74</v>
      </c>
      <c r="E500" s="1" t="s">
        <v>253</v>
      </c>
      <c r="F500" s="1" t="s">
        <v>268</v>
      </c>
      <c r="G500" s="1" t="s">
        <v>74</v>
      </c>
      <c r="H500" s="1" t="s">
        <v>74</v>
      </c>
      <c r="I500" s="1" t="s">
        <v>4857</v>
      </c>
      <c r="J500" s="1" t="s">
        <v>4858</v>
      </c>
      <c r="K500" s="1" t="s">
        <v>74</v>
      </c>
      <c r="L500" s="1" t="s">
        <v>74</v>
      </c>
      <c r="M500" s="1" t="s">
        <v>74</v>
      </c>
      <c r="N500" s="1" t="s">
        <v>74</v>
      </c>
      <c r="O500" s="1" t="s">
        <v>4859</v>
      </c>
      <c r="P500" s="1" t="s">
        <v>4860</v>
      </c>
      <c r="Q500" s="1" t="s">
        <v>4861</v>
      </c>
      <c r="R500" s="1" t="s">
        <v>253</v>
      </c>
      <c r="S500" s="1" t="s">
        <v>4862</v>
      </c>
      <c r="T500" s="1" t="s">
        <v>74</v>
      </c>
      <c r="U500" s="1" t="s">
        <v>74</v>
      </c>
      <c r="V500" s="1" t="s">
        <v>4863</v>
      </c>
      <c r="W500" s="1" t="s">
        <v>74</v>
      </c>
      <c r="X500" s="1" t="s">
        <v>74</v>
      </c>
      <c r="Y500" s="1" t="s">
        <v>74</v>
      </c>
      <c r="Z500" s="1" t="s">
        <v>74</v>
      </c>
      <c r="AA500" s="1" t="s">
        <v>74</v>
      </c>
      <c r="AB500" s="1" t="s">
        <v>74</v>
      </c>
      <c r="AC500" s="1" t="s">
        <v>74</v>
      </c>
      <c r="AD500" s="1" t="s">
        <v>74</v>
      </c>
      <c r="AE500" s="1" t="s">
        <v>74</v>
      </c>
      <c r="AF500" s="1" t="s">
        <v>74</v>
      </c>
      <c r="AG500" s="1" t="s">
        <v>74</v>
      </c>
      <c r="AH500" s="1" t="s">
        <v>74</v>
      </c>
      <c r="AI500" s="1" t="s">
        <v>74</v>
      </c>
      <c r="AJ500" s="1" t="s">
        <v>74</v>
      </c>
      <c r="AK500" s="1" t="s">
        <v>74</v>
      </c>
      <c r="AL500" s="1" t="s">
        <v>74</v>
      </c>
      <c r="AM500" s="1" t="s">
        <v>74</v>
      </c>
      <c r="AN500" s="1" t="s">
        <v>74</v>
      </c>
      <c r="AO500" s="1" t="s">
        <v>74</v>
      </c>
      <c r="AP500" s="1" t="s">
        <v>74</v>
      </c>
      <c r="AQ500" s="1" t="s">
        <v>4864</v>
      </c>
      <c r="AR500" s="1" t="s">
        <v>74</v>
      </c>
      <c r="AS500" s="1" t="s">
        <v>74</v>
      </c>
      <c r="AT500" s="1" t="s">
        <v>74</v>
      </c>
      <c r="AU500" s="1">
        <v>2016.0</v>
      </c>
      <c r="AV500" s="1" t="s">
        <v>74</v>
      </c>
      <c r="AW500" s="1" t="s">
        <v>74</v>
      </c>
      <c r="AX500" s="1" t="s">
        <v>74</v>
      </c>
      <c r="AY500" s="1" t="s">
        <v>74</v>
      </c>
      <c r="AZ500" s="1" t="s">
        <v>74</v>
      </c>
      <c r="BA500" s="1" t="s">
        <v>74</v>
      </c>
      <c r="BB500" s="1" t="s">
        <v>74</v>
      </c>
      <c r="BC500" s="1" t="s">
        <v>74</v>
      </c>
      <c r="BD500" s="1" t="s">
        <v>74</v>
      </c>
      <c r="BE500" s="1" t="s">
        <v>74</v>
      </c>
      <c r="BF500" s="1" t="s">
        <v>74</v>
      </c>
      <c r="BG500" s="1" t="s">
        <v>74</v>
      </c>
      <c r="BH500" s="1" t="s">
        <v>74</v>
      </c>
      <c r="BI500" s="1" t="s">
        <v>74</v>
      </c>
      <c r="BJ500" s="1" t="s">
        <v>74</v>
      </c>
      <c r="BK500" s="1" t="s">
        <v>74</v>
      </c>
      <c r="BL500" s="1" t="s">
        <v>74</v>
      </c>
      <c r="BM500" s="1" t="s">
        <v>74</v>
      </c>
      <c r="BN500" s="1" t="s">
        <v>74</v>
      </c>
      <c r="BO500" s="1" t="s">
        <v>74</v>
      </c>
      <c r="BP500" s="1" t="s">
        <v>74</v>
      </c>
      <c r="BQ500" s="1" t="s">
        <v>74</v>
      </c>
      <c r="BR500" s="1" t="s">
        <v>74</v>
      </c>
      <c r="BS500" s="1" t="s">
        <v>4865</v>
      </c>
      <c r="BT500" s="1" t="str">
        <f>HYPERLINK("https%3A%2F%2Fwww.webofscience.com%2Fwos%2Fwoscc%2Ffull-record%2FWOS:000390556300019","View Full Record in Web of Science")</f>
        <v>View Full Record in Web of Science</v>
      </c>
    </row>
    <row r="501" ht="12.75" customHeight="1">
      <c r="A501" s="1" t="s">
        <v>72</v>
      </c>
      <c r="B501" s="1" t="s">
        <v>4866</v>
      </c>
      <c r="C501" s="1" t="s">
        <v>74</v>
      </c>
      <c r="D501" s="1" t="s">
        <v>74</v>
      </c>
      <c r="E501" s="1" t="s">
        <v>74</v>
      </c>
      <c r="F501" s="1" t="s">
        <v>4867</v>
      </c>
      <c r="G501" s="1" t="s">
        <v>74</v>
      </c>
      <c r="H501" s="1" t="s">
        <v>74</v>
      </c>
      <c r="I501" s="1" t="s">
        <v>4868</v>
      </c>
      <c r="J501" s="1" t="s">
        <v>4869</v>
      </c>
      <c r="K501" s="1" t="s">
        <v>74</v>
      </c>
      <c r="L501" s="1" t="s">
        <v>74</v>
      </c>
      <c r="M501" s="1" t="s">
        <v>74</v>
      </c>
      <c r="N501" s="1" t="s">
        <v>74</v>
      </c>
      <c r="O501" s="1" t="s">
        <v>74</v>
      </c>
      <c r="P501" s="1" t="s">
        <v>74</v>
      </c>
      <c r="Q501" s="1" t="s">
        <v>74</v>
      </c>
      <c r="R501" s="1" t="s">
        <v>74</v>
      </c>
      <c r="S501" s="1" t="s">
        <v>74</v>
      </c>
      <c r="T501" s="1" t="s">
        <v>74</v>
      </c>
      <c r="U501" s="1" t="s">
        <v>74</v>
      </c>
      <c r="V501" s="1" t="s">
        <v>4870</v>
      </c>
      <c r="W501" s="1" t="s">
        <v>74</v>
      </c>
      <c r="X501" s="1" t="s">
        <v>74</v>
      </c>
      <c r="Y501" s="1" t="s">
        <v>74</v>
      </c>
      <c r="Z501" s="1" t="s">
        <v>74</v>
      </c>
      <c r="AA501" s="1" t="s">
        <v>74</v>
      </c>
      <c r="AB501" s="1" t="s">
        <v>74</v>
      </c>
      <c r="AC501" s="1" t="s">
        <v>74</v>
      </c>
      <c r="AD501" s="1" t="s">
        <v>74</v>
      </c>
      <c r="AE501" s="1" t="s">
        <v>74</v>
      </c>
      <c r="AF501" s="1" t="s">
        <v>74</v>
      </c>
      <c r="AG501" s="1" t="s">
        <v>74</v>
      </c>
      <c r="AH501" s="1" t="s">
        <v>74</v>
      </c>
      <c r="AI501" s="1" t="s">
        <v>74</v>
      </c>
      <c r="AJ501" s="1" t="s">
        <v>74</v>
      </c>
      <c r="AK501" s="1" t="s">
        <v>74</v>
      </c>
      <c r="AL501" s="1" t="s">
        <v>74</v>
      </c>
      <c r="AM501" s="1" t="s">
        <v>74</v>
      </c>
      <c r="AN501" s="1" t="s">
        <v>74</v>
      </c>
      <c r="AO501" s="1" t="s">
        <v>74</v>
      </c>
      <c r="AP501" s="1" t="s">
        <v>4871</v>
      </c>
      <c r="AQ501" s="1" t="s">
        <v>74</v>
      </c>
      <c r="AR501" s="1" t="s">
        <v>74</v>
      </c>
      <c r="AS501" s="1" t="s">
        <v>74</v>
      </c>
      <c r="AT501" s="1" t="s">
        <v>74</v>
      </c>
      <c r="AU501" s="1">
        <v>2016.0</v>
      </c>
      <c r="AV501" s="1">
        <v>3.0</v>
      </c>
      <c r="AW501" s="1" t="s">
        <v>74</v>
      </c>
      <c r="AX501" s="1" t="s">
        <v>74</v>
      </c>
      <c r="AY501" s="1" t="s">
        <v>74</v>
      </c>
      <c r="AZ501" s="1" t="s">
        <v>74</v>
      </c>
      <c r="BA501" s="1" t="s">
        <v>74</v>
      </c>
      <c r="BB501" s="1" t="s">
        <v>74</v>
      </c>
      <c r="BC501" s="1" t="s">
        <v>74</v>
      </c>
      <c r="BD501" s="1">
        <v>216.0</v>
      </c>
      <c r="BE501" s="1" t="s">
        <v>4872</v>
      </c>
      <c r="BF501" s="2" t="str">
        <f>HYPERLINK("http://dx.doi.org/10.3389/fmars.2016.00216","http://dx.doi.org/10.3389/fmars.2016.00216")</f>
        <v>http://dx.doi.org/10.3389/fmars.2016.00216</v>
      </c>
      <c r="BG501" s="1" t="s">
        <v>74</v>
      </c>
      <c r="BH501" s="1" t="s">
        <v>74</v>
      </c>
      <c r="BI501" s="1" t="s">
        <v>74</v>
      </c>
      <c r="BJ501" s="1" t="s">
        <v>74</v>
      </c>
      <c r="BK501" s="1" t="s">
        <v>74</v>
      </c>
      <c r="BL501" s="1" t="s">
        <v>74</v>
      </c>
      <c r="BM501" s="1" t="s">
        <v>74</v>
      </c>
      <c r="BN501" s="1" t="s">
        <v>74</v>
      </c>
      <c r="BO501" s="1" t="s">
        <v>74</v>
      </c>
      <c r="BP501" s="1" t="s">
        <v>74</v>
      </c>
      <c r="BQ501" s="1" t="s">
        <v>74</v>
      </c>
      <c r="BR501" s="1" t="s">
        <v>74</v>
      </c>
      <c r="BS501" s="1" t="s">
        <v>4873</v>
      </c>
      <c r="BT501" s="1" t="str">
        <f>HYPERLINK("https%3A%2F%2Fwww.webofscience.com%2Fwos%2Fwoscc%2Ffull-record%2FWOS:000457358000212","View Full Record in Web of Science")</f>
        <v>View Full Record in Web of Science</v>
      </c>
    </row>
    <row r="502" ht="12.75" customHeight="1">
      <c r="A502" s="1" t="s">
        <v>72</v>
      </c>
      <c r="B502" s="1" t="s">
        <v>4874</v>
      </c>
      <c r="C502" s="1" t="s">
        <v>74</v>
      </c>
      <c r="D502" s="1" t="s">
        <v>74</v>
      </c>
      <c r="E502" s="1" t="s">
        <v>74</v>
      </c>
      <c r="F502" s="1" t="s">
        <v>4875</v>
      </c>
      <c r="G502" s="1" t="s">
        <v>74</v>
      </c>
      <c r="H502" s="1" t="s">
        <v>74</v>
      </c>
      <c r="I502" s="1" t="s">
        <v>4876</v>
      </c>
      <c r="J502" s="1" t="s">
        <v>4877</v>
      </c>
      <c r="K502" s="1" t="s">
        <v>74</v>
      </c>
      <c r="L502" s="1" t="s">
        <v>74</v>
      </c>
      <c r="M502" s="1" t="s">
        <v>74</v>
      </c>
      <c r="N502" s="1" t="s">
        <v>74</v>
      </c>
      <c r="O502" s="1" t="s">
        <v>74</v>
      </c>
      <c r="P502" s="1" t="s">
        <v>74</v>
      </c>
      <c r="Q502" s="1" t="s">
        <v>74</v>
      </c>
      <c r="R502" s="1" t="s">
        <v>74</v>
      </c>
      <c r="S502" s="1" t="s">
        <v>74</v>
      </c>
      <c r="T502" s="1" t="s">
        <v>74</v>
      </c>
      <c r="U502" s="1" t="s">
        <v>74</v>
      </c>
      <c r="V502" s="1" t="s">
        <v>4878</v>
      </c>
      <c r="W502" s="1" t="s">
        <v>74</v>
      </c>
      <c r="X502" s="1" t="s">
        <v>74</v>
      </c>
      <c r="Y502" s="1" t="s">
        <v>74</v>
      </c>
      <c r="Z502" s="1" t="s">
        <v>74</v>
      </c>
      <c r="AA502" s="1" t="s">
        <v>4879</v>
      </c>
      <c r="AB502" s="1" t="s">
        <v>1357</v>
      </c>
      <c r="AC502" s="1" t="s">
        <v>74</v>
      </c>
      <c r="AD502" s="1" t="s">
        <v>74</v>
      </c>
      <c r="AE502" s="1" t="s">
        <v>74</v>
      </c>
      <c r="AF502" s="1" t="s">
        <v>74</v>
      </c>
      <c r="AG502" s="1" t="s">
        <v>74</v>
      </c>
      <c r="AH502" s="1" t="s">
        <v>74</v>
      </c>
      <c r="AI502" s="1" t="s">
        <v>74</v>
      </c>
      <c r="AJ502" s="1" t="s">
        <v>74</v>
      </c>
      <c r="AK502" s="1" t="s">
        <v>74</v>
      </c>
      <c r="AL502" s="1" t="s">
        <v>74</v>
      </c>
      <c r="AM502" s="1" t="s">
        <v>74</v>
      </c>
      <c r="AN502" s="1" t="s">
        <v>74</v>
      </c>
      <c r="AO502" s="1" t="s">
        <v>4880</v>
      </c>
      <c r="AP502" s="1" t="s">
        <v>74</v>
      </c>
      <c r="AQ502" s="1" t="s">
        <v>74</v>
      </c>
      <c r="AR502" s="1" t="s">
        <v>74</v>
      </c>
      <c r="AS502" s="1" t="s">
        <v>74</v>
      </c>
      <c r="AT502" s="1" t="s">
        <v>215</v>
      </c>
      <c r="AU502" s="1">
        <v>2015.0</v>
      </c>
      <c r="AV502" s="1">
        <v>5.0</v>
      </c>
      <c r="AW502" s="1">
        <v>2.0</v>
      </c>
      <c r="AX502" s="1" t="s">
        <v>74</v>
      </c>
      <c r="AY502" s="1" t="s">
        <v>74</v>
      </c>
      <c r="AZ502" s="1" t="s">
        <v>74</v>
      </c>
      <c r="BA502" s="1" t="s">
        <v>74</v>
      </c>
      <c r="BB502" s="1">
        <v>628.0</v>
      </c>
      <c r="BC502" s="1">
        <v>647.0</v>
      </c>
      <c r="BD502" s="1" t="s">
        <v>74</v>
      </c>
      <c r="BE502" s="1" t="s">
        <v>4881</v>
      </c>
      <c r="BF502" s="2" t="str">
        <f>HYPERLINK("http://dx.doi.org/10.3390/met5020628","http://dx.doi.org/10.3390/met5020628")</f>
        <v>http://dx.doi.org/10.3390/met5020628</v>
      </c>
      <c r="BG502" s="1" t="s">
        <v>74</v>
      </c>
      <c r="BH502" s="1" t="s">
        <v>74</v>
      </c>
      <c r="BI502" s="1" t="s">
        <v>74</v>
      </c>
      <c r="BJ502" s="1" t="s">
        <v>74</v>
      </c>
      <c r="BK502" s="1" t="s">
        <v>74</v>
      </c>
      <c r="BL502" s="1" t="s">
        <v>74</v>
      </c>
      <c r="BM502" s="1" t="s">
        <v>74</v>
      </c>
      <c r="BN502" s="1" t="s">
        <v>74</v>
      </c>
      <c r="BO502" s="1" t="s">
        <v>74</v>
      </c>
      <c r="BP502" s="1" t="s">
        <v>74</v>
      </c>
      <c r="BQ502" s="1" t="s">
        <v>74</v>
      </c>
      <c r="BR502" s="1" t="s">
        <v>74</v>
      </c>
      <c r="BS502" s="1" t="s">
        <v>4882</v>
      </c>
      <c r="BT502" s="1" t="str">
        <f>HYPERLINK("https%3A%2F%2Fwww.webofscience.com%2Fwos%2Fwoscc%2Ffull-record%2FWOS:000357508400009","View Full Record in Web of Science")</f>
        <v>View Full Record in Web of Science</v>
      </c>
    </row>
    <row r="503" ht="12.75" customHeight="1">
      <c r="A503" s="1" t="s">
        <v>72</v>
      </c>
      <c r="B503" s="1" t="s">
        <v>4883</v>
      </c>
      <c r="C503" s="1" t="s">
        <v>74</v>
      </c>
      <c r="D503" s="1" t="s">
        <v>74</v>
      </c>
      <c r="E503" s="1" t="s">
        <v>74</v>
      </c>
      <c r="F503" s="1" t="s">
        <v>4884</v>
      </c>
      <c r="G503" s="1" t="s">
        <v>74</v>
      </c>
      <c r="H503" s="1" t="s">
        <v>74</v>
      </c>
      <c r="I503" s="1" t="s">
        <v>4885</v>
      </c>
      <c r="J503" s="1" t="s">
        <v>4886</v>
      </c>
      <c r="K503" s="1" t="s">
        <v>74</v>
      </c>
      <c r="L503" s="1" t="s">
        <v>74</v>
      </c>
      <c r="M503" s="1" t="s">
        <v>74</v>
      </c>
      <c r="N503" s="1" t="s">
        <v>74</v>
      </c>
      <c r="O503" s="1" t="s">
        <v>74</v>
      </c>
      <c r="P503" s="1" t="s">
        <v>74</v>
      </c>
      <c r="Q503" s="1" t="s">
        <v>74</v>
      </c>
      <c r="R503" s="1" t="s">
        <v>74</v>
      </c>
      <c r="S503" s="1" t="s">
        <v>74</v>
      </c>
      <c r="T503" s="1" t="s">
        <v>74</v>
      </c>
      <c r="U503" s="1" t="s">
        <v>74</v>
      </c>
      <c r="V503" s="1" t="s">
        <v>4887</v>
      </c>
      <c r="W503" s="1" t="s">
        <v>74</v>
      </c>
      <c r="X503" s="1" t="s">
        <v>74</v>
      </c>
      <c r="Y503" s="1" t="s">
        <v>74</v>
      </c>
      <c r="Z503" s="1" t="s">
        <v>74</v>
      </c>
      <c r="AA503" s="1" t="s">
        <v>4888</v>
      </c>
      <c r="AB503" s="1" t="s">
        <v>4889</v>
      </c>
      <c r="AC503" s="1" t="s">
        <v>74</v>
      </c>
      <c r="AD503" s="1" t="s">
        <v>74</v>
      </c>
      <c r="AE503" s="1" t="s">
        <v>74</v>
      </c>
      <c r="AF503" s="1" t="s">
        <v>74</v>
      </c>
      <c r="AG503" s="1" t="s">
        <v>74</v>
      </c>
      <c r="AH503" s="1" t="s">
        <v>74</v>
      </c>
      <c r="AI503" s="1" t="s">
        <v>74</v>
      </c>
      <c r="AJ503" s="1" t="s">
        <v>74</v>
      </c>
      <c r="AK503" s="1" t="s">
        <v>74</v>
      </c>
      <c r="AL503" s="1" t="s">
        <v>74</v>
      </c>
      <c r="AM503" s="1" t="s">
        <v>74</v>
      </c>
      <c r="AN503" s="1" t="s">
        <v>74</v>
      </c>
      <c r="AO503" s="1" t="s">
        <v>4890</v>
      </c>
      <c r="AP503" s="1" t="s">
        <v>4891</v>
      </c>
      <c r="AQ503" s="1" t="s">
        <v>74</v>
      </c>
      <c r="AR503" s="1" t="s">
        <v>74</v>
      </c>
      <c r="AS503" s="1" t="s">
        <v>74</v>
      </c>
      <c r="AT503" s="1" t="s">
        <v>110</v>
      </c>
      <c r="AU503" s="1">
        <v>2014.0</v>
      </c>
      <c r="AV503" s="1">
        <v>71.0</v>
      </c>
      <c r="AW503" s="1">
        <v>12.0</v>
      </c>
      <c r="AX503" s="1" t="s">
        <v>74</v>
      </c>
      <c r="AY503" s="1" t="s">
        <v>74</v>
      </c>
      <c r="AZ503" s="1" t="s">
        <v>74</v>
      </c>
      <c r="BA503" s="1" t="s">
        <v>74</v>
      </c>
      <c r="BB503" s="1">
        <v>3323.0</v>
      </c>
      <c r="BC503" s="1">
        <v>3331.0</v>
      </c>
      <c r="BD503" s="1" t="s">
        <v>74</v>
      </c>
      <c r="BE503" s="1" t="s">
        <v>4892</v>
      </c>
      <c r="BF503" s="2" t="str">
        <f>HYPERLINK("http://dx.doi.org/10.1007/s00289-014-1252-9","http://dx.doi.org/10.1007/s00289-014-1252-9")</f>
        <v>http://dx.doi.org/10.1007/s00289-014-1252-9</v>
      </c>
      <c r="BG503" s="1" t="s">
        <v>74</v>
      </c>
      <c r="BH503" s="1" t="s">
        <v>74</v>
      </c>
      <c r="BI503" s="1" t="s">
        <v>74</v>
      </c>
      <c r="BJ503" s="1" t="s">
        <v>74</v>
      </c>
      <c r="BK503" s="1" t="s">
        <v>74</v>
      </c>
      <c r="BL503" s="1" t="s">
        <v>74</v>
      </c>
      <c r="BM503" s="1" t="s">
        <v>74</v>
      </c>
      <c r="BN503" s="1" t="s">
        <v>74</v>
      </c>
      <c r="BO503" s="1" t="s">
        <v>74</v>
      </c>
      <c r="BP503" s="1" t="s">
        <v>74</v>
      </c>
      <c r="BQ503" s="1" t="s">
        <v>74</v>
      </c>
      <c r="BR503" s="1" t="s">
        <v>74</v>
      </c>
      <c r="BS503" s="1" t="s">
        <v>4893</v>
      </c>
      <c r="BT503" s="1" t="str">
        <f>HYPERLINK("https%3A%2F%2Fwww.webofscience.com%2Fwos%2Fwoscc%2Ffull-record%2FWOS:000345147100017","View Full Record in Web of Science")</f>
        <v>View Full Record in Web of Science</v>
      </c>
    </row>
    <row r="504" ht="12.75" customHeight="1">
      <c r="A504" s="1" t="s">
        <v>251</v>
      </c>
      <c r="B504" s="1" t="s">
        <v>4894</v>
      </c>
      <c r="C504" s="1" t="s">
        <v>74</v>
      </c>
      <c r="D504" s="1" t="s">
        <v>74</v>
      </c>
      <c r="E504" s="1" t="s">
        <v>253</v>
      </c>
      <c r="F504" s="1" t="s">
        <v>4895</v>
      </c>
      <c r="G504" s="1" t="s">
        <v>74</v>
      </c>
      <c r="H504" s="1" t="s">
        <v>74</v>
      </c>
      <c r="I504" s="1" t="s">
        <v>4896</v>
      </c>
      <c r="J504" s="1" t="s">
        <v>4897</v>
      </c>
      <c r="K504" s="1" t="s">
        <v>74</v>
      </c>
      <c r="L504" s="1" t="s">
        <v>74</v>
      </c>
      <c r="M504" s="1" t="s">
        <v>74</v>
      </c>
      <c r="N504" s="1" t="s">
        <v>74</v>
      </c>
      <c r="O504" s="1" t="s">
        <v>3529</v>
      </c>
      <c r="P504" s="1" t="s">
        <v>4898</v>
      </c>
      <c r="Q504" s="1" t="s">
        <v>4899</v>
      </c>
      <c r="R504" s="1" t="s">
        <v>4900</v>
      </c>
      <c r="S504" s="1" t="s">
        <v>74</v>
      </c>
      <c r="T504" s="1" t="s">
        <v>74</v>
      </c>
      <c r="U504" s="1" t="s">
        <v>74</v>
      </c>
      <c r="V504" s="1" t="s">
        <v>4901</v>
      </c>
      <c r="W504" s="1" t="s">
        <v>74</v>
      </c>
      <c r="X504" s="1" t="s">
        <v>74</v>
      </c>
      <c r="Y504" s="1" t="s">
        <v>74</v>
      </c>
      <c r="Z504" s="1" t="s">
        <v>74</v>
      </c>
      <c r="AA504" s="1" t="s">
        <v>1251</v>
      </c>
      <c r="AB504" s="1" t="s">
        <v>4902</v>
      </c>
      <c r="AC504" s="1" t="s">
        <v>74</v>
      </c>
      <c r="AD504" s="1" t="s">
        <v>74</v>
      </c>
      <c r="AE504" s="1" t="s">
        <v>74</v>
      </c>
      <c r="AF504" s="1" t="s">
        <v>74</v>
      </c>
      <c r="AG504" s="1" t="s">
        <v>74</v>
      </c>
      <c r="AH504" s="1" t="s">
        <v>74</v>
      </c>
      <c r="AI504" s="1" t="s">
        <v>74</v>
      </c>
      <c r="AJ504" s="1" t="s">
        <v>74</v>
      </c>
      <c r="AK504" s="1" t="s">
        <v>74</v>
      </c>
      <c r="AL504" s="1" t="s">
        <v>74</v>
      </c>
      <c r="AM504" s="1" t="s">
        <v>74</v>
      </c>
      <c r="AN504" s="1" t="s">
        <v>74</v>
      </c>
      <c r="AO504" s="1" t="s">
        <v>74</v>
      </c>
      <c r="AP504" s="1" t="s">
        <v>74</v>
      </c>
      <c r="AQ504" s="1" t="s">
        <v>4903</v>
      </c>
      <c r="AR504" s="1" t="s">
        <v>74</v>
      </c>
      <c r="AS504" s="1" t="s">
        <v>74</v>
      </c>
      <c r="AT504" s="1" t="s">
        <v>74</v>
      </c>
      <c r="AU504" s="1">
        <v>2013.0</v>
      </c>
      <c r="AV504" s="1" t="s">
        <v>74</v>
      </c>
      <c r="AW504" s="1" t="s">
        <v>74</v>
      </c>
      <c r="AX504" s="1" t="s">
        <v>74</v>
      </c>
      <c r="AY504" s="1" t="s">
        <v>74</v>
      </c>
      <c r="AZ504" s="1" t="s">
        <v>74</v>
      </c>
      <c r="BA504" s="1" t="s">
        <v>74</v>
      </c>
      <c r="BB504" s="1">
        <v>3148.0</v>
      </c>
      <c r="BC504" s="1">
        <v>3152.0</v>
      </c>
      <c r="BD504" s="1" t="s">
        <v>74</v>
      </c>
      <c r="BE504" s="1" t="s">
        <v>74</v>
      </c>
      <c r="BF504" s="1" t="s">
        <v>74</v>
      </c>
      <c r="BG504" s="1" t="s">
        <v>74</v>
      </c>
      <c r="BH504" s="1" t="s">
        <v>74</v>
      </c>
      <c r="BI504" s="1" t="s">
        <v>74</v>
      </c>
      <c r="BJ504" s="1" t="s">
        <v>74</v>
      </c>
      <c r="BK504" s="1" t="s">
        <v>74</v>
      </c>
      <c r="BL504" s="1" t="s">
        <v>74</v>
      </c>
      <c r="BM504" s="1" t="s">
        <v>74</v>
      </c>
      <c r="BN504" s="1" t="s">
        <v>74</v>
      </c>
      <c r="BO504" s="1" t="s">
        <v>74</v>
      </c>
      <c r="BP504" s="1" t="s">
        <v>74</v>
      </c>
      <c r="BQ504" s="1" t="s">
        <v>74</v>
      </c>
      <c r="BR504" s="1" t="s">
        <v>74</v>
      </c>
      <c r="BS504" s="1" t="s">
        <v>4904</v>
      </c>
      <c r="BT504" s="1" t="str">
        <f>HYPERLINK("https%3A%2F%2Fwww.webofscience.com%2Fwos%2Fwoscc%2Ffull-record%2FWOS:000326235303021","View Full Record in Web of Science")</f>
        <v>View Full Record in Web of Science</v>
      </c>
    </row>
    <row r="505" ht="12.75" customHeight="1">
      <c r="A505" s="1" t="s">
        <v>72</v>
      </c>
      <c r="B505" s="1" t="s">
        <v>4905</v>
      </c>
      <c r="C505" s="1" t="s">
        <v>74</v>
      </c>
      <c r="D505" s="1" t="s">
        <v>74</v>
      </c>
      <c r="E505" s="1" t="s">
        <v>74</v>
      </c>
      <c r="F505" s="1" t="s">
        <v>4906</v>
      </c>
      <c r="G505" s="1" t="s">
        <v>74</v>
      </c>
      <c r="H505" s="1" t="s">
        <v>74</v>
      </c>
      <c r="I505" s="1" t="s">
        <v>4907</v>
      </c>
      <c r="J505" s="1" t="s">
        <v>4908</v>
      </c>
      <c r="K505" s="1" t="s">
        <v>74</v>
      </c>
      <c r="L505" s="1" t="s">
        <v>74</v>
      </c>
      <c r="M505" s="1" t="s">
        <v>74</v>
      </c>
      <c r="N505" s="1" t="s">
        <v>74</v>
      </c>
      <c r="O505" s="1" t="s">
        <v>74</v>
      </c>
      <c r="P505" s="1" t="s">
        <v>74</v>
      </c>
      <c r="Q505" s="1" t="s">
        <v>74</v>
      </c>
      <c r="R505" s="1" t="s">
        <v>74</v>
      </c>
      <c r="S505" s="1" t="s">
        <v>74</v>
      </c>
      <c r="T505" s="1" t="s">
        <v>74</v>
      </c>
      <c r="U505" s="1" t="s">
        <v>74</v>
      </c>
      <c r="V505" s="1" t="s">
        <v>4909</v>
      </c>
      <c r="W505" s="1" t="s">
        <v>74</v>
      </c>
      <c r="X505" s="1" t="s">
        <v>74</v>
      </c>
      <c r="Y505" s="1" t="s">
        <v>74</v>
      </c>
      <c r="Z505" s="1" t="s">
        <v>74</v>
      </c>
      <c r="AA505" s="1" t="s">
        <v>4910</v>
      </c>
      <c r="AB505" s="1" t="s">
        <v>74</v>
      </c>
      <c r="AC505" s="1" t="s">
        <v>74</v>
      </c>
      <c r="AD505" s="1" t="s">
        <v>74</v>
      </c>
      <c r="AE505" s="1" t="s">
        <v>74</v>
      </c>
      <c r="AF505" s="1" t="s">
        <v>74</v>
      </c>
      <c r="AG505" s="1" t="s">
        <v>74</v>
      </c>
      <c r="AH505" s="1" t="s">
        <v>74</v>
      </c>
      <c r="AI505" s="1" t="s">
        <v>74</v>
      </c>
      <c r="AJ505" s="1" t="s">
        <v>74</v>
      </c>
      <c r="AK505" s="1" t="s">
        <v>74</v>
      </c>
      <c r="AL505" s="1" t="s">
        <v>74</v>
      </c>
      <c r="AM505" s="1" t="s">
        <v>74</v>
      </c>
      <c r="AN505" s="1" t="s">
        <v>74</v>
      </c>
      <c r="AO505" s="1" t="s">
        <v>4911</v>
      </c>
      <c r="AP505" s="1" t="s">
        <v>74</v>
      </c>
      <c r="AQ505" s="1" t="s">
        <v>74</v>
      </c>
      <c r="AR505" s="1" t="s">
        <v>74</v>
      </c>
      <c r="AS505" s="1" t="s">
        <v>74</v>
      </c>
      <c r="AT505" s="1" t="s">
        <v>1334</v>
      </c>
      <c r="AU505" s="1">
        <v>2012.0</v>
      </c>
      <c r="AV505" s="1">
        <v>39.0</v>
      </c>
      <c r="AW505" s="1">
        <v>3.0</v>
      </c>
      <c r="AX505" s="1" t="s">
        <v>74</v>
      </c>
      <c r="AY505" s="1" t="s">
        <v>74</v>
      </c>
      <c r="AZ505" s="1" t="s">
        <v>74</v>
      </c>
      <c r="BA505" s="1" t="s">
        <v>74</v>
      </c>
      <c r="BB505" s="1">
        <v>557.0</v>
      </c>
      <c r="BC505" s="1">
        <v>562.0</v>
      </c>
      <c r="BD505" s="1" t="s">
        <v>74</v>
      </c>
      <c r="BE505" s="1" t="s">
        <v>4912</v>
      </c>
      <c r="BF505" s="2" t="str">
        <f>HYPERLINK("http://dx.doi.org/10.4067/S0718-16202012000300014","http://dx.doi.org/10.4067/S0718-16202012000300014")</f>
        <v>http://dx.doi.org/10.4067/S0718-16202012000300014</v>
      </c>
      <c r="BG505" s="1" t="s">
        <v>74</v>
      </c>
      <c r="BH505" s="1" t="s">
        <v>74</v>
      </c>
      <c r="BI505" s="1" t="s">
        <v>74</v>
      </c>
      <c r="BJ505" s="1" t="s">
        <v>74</v>
      </c>
      <c r="BK505" s="1" t="s">
        <v>74</v>
      </c>
      <c r="BL505" s="1" t="s">
        <v>74</v>
      </c>
      <c r="BM505" s="1" t="s">
        <v>74</v>
      </c>
      <c r="BN505" s="1" t="s">
        <v>74</v>
      </c>
      <c r="BO505" s="1" t="s">
        <v>74</v>
      </c>
      <c r="BP505" s="1" t="s">
        <v>74</v>
      </c>
      <c r="BQ505" s="1" t="s">
        <v>74</v>
      </c>
      <c r="BR505" s="1" t="s">
        <v>74</v>
      </c>
      <c r="BS505" s="1" t="s">
        <v>4913</v>
      </c>
      <c r="BT505" s="1" t="str">
        <f>HYPERLINK("https%3A%2F%2Fwww.webofscience.com%2Fwos%2Fwoscc%2Ffull-record%2FWOS:000313400900014","View Full Record in Web of Science")</f>
        <v>View Full Record in Web of Science</v>
      </c>
    </row>
    <row r="506" ht="12.75" customHeight="1">
      <c r="A506" s="1" t="s">
        <v>72</v>
      </c>
      <c r="B506" s="1" t="s">
        <v>4914</v>
      </c>
      <c r="C506" s="1" t="s">
        <v>74</v>
      </c>
      <c r="D506" s="1" t="s">
        <v>74</v>
      </c>
      <c r="E506" s="1" t="s">
        <v>74</v>
      </c>
      <c r="F506" s="1" t="s">
        <v>4915</v>
      </c>
      <c r="G506" s="1" t="s">
        <v>74</v>
      </c>
      <c r="H506" s="1" t="s">
        <v>74</v>
      </c>
      <c r="I506" s="1" t="s">
        <v>4916</v>
      </c>
      <c r="J506" s="1" t="s">
        <v>4917</v>
      </c>
      <c r="K506" s="1" t="s">
        <v>74</v>
      </c>
      <c r="L506" s="1" t="s">
        <v>74</v>
      </c>
      <c r="M506" s="1" t="s">
        <v>74</v>
      </c>
      <c r="N506" s="1" t="s">
        <v>74</v>
      </c>
      <c r="O506" s="1" t="s">
        <v>74</v>
      </c>
      <c r="P506" s="1" t="s">
        <v>74</v>
      </c>
      <c r="Q506" s="1" t="s">
        <v>74</v>
      </c>
      <c r="R506" s="1" t="s">
        <v>74</v>
      </c>
      <c r="S506" s="1" t="s">
        <v>74</v>
      </c>
      <c r="T506" s="1" t="s">
        <v>74</v>
      </c>
      <c r="U506" s="1" t="s">
        <v>74</v>
      </c>
      <c r="V506" s="1" t="s">
        <v>4918</v>
      </c>
      <c r="W506" s="1" t="s">
        <v>74</v>
      </c>
      <c r="X506" s="1" t="s">
        <v>74</v>
      </c>
      <c r="Y506" s="1" t="s">
        <v>74</v>
      </c>
      <c r="Z506" s="1" t="s">
        <v>74</v>
      </c>
      <c r="AA506" s="1" t="s">
        <v>4919</v>
      </c>
      <c r="AB506" s="1" t="s">
        <v>4920</v>
      </c>
      <c r="AC506" s="1" t="s">
        <v>74</v>
      </c>
      <c r="AD506" s="1" t="s">
        <v>74</v>
      </c>
      <c r="AE506" s="1" t="s">
        <v>74</v>
      </c>
      <c r="AF506" s="1" t="s">
        <v>74</v>
      </c>
      <c r="AG506" s="1" t="s">
        <v>74</v>
      </c>
      <c r="AH506" s="1" t="s">
        <v>74</v>
      </c>
      <c r="AI506" s="1" t="s">
        <v>74</v>
      </c>
      <c r="AJ506" s="1" t="s">
        <v>74</v>
      </c>
      <c r="AK506" s="1" t="s">
        <v>74</v>
      </c>
      <c r="AL506" s="1" t="s">
        <v>74</v>
      </c>
      <c r="AM506" s="1" t="s">
        <v>74</v>
      </c>
      <c r="AN506" s="1" t="s">
        <v>74</v>
      </c>
      <c r="AO506" s="1" t="s">
        <v>4921</v>
      </c>
      <c r="AP506" s="1" t="s">
        <v>4922</v>
      </c>
      <c r="AQ506" s="1" t="s">
        <v>74</v>
      </c>
      <c r="AR506" s="1" t="s">
        <v>74</v>
      </c>
      <c r="AS506" s="1" t="s">
        <v>74</v>
      </c>
      <c r="AT506" s="1" t="s">
        <v>1576</v>
      </c>
      <c r="AU506" s="1">
        <v>2012.0</v>
      </c>
      <c r="AV506" s="1">
        <v>115.0</v>
      </c>
      <c r="AW506" s="1" t="s">
        <v>74</v>
      </c>
      <c r="AX506" s="1" t="s">
        <v>74</v>
      </c>
      <c r="AY506" s="1" t="s">
        <v>74</v>
      </c>
      <c r="AZ506" s="1" t="s">
        <v>74</v>
      </c>
      <c r="BA506" s="1" t="s">
        <v>74</v>
      </c>
      <c r="BB506" s="1">
        <v>107.0</v>
      </c>
      <c r="BC506" s="1">
        <v>116.0</v>
      </c>
      <c r="BD506" s="1" t="s">
        <v>74</v>
      </c>
      <c r="BE506" s="1" t="s">
        <v>4923</v>
      </c>
      <c r="BF506" s="2" t="str">
        <f>HYPERLINK("http://dx.doi.org/10.1016/j.apcatb.2011.12.026","http://dx.doi.org/10.1016/j.apcatb.2011.12.026")</f>
        <v>http://dx.doi.org/10.1016/j.apcatb.2011.12.026</v>
      </c>
      <c r="BG506" s="1" t="s">
        <v>74</v>
      </c>
      <c r="BH506" s="1" t="s">
        <v>74</v>
      </c>
      <c r="BI506" s="1" t="s">
        <v>74</v>
      </c>
      <c r="BJ506" s="1" t="s">
        <v>74</v>
      </c>
      <c r="BK506" s="1" t="s">
        <v>74</v>
      </c>
      <c r="BL506" s="1" t="s">
        <v>74</v>
      </c>
      <c r="BM506" s="1" t="s">
        <v>74</v>
      </c>
      <c r="BN506" s="1" t="s">
        <v>74</v>
      </c>
      <c r="BO506" s="1" t="s">
        <v>74</v>
      </c>
      <c r="BP506" s="1" t="s">
        <v>74</v>
      </c>
      <c r="BQ506" s="1" t="s">
        <v>74</v>
      </c>
      <c r="BR506" s="1" t="s">
        <v>74</v>
      </c>
      <c r="BS506" s="1" t="s">
        <v>4924</v>
      </c>
      <c r="BT506" s="1" t="str">
        <f>HYPERLINK("https%3A%2F%2Fwww.webofscience.com%2Fwos%2Fwoscc%2Ffull-record%2FWOS:000302429600014","View Full Record in Web of Science")</f>
        <v>View Full Record in Web of Science</v>
      </c>
    </row>
    <row r="507" ht="12.75" customHeight="1">
      <c r="A507" s="1" t="s">
        <v>72</v>
      </c>
      <c r="B507" s="1" t="s">
        <v>4925</v>
      </c>
      <c r="C507" s="1" t="s">
        <v>74</v>
      </c>
      <c r="D507" s="1" t="s">
        <v>74</v>
      </c>
      <c r="E507" s="1" t="s">
        <v>74</v>
      </c>
      <c r="F507" s="1" t="s">
        <v>4926</v>
      </c>
      <c r="G507" s="1" t="s">
        <v>74</v>
      </c>
      <c r="H507" s="1" t="s">
        <v>74</v>
      </c>
      <c r="I507" s="1" t="s">
        <v>4927</v>
      </c>
      <c r="J507" s="1" t="s">
        <v>4928</v>
      </c>
      <c r="K507" s="1" t="s">
        <v>74</v>
      </c>
      <c r="L507" s="1" t="s">
        <v>74</v>
      </c>
      <c r="M507" s="1" t="s">
        <v>74</v>
      </c>
      <c r="N507" s="1" t="s">
        <v>74</v>
      </c>
      <c r="O507" s="1" t="s">
        <v>74</v>
      </c>
      <c r="P507" s="1" t="s">
        <v>74</v>
      </c>
      <c r="Q507" s="1" t="s">
        <v>74</v>
      </c>
      <c r="R507" s="1" t="s">
        <v>74</v>
      </c>
      <c r="S507" s="1" t="s">
        <v>74</v>
      </c>
      <c r="T507" s="1" t="s">
        <v>74</v>
      </c>
      <c r="U507" s="1" t="s">
        <v>74</v>
      </c>
      <c r="V507" s="1" t="s">
        <v>4929</v>
      </c>
      <c r="W507" s="1" t="s">
        <v>74</v>
      </c>
      <c r="X507" s="1" t="s">
        <v>74</v>
      </c>
      <c r="Y507" s="1" t="s">
        <v>74</v>
      </c>
      <c r="Z507" s="1" t="s">
        <v>74</v>
      </c>
      <c r="AA507" s="1" t="s">
        <v>842</v>
      </c>
      <c r="AB507" s="1" t="s">
        <v>843</v>
      </c>
      <c r="AC507" s="1" t="s">
        <v>74</v>
      </c>
      <c r="AD507" s="1" t="s">
        <v>74</v>
      </c>
      <c r="AE507" s="1" t="s">
        <v>74</v>
      </c>
      <c r="AF507" s="1" t="s">
        <v>74</v>
      </c>
      <c r="AG507" s="1" t="s">
        <v>74</v>
      </c>
      <c r="AH507" s="1" t="s">
        <v>74</v>
      </c>
      <c r="AI507" s="1" t="s">
        <v>74</v>
      </c>
      <c r="AJ507" s="1" t="s">
        <v>74</v>
      </c>
      <c r="AK507" s="1" t="s">
        <v>74</v>
      </c>
      <c r="AL507" s="1" t="s">
        <v>74</v>
      </c>
      <c r="AM507" s="1" t="s">
        <v>74</v>
      </c>
      <c r="AN507" s="1" t="s">
        <v>74</v>
      </c>
      <c r="AO507" s="1" t="s">
        <v>4930</v>
      </c>
      <c r="AP507" s="1" t="s">
        <v>74</v>
      </c>
      <c r="AQ507" s="1" t="s">
        <v>74</v>
      </c>
      <c r="AR507" s="1" t="s">
        <v>74</v>
      </c>
      <c r="AS507" s="1" t="s">
        <v>74</v>
      </c>
      <c r="AT507" s="1" t="s">
        <v>74</v>
      </c>
      <c r="AU507" s="1">
        <v>2012.0</v>
      </c>
      <c r="AV507" s="1" t="s">
        <v>74</v>
      </c>
      <c r="AW507" s="1">
        <v>53.0</v>
      </c>
      <c r="AX507" s="1" t="s">
        <v>74</v>
      </c>
      <c r="AY507" s="1" t="s">
        <v>74</v>
      </c>
      <c r="AZ507" s="1" t="s">
        <v>74</v>
      </c>
      <c r="BA507" s="1" t="s">
        <v>74</v>
      </c>
      <c r="BB507" s="1">
        <v>1.0</v>
      </c>
      <c r="BC507" s="1">
        <v>20.0</v>
      </c>
      <c r="BD507" s="1" t="s">
        <v>74</v>
      </c>
      <c r="BE507" s="1" t="s">
        <v>74</v>
      </c>
      <c r="BF507" s="1" t="s">
        <v>74</v>
      </c>
      <c r="BG507" s="1" t="s">
        <v>74</v>
      </c>
      <c r="BH507" s="1" t="s">
        <v>74</v>
      </c>
      <c r="BI507" s="1" t="s">
        <v>74</v>
      </c>
      <c r="BJ507" s="1" t="s">
        <v>74</v>
      </c>
      <c r="BK507" s="1" t="s">
        <v>74</v>
      </c>
      <c r="BL507" s="1" t="s">
        <v>74</v>
      </c>
      <c r="BM507" s="1" t="s">
        <v>74</v>
      </c>
      <c r="BN507" s="1" t="s">
        <v>74</v>
      </c>
      <c r="BO507" s="1" t="s">
        <v>74</v>
      </c>
      <c r="BP507" s="1" t="s">
        <v>74</v>
      </c>
      <c r="BQ507" s="1" t="s">
        <v>74</v>
      </c>
      <c r="BR507" s="1" t="s">
        <v>74</v>
      </c>
      <c r="BS507" s="1" t="s">
        <v>4931</v>
      </c>
      <c r="BT507" s="1" t="str">
        <f>HYPERLINK("https%3A%2F%2Fwww.webofscience.com%2Fwos%2Fwoscc%2Ffull-record%2FWOS:000307340000001","View Full Record in Web of Science")</f>
        <v>View Full Record in Web of Science</v>
      </c>
    </row>
    <row r="508" ht="12.75" customHeight="1">
      <c r="A508" s="1" t="s">
        <v>72</v>
      </c>
      <c r="B508" s="1" t="s">
        <v>4932</v>
      </c>
      <c r="C508" s="1" t="s">
        <v>74</v>
      </c>
      <c r="D508" s="1" t="s">
        <v>74</v>
      </c>
      <c r="E508" s="1" t="s">
        <v>74</v>
      </c>
      <c r="F508" s="1" t="s">
        <v>4933</v>
      </c>
      <c r="G508" s="1" t="s">
        <v>74</v>
      </c>
      <c r="H508" s="1" t="s">
        <v>74</v>
      </c>
      <c r="I508" s="1" t="s">
        <v>4934</v>
      </c>
      <c r="J508" s="1" t="s">
        <v>4935</v>
      </c>
      <c r="K508" s="1" t="s">
        <v>74</v>
      </c>
      <c r="L508" s="1" t="s">
        <v>74</v>
      </c>
      <c r="M508" s="1" t="s">
        <v>74</v>
      </c>
      <c r="N508" s="1" t="s">
        <v>74</v>
      </c>
      <c r="O508" s="1" t="s">
        <v>74</v>
      </c>
      <c r="P508" s="1" t="s">
        <v>74</v>
      </c>
      <c r="Q508" s="1" t="s">
        <v>74</v>
      </c>
      <c r="R508" s="1" t="s">
        <v>74</v>
      </c>
      <c r="S508" s="1" t="s">
        <v>74</v>
      </c>
      <c r="T508" s="1" t="s">
        <v>74</v>
      </c>
      <c r="U508" s="1" t="s">
        <v>74</v>
      </c>
      <c r="V508" s="1" t="s">
        <v>4936</v>
      </c>
      <c r="W508" s="1" t="s">
        <v>74</v>
      </c>
      <c r="X508" s="1" t="s">
        <v>74</v>
      </c>
      <c r="Y508" s="1" t="s">
        <v>74</v>
      </c>
      <c r="Z508" s="1" t="s">
        <v>74</v>
      </c>
      <c r="AA508" s="1" t="s">
        <v>4937</v>
      </c>
      <c r="AB508" s="1" t="s">
        <v>4280</v>
      </c>
      <c r="AC508" s="1" t="s">
        <v>74</v>
      </c>
      <c r="AD508" s="1" t="s">
        <v>74</v>
      </c>
      <c r="AE508" s="1" t="s">
        <v>74</v>
      </c>
      <c r="AF508" s="1" t="s">
        <v>74</v>
      </c>
      <c r="AG508" s="1" t="s">
        <v>74</v>
      </c>
      <c r="AH508" s="1" t="s">
        <v>74</v>
      </c>
      <c r="AI508" s="1" t="s">
        <v>74</v>
      </c>
      <c r="AJ508" s="1" t="s">
        <v>74</v>
      </c>
      <c r="AK508" s="1" t="s">
        <v>74</v>
      </c>
      <c r="AL508" s="1" t="s">
        <v>74</v>
      </c>
      <c r="AM508" s="1" t="s">
        <v>74</v>
      </c>
      <c r="AN508" s="1" t="s">
        <v>74</v>
      </c>
      <c r="AO508" s="1" t="s">
        <v>4938</v>
      </c>
      <c r="AP508" s="1" t="s">
        <v>4939</v>
      </c>
      <c r="AQ508" s="1" t="s">
        <v>74</v>
      </c>
      <c r="AR508" s="1" t="s">
        <v>74</v>
      </c>
      <c r="AS508" s="1" t="s">
        <v>74</v>
      </c>
      <c r="AT508" s="1" t="s">
        <v>4940</v>
      </c>
      <c r="AU508" s="1">
        <v>2011.0</v>
      </c>
      <c r="AV508" s="1">
        <v>115.0</v>
      </c>
      <c r="AW508" s="1">
        <v>20.0</v>
      </c>
      <c r="AX508" s="1" t="s">
        <v>74</v>
      </c>
      <c r="AY508" s="1" t="s">
        <v>74</v>
      </c>
      <c r="AZ508" s="1" t="s">
        <v>74</v>
      </c>
      <c r="BA508" s="1" t="s">
        <v>74</v>
      </c>
      <c r="BB508" s="1">
        <v>6661.0</v>
      </c>
      <c r="BC508" s="1">
        <v>6667.0</v>
      </c>
      <c r="BD508" s="1" t="s">
        <v>74</v>
      </c>
      <c r="BE508" s="1" t="s">
        <v>4941</v>
      </c>
      <c r="BF508" s="2" t="str">
        <f>HYPERLINK("http://dx.doi.org/10.1021/jp112057d","http://dx.doi.org/10.1021/jp112057d")</f>
        <v>http://dx.doi.org/10.1021/jp112057d</v>
      </c>
      <c r="BG508" s="1" t="s">
        <v>74</v>
      </c>
      <c r="BH508" s="1" t="s">
        <v>74</v>
      </c>
      <c r="BI508" s="1" t="s">
        <v>74</v>
      </c>
      <c r="BJ508" s="1" t="s">
        <v>74</v>
      </c>
      <c r="BK508" s="1" t="s">
        <v>74</v>
      </c>
      <c r="BL508" s="1" t="s">
        <v>74</v>
      </c>
      <c r="BM508" s="1" t="s">
        <v>74</v>
      </c>
      <c r="BN508" s="1">
        <v>2.1539332E7</v>
      </c>
      <c r="BO508" s="1" t="s">
        <v>74</v>
      </c>
      <c r="BP508" s="1" t="s">
        <v>74</v>
      </c>
      <c r="BQ508" s="1" t="s">
        <v>74</v>
      </c>
      <c r="BR508" s="1" t="s">
        <v>74</v>
      </c>
      <c r="BS508" s="1" t="s">
        <v>4942</v>
      </c>
      <c r="BT508" s="1" t="str">
        <f>HYPERLINK("https%3A%2F%2Fwww.webofscience.com%2Fwos%2Fwoscc%2Ffull-record%2FWOS:000290652100030","View Full Record in Web of Science")</f>
        <v>View Full Record in Web of Science</v>
      </c>
    </row>
    <row r="509" ht="12.75" customHeight="1">
      <c r="A509" s="1" t="s">
        <v>72</v>
      </c>
      <c r="B509" s="1" t="s">
        <v>4943</v>
      </c>
      <c r="C509" s="1" t="s">
        <v>74</v>
      </c>
      <c r="D509" s="1" t="s">
        <v>74</v>
      </c>
      <c r="E509" s="1" t="s">
        <v>74</v>
      </c>
      <c r="F509" s="1" t="s">
        <v>4944</v>
      </c>
      <c r="G509" s="1" t="s">
        <v>74</v>
      </c>
      <c r="H509" s="1" t="s">
        <v>74</v>
      </c>
      <c r="I509" s="1" t="s">
        <v>4945</v>
      </c>
      <c r="J509" s="1" t="s">
        <v>4946</v>
      </c>
      <c r="K509" s="1" t="s">
        <v>74</v>
      </c>
      <c r="L509" s="1" t="s">
        <v>74</v>
      </c>
      <c r="M509" s="1" t="s">
        <v>74</v>
      </c>
      <c r="N509" s="1" t="s">
        <v>74</v>
      </c>
      <c r="O509" s="1" t="s">
        <v>74</v>
      </c>
      <c r="P509" s="1" t="s">
        <v>74</v>
      </c>
      <c r="Q509" s="1" t="s">
        <v>74</v>
      </c>
      <c r="R509" s="1" t="s">
        <v>74</v>
      </c>
      <c r="S509" s="1" t="s">
        <v>74</v>
      </c>
      <c r="T509" s="1" t="s">
        <v>74</v>
      </c>
      <c r="U509" s="1" t="s">
        <v>74</v>
      </c>
      <c r="V509" s="1" t="s">
        <v>4947</v>
      </c>
      <c r="W509" s="1" t="s">
        <v>74</v>
      </c>
      <c r="X509" s="1" t="s">
        <v>74</v>
      </c>
      <c r="Y509" s="1" t="s">
        <v>74</v>
      </c>
      <c r="Z509" s="1" t="s">
        <v>74</v>
      </c>
      <c r="AA509" s="1" t="s">
        <v>74</v>
      </c>
      <c r="AB509" s="1" t="s">
        <v>74</v>
      </c>
      <c r="AC509" s="1" t="s">
        <v>74</v>
      </c>
      <c r="AD509" s="1" t="s">
        <v>74</v>
      </c>
      <c r="AE509" s="1" t="s">
        <v>74</v>
      </c>
      <c r="AF509" s="1" t="s">
        <v>74</v>
      </c>
      <c r="AG509" s="1" t="s">
        <v>74</v>
      </c>
      <c r="AH509" s="1" t="s">
        <v>74</v>
      </c>
      <c r="AI509" s="1" t="s">
        <v>74</v>
      </c>
      <c r="AJ509" s="1" t="s">
        <v>74</v>
      </c>
      <c r="AK509" s="1" t="s">
        <v>74</v>
      </c>
      <c r="AL509" s="1" t="s">
        <v>74</v>
      </c>
      <c r="AM509" s="1" t="s">
        <v>74</v>
      </c>
      <c r="AN509" s="1" t="s">
        <v>74</v>
      </c>
      <c r="AO509" s="1" t="s">
        <v>4948</v>
      </c>
      <c r="AP509" s="1" t="s">
        <v>74</v>
      </c>
      <c r="AQ509" s="1" t="s">
        <v>74</v>
      </c>
      <c r="AR509" s="1" t="s">
        <v>74</v>
      </c>
      <c r="AS509" s="1" t="s">
        <v>74</v>
      </c>
      <c r="AT509" s="1" t="s">
        <v>88</v>
      </c>
      <c r="AU509" s="1">
        <v>2011.0</v>
      </c>
      <c r="AV509" s="1">
        <v>63.0</v>
      </c>
      <c r="AW509" s="1">
        <v>2.0</v>
      </c>
      <c r="AX509" s="1" t="s">
        <v>74</v>
      </c>
      <c r="AY509" s="1" t="s">
        <v>74</v>
      </c>
      <c r="AZ509" s="1" t="s">
        <v>74</v>
      </c>
      <c r="BA509" s="1" t="s">
        <v>74</v>
      </c>
      <c r="BB509" s="1">
        <v>200.0</v>
      </c>
      <c r="BC509" s="1">
        <v>203.0</v>
      </c>
      <c r="BD509" s="1" t="s">
        <v>74</v>
      </c>
      <c r="BE509" s="1" t="s">
        <v>4949</v>
      </c>
      <c r="BF509" s="2" t="str">
        <f>HYPERLINK("http://dx.doi.org/10.4067/S0718-40262011000200012","http://dx.doi.org/10.4067/S0718-40262011000200012")</f>
        <v>http://dx.doi.org/10.4067/S0718-40262011000200012</v>
      </c>
      <c r="BG509" s="1" t="s">
        <v>74</v>
      </c>
      <c r="BH509" s="1" t="s">
        <v>74</v>
      </c>
      <c r="BI509" s="1" t="s">
        <v>74</v>
      </c>
      <c r="BJ509" s="1" t="s">
        <v>74</v>
      </c>
      <c r="BK509" s="1" t="s">
        <v>74</v>
      </c>
      <c r="BL509" s="1" t="s">
        <v>74</v>
      </c>
      <c r="BM509" s="1" t="s">
        <v>74</v>
      </c>
      <c r="BN509" s="1" t="s">
        <v>74</v>
      </c>
      <c r="BO509" s="1" t="s">
        <v>74</v>
      </c>
      <c r="BP509" s="1" t="s">
        <v>74</v>
      </c>
      <c r="BQ509" s="1" t="s">
        <v>74</v>
      </c>
      <c r="BR509" s="1" t="s">
        <v>74</v>
      </c>
      <c r="BS509" s="1" t="s">
        <v>4950</v>
      </c>
      <c r="BT509" s="1" t="str">
        <f>HYPERLINK("https%3A%2F%2Fwww.webofscience.com%2Fwos%2Fwoscc%2Ffull-record%2FWOS:000288685300012","View Full Record in Web of Science")</f>
        <v>View Full Record in Web of Science</v>
      </c>
    </row>
    <row r="510" ht="12.75" customHeight="1">
      <c r="A510" s="1" t="s">
        <v>251</v>
      </c>
      <c r="B510" s="1" t="s">
        <v>4951</v>
      </c>
      <c r="C510" s="1" t="s">
        <v>74</v>
      </c>
      <c r="D510" s="1" t="s">
        <v>74</v>
      </c>
      <c r="E510" s="1" t="s">
        <v>4952</v>
      </c>
      <c r="F510" s="1" t="s">
        <v>4953</v>
      </c>
      <c r="G510" s="1" t="s">
        <v>74</v>
      </c>
      <c r="H510" s="1" t="s">
        <v>74</v>
      </c>
      <c r="I510" s="1" t="s">
        <v>4954</v>
      </c>
      <c r="J510" s="1" t="s">
        <v>4955</v>
      </c>
      <c r="K510" s="1" t="s">
        <v>74</v>
      </c>
      <c r="L510" s="1" t="s">
        <v>74</v>
      </c>
      <c r="M510" s="1" t="s">
        <v>74</v>
      </c>
      <c r="N510" s="1" t="s">
        <v>74</v>
      </c>
      <c r="O510" s="1" t="s">
        <v>4956</v>
      </c>
      <c r="P510" s="1" t="s">
        <v>4957</v>
      </c>
      <c r="Q510" s="1" t="s">
        <v>4958</v>
      </c>
      <c r="R510" s="1" t="s">
        <v>4952</v>
      </c>
      <c r="S510" s="1" t="s">
        <v>74</v>
      </c>
      <c r="T510" s="1" t="s">
        <v>74</v>
      </c>
      <c r="U510" s="1" t="s">
        <v>74</v>
      </c>
      <c r="V510" s="1" t="s">
        <v>4959</v>
      </c>
      <c r="W510" s="1" t="s">
        <v>74</v>
      </c>
      <c r="X510" s="1" t="s">
        <v>74</v>
      </c>
      <c r="Y510" s="1" t="s">
        <v>74</v>
      </c>
      <c r="Z510" s="1" t="s">
        <v>74</v>
      </c>
      <c r="AA510" s="1" t="s">
        <v>4960</v>
      </c>
      <c r="AB510" s="1" t="s">
        <v>4357</v>
      </c>
      <c r="AC510" s="1" t="s">
        <v>74</v>
      </c>
      <c r="AD510" s="1" t="s">
        <v>74</v>
      </c>
      <c r="AE510" s="1" t="s">
        <v>74</v>
      </c>
      <c r="AF510" s="1" t="s">
        <v>74</v>
      </c>
      <c r="AG510" s="1" t="s">
        <v>74</v>
      </c>
      <c r="AH510" s="1" t="s">
        <v>74</v>
      </c>
      <c r="AI510" s="1" t="s">
        <v>74</v>
      </c>
      <c r="AJ510" s="1" t="s">
        <v>74</v>
      </c>
      <c r="AK510" s="1" t="s">
        <v>74</v>
      </c>
      <c r="AL510" s="1" t="s">
        <v>74</v>
      </c>
      <c r="AM510" s="1" t="s">
        <v>74</v>
      </c>
      <c r="AN510" s="1" t="s">
        <v>74</v>
      </c>
      <c r="AO510" s="1" t="s">
        <v>74</v>
      </c>
      <c r="AP510" s="1" t="s">
        <v>74</v>
      </c>
      <c r="AQ510" s="1" t="s">
        <v>4961</v>
      </c>
      <c r="AR510" s="1" t="s">
        <v>74</v>
      </c>
      <c r="AS510" s="1" t="s">
        <v>74</v>
      </c>
      <c r="AT510" s="1" t="s">
        <v>74</v>
      </c>
      <c r="AU510" s="1">
        <v>2011.0</v>
      </c>
      <c r="AV510" s="1" t="s">
        <v>74</v>
      </c>
      <c r="AW510" s="1" t="s">
        <v>74</v>
      </c>
      <c r="AX510" s="1" t="s">
        <v>74</v>
      </c>
      <c r="AY510" s="1" t="s">
        <v>74</v>
      </c>
      <c r="AZ510" s="1" t="s">
        <v>74</v>
      </c>
      <c r="BA510" s="1" t="s">
        <v>74</v>
      </c>
      <c r="BB510" s="1">
        <v>255.0</v>
      </c>
      <c r="BC510" s="1">
        <v>265.0</v>
      </c>
      <c r="BD510" s="1" t="s">
        <v>74</v>
      </c>
      <c r="BE510" s="1" t="s">
        <v>74</v>
      </c>
      <c r="BF510" s="1" t="s">
        <v>74</v>
      </c>
      <c r="BG510" s="1" t="s">
        <v>74</v>
      </c>
      <c r="BH510" s="1" t="s">
        <v>74</v>
      </c>
      <c r="BI510" s="1" t="s">
        <v>74</v>
      </c>
      <c r="BJ510" s="1" t="s">
        <v>74</v>
      </c>
      <c r="BK510" s="1" t="s">
        <v>74</v>
      </c>
      <c r="BL510" s="1" t="s">
        <v>74</v>
      </c>
      <c r="BM510" s="1" t="s">
        <v>74</v>
      </c>
      <c r="BN510" s="1" t="s">
        <v>74</v>
      </c>
      <c r="BO510" s="1" t="s">
        <v>74</v>
      </c>
      <c r="BP510" s="1" t="s">
        <v>74</v>
      </c>
      <c r="BQ510" s="1" t="s">
        <v>74</v>
      </c>
      <c r="BR510" s="1" t="s">
        <v>74</v>
      </c>
      <c r="BS510" s="1" t="s">
        <v>4962</v>
      </c>
      <c r="BT510" s="1" t="str">
        <f>HYPERLINK("https%3A%2F%2Fwww.webofscience.com%2Fwos%2Fwoscc%2Ffull-record%2FWOS:000327008200027","View Full Record in Web of Science")</f>
        <v>View Full Record in Web of Science</v>
      </c>
    </row>
    <row r="511" ht="12.75" customHeight="1">
      <c r="A511" s="1" t="s">
        <v>72</v>
      </c>
      <c r="B511" s="1" t="s">
        <v>4963</v>
      </c>
      <c r="C511" s="1" t="s">
        <v>74</v>
      </c>
      <c r="D511" s="1" t="s">
        <v>74</v>
      </c>
      <c r="E511" s="1" t="s">
        <v>74</v>
      </c>
      <c r="F511" s="1" t="s">
        <v>4964</v>
      </c>
      <c r="G511" s="1" t="s">
        <v>74</v>
      </c>
      <c r="H511" s="1" t="s">
        <v>74</v>
      </c>
      <c r="I511" s="1" t="s">
        <v>4965</v>
      </c>
      <c r="J511" s="1" t="s">
        <v>4966</v>
      </c>
      <c r="K511" s="1" t="s">
        <v>74</v>
      </c>
      <c r="L511" s="1" t="s">
        <v>74</v>
      </c>
      <c r="M511" s="1" t="s">
        <v>74</v>
      </c>
      <c r="N511" s="1" t="s">
        <v>74</v>
      </c>
      <c r="O511" s="1" t="s">
        <v>74</v>
      </c>
      <c r="P511" s="1" t="s">
        <v>74</v>
      </c>
      <c r="Q511" s="1" t="s">
        <v>74</v>
      </c>
      <c r="R511" s="1" t="s">
        <v>74</v>
      </c>
      <c r="S511" s="1" t="s">
        <v>74</v>
      </c>
      <c r="T511" s="1" t="s">
        <v>74</v>
      </c>
      <c r="U511" s="1" t="s">
        <v>74</v>
      </c>
      <c r="V511" s="1" t="s">
        <v>4967</v>
      </c>
      <c r="W511" s="1" t="s">
        <v>74</v>
      </c>
      <c r="X511" s="1" t="s">
        <v>74</v>
      </c>
      <c r="Y511" s="1" t="s">
        <v>74</v>
      </c>
      <c r="Z511" s="1" t="s">
        <v>74</v>
      </c>
      <c r="AA511" s="1" t="s">
        <v>4968</v>
      </c>
      <c r="AB511" s="1" t="s">
        <v>4969</v>
      </c>
      <c r="AC511" s="1" t="s">
        <v>74</v>
      </c>
      <c r="AD511" s="1" t="s">
        <v>74</v>
      </c>
      <c r="AE511" s="1" t="s">
        <v>74</v>
      </c>
      <c r="AF511" s="1" t="s">
        <v>74</v>
      </c>
      <c r="AG511" s="1" t="s">
        <v>74</v>
      </c>
      <c r="AH511" s="1" t="s">
        <v>74</v>
      </c>
      <c r="AI511" s="1" t="s">
        <v>74</v>
      </c>
      <c r="AJ511" s="1" t="s">
        <v>74</v>
      </c>
      <c r="AK511" s="1" t="s">
        <v>74</v>
      </c>
      <c r="AL511" s="1" t="s">
        <v>74</v>
      </c>
      <c r="AM511" s="1" t="s">
        <v>74</v>
      </c>
      <c r="AN511" s="1" t="s">
        <v>74</v>
      </c>
      <c r="AO511" s="1" t="s">
        <v>4970</v>
      </c>
      <c r="AP511" s="1" t="s">
        <v>4971</v>
      </c>
      <c r="AQ511" s="1" t="s">
        <v>74</v>
      </c>
      <c r="AR511" s="1" t="s">
        <v>74</v>
      </c>
      <c r="AS511" s="1" t="s">
        <v>74</v>
      </c>
      <c r="AT511" s="1" t="s">
        <v>1049</v>
      </c>
      <c r="AU511" s="1">
        <v>2010.0</v>
      </c>
      <c r="AV511" s="1">
        <v>29.0</v>
      </c>
      <c r="AW511" s="1">
        <v>11.0</v>
      </c>
      <c r="AX511" s="1" t="s">
        <v>74</v>
      </c>
      <c r="AY511" s="1" t="s">
        <v>74</v>
      </c>
      <c r="AZ511" s="1" t="s">
        <v>74</v>
      </c>
      <c r="BA511" s="1" t="s">
        <v>74</v>
      </c>
      <c r="BB511" s="1">
        <v>1555.0</v>
      </c>
      <c r="BC511" s="1">
        <v>1561.0</v>
      </c>
      <c r="BD511" s="1" t="s">
        <v>74</v>
      </c>
      <c r="BE511" s="1" t="s">
        <v>4972</v>
      </c>
      <c r="BF511" s="2" t="str">
        <f>HYPERLINK("http://dx.doi.org/10.7863/jum.2010.29.11.1555","http://dx.doi.org/10.7863/jum.2010.29.11.1555")</f>
        <v>http://dx.doi.org/10.7863/jum.2010.29.11.1555</v>
      </c>
      <c r="BG511" s="1" t="s">
        <v>74</v>
      </c>
      <c r="BH511" s="1" t="s">
        <v>74</v>
      </c>
      <c r="BI511" s="1" t="s">
        <v>74</v>
      </c>
      <c r="BJ511" s="1" t="s">
        <v>74</v>
      </c>
      <c r="BK511" s="1" t="s">
        <v>74</v>
      </c>
      <c r="BL511" s="1" t="s">
        <v>74</v>
      </c>
      <c r="BM511" s="1" t="s">
        <v>74</v>
      </c>
      <c r="BN511" s="1">
        <v>2.0966466E7</v>
      </c>
      <c r="BO511" s="1" t="s">
        <v>74</v>
      </c>
      <c r="BP511" s="1" t="s">
        <v>74</v>
      </c>
      <c r="BQ511" s="1" t="s">
        <v>74</v>
      </c>
      <c r="BR511" s="1" t="s">
        <v>74</v>
      </c>
      <c r="BS511" s="1" t="s">
        <v>4973</v>
      </c>
      <c r="BT511" s="1" t="str">
        <f>HYPERLINK("https%3A%2F%2Fwww.webofscience.com%2Fwos%2Fwoscc%2Ffull-record%2FWOS:000284666900004","View Full Record in Web of Science")</f>
        <v>View Full Record in Web of Science</v>
      </c>
    </row>
    <row r="512" ht="12.75" customHeight="1">
      <c r="A512" s="1" t="s">
        <v>72</v>
      </c>
      <c r="B512" s="1" t="s">
        <v>4974</v>
      </c>
      <c r="C512" s="1" t="s">
        <v>74</v>
      </c>
      <c r="D512" s="1" t="s">
        <v>74</v>
      </c>
      <c r="E512" s="1" t="s">
        <v>74</v>
      </c>
      <c r="F512" s="1" t="s">
        <v>4975</v>
      </c>
      <c r="G512" s="1" t="s">
        <v>74</v>
      </c>
      <c r="H512" s="1" t="s">
        <v>74</v>
      </c>
      <c r="I512" s="1" t="s">
        <v>4976</v>
      </c>
      <c r="J512" s="1" t="s">
        <v>4966</v>
      </c>
      <c r="K512" s="1" t="s">
        <v>74</v>
      </c>
      <c r="L512" s="1" t="s">
        <v>74</v>
      </c>
      <c r="M512" s="1" t="s">
        <v>74</v>
      </c>
      <c r="N512" s="1" t="s">
        <v>74</v>
      </c>
      <c r="O512" s="1" t="s">
        <v>74</v>
      </c>
      <c r="P512" s="1" t="s">
        <v>74</v>
      </c>
      <c r="Q512" s="1" t="s">
        <v>74</v>
      </c>
      <c r="R512" s="1" t="s">
        <v>74</v>
      </c>
      <c r="S512" s="1" t="s">
        <v>74</v>
      </c>
      <c r="T512" s="1" t="s">
        <v>74</v>
      </c>
      <c r="U512" s="1" t="s">
        <v>74</v>
      </c>
      <c r="V512" s="1" t="s">
        <v>4977</v>
      </c>
      <c r="W512" s="1" t="s">
        <v>74</v>
      </c>
      <c r="X512" s="1" t="s">
        <v>74</v>
      </c>
      <c r="Y512" s="1" t="s">
        <v>74</v>
      </c>
      <c r="Z512" s="1" t="s">
        <v>74</v>
      </c>
      <c r="AA512" s="1" t="s">
        <v>74</v>
      </c>
      <c r="AB512" s="1" t="s">
        <v>74</v>
      </c>
      <c r="AC512" s="1" t="s">
        <v>74</v>
      </c>
      <c r="AD512" s="1" t="s">
        <v>74</v>
      </c>
      <c r="AE512" s="1" t="s">
        <v>74</v>
      </c>
      <c r="AF512" s="1" t="s">
        <v>74</v>
      </c>
      <c r="AG512" s="1" t="s">
        <v>74</v>
      </c>
      <c r="AH512" s="1" t="s">
        <v>74</v>
      </c>
      <c r="AI512" s="1" t="s">
        <v>74</v>
      </c>
      <c r="AJ512" s="1" t="s">
        <v>74</v>
      </c>
      <c r="AK512" s="1" t="s">
        <v>74</v>
      </c>
      <c r="AL512" s="1" t="s">
        <v>74</v>
      </c>
      <c r="AM512" s="1" t="s">
        <v>74</v>
      </c>
      <c r="AN512" s="1" t="s">
        <v>74</v>
      </c>
      <c r="AO512" s="1" t="s">
        <v>4970</v>
      </c>
      <c r="AP512" s="1" t="s">
        <v>4971</v>
      </c>
      <c r="AQ512" s="1" t="s">
        <v>74</v>
      </c>
      <c r="AR512" s="1" t="s">
        <v>74</v>
      </c>
      <c r="AS512" s="1" t="s">
        <v>74</v>
      </c>
      <c r="AT512" s="1" t="s">
        <v>360</v>
      </c>
      <c r="AU512" s="1">
        <v>2010.0</v>
      </c>
      <c r="AV512" s="1">
        <v>29.0</v>
      </c>
      <c r="AW512" s="1">
        <v>2.0</v>
      </c>
      <c r="AX512" s="1" t="s">
        <v>74</v>
      </c>
      <c r="AY512" s="1" t="s">
        <v>74</v>
      </c>
      <c r="AZ512" s="1" t="s">
        <v>74</v>
      </c>
      <c r="BA512" s="1" t="s">
        <v>74</v>
      </c>
      <c r="BB512" s="1">
        <v>295.0</v>
      </c>
      <c r="BC512" s="1">
        <v>300.0</v>
      </c>
      <c r="BD512" s="1" t="s">
        <v>74</v>
      </c>
      <c r="BE512" s="1" t="s">
        <v>4978</v>
      </c>
      <c r="BF512" s="2" t="str">
        <f>HYPERLINK("http://dx.doi.org/10.7863/jum.2010.29.2.295","http://dx.doi.org/10.7863/jum.2010.29.2.295")</f>
        <v>http://dx.doi.org/10.7863/jum.2010.29.2.295</v>
      </c>
      <c r="BG512" s="1" t="s">
        <v>74</v>
      </c>
      <c r="BH512" s="1" t="s">
        <v>74</v>
      </c>
      <c r="BI512" s="1" t="s">
        <v>74</v>
      </c>
      <c r="BJ512" s="1" t="s">
        <v>74</v>
      </c>
      <c r="BK512" s="1" t="s">
        <v>74</v>
      </c>
      <c r="BL512" s="1" t="s">
        <v>74</v>
      </c>
      <c r="BM512" s="1" t="s">
        <v>74</v>
      </c>
      <c r="BN512" s="1">
        <v>2.0103802E7</v>
      </c>
      <c r="BO512" s="1" t="s">
        <v>74</v>
      </c>
      <c r="BP512" s="1" t="s">
        <v>74</v>
      </c>
      <c r="BQ512" s="1" t="s">
        <v>74</v>
      </c>
      <c r="BR512" s="1" t="s">
        <v>74</v>
      </c>
      <c r="BS512" s="1" t="s">
        <v>4979</v>
      </c>
      <c r="BT512" s="1" t="str">
        <f>HYPERLINK("https%3A%2F%2Fwww.webofscience.com%2Fwos%2Fwoscc%2Ffull-record%2FWOS:000274307900016","View Full Record in Web of Science")</f>
        <v>View Full Record in Web of Science</v>
      </c>
    </row>
    <row r="513" ht="12.75" customHeight="1">
      <c r="A513" s="1" t="s">
        <v>72</v>
      </c>
      <c r="B513" s="1" t="s">
        <v>4980</v>
      </c>
      <c r="C513" s="1" t="s">
        <v>74</v>
      </c>
      <c r="D513" s="1" t="s">
        <v>74</v>
      </c>
      <c r="E513" s="1" t="s">
        <v>74</v>
      </c>
      <c r="F513" s="1" t="s">
        <v>4981</v>
      </c>
      <c r="G513" s="1" t="s">
        <v>74</v>
      </c>
      <c r="H513" s="1" t="s">
        <v>74</v>
      </c>
      <c r="I513" s="1" t="s">
        <v>4982</v>
      </c>
      <c r="J513" s="1" t="s">
        <v>582</v>
      </c>
      <c r="K513" s="1" t="s">
        <v>74</v>
      </c>
      <c r="L513" s="1" t="s">
        <v>74</v>
      </c>
      <c r="M513" s="1" t="s">
        <v>74</v>
      </c>
      <c r="N513" s="1" t="s">
        <v>74</v>
      </c>
      <c r="O513" s="1" t="s">
        <v>74</v>
      </c>
      <c r="P513" s="1" t="s">
        <v>74</v>
      </c>
      <c r="Q513" s="1" t="s">
        <v>74</v>
      </c>
      <c r="R513" s="1" t="s">
        <v>74</v>
      </c>
      <c r="S513" s="1" t="s">
        <v>74</v>
      </c>
      <c r="T513" s="1" t="s">
        <v>74</v>
      </c>
      <c r="U513" s="1" t="s">
        <v>74</v>
      </c>
      <c r="V513" s="1" t="s">
        <v>4983</v>
      </c>
      <c r="W513" s="1" t="s">
        <v>74</v>
      </c>
      <c r="X513" s="1" t="s">
        <v>74</v>
      </c>
      <c r="Y513" s="1" t="s">
        <v>74</v>
      </c>
      <c r="Z513" s="1" t="s">
        <v>74</v>
      </c>
      <c r="AA513" s="1" t="s">
        <v>4356</v>
      </c>
      <c r="AB513" s="1" t="s">
        <v>4357</v>
      </c>
      <c r="AC513" s="1" t="s">
        <v>74</v>
      </c>
      <c r="AD513" s="1" t="s">
        <v>74</v>
      </c>
      <c r="AE513" s="1" t="s">
        <v>74</v>
      </c>
      <c r="AF513" s="1" t="s">
        <v>74</v>
      </c>
      <c r="AG513" s="1" t="s">
        <v>74</v>
      </c>
      <c r="AH513" s="1" t="s">
        <v>74</v>
      </c>
      <c r="AI513" s="1" t="s">
        <v>74</v>
      </c>
      <c r="AJ513" s="1" t="s">
        <v>74</v>
      </c>
      <c r="AK513" s="1" t="s">
        <v>74</v>
      </c>
      <c r="AL513" s="1" t="s">
        <v>74</v>
      </c>
      <c r="AM513" s="1" t="s">
        <v>74</v>
      </c>
      <c r="AN513" s="1" t="s">
        <v>74</v>
      </c>
      <c r="AO513" s="1" t="s">
        <v>787</v>
      </c>
      <c r="AP513" s="1" t="s">
        <v>74</v>
      </c>
      <c r="AQ513" s="1" t="s">
        <v>74</v>
      </c>
      <c r="AR513" s="1" t="s">
        <v>74</v>
      </c>
      <c r="AS513" s="1" t="s">
        <v>74</v>
      </c>
      <c r="AT513" s="1" t="s">
        <v>110</v>
      </c>
      <c r="AU513" s="1">
        <v>2009.0</v>
      </c>
      <c r="AV513" s="1">
        <v>54.0</v>
      </c>
      <c r="AW513" s="1">
        <v>4.0</v>
      </c>
      <c r="AX513" s="1" t="s">
        <v>74</v>
      </c>
      <c r="AY513" s="1" t="s">
        <v>74</v>
      </c>
      <c r="AZ513" s="1" t="s">
        <v>74</v>
      </c>
      <c r="BA513" s="1" t="s">
        <v>74</v>
      </c>
      <c r="BB513" s="1">
        <v>334.0</v>
      </c>
      <c r="BC513" s="1">
        <v>338.0</v>
      </c>
      <c r="BD513" s="1" t="s">
        <v>74</v>
      </c>
      <c r="BE513" s="1" t="s">
        <v>74</v>
      </c>
      <c r="BF513" s="1" t="s">
        <v>74</v>
      </c>
      <c r="BG513" s="1" t="s">
        <v>74</v>
      </c>
      <c r="BH513" s="1" t="s">
        <v>74</v>
      </c>
      <c r="BI513" s="1" t="s">
        <v>74</v>
      </c>
      <c r="BJ513" s="1" t="s">
        <v>74</v>
      </c>
      <c r="BK513" s="1" t="s">
        <v>74</v>
      </c>
      <c r="BL513" s="1" t="s">
        <v>74</v>
      </c>
      <c r="BM513" s="1" t="s">
        <v>74</v>
      </c>
      <c r="BN513" s="1" t="s">
        <v>74</v>
      </c>
      <c r="BO513" s="1" t="s">
        <v>74</v>
      </c>
      <c r="BP513" s="1" t="s">
        <v>74</v>
      </c>
      <c r="BQ513" s="1" t="s">
        <v>74</v>
      </c>
      <c r="BR513" s="1" t="s">
        <v>74</v>
      </c>
      <c r="BS513" s="1" t="s">
        <v>4984</v>
      </c>
      <c r="BT513" s="1" t="str">
        <f>HYPERLINK("https%3A%2F%2Fwww.webofscience.com%2Fwos%2Fwoscc%2Ffull-record%2FWOS:000273751200002","View Full Record in Web of Science")</f>
        <v>View Full Record in Web of Science</v>
      </c>
    </row>
    <row r="514" ht="12.75" customHeight="1">
      <c r="A514" s="1" t="s">
        <v>72</v>
      </c>
      <c r="B514" s="1" t="s">
        <v>4985</v>
      </c>
      <c r="C514" s="1" t="s">
        <v>74</v>
      </c>
      <c r="D514" s="1" t="s">
        <v>74</v>
      </c>
      <c r="E514" s="1" t="s">
        <v>74</v>
      </c>
      <c r="F514" s="1" t="s">
        <v>4986</v>
      </c>
      <c r="G514" s="1" t="s">
        <v>74</v>
      </c>
      <c r="H514" s="1" t="s">
        <v>74</v>
      </c>
      <c r="I514" s="1" t="s">
        <v>4987</v>
      </c>
      <c r="J514" s="1" t="s">
        <v>4988</v>
      </c>
      <c r="K514" s="1" t="s">
        <v>74</v>
      </c>
      <c r="L514" s="1" t="s">
        <v>74</v>
      </c>
      <c r="M514" s="1" t="s">
        <v>74</v>
      </c>
      <c r="N514" s="1" t="s">
        <v>74</v>
      </c>
      <c r="O514" s="1" t="s">
        <v>74</v>
      </c>
      <c r="P514" s="1" t="s">
        <v>74</v>
      </c>
      <c r="Q514" s="1" t="s">
        <v>74</v>
      </c>
      <c r="R514" s="1" t="s">
        <v>74</v>
      </c>
      <c r="S514" s="1" t="s">
        <v>74</v>
      </c>
      <c r="T514" s="1" t="s">
        <v>74</v>
      </c>
      <c r="U514" s="1" t="s">
        <v>74</v>
      </c>
      <c r="V514" s="1" t="s">
        <v>4989</v>
      </c>
      <c r="W514" s="1" t="s">
        <v>74</v>
      </c>
      <c r="X514" s="1" t="s">
        <v>74</v>
      </c>
      <c r="Y514" s="1" t="s">
        <v>74</v>
      </c>
      <c r="Z514" s="1" t="s">
        <v>74</v>
      </c>
      <c r="AA514" s="1" t="s">
        <v>4990</v>
      </c>
      <c r="AB514" s="1" t="s">
        <v>843</v>
      </c>
      <c r="AC514" s="1" t="s">
        <v>74</v>
      </c>
      <c r="AD514" s="1" t="s">
        <v>74</v>
      </c>
      <c r="AE514" s="1" t="s">
        <v>74</v>
      </c>
      <c r="AF514" s="1" t="s">
        <v>74</v>
      </c>
      <c r="AG514" s="1" t="s">
        <v>74</v>
      </c>
      <c r="AH514" s="1" t="s">
        <v>74</v>
      </c>
      <c r="AI514" s="1" t="s">
        <v>74</v>
      </c>
      <c r="AJ514" s="1" t="s">
        <v>74</v>
      </c>
      <c r="AK514" s="1" t="s">
        <v>74</v>
      </c>
      <c r="AL514" s="1" t="s">
        <v>74</v>
      </c>
      <c r="AM514" s="1" t="s">
        <v>74</v>
      </c>
      <c r="AN514" s="1" t="s">
        <v>74</v>
      </c>
      <c r="AO514" s="1" t="s">
        <v>4991</v>
      </c>
      <c r="AP514" s="1" t="s">
        <v>4992</v>
      </c>
      <c r="AQ514" s="1" t="s">
        <v>74</v>
      </c>
      <c r="AR514" s="1" t="s">
        <v>74</v>
      </c>
      <c r="AS514" s="1" t="s">
        <v>74</v>
      </c>
      <c r="AT514" s="1" t="s">
        <v>110</v>
      </c>
      <c r="AU514" s="1">
        <v>2009.0</v>
      </c>
      <c r="AV514" s="1">
        <v>79.0</v>
      </c>
      <c r="AW514" s="1">
        <v>3.0</v>
      </c>
      <c r="AX514" s="1" t="s">
        <v>74</v>
      </c>
      <c r="AY514" s="1" t="s">
        <v>74</v>
      </c>
      <c r="AZ514" s="1" t="s">
        <v>74</v>
      </c>
      <c r="BA514" s="1" t="s">
        <v>74</v>
      </c>
      <c r="BB514" s="1">
        <v>461.0</v>
      </c>
      <c r="BC514" s="1">
        <v>472.0</v>
      </c>
      <c r="BD514" s="1" t="s">
        <v>74</v>
      </c>
      <c r="BE514" s="1" t="s">
        <v>4993</v>
      </c>
      <c r="BF514" s="2" t="str">
        <f>HYPERLINK("http://dx.doi.org/10.1007/s00233-009-9154-0","http://dx.doi.org/10.1007/s00233-009-9154-0")</f>
        <v>http://dx.doi.org/10.1007/s00233-009-9154-0</v>
      </c>
      <c r="BG514" s="1" t="s">
        <v>74</v>
      </c>
      <c r="BH514" s="1" t="s">
        <v>74</v>
      </c>
      <c r="BI514" s="1" t="s">
        <v>74</v>
      </c>
      <c r="BJ514" s="1" t="s">
        <v>74</v>
      </c>
      <c r="BK514" s="1" t="s">
        <v>74</v>
      </c>
      <c r="BL514" s="1" t="s">
        <v>74</v>
      </c>
      <c r="BM514" s="1" t="s">
        <v>74</v>
      </c>
      <c r="BN514" s="1" t="s">
        <v>74</v>
      </c>
      <c r="BO514" s="1" t="s">
        <v>74</v>
      </c>
      <c r="BP514" s="1" t="s">
        <v>74</v>
      </c>
      <c r="BQ514" s="1" t="s">
        <v>74</v>
      </c>
      <c r="BR514" s="1" t="s">
        <v>74</v>
      </c>
      <c r="BS514" s="1" t="s">
        <v>4994</v>
      </c>
      <c r="BT514" s="1" t="str">
        <f>HYPERLINK("https%3A%2F%2Fwww.webofscience.com%2Fwos%2Fwoscc%2Ffull-record%2FWOS:000271737700005","View Full Record in Web of Science")</f>
        <v>View Full Record in Web of Science</v>
      </c>
    </row>
    <row r="515" ht="12.75" customHeight="1">
      <c r="A515" s="1" t="s">
        <v>72</v>
      </c>
      <c r="B515" s="1" t="s">
        <v>4995</v>
      </c>
      <c r="C515" s="1" t="s">
        <v>74</v>
      </c>
      <c r="D515" s="1" t="s">
        <v>74</v>
      </c>
      <c r="E515" s="1" t="s">
        <v>74</v>
      </c>
      <c r="F515" s="1" t="s">
        <v>4996</v>
      </c>
      <c r="G515" s="1" t="s">
        <v>74</v>
      </c>
      <c r="H515" s="1" t="s">
        <v>74</v>
      </c>
      <c r="I515" s="1" t="s">
        <v>4997</v>
      </c>
      <c r="J515" s="1" t="s">
        <v>4998</v>
      </c>
      <c r="K515" s="1" t="s">
        <v>74</v>
      </c>
      <c r="L515" s="1" t="s">
        <v>74</v>
      </c>
      <c r="M515" s="1" t="s">
        <v>74</v>
      </c>
      <c r="N515" s="1" t="s">
        <v>74</v>
      </c>
      <c r="O515" s="1" t="s">
        <v>74</v>
      </c>
      <c r="P515" s="1" t="s">
        <v>74</v>
      </c>
      <c r="Q515" s="1" t="s">
        <v>74</v>
      </c>
      <c r="R515" s="1" t="s">
        <v>74</v>
      </c>
      <c r="S515" s="1" t="s">
        <v>74</v>
      </c>
      <c r="T515" s="1" t="s">
        <v>74</v>
      </c>
      <c r="U515" s="1" t="s">
        <v>74</v>
      </c>
      <c r="V515" s="1" t="s">
        <v>4999</v>
      </c>
      <c r="W515" s="1" t="s">
        <v>74</v>
      </c>
      <c r="X515" s="1" t="s">
        <v>74</v>
      </c>
      <c r="Y515" s="1" t="s">
        <v>74</v>
      </c>
      <c r="Z515" s="1" t="s">
        <v>74</v>
      </c>
      <c r="AA515" s="1" t="s">
        <v>5000</v>
      </c>
      <c r="AB515" s="1" t="s">
        <v>74</v>
      </c>
      <c r="AC515" s="1" t="s">
        <v>74</v>
      </c>
      <c r="AD515" s="1" t="s">
        <v>74</v>
      </c>
      <c r="AE515" s="1" t="s">
        <v>74</v>
      </c>
      <c r="AF515" s="1" t="s">
        <v>74</v>
      </c>
      <c r="AG515" s="1" t="s">
        <v>74</v>
      </c>
      <c r="AH515" s="1" t="s">
        <v>74</v>
      </c>
      <c r="AI515" s="1" t="s">
        <v>74</v>
      </c>
      <c r="AJ515" s="1" t="s">
        <v>74</v>
      </c>
      <c r="AK515" s="1" t="s">
        <v>74</v>
      </c>
      <c r="AL515" s="1" t="s">
        <v>74</v>
      </c>
      <c r="AM515" s="1" t="s">
        <v>74</v>
      </c>
      <c r="AN515" s="1" t="s">
        <v>74</v>
      </c>
      <c r="AO515" s="1" t="s">
        <v>5001</v>
      </c>
      <c r="AP515" s="1" t="s">
        <v>5002</v>
      </c>
      <c r="AQ515" s="1" t="s">
        <v>74</v>
      </c>
      <c r="AR515" s="1" t="s">
        <v>74</v>
      </c>
      <c r="AS515" s="1" t="s">
        <v>74</v>
      </c>
      <c r="AT515" s="1" t="s">
        <v>459</v>
      </c>
      <c r="AU515" s="1">
        <v>2009.0</v>
      </c>
      <c r="AV515" s="1">
        <v>60.0</v>
      </c>
      <c r="AW515" s="1">
        <v>9.0</v>
      </c>
      <c r="AX515" s="1" t="s">
        <v>74</v>
      </c>
      <c r="AY515" s="1" t="s">
        <v>74</v>
      </c>
      <c r="AZ515" s="1" t="s">
        <v>74</v>
      </c>
      <c r="BA515" s="1" t="s">
        <v>74</v>
      </c>
      <c r="BB515" s="1">
        <v>971.0</v>
      </c>
      <c r="BC515" s="1">
        <v>979.0</v>
      </c>
      <c r="BD515" s="1" t="s">
        <v>74</v>
      </c>
      <c r="BE515" s="1" t="s">
        <v>5003</v>
      </c>
      <c r="BF515" s="2" t="str">
        <f>HYPERLINK("http://dx.doi.org/10.1016/j.matchar.2009.03.015","http://dx.doi.org/10.1016/j.matchar.2009.03.015")</f>
        <v>http://dx.doi.org/10.1016/j.matchar.2009.03.015</v>
      </c>
      <c r="BG515" s="1" t="s">
        <v>74</v>
      </c>
      <c r="BH515" s="1" t="s">
        <v>74</v>
      </c>
      <c r="BI515" s="1" t="s">
        <v>74</v>
      </c>
      <c r="BJ515" s="1" t="s">
        <v>74</v>
      </c>
      <c r="BK515" s="1" t="s">
        <v>74</v>
      </c>
      <c r="BL515" s="1" t="s">
        <v>74</v>
      </c>
      <c r="BM515" s="1" t="s">
        <v>74</v>
      </c>
      <c r="BN515" s="1" t="s">
        <v>74</v>
      </c>
      <c r="BO515" s="1" t="s">
        <v>74</v>
      </c>
      <c r="BP515" s="1" t="s">
        <v>74</v>
      </c>
      <c r="BQ515" s="1" t="s">
        <v>74</v>
      </c>
      <c r="BR515" s="1" t="s">
        <v>74</v>
      </c>
      <c r="BS515" s="1" t="s">
        <v>5004</v>
      </c>
      <c r="BT515" s="1" t="str">
        <f>HYPERLINK("https%3A%2F%2Fwww.webofscience.com%2Fwos%2Fwoscc%2Ffull-record%2FWOS:000269284000009","View Full Record in Web of Science")</f>
        <v>View Full Record in Web of Science</v>
      </c>
    </row>
    <row r="516" ht="12.75" customHeight="1">
      <c r="A516" s="1" t="s">
        <v>72</v>
      </c>
      <c r="B516" s="1" t="s">
        <v>5005</v>
      </c>
      <c r="C516" s="1" t="s">
        <v>74</v>
      </c>
      <c r="D516" s="1" t="s">
        <v>74</v>
      </c>
      <c r="E516" s="1" t="s">
        <v>74</v>
      </c>
      <c r="F516" s="1" t="s">
        <v>5006</v>
      </c>
      <c r="G516" s="1" t="s">
        <v>74</v>
      </c>
      <c r="H516" s="1" t="s">
        <v>74</v>
      </c>
      <c r="I516" s="1" t="s">
        <v>5007</v>
      </c>
      <c r="J516" s="1" t="s">
        <v>5008</v>
      </c>
      <c r="K516" s="1" t="s">
        <v>74</v>
      </c>
      <c r="L516" s="1" t="s">
        <v>74</v>
      </c>
      <c r="M516" s="1" t="s">
        <v>74</v>
      </c>
      <c r="N516" s="1" t="s">
        <v>74</v>
      </c>
      <c r="O516" s="1" t="s">
        <v>74</v>
      </c>
      <c r="P516" s="1" t="s">
        <v>74</v>
      </c>
      <c r="Q516" s="1" t="s">
        <v>74</v>
      </c>
      <c r="R516" s="1" t="s">
        <v>74</v>
      </c>
      <c r="S516" s="1" t="s">
        <v>74</v>
      </c>
      <c r="T516" s="1" t="s">
        <v>74</v>
      </c>
      <c r="U516" s="1" t="s">
        <v>74</v>
      </c>
      <c r="V516" s="1" t="s">
        <v>5009</v>
      </c>
      <c r="W516" s="1" t="s">
        <v>74</v>
      </c>
      <c r="X516" s="1" t="s">
        <v>74</v>
      </c>
      <c r="Y516" s="1" t="s">
        <v>74</v>
      </c>
      <c r="Z516" s="1" t="s">
        <v>74</v>
      </c>
      <c r="AA516" s="1" t="s">
        <v>5010</v>
      </c>
      <c r="AB516" s="1" t="s">
        <v>5011</v>
      </c>
      <c r="AC516" s="1" t="s">
        <v>74</v>
      </c>
      <c r="AD516" s="1" t="s">
        <v>74</v>
      </c>
      <c r="AE516" s="1" t="s">
        <v>74</v>
      </c>
      <c r="AF516" s="1" t="s">
        <v>74</v>
      </c>
      <c r="AG516" s="1" t="s">
        <v>74</v>
      </c>
      <c r="AH516" s="1" t="s">
        <v>74</v>
      </c>
      <c r="AI516" s="1" t="s">
        <v>74</v>
      </c>
      <c r="AJ516" s="1" t="s">
        <v>74</v>
      </c>
      <c r="AK516" s="1" t="s">
        <v>74</v>
      </c>
      <c r="AL516" s="1" t="s">
        <v>74</v>
      </c>
      <c r="AM516" s="1" t="s">
        <v>74</v>
      </c>
      <c r="AN516" s="1" t="s">
        <v>74</v>
      </c>
      <c r="AO516" s="1" t="s">
        <v>5012</v>
      </c>
      <c r="AP516" s="1" t="s">
        <v>5013</v>
      </c>
      <c r="AQ516" s="1" t="s">
        <v>74</v>
      </c>
      <c r="AR516" s="1" t="s">
        <v>74</v>
      </c>
      <c r="AS516" s="1" t="s">
        <v>74</v>
      </c>
      <c r="AT516" s="1" t="s">
        <v>5014</v>
      </c>
      <c r="AU516" s="1">
        <v>2009.0</v>
      </c>
      <c r="AV516" s="1">
        <v>180.0</v>
      </c>
      <c r="AW516" s="1">
        <v>1.0</v>
      </c>
      <c r="AX516" s="1" t="s">
        <v>74</v>
      </c>
      <c r="AY516" s="1" t="s">
        <v>74</v>
      </c>
      <c r="AZ516" s="1" t="s">
        <v>74</v>
      </c>
      <c r="BA516" s="1" t="s">
        <v>74</v>
      </c>
      <c r="BB516" s="1">
        <v>1.0</v>
      </c>
      <c r="BC516" s="1">
        <v>8.0</v>
      </c>
      <c r="BD516" s="1" t="s">
        <v>74</v>
      </c>
      <c r="BE516" s="1" t="s">
        <v>5015</v>
      </c>
      <c r="BF516" s="2" t="str">
        <f>HYPERLINK("http://dx.doi.org/10.1016/j.jvolgeores.2008.12.002","http://dx.doi.org/10.1016/j.jvolgeores.2008.12.002")</f>
        <v>http://dx.doi.org/10.1016/j.jvolgeores.2008.12.002</v>
      </c>
      <c r="BG516" s="1" t="s">
        <v>74</v>
      </c>
      <c r="BH516" s="1" t="s">
        <v>74</v>
      </c>
      <c r="BI516" s="1" t="s">
        <v>74</v>
      </c>
      <c r="BJ516" s="1" t="s">
        <v>74</v>
      </c>
      <c r="BK516" s="1" t="s">
        <v>74</v>
      </c>
      <c r="BL516" s="1" t="s">
        <v>74</v>
      </c>
      <c r="BM516" s="1" t="s">
        <v>74</v>
      </c>
      <c r="BN516" s="1" t="s">
        <v>74</v>
      </c>
      <c r="BO516" s="1" t="s">
        <v>74</v>
      </c>
      <c r="BP516" s="1" t="s">
        <v>74</v>
      </c>
      <c r="BQ516" s="1" t="s">
        <v>74</v>
      </c>
      <c r="BR516" s="1" t="s">
        <v>74</v>
      </c>
      <c r="BS516" s="1" t="s">
        <v>5016</v>
      </c>
      <c r="BT516" s="1" t="str">
        <f>HYPERLINK("https%3A%2F%2Fwww.webofscience.com%2Fwos%2Fwoscc%2Ffull-record%2FWOS:000263694200001","View Full Record in Web of Science")</f>
        <v>View Full Record in Web of Science</v>
      </c>
    </row>
    <row r="517" ht="12.75" customHeight="1">
      <c r="A517" s="1" t="s">
        <v>72</v>
      </c>
      <c r="B517" s="1" t="s">
        <v>5017</v>
      </c>
      <c r="C517" s="1" t="s">
        <v>74</v>
      </c>
      <c r="D517" s="1" t="s">
        <v>74</v>
      </c>
      <c r="E517" s="1" t="s">
        <v>74</v>
      </c>
      <c r="F517" s="1" t="s">
        <v>5018</v>
      </c>
      <c r="G517" s="1" t="s">
        <v>74</v>
      </c>
      <c r="H517" s="1" t="s">
        <v>74</v>
      </c>
      <c r="I517" s="1" t="s">
        <v>5019</v>
      </c>
      <c r="J517" s="1" t="s">
        <v>5020</v>
      </c>
      <c r="K517" s="1" t="s">
        <v>74</v>
      </c>
      <c r="L517" s="1" t="s">
        <v>74</v>
      </c>
      <c r="M517" s="1" t="s">
        <v>74</v>
      </c>
      <c r="N517" s="1" t="s">
        <v>74</v>
      </c>
      <c r="O517" s="1" t="s">
        <v>74</v>
      </c>
      <c r="P517" s="1" t="s">
        <v>74</v>
      </c>
      <c r="Q517" s="1" t="s">
        <v>74</v>
      </c>
      <c r="R517" s="1" t="s">
        <v>74</v>
      </c>
      <c r="S517" s="1" t="s">
        <v>74</v>
      </c>
      <c r="T517" s="1" t="s">
        <v>74</v>
      </c>
      <c r="U517" s="1" t="s">
        <v>74</v>
      </c>
      <c r="V517" s="1" t="s">
        <v>5021</v>
      </c>
      <c r="W517" s="1" t="s">
        <v>74</v>
      </c>
      <c r="X517" s="1" t="s">
        <v>74</v>
      </c>
      <c r="Y517" s="1" t="s">
        <v>74</v>
      </c>
      <c r="Z517" s="1" t="s">
        <v>74</v>
      </c>
      <c r="AA517" s="1" t="s">
        <v>74</v>
      </c>
      <c r="AB517" s="1" t="s">
        <v>74</v>
      </c>
      <c r="AC517" s="1" t="s">
        <v>74</v>
      </c>
      <c r="AD517" s="1" t="s">
        <v>74</v>
      </c>
      <c r="AE517" s="1" t="s">
        <v>74</v>
      </c>
      <c r="AF517" s="1" t="s">
        <v>74</v>
      </c>
      <c r="AG517" s="1" t="s">
        <v>74</v>
      </c>
      <c r="AH517" s="1" t="s">
        <v>74</v>
      </c>
      <c r="AI517" s="1" t="s">
        <v>74</v>
      </c>
      <c r="AJ517" s="1" t="s">
        <v>74</v>
      </c>
      <c r="AK517" s="1" t="s">
        <v>74</v>
      </c>
      <c r="AL517" s="1" t="s">
        <v>74</v>
      </c>
      <c r="AM517" s="1" t="s">
        <v>74</v>
      </c>
      <c r="AN517" s="1" t="s">
        <v>74</v>
      </c>
      <c r="AO517" s="1" t="s">
        <v>5022</v>
      </c>
      <c r="AP517" s="1" t="s">
        <v>74</v>
      </c>
      <c r="AQ517" s="1" t="s">
        <v>74</v>
      </c>
      <c r="AR517" s="1" t="s">
        <v>74</v>
      </c>
      <c r="AS517" s="1" t="s">
        <v>74</v>
      </c>
      <c r="AT517" s="1" t="s">
        <v>1049</v>
      </c>
      <c r="AU517" s="1">
        <v>2008.0</v>
      </c>
      <c r="AV517" s="1">
        <v>126.0</v>
      </c>
      <c r="AW517" s="1" t="s">
        <v>2150</v>
      </c>
      <c r="AX517" s="1" t="s">
        <v>74</v>
      </c>
      <c r="AY517" s="1" t="s">
        <v>74</v>
      </c>
      <c r="AZ517" s="1" t="s">
        <v>74</v>
      </c>
      <c r="BA517" s="1" t="s">
        <v>74</v>
      </c>
      <c r="BB517" s="1">
        <v>112.0</v>
      </c>
      <c r="BC517" s="1">
        <v>118.0</v>
      </c>
      <c r="BD517" s="1" t="s">
        <v>74</v>
      </c>
      <c r="BE517" s="1" t="s">
        <v>5023</v>
      </c>
      <c r="BF517" s="2" t="str">
        <f>HYPERLINK("http://dx.doi.org/10.1007/s10562-008-9589-z","http://dx.doi.org/10.1007/s10562-008-9589-z")</f>
        <v>http://dx.doi.org/10.1007/s10562-008-9589-z</v>
      </c>
      <c r="BG517" s="1" t="s">
        <v>74</v>
      </c>
      <c r="BH517" s="1" t="s">
        <v>74</v>
      </c>
      <c r="BI517" s="1" t="s">
        <v>74</v>
      </c>
      <c r="BJ517" s="1" t="s">
        <v>74</v>
      </c>
      <c r="BK517" s="1" t="s">
        <v>74</v>
      </c>
      <c r="BL517" s="1" t="s">
        <v>74</v>
      </c>
      <c r="BM517" s="1" t="s">
        <v>74</v>
      </c>
      <c r="BN517" s="1" t="s">
        <v>74</v>
      </c>
      <c r="BO517" s="1" t="s">
        <v>74</v>
      </c>
      <c r="BP517" s="1" t="s">
        <v>74</v>
      </c>
      <c r="BQ517" s="1" t="s">
        <v>74</v>
      </c>
      <c r="BR517" s="1" t="s">
        <v>74</v>
      </c>
      <c r="BS517" s="1" t="s">
        <v>5024</v>
      </c>
      <c r="BT517" s="1" t="str">
        <f>HYPERLINK("https%3A%2F%2Fwww.webofscience.com%2Fwos%2Fwoscc%2Ffull-record%2FWOS:000260509000017","View Full Record in Web of Science")</f>
        <v>View Full Record in Web of Science</v>
      </c>
    </row>
    <row r="518" ht="12.75" customHeight="1">
      <c r="A518" s="1" t="s">
        <v>72</v>
      </c>
      <c r="B518" s="1" t="s">
        <v>5025</v>
      </c>
      <c r="C518" s="1" t="s">
        <v>74</v>
      </c>
      <c r="D518" s="1" t="s">
        <v>74</v>
      </c>
      <c r="E518" s="1" t="s">
        <v>74</v>
      </c>
      <c r="F518" s="1" t="s">
        <v>5026</v>
      </c>
      <c r="G518" s="1" t="s">
        <v>74</v>
      </c>
      <c r="H518" s="1" t="s">
        <v>74</v>
      </c>
      <c r="I518" s="1" t="s">
        <v>5027</v>
      </c>
      <c r="J518" s="1" t="s">
        <v>5028</v>
      </c>
      <c r="K518" s="1" t="s">
        <v>74</v>
      </c>
      <c r="L518" s="1" t="s">
        <v>74</v>
      </c>
      <c r="M518" s="1" t="s">
        <v>74</v>
      </c>
      <c r="N518" s="1" t="s">
        <v>74</v>
      </c>
      <c r="O518" s="1" t="s">
        <v>74</v>
      </c>
      <c r="P518" s="1" t="s">
        <v>74</v>
      </c>
      <c r="Q518" s="1" t="s">
        <v>74</v>
      </c>
      <c r="R518" s="1" t="s">
        <v>74</v>
      </c>
      <c r="S518" s="1" t="s">
        <v>74</v>
      </c>
      <c r="T518" s="1" t="s">
        <v>74</v>
      </c>
      <c r="U518" s="1" t="s">
        <v>74</v>
      </c>
      <c r="V518" s="1" t="s">
        <v>5029</v>
      </c>
      <c r="W518" s="1" t="s">
        <v>74</v>
      </c>
      <c r="X518" s="1" t="s">
        <v>74</v>
      </c>
      <c r="Y518" s="1" t="s">
        <v>74</v>
      </c>
      <c r="Z518" s="1" t="s">
        <v>74</v>
      </c>
      <c r="AA518" s="1" t="s">
        <v>2116</v>
      </c>
      <c r="AB518" s="1" t="s">
        <v>5030</v>
      </c>
      <c r="AC518" s="1" t="s">
        <v>74</v>
      </c>
      <c r="AD518" s="1" t="s">
        <v>74</v>
      </c>
      <c r="AE518" s="1" t="s">
        <v>74</v>
      </c>
      <c r="AF518" s="1" t="s">
        <v>74</v>
      </c>
      <c r="AG518" s="1" t="s">
        <v>74</v>
      </c>
      <c r="AH518" s="1" t="s">
        <v>74</v>
      </c>
      <c r="AI518" s="1" t="s">
        <v>74</v>
      </c>
      <c r="AJ518" s="1" t="s">
        <v>74</v>
      </c>
      <c r="AK518" s="1" t="s">
        <v>74</v>
      </c>
      <c r="AL518" s="1" t="s">
        <v>74</v>
      </c>
      <c r="AM518" s="1" t="s">
        <v>74</v>
      </c>
      <c r="AN518" s="1" t="s">
        <v>74</v>
      </c>
      <c r="AO518" s="1" t="s">
        <v>5031</v>
      </c>
      <c r="AP518" s="1" t="s">
        <v>5032</v>
      </c>
      <c r="AQ518" s="1" t="s">
        <v>74</v>
      </c>
      <c r="AR518" s="1" t="s">
        <v>74</v>
      </c>
      <c r="AS518" s="1" t="s">
        <v>74</v>
      </c>
      <c r="AT518" s="1" t="s">
        <v>135</v>
      </c>
      <c r="AU518" s="1">
        <v>2007.0</v>
      </c>
      <c r="AV518" s="1">
        <v>17.0</v>
      </c>
      <c r="AW518" s="1">
        <v>8.0</v>
      </c>
      <c r="AX518" s="1" t="s">
        <v>74</v>
      </c>
      <c r="AY518" s="1" t="s">
        <v>74</v>
      </c>
      <c r="AZ518" s="1" t="s">
        <v>74</v>
      </c>
      <c r="BA518" s="1" t="s">
        <v>74</v>
      </c>
      <c r="BB518" s="1">
        <v>2749.0</v>
      </c>
      <c r="BC518" s="1">
        <v>2763.0</v>
      </c>
      <c r="BD518" s="1" t="s">
        <v>74</v>
      </c>
      <c r="BE518" s="1" t="s">
        <v>5033</v>
      </c>
      <c r="BF518" s="2" t="str">
        <f>HYPERLINK("http://dx.doi.org/10.1142/S0218127407018737","http://dx.doi.org/10.1142/S0218127407018737")</f>
        <v>http://dx.doi.org/10.1142/S0218127407018737</v>
      </c>
      <c r="BG518" s="1" t="s">
        <v>74</v>
      </c>
      <c r="BH518" s="1" t="s">
        <v>74</v>
      </c>
      <c r="BI518" s="1" t="s">
        <v>74</v>
      </c>
      <c r="BJ518" s="1" t="s">
        <v>74</v>
      </c>
      <c r="BK518" s="1" t="s">
        <v>74</v>
      </c>
      <c r="BL518" s="1" t="s">
        <v>74</v>
      </c>
      <c r="BM518" s="1" t="s">
        <v>74</v>
      </c>
      <c r="BN518" s="1" t="s">
        <v>74</v>
      </c>
      <c r="BO518" s="1" t="s">
        <v>74</v>
      </c>
      <c r="BP518" s="1" t="s">
        <v>74</v>
      </c>
      <c r="BQ518" s="1" t="s">
        <v>74</v>
      </c>
      <c r="BR518" s="1" t="s">
        <v>74</v>
      </c>
      <c r="BS518" s="1" t="s">
        <v>5034</v>
      </c>
      <c r="BT518" s="1" t="str">
        <f>HYPERLINK("https%3A%2F%2Fwww.webofscience.com%2Fwos%2Fwoscc%2Ffull-record%2FWOS:000253285200015","View Full Record in Web of Science")</f>
        <v>View Full Record in Web of Science</v>
      </c>
    </row>
    <row r="519" ht="12.75" customHeight="1">
      <c r="A519" s="1" t="s">
        <v>72</v>
      </c>
      <c r="B519" s="1" t="s">
        <v>5035</v>
      </c>
      <c r="C519" s="1" t="s">
        <v>74</v>
      </c>
      <c r="D519" s="1" t="s">
        <v>74</v>
      </c>
      <c r="E519" s="1" t="s">
        <v>74</v>
      </c>
      <c r="F519" s="1" t="s">
        <v>5036</v>
      </c>
      <c r="G519" s="1" t="s">
        <v>74</v>
      </c>
      <c r="H519" s="1" t="s">
        <v>74</v>
      </c>
      <c r="I519" s="1" t="s">
        <v>5037</v>
      </c>
      <c r="J519" s="1" t="s">
        <v>5038</v>
      </c>
      <c r="K519" s="1" t="s">
        <v>74</v>
      </c>
      <c r="L519" s="1" t="s">
        <v>74</v>
      </c>
      <c r="M519" s="1" t="s">
        <v>74</v>
      </c>
      <c r="N519" s="1" t="s">
        <v>74</v>
      </c>
      <c r="O519" s="1" t="s">
        <v>5039</v>
      </c>
      <c r="P519" s="1" t="s">
        <v>5040</v>
      </c>
      <c r="Q519" s="1" t="s">
        <v>5041</v>
      </c>
      <c r="R519" s="1" t="s">
        <v>5042</v>
      </c>
      <c r="S519" s="1" t="s">
        <v>74</v>
      </c>
      <c r="T519" s="1" t="s">
        <v>74</v>
      </c>
      <c r="U519" s="1" t="s">
        <v>74</v>
      </c>
      <c r="V519" s="1" t="s">
        <v>5043</v>
      </c>
      <c r="W519" s="1" t="s">
        <v>74</v>
      </c>
      <c r="X519" s="1" t="s">
        <v>74</v>
      </c>
      <c r="Y519" s="1" t="s">
        <v>74</v>
      </c>
      <c r="Z519" s="1" t="s">
        <v>74</v>
      </c>
      <c r="AA519" s="1" t="s">
        <v>74</v>
      </c>
      <c r="AB519" s="1" t="s">
        <v>5044</v>
      </c>
      <c r="AC519" s="1" t="s">
        <v>74</v>
      </c>
      <c r="AD519" s="1" t="s">
        <v>74</v>
      </c>
      <c r="AE519" s="1" t="s">
        <v>74</v>
      </c>
      <c r="AF519" s="1" t="s">
        <v>74</v>
      </c>
      <c r="AG519" s="1" t="s">
        <v>74</v>
      </c>
      <c r="AH519" s="1" t="s">
        <v>74</v>
      </c>
      <c r="AI519" s="1" t="s">
        <v>74</v>
      </c>
      <c r="AJ519" s="1" t="s">
        <v>74</v>
      </c>
      <c r="AK519" s="1" t="s">
        <v>74</v>
      </c>
      <c r="AL519" s="1" t="s">
        <v>74</v>
      </c>
      <c r="AM519" s="1" t="s">
        <v>74</v>
      </c>
      <c r="AN519" s="1" t="s">
        <v>74</v>
      </c>
      <c r="AO519" s="1" t="s">
        <v>5045</v>
      </c>
      <c r="AP519" s="1" t="s">
        <v>5046</v>
      </c>
      <c r="AQ519" s="1" t="s">
        <v>74</v>
      </c>
      <c r="AR519" s="1" t="s">
        <v>74</v>
      </c>
      <c r="AS519" s="1" t="s">
        <v>74</v>
      </c>
      <c r="AT519" s="1" t="s">
        <v>5047</v>
      </c>
      <c r="AU519" s="1">
        <v>2007.0</v>
      </c>
      <c r="AV519" s="1">
        <v>211.0</v>
      </c>
      <c r="AW519" s="1" t="s">
        <v>1614</v>
      </c>
      <c r="AX519" s="1" t="s">
        <v>74</v>
      </c>
      <c r="AY519" s="1" t="s">
        <v>74</v>
      </c>
      <c r="AZ519" s="1" t="s">
        <v>74</v>
      </c>
      <c r="BA519" s="1" t="s">
        <v>74</v>
      </c>
      <c r="BB519" s="1">
        <v>58.0</v>
      </c>
      <c r="BC519" s="1">
        <v>63.0</v>
      </c>
      <c r="BD519" s="1" t="s">
        <v>74</v>
      </c>
      <c r="BE519" s="1" t="s">
        <v>5048</v>
      </c>
      <c r="BF519" s="2" t="str">
        <f>HYPERLINK("http://dx.doi.org/10.1016/j.desal.2006.03.590","http://dx.doi.org/10.1016/j.desal.2006.03.590")</f>
        <v>http://dx.doi.org/10.1016/j.desal.2006.03.590</v>
      </c>
      <c r="BG519" s="1" t="s">
        <v>74</v>
      </c>
      <c r="BH519" s="1" t="s">
        <v>74</v>
      </c>
      <c r="BI519" s="1" t="s">
        <v>74</v>
      </c>
      <c r="BJ519" s="1" t="s">
        <v>74</v>
      </c>
      <c r="BK519" s="1" t="s">
        <v>74</v>
      </c>
      <c r="BL519" s="1" t="s">
        <v>74</v>
      </c>
      <c r="BM519" s="1" t="s">
        <v>74</v>
      </c>
      <c r="BN519" s="1" t="s">
        <v>74</v>
      </c>
      <c r="BO519" s="1" t="s">
        <v>74</v>
      </c>
      <c r="BP519" s="1" t="s">
        <v>74</v>
      </c>
      <c r="BQ519" s="1" t="s">
        <v>74</v>
      </c>
      <c r="BR519" s="1" t="s">
        <v>74</v>
      </c>
      <c r="BS519" s="1" t="s">
        <v>5049</v>
      </c>
      <c r="BT519" s="1" t="str">
        <f>HYPERLINK("https%3A%2F%2Fwww.webofscience.com%2Fwos%2Fwoscc%2Ffull-record%2FWOS:000247826800007","View Full Record in Web of Science")</f>
        <v>View Full Record in Web of Science</v>
      </c>
    </row>
    <row r="520" ht="12.75" customHeight="1">
      <c r="A520" s="1" t="s">
        <v>72</v>
      </c>
      <c r="B520" s="1" t="s">
        <v>5050</v>
      </c>
      <c r="C520" s="1" t="s">
        <v>74</v>
      </c>
      <c r="D520" s="1" t="s">
        <v>74</v>
      </c>
      <c r="E520" s="1" t="s">
        <v>74</v>
      </c>
      <c r="F520" s="1" t="s">
        <v>5051</v>
      </c>
      <c r="G520" s="1" t="s">
        <v>74</v>
      </c>
      <c r="H520" s="1" t="s">
        <v>74</v>
      </c>
      <c r="I520" s="1" t="s">
        <v>5052</v>
      </c>
      <c r="J520" s="1" t="s">
        <v>2272</v>
      </c>
      <c r="K520" s="1" t="s">
        <v>74</v>
      </c>
      <c r="L520" s="1" t="s">
        <v>74</v>
      </c>
      <c r="M520" s="1" t="s">
        <v>74</v>
      </c>
      <c r="N520" s="1" t="s">
        <v>74</v>
      </c>
      <c r="O520" s="1" t="s">
        <v>74</v>
      </c>
      <c r="P520" s="1" t="s">
        <v>74</v>
      </c>
      <c r="Q520" s="1" t="s">
        <v>74</v>
      </c>
      <c r="R520" s="1" t="s">
        <v>74</v>
      </c>
      <c r="S520" s="1" t="s">
        <v>74</v>
      </c>
      <c r="T520" s="1" t="s">
        <v>74</v>
      </c>
      <c r="U520" s="1" t="s">
        <v>74</v>
      </c>
      <c r="V520" s="1" t="s">
        <v>5053</v>
      </c>
      <c r="W520" s="1" t="s">
        <v>74</v>
      </c>
      <c r="X520" s="1" t="s">
        <v>74</v>
      </c>
      <c r="Y520" s="1" t="s">
        <v>74</v>
      </c>
      <c r="Z520" s="1" t="s">
        <v>74</v>
      </c>
      <c r="AA520" s="1" t="s">
        <v>5054</v>
      </c>
      <c r="AB520" s="1" t="s">
        <v>5055</v>
      </c>
      <c r="AC520" s="1" t="s">
        <v>74</v>
      </c>
      <c r="AD520" s="1" t="s">
        <v>74</v>
      </c>
      <c r="AE520" s="1" t="s">
        <v>74</v>
      </c>
      <c r="AF520" s="1" t="s">
        <v>74</v>
      </c>
      <c r="AG520" s="1" t="s">
        <v>74</v>
      </c>
      <c r="AH520" s="1" t="s">
        <v>74</v>
      </c>
      <c r="AI520" s="1" t="s">
        <v>74</v>
      </c>
      <c r="AJ520" s="1" t="s">
        <v>74</v>
      </c>
      <c r="AK520" s="1" t="s">
        <v>74</v>
      </c>
      <c r="AL520" s="1" t="s">
        <v>74</v>
      </c>
      <c r="AM520" s="1" t="s">
        <v>74</v>
      </c>
      <c r="AN520" s="1" t="s">
        <v>74</v>
      </c>
      <c r="AO520" s="1" t="s">
        <v>2275</v>
      </c>
      <c r="AP520" s="1" t="s">
        <v>2276</v>
      </c>
      <c r="AQ520" s="1" t="s">
        <v>74</v>
      </c>
      <c r="AR520" s="1" t="s">
        <v>74</v>
      </c>
      <c r="AS520" s="1" t="s">
        <v>74</v>
      </c>
      <c r="AT520" s="1" t="s">
        <v>88</v>
      </c>
      <c r="AU520" s="1">
        <v>2007.0</v>
      </c>
      <c r="AV520" s="1">
        <v>79.0</v>
      </c>
      <c r="AW520" s="1">
        <v>4.0</v>
      </c>
      <c r="AX520" s="1" t="s">
        <v>74</v>
      </c>
      <c r="AY520" s="1" t="s">
        <v>74</v>
      </c>
      <c r="AZ520" s="1" t="s">
        <v>74</v>
      </c>
      <c r="BA520" s="1" t="s">
        <v>74</v>
      </c>
      <c r="BB520" s="1">
        <v>1474.0</v>
      </c>
      <c r="BC520" s="1">
        <v>1482.0</v>
      </c>
      <c r="BD520" s="1" t="s">
        <v>74</v>
      </c>
      <c r="BE520" s="1" t="s">
        <v>5056</v>
      </c>
      <c r="BF520" s="2" t="str">
        <f>HYPERLINK("http://dx.doi.org/10.1016/j.jfoodeng.2006.04.029","http://dx.doi.org/10.1016/j.jfoodeng.2006.04.029")</f>
        <v>http://dx.doi.org/10.1016/j.jfoodeng.2006.04.029</v>
      </c>
      <c r="BG520" s="1" t="s">
        <v>74</v>
      </c>
      <c r="BH520" s="1" t="s">
        <v>74</v>
      </c>
      <c r="BI520" s="1" t="s">
        <v>74</v>
      </c>
      <c r="BJ520" s="1" t="s">
        <v>74</v>
      </c>
      <c r="BK520" s="1" t="s">
        <v>74</v>
      </c>
      <c r="BL520" s="1" t="s">
        <v>74</v>
      </c>
      <c r="BM520" s="1" t="s">
        <v>74</v>
      </c>
      <c r="BN520" s="1" t="s">
        <v>74</v>
      </c>
      <c r="BO520" s="1" t="s">
        <v>74</v>
      </c>
      <c r="BP520" s="1" t="s">
        <v>74</v>
      </c>
      <c r="BQ520" s="1" t="s">
        <v>74</v>
      </c>
      <c r="BR520" s="1" t="s">
        <v>74</v>
      </c>
      <c r="BS520" s="1" t="s">
        <v>5057</v>
      </c>
      <c r="BT520" s="1" t="str">
        <f>HYPERLINK("https%3A%2F%2Fwww.webofscience.com%2Fwos%2Fwoscc%2Ffull-record%2FWOS:000242649300049","View Full Record in Web of Science")</f>
        <v>View Full Record in Web of Science</v>
      </c>
    </row>
    <row r="521" ht="12.75" customHeight="1">
      <c r="A521" s="1" t="s">
        <v>72</v>
      </c>
      <c r="B521" s="1" t="s">
        <v>3765</v>
      </c>
      <c r="C521" s="1" t="s">
        <v>74</v>
      </c>
      <c r="D521" s="1" t="s">
        <v>74</v>
      </c>
      <c r="E521" s="1" t="s">
        <v>74</v>
      </c>
      <c r="F521" s="1" t="s">
        <v>5058</v>
      </c>
      <c r="G521" s="1" t="s">
        <v>74</v>
      </c>
      <c r="H521" s="1" t="s">
        <v>74</v>
      </c>
      <c r="I521" s="1" t="s">
        <v>5059</v>
      </c>
      <c r="J521" s="1" t="s">
        <v>5060</v>
      </c>
      <c r="K521" s="1" t="s">
        <v>74</v>
      </c>
      <c r="L521" s="1" t="s">
        <v>74</v>
      </c>
      <c r="M521" s="1" t="s">
        <v>74</v>
      </c>
      <c r="N521" s="1" t="s">
        <v>74</v>
      </c>
      <c r="O521" s="1" t="s">
        <v>74</v>
      </c>
      <c r="P521" s="1" t="s">
        <v>74</v>
      </c>
      <c r="Q521" s="1" t="s">
        <v>74</v>
      </c>
      <c r="R521" s="1" t="s">
        <v>74</v>
      </c>
      <c r="S521" s="1" t="s">
        <v>74</v>
      </c>
      <c r="T521" s="1" t="s">
        <v>74</v>
      </c>
      <c r="U521" s="1" t="s">
        <v>74</v>
      </c>
      <c r="V521" s="1" t="s">
        <v>5061</v>
      </c>
      <c r="W521" s="1" t="s">
        <v>74</v>
      </c>
      <c r="X521" s="1" t="s">
        <v>74</v>
      </c>
      <c r="Y521" s="1" t="s">
        <v>74</v>
      </c>
      <c r="Z521" s="1" t="s">
        <v>74</v>
      </c>
      <c r="AA521" s="1" t="s">
        <v>5062</v>
      </c>
      <c r="AB521" s="1" t="s">
        <v>74</v>
      </c>
      <c r="AC521" s="1" t="s">
        <v>74</v>
      </c>
      <c r="AD521" s="1" t="s">
        <v>74</v>
      </c>
      <c r="AE521" s="1" t="s">
        <v>74</v>
      </c>
      <c r="AF521" s="1" t="s">
        <v>74</v>
      </c>
      <c r="AG521" s="1" t="s">
        <v>74</v>
      </c>
      <c r="AH521" s="1" t="s">
        <v>74</v>
      </c>
      <c r="AI521" s="1" t="s">
        <v>74</v>
      </c>
      <c r="AJ521" s="1" t="s">
        <v>74</v>
      </c>
      <c r="AK521" s="1" t="s">
        <v>74</v>
      </c>
      <c r="AL521" s="1" t="s">
        <v>74</v>
      </c>
      <c r="AM521" s="1" t="s">
        <v>74</v>
      </c>
      <c r="AN521" s="1" t="s">
        <v>74</v>
      </c>
      <c r="AO521" s="1" t="s">
        <v>5063</v>
      </c>
      <c r="AP521" s="1" t="s">
        <v>5064</v>
      </c>
      <c r="AQ521" s="1" t="s">
        <v>74</v>
      </c>
      <c r="AR521" s="1" t="s">
        <v>74</v>
      </c>
      <c r="AS521" s="1" t="s">
        <v>74</v>
      </c>
      <c r="AT521" s="1" t="s">
        <v>169</v>
      </c>
      <c r="AU521" s="1">
        <v>2007.0</v>
      </c>
      <c r="AV521" s="1">
        <v>48.0</v>
      </c>
      <c r="AW521" s="1" t="s">
        <v>74</v>
      </c>
      <c r="AX521" s="1">
        <v>3.0</v>
      </c>
      <c r="AY521" s="1" t="s">
        <v>74</v>
      </c>
      <c r="AZ521" s="1" t="s">
        <v>74</v>
      </c>
      <c r="BA521" s="1" t="s">
        <v>74</v>
      </c>
      <c r="BB521" s="1">
        <v>343.0</v>
      </c>
      <c r="BC521" s="1">
        <v>359.0</v>
      </c>
      <c r="BD521" s="1" t="s">
        <v>74</v>
      </c>
      <c r="BE521" s="1" t="s">
        <v>5065</v>
      </c>
      <c r="BF521" s="2" t="str">
        <f>HYPERLINK("http://dx.doi.org/10.1017/S1446181100003539","http://dx.doi.org/10.1017/S1446181100003539")</f>
        <v>http://dx.doi.org/10.1017/S1446181100003539</v>
      </c>
      <c r="BG521" s="1" t="s">
        <v>74</v>
      </c>
      <c r="BH521" s="1" t="s">
        <v>74</v>
      </c>
      <c r="BI521" s="1" t="s">
        <v>74</v>
      </c>
      <c r="BJ521" s="1" t="s">
        <v>74</v>
      </c>
      <c r="BK521" s="1" t="s">
        <v>74</v>
      </c>
      <c r="BL521" s="1" t="s">
        <v>74</v>
      </c>
      <c r="BM521" s="1" t="s">
        <v>74</v>
      </c>
      <c r="BN521" s="1" t="s">
        <v>74</v>
      </c>
      <c r="BO521" s="1" t="s">
        <v>74</v>
      </c>
      <c r="BP521" s="1" t="s">
        <v>74</v>
      </c>
      <c r="BQ521" s="1" t="s">
        <v>74</v>
      </c>
      <c r="BR521" s="1" t="s">
        <v>74</v>
      </c>
      <c r="BS521" s="1" t="s">
        <v>5066</v>
      </c>
      <c r="BT521" s="1" t="str">
        <f>HYPERLINK("https%3A%2F%2Fwww.webofscience.com%2Fwos%2Fwoscc%2Ffull-record%2FWOS:000247446700004","View Full Record in Web of Science")</f>
        <v>View Full Record in Web of Science</v>
      </c>
    </row>
    <row r="522" ht="12.75" customHeight="1">
      <c r="A522" s="1" t="s">
        <v>72</v>
      </c>
      <c r="B522" s="1" t="s">
        <v>5067</v>
      </c>
      <c r="C522" s="1" t="s">
        <v>74</v>
      </c>
      <c r="D522" s="1" t="s">
        <v>74</v>
      </c>
      <c r="E522" s="1" t="s">
        <v>74</v>
      </c>
      <c r="F522" s="1" t="s">
        <v>5068</v>
      </c>
      <c r="G522" s="1" t="s">
        <v>74</v>
      </c>
      <c r="H522" s="1" t="s">
        <v>74</v>
      </c>
      <c r="I522" s="1" t="s">
        <v>5069</v>
      </c>
      <c r="J522" s="1" t="s">
        <v>233</v>
      </c>
      <c r="K522" s="1" t="s">
        <v>74</v>
      </c>
      <c r="L522" s="1" t="s">
        <v>74</v>
      </c>
      <c r="M522" s="1" t="s">
        <v>74</v>
      </c>
      <c r="N522" s="1" t="s">
        <v>74</v>
      </c>
      <c r="O522" s="1" t="s">
        <v>74</v>
      </c>
      <c r="P522" s="1" t="s">
        <v>74</v>
      </c>
      <c r="Q522" s="1" t="s">
        <v>74</v>
      </c>
      <c r="R522" s="1" t="s">
        <v>74</v>
      </c>
      <c r="S522" s="1" t="s">
        <v>74</v>
      </c>
      <c r="T522" s="1" t="s">
        <v>74</v>
      </c>
      <c r="U522" s="1" t="s">
        <v>74</v>
      </c>
      <c r="V522" s="1" t="s">
        <v>5070</v>
      </c>
      <c r="W522" s="1" t="s">
        <v>74</v>
      </c>
      <c r="X522" s="1" t="s">
        <v>74</v>
      </c>
      <c r="Y522" s="1" t="s">
        <v>74</v>
      </c>
      <c r="Z522" s="1" t="s">
        <v>74</v>
      </c>
      <c r="AA522" s="1" t="s">
        <v>1418</v>
      </c>
      <c r="AB522" s="1" t="s">
        <v>5071</v>
      </c>
      <c r="AC522" s="1" t="s">
        <v>74</v>
      </c>
      <c r="AD522" s="1" t="s">
        <v>74</v>
      </c>
      <c r="AE522" s="1" t="s">
        <v>74</v>
      </c>
      <c r="AF522" s="1" t="s">
        <v>74</v>
      </c>
      <c r="AG522" s="1" t="s">
        <v>74</v>
      </c>
      <c r="AH522" s="1" t="s">
        <v>74</v>
      </c>
      <c r="AI522" s="1" t="s">
        <v>74</v>
      </c>
      <c r="AJ522" s="1" t="s">
        <v>74</v>
      </c>
      <c r="AK522" s="1" t="s">
        <v>74</v>
      </c>
      <c r="AL522" s="1" t="s">
        <v>74</v>
      </c>
      <c r="AM522" s="1" t="s">
        <v>74</v>
      </c>
      <c r="AN522" s="1" t="s">
        <v>74</v>
      </c>
      <c r="AO522" s="1" t="s">
        <v>237</v>
      </c>
      <c r="AP522" s="1" t="s">
        <v>238</v>
      </c>
      <c r="AQ522" s="1" t="s">
        <v>74</v>
      </c>
      <c r="AR522" s="1" t="s">
        <v>74</v>
      </c>
      <c r="AS522" s="1" t="s">
        <v>74</v>
      </c>
      <c r="AT522" s="1" t="s">
        <v>110</v>
      </c>
      <c r="AU522" s="1">
        <v>2006.0</v>
      </c>
      <c r="AV522" s="1">
        <v>54.0</v>
      </c>
      <c r="AW522" s="1">
        <v>3.0</v>
      </c>
      <c r="AX522" s="1" t="s">
        <v>74</v>
      </c>
      <c r="AY522" s="1" t="s">
        <v>74</v>
      </c>
      <c r="AZ522" s="1" t="s">
        <v>74</v>
      </c>
      <c r="BA522" s="1" t="s">
        <v>74</v>
      </c>
      <c r="BB522" s="1">
        <v>321.0</v>
      </c>
      <c r="BC522" s="1">
        <v>339.0</v>
      </c>
      <c r="BD522" s="1" t="s">
        <v>74</v>
      </c>
      <c r="BE522" s="1" t="s">
        <v>5072</v>
      </c>
      <c r="BF522" s="2" t="str">
        <f>HYPERLINK("http://dx.doi.org/10.1140/epjb/e2006-00450-0","http://dx.doi.org/10.1140/epjb/e2006-00450-0")</f>
        <v>http://dx.doi.org/10.1140/epjb/e2006-00450-0</v>
      </c>
      <c r="BG522" s="1" t="s">
        <v>74</v>
      </c>
      <c r="BH522" s="1" t="s">
        <v>74</v>
      </c>
      <c r="BI522" s="1" t="s">
        <v>74</v>
      </c>
      <c r="BJ522" s="1" t="s">
        <v>74</v>
      </c>
      <c r="BK522" s="1" t="s">
        <v>74</v>
      </c>
      <c r="BL522" s="1" t="s">
        <v>74</v>
      </c>
      <c r="BM522" s="1" t="s">
        <v>74</v>
      </c>
      <c r="BN522" s="1" t="s">
        <v>74</v>
      </c>
      <c r="BO522" s="1" t="s">
        <v>74</v>
      </c>
      <c r="BP522" s="1" t="s">
        <v>74</v>
      </c>
      <c r="BQ522" s="1" t="s">
        <v>74</v>
      </c>
      <c r="BR522" s="1" t="s">
        <v>74</v>
      </c>
      <c r="BS522" s="1" t="s">
        <v>5073</v>
      </c>
      <c r="BT522" s="1" t="str">
        <f>HYPERLINK("https%3A%2F%2Fwww.webofscience.com%2Fwos%2Fwoscc%2Ffull-record%2FWOS:000243467900007","View Full Record in Web of Science")</f>
        <v>View Full Record in Web of Science</v>
      </c>
    </row>
    <row r="523" ht="12.75" customHeight="1">
      <c r="A523" s="1" t="s">
        <v>72</v>
      </c>
      <c r="B523" s="1" t="s">
        <v>5074</v>
      </c>
      <c r="C523" s="1" t="s">
        <v>74</v>
      </c>
      <c r="D523" s="1" t="s">
        <v>74</v>
      </c>
      <c r="E523" s="1" t="s">
        <v>74</v>
      </c>
      <c r="F523" s="1" t="s">
        <v>5075</v>
      </c>
      <c r="G523" s="1" t="s">
        <v>74</v>
      </c>
      <c r="H523" s="1" t="s">
        <v>74</v>
      </c>
      <c r="I523" s="1" t="s">
        <v>5076</v>
      </c>
      <c r="J523" s="1" t="s">
        <v>2958</v>
      </c>
      <c r="K523" s="1" t="s">
        <v>74</v>
      </c>
      <c r="L523" s="1" t="s">
        <v>74</v>
      </c>
      <c r="M523" s="1" t="s">
        <v>74</v>
      </c>
      <c r="N523" s="1" t="s">
        <v>74</v>
      </c>
      <c r="O523" s="1" t="s">
        <v>74</v>
      </c>
      <c r="P523" s="1" t="s">
        <v>74</v>
      </c>
      <c r="Q523" s="1" t="s">
        <v>74</v>
      </c>
      <c r="R523" s="1" t="s">
        <v>74</v>
      </c>
      <c r="S523" s="1" t="s">
        <v>74</v>
      </c>
      <c r="T523" s="1" t="s">
        <v>74</v>
      </c>
      <c r="U523" s="1" t="s">
        <v>74</v>
      </c>
      <c r="V523" s="1" t="s">
        <v>5077</v>
      </c>
      <c r="W523" s="1" t="s">
        <v>74</v>
      </c>
      <c r="X523" s="1" t="s">
        <v>74</v>
      </c>
      <c r="Y523" s="1" t="s">
        <v>74</v>
      </c>
      <c r="Z523" s="1" t="s">
        <v>74</v>
      </c>
      <c r="AA523" s="1" t="s">
        <v>5078</v>
      </c>
      <c r="AB523" s="1" t="s">
        <v>5079</v>
      </c>
      <c r="AC523" s="1" t="s">
        <v>74</v>
      </c>
      <c r="AD523" s="1" t="s">
        <v>74</v>
      </c>
      <c r="AE523" s="1" t="s">
        <v>74</v>
      </c>
      <c r="AF523" s="1" t="s">
        <v>74</v>
      </c>
      <c r="AG523" s="1" t="s">
        <v>74</v>
      </c>
      <c r="AH523" s="1" t="s">
        <v>74</v>
      </c>
      <c r="AI523" s="1" t="s">
        <v>74</v>
      </c>
      <c r="AJ523" s="1" t="s">
        <v>74</v>
      </c>
      <c r="AK523" s="1" t="s">
        <v>74</v>
      </c>
      <c r="AL523" s="1" t="s">
        <v>74</v>
      </c>
      <c r="AM523" s="1" t="s">
        <v>74</v>
      </c>
      <c r="AN523" s="1" t="s">
        <v>74</v>
      </c>
      <c r="AO523" s="1" t="s">
        <v>2962</v>
      </c>
      <c r="AP523" s="1" t="s">
        <v>2963</v>
      </c>
      <c r="AQ523" s="1" t="s">
        <v>74</v>
      </c>
      <c r="AR523" s="1" t="s">
        <v>74</v>
      </c>
      <c r="AS523" s="1" t="s">
        <v>74</v>
      </c>
      <c r="AT523" s="1" t="s">
        <v>180</v>
      </c>
      <c r="AU523" s="1">
        <v>2006.0</v>
      </c>
      <c r="AV523" s="1">
        <v>8.0</v>
      </c>
      <c r="AW523" s="1">
        <v>5.0</v>
      </c>
      <c r="AX523" s="1" t="s">
        <v>74</v>
      </c>
      <c r="AY523" s="1" t="s">
        <v>74</v>
      </c>
      <c r="AZ523" s="1" t="s">
        <v>74</v>
      </c>
      <c r="BA523" s="1" t="s">
        <v>74</v>
      </c>
      <c r="BB523" s="1">
        <v>779.0</v>
      </c>
      <c r="BC523" s="1">
        <v>784.0</v>
      </c>
      <c r="BD523" s="1" t="s">
        <v>74</v>
      </c>
      <c r="BE523" s="1" t="s">
        <v>5080</v>
      </c>
      <c r="BF523" s="2" t="str">
        <f>HYPERLINK("http://dx.doi.org/10.1016/j.elecom.2006.02.026","http://dx.doi.org/10.1016/j.elecom.2006.02.026")</f>
        <v>http://dx.doi.org/10.1016/j.elecom.2006.02.026</v>
      </c>
      <c r="BG523" s="1" t="s">
        <v>74</v>
      </c>
      <c r="BH523" s="1" t="s">
        <v>74</v>
      </c>
      <c r="BI523" s="1" t="s">
        <v>74</v>
      </c>
      <c r="BJ523" s="1" t="s">
        <v>74</v>
      </c>
      <c r="BK523" s="1" t="s">
        <v>74</v>
      </c>
      <c r="BL523" s="1" t="s">
        <v>74</v>
      </c>
      <c r="BM523" s="1" t="s">
        <v>74</v>
      </c>
      <c r="BN523" s="1" t="s">
        <v>74</v>
      </c>
      <c r="BO523" s="1" t="s">
        <v>74</v>
      </c>
      <c r="BP523" s="1" t="s">
        <v>74</v>
      </c>
      <c r="BQ523" s="1" t="s">
        <v>74</v>
      </c>
      <c r="BR523" s="1" t="s">
        <v>74</v>
      </c>
      <c r="BS523" s="1" t="s">
        <v>5081</v>
      </c>
      <c r="BT523" s="1" t="str">
        <f>HYPERLINK("https%3A%2F%2Fwww.webofscience.com%2Fwos%2Fwoscc%2Ffull-record%2FWOS:000237776300018","View Full Record in Web of Science")</f>
        <v>View Full Record in Web of Science</v>
      </c>
    </row>
    <row r="524" ht="12.75" customHeight="1">
      <c r="A524" s="1" t="s">
        <v>72</v>
      </c>
      <c r="B524" s="1" t="s">
        <v>5082</v>
      </c>
      <c r="C524" s="1" t="s">
        <v>74</v>
      </c>
      <c r="D524" s="1" t="s">
        <v>74</v>
      </c>
      <c r="E524" s="1" t="s">
        <v>74</v>
      </c>
      <c r="F524" s="1" t="s">
        <v>5082</v>
      </c>
      <c r="G524" s="1" t="s">
        <v>74</v>
      </c>
      <c r="H524" s="1" t="s">
        <v>74</v>
      </c>
      <c r="I524" s="1" t="s">
        <v>5083</v>
      </c>
      <c r="J524" s="1" t="s">
        <v>5084</v>
      </c>
      <c r="K524" s="1" t="s">
        <v>74</v>
      </c>
      <c r="L524" s="1" t="s">
        <v>74</v>
      </c>
      <c r="M524" s="1" t="s">
        <v>74</v>
      </c>
      <c r="N524" s="1" t="s">
        <v>74</v>
      </c>
      <c r="O524" s="1" t="s">
        <v>74</v>
      </c>
      <c r="P524" s="1" t="s">
        <v>74</v>
      </c>
      <c r="Q524" s="1" t="s">
        <v>74</v>
      </c>
      <c r="R524" s="1" t="s">
        <v>74</v>
      </c>
      <c r="S524" s="1" t="s">
        <v>74</v>
      </c>
      <c r="T524" s="1" t="s">
        <v>74</v>
      </c>
      <c r="U524" s="1" t="s">
        <v>74</v>
      </c>
      <c r="V524" s="1" t="s">
        <v>5085</v>
      </c>
      <c r="W524" s="1" t="s">
        <v>74</v>
      </c>
      <c r="X524" s="1" t="s">
        <v>74</v>
      </c>
      <c r="Y524" s="1" t="s">
        <v>74</v>
      </c>
      <c r="Z524" s="1" t="s">
        <v>74</v>
      </c>
      <c r="AA524" s="1" t="s">
        <v>5086</v>
      </c>
      <c r="AB524" s="1" t="s">
        <v>5087</v>
      </c>
      <c r="AC524" s="1" t="s">
        <v>74</v>
      </c>
      <c r="AD524" s="1" t="s">
        <v>74</v>
      </c>
      <c r="AE524" s="1" t="s">
        <v>74</v>
      </c>
      <c r="AF524" s="1" t="s">
        <v>74</v>
      </c>
      <c r="AG524" s="1" t="s">
        <v>74</v>
      </c>
      <c r="AH524" s="1" t="s">
        <v>74</v>
      </c>
      <c r="AI524" s="1" t="s">
        <v>74</v>
      </c>
      <c r="AJ524" s="1" t="s">
        <v>74</v>
      </c>
      <c r="AK524" s="1" t="s">
        <v>74</v>
      </c>
      <c r="AL524" s="1" t="s">
        <v>74</v>
      </c>
      <c r="AM524" s="1" t="s">
        <v>74</v>
      </c>
      <c r="AN524" s="1" t="s">
        <v>74</v>
      </c>
      <c r="AO524" s="1" t="s">
        <v>5088</v>
      </c>
      <c r="AP524" s="1" t="s">
        <v>5089</v>
      </c>
      <c r="AQ524" s="1" t="s">
        <v>74</v>
      </c>
      <c r="AR524" s="1" t="s">
        <v>74</v>
      </c>
      <c r="AS524" s="1" t="s">
        <v>74</v>
      </c>
      <c r="AT524" s="1" t="s">
        <v>5090</v>
      </c>
      <c r="AU524" s="1">
        <v>2006.0</v>
      </c>
      <c r="AV524" s="1">
        <v>1069.0</v>
      </c>
      <c r="AW524" s="1">
        <v>1.0</v>
      </c>
      <c r="AX524" s="1" t="s">
        <v>74</v>
      </c>
      <c r="AY524" s="1" t="s">
        <v>74</v>
      </c>
      <c r="AZ524" s="1" t="s">
        <v>74</v>
      </c>
      <c r="BA524" s="1" t="s">
        <v>74</v>
      </c>
      <c r="BB524" s="1">
        <v>154.0</v>
      </c>
      <c r="BC524" s="1">
        <v>158.0</v>
      </c>
      <c r="BD524" s="1" t="s">
        <v>74</v>
      </c>
      <c r="BE524" s="1" t="s">
        <v>5091</v>
      </c>
      <c r="BF524" s="2" t="str">
        <f>HYPERLINK("http://dx.doi.org/10.1016/j.brainres.2005.11.051","http://dx.doi.org/10.1016/j.brainres.2005.11.051")</f>
        <v>http://dx.doi.org/10.1016/j.brainres.2005.11.051</v>
      </c>
      <c r="BG524" s="1" t="s">
        <v>74</v>
      </c>
      <c r="BH524" s="1" t="s">
        <v>74</v>
      </c>
      <c r="BI524" s="1" t="s">
        <v>74</v>
      </c>
      <c r="BJ524" s="1" t="s">
        <v>74</v>
      </c>
      <c r="BK524" s="1" t="s">
        <v>74</v>
      </c>
      <c r="BL524" s="1" t="s">
        <v>74</v>
      </c>
      <c r="BM524" s="1" t="s">
        <v>74</v>
      </c>
      <c r="BN524" s="1">
        <v>1.6364257E7</v>
      </c>
      <c r="BO524" s="1" t="s">
        <v>74</v>
      </c>
      <c r="BP524" s="1" t="s">
        <v>74</v>
      </c>
      <c r="BQ524" s="1" t="s">
        <v>74</v>
      </c>
      <c r="BR524" s="1" t="s">
        <v>74</v>
      </c>
      <c r="BS524" s="1" t="s">
        <v>5092</v>
      </c>
      <c r="BT524" s="1" t="str">
        <f>HYPERLINK("https%3A%2F%2Fwww.webofscience.com%2Fwos%2Fwoscc%2Ffull-record%2FWOS:000235759000018","View Full Record in Web of Science")</f>
        <v>View Full Record in Web of Science</v>
      </c>
    </row>
    <row r="525" ht="12.75" customHeight="1">
      <c r="A525" s="1" t="s">
        <v>72</v>
      </c>
      <c r="B525" s="1" t="s">
        <v>5093</v>
      </c>
      <c r="C525" s="1" t="s">
        <v>74</v>
      </c>
      <c r="D525" s="1" t="s">
        <v>74</v>
      </c>
      <c r="E525" s="1" t="s">
        <v>74</v>
      </c>
      <c r="F525" s="1" t="s">
        <v>5093</v>
      </c>
      <c r="G525" s="1" t="s">
        <v>74</v>
      </c>
      <c r="H525" s="1" t="s">
        <v>74</v>
      </c>
      <c r="I525" s="1" t="s">
        <v>5094</v>
      </c>
      <c r="J525" s="1" t="s">
        <v>689</v>
      </c>
      <c r="K525" s="1" t="s">
        <v>74</v>
      </c>
      <c r="L525" s="1" t="s">
        <v>74</v>
      </c>
      <c r="M525" s="1" t="s">
        <v>74</v>
      </c>
      <c r="N525" s="1" t="s">
        <v>74</v>
      </c>
      <c r="O525" s="1" t="s">
        <v>74</v>
      </c>
      <c r="P525" s="1" t="s">
        <v>74</v>
      </c>
      <c r="Q525" s="1" t="s">
        <v>74</v>
      </c>
      <c r="R525" s="1" t="s">
        <v>74</v>
      </c>
      <c r="S525" s="1" t="s">
        <v>74</v>
      </c>
      <c r="T525" s="1" t="s">
        <v>74</v>
      </c>
      <c r="U525" s="1" t="s">
        <v>74</v>
      </c>
      <c r="V525" s="1" t="s">
        <v>5095</v>
      </c>
      <c r="W525" s="1" t="s">
        <v>74</v>
      </c>
      <c r="X525" s="1" t="s">
        <v>74</v>
      </c>
      <c r="Y525" s="1" t="s">
        <v>74</v>
      </c>
      <c r="Z525" s="1" t="s">
        <v>74</v>
      </c>
      <c r="AA525" s="1" t="s">
        <v>2302</v>
      </c>
      <c r="AB525" s="1" t="s">
        <v>2303</v>
      </c>
      <c r="AC525" s="1" t="s">
        <v>74</v>
      </c>
      <c r="AD525" s="1" t="s">
        <v>74</v>
      </c>
      <c r="AE525" s="1" t="s">
        <v>74</v>
      </c>
      <c r="AF525" s="1" t="s">
        <v>74</v>
      </c>
      <c r="AG525" s="1" t="s">
        <v>74</v>
      </c>
      <c r="AH525" s="1" t="s">
        <v>74</v>
      </c>
      <c r="AI525" s="1" t="s">
        <v>74</v>
      </c>
      <c r="AJ525" s="1" t="s">
        <v>74</v>
      </c>
      <c r="AK525" s="1" t="s">
        <v>74</v>
      </c>
      <c r="AL525" s="1" t="s">
        <v>74</v>
      </c>
      <c r="AM525" s="1" t="s">
        <v>74</v>
      </c>
      <c r="AN525" s="1" t="s">
        <v>74</v>
      </c>
      <c r="AO525" s="1" t="s">
        <v>692</v>
      </c>
      <c r="AP525" s="1" t="s">
        <v>693</v>
      </c>
      <c r="AQ525" s="1" t="s">
        <v>74</v>
      </c>
      <c r="AR525" s="1" t="s">
        <v>74</v>
      </c>
      <c r="AS525" s="1" t="s">
        <v>74</v>
      </c>
      <c r="AT525" s="1" t="s">
        <v>2668</v>
      </c>
      <c r="AU525" s="1">
        <v>2005.0</v>
      </c>
      <c r="AV525" s="1">
        <v>307.0</v>
      </c>
      <c r="AW525" s="1">
        <v>1.0</v>
      </c>
      <c r="AX525" s="1" t="s">
        <v>74</v>
      </c>
      <c r="AY525" s="1" t="s">
        <v>74</v>
      </c>
      <c r="AZ525" s="1" t="s">
        <v>74</v>
      </c>
      <c r="BA525" s="1" t="s">
        <v>74</v>
      </c>
      <c r="BB525" s="1">
        <v>321.0</v>
      </c>
      <c r="BC525" s="1">
        <v>338.0</v>
      </c>
      <c r="BD525" s="1" t="s">
        <v>74</v>
      </c>
      <c r="BE525" s="1" t="s">
        <v>5096</v>
      </c>
      <c r="BF525" s="2" t="str">
        <f>HYPERLINK("http://dx.doi.org/10.1016/j.jmaa.2004.10.036","http://dx.doi.org/10.1016/j.jmaa.2004.10.036")</f>
        <v>http://dx.doi.org/10.1016/j.jmaa.2004.10.036</v>
      </c>
      <c r="BG525" s="1" t="s">
        <v>74</v>
      </c>
      <c r="BH525" s="1" t="s">
        <v>74</v>
      </c>
      <c r="BI525" s="1" t="s">
        <v>74</v>
      </c>
      <c r="BJ525" s="1" t="s">
        <v>74</v>
      </c>
      <c r="BK525" s="1" t="s">
        <v>74</v>
      </c>
      <c r="BL525" s="1" t="s">
        <v>74</v>
      </c>
      <c r="BM525" s="1" t="s">
        <v>74</v>
      </c>
      <c r="BN525" s="1" t="s">
        <v>74</v>
      </c>
      <c r="BO525" s="1" t="s">
        <v>74</v>
      </c>
      <c r="BP525" s="1" t="s">
        <v>74</v>
      </c>
      <c r="BQ525" s="1" t="s">
        <v>74</v>
      </c>
      <c r="BR525" s="1" t="s">
        <v>74</v>
      </c>
      <c r="BS525" s="1" t="s">
        <v>5097</v>
      </c>
      <c r="BT525" s="1" t="str">
        <f>HYPERLINK("https%3A%2F%2Fwww.webofscience.com%2Fwos%2Fwoscc%2Ffull-record%2FWOS:000229349600023","View Full Record in Web of Science")</f>
        <v>View Full Record in Web of Science</v>
      </c>
    </row>
    <row r="526" ht="12.75" customHeight="1">
      <c r="A526" s="1" t="s">
        <v>72</v>
      </c>
      <c r="B526" s="1" t="s">
        <v>5098</v>
      </c>
      <c r="C526" s="1" t="s">
        <v>74</v>
      </c>
      <c r="D526" s="1" t="s">
        <v>74</v>
      </c>
      <c r="E526" s="1" t="s">
        <v>74</v>
      </c>
      <c r="F526" s="1" t="s">
        <v>5098</v>
      </c>
      <c r="G526" s="1" t="s">
        <v>74</v>
      </c>
      <c r="H526" s="1" t="s">
        <v>74</v>
      </c>
      <c r="I526" s="1" t="s">
        <v>5099</v>
      </c>
      <c r="J526" s="1" t="s">
        <v>5100</v>
      </c>
      <c r="K526" s="1" t="s">
        <v>74</v>
      </c>
      <c r="L526" s="1" t="s">
        <v>74</v>
      </c>
      <c r="M526" s="1" t="s">
        <v>74</v>
      </c>
      <c r="N526" s="1" t="s">
        <v>74</v>
      </c>
      <c r="O526" s="1" t="s">
        <v>74</v>
      </c>
      <c r="P526" s="1" t="s">
        <v>74</v>
      </c>
      <c r="Q526" s="1" t="s">
        <v>74</v>
      </c>
      <c r="R526" s="1" t="s">
        <v>74</v>
      </c>
      <c r="S526" s="1" t="s">
        <v>74</v>
      </c>
      <c r="T526" s="1" t="s">
        <v>74</v>
      </c>
      <c r="U526" s="1" t="s">
        <v>74</v>
      </c>
      <c r="V526" s="1" t="s">
        <v>5101</v>
      </c>
      <c r="W526" s="1" t="s">
        <v>74</v>
      </c>
      <c r="X526" s="1" t="s">
        <v>74</v>
      </c>
      <c r="Y526" s="1" t="s">
        <v>74</v>
      </c>
      <c r="Z526" s="1" t="s">
        <v>74</v>
      </c>
      <c r="AA526" s="1" t="s">
        <v>5102</v>
      </c>
      <c r="AB526" s="1" t="s">
        <v>5103</v>
      </c>
      <c r="AC526" s="1" t="s">
        <v>74</v>
      </c>
      <c r="AD526" s="1" t="s">
        <v>74</v>
      </c>
      <c r="AE526" s="1" t="s">
        <v>74</v>
      </c>
      <c r="AF526" s="1" t="s">
        <v>74</v>
      </c>
      <c r="AG526" s="1" t="s">
        <v>74</v>
      </c>
      <c r="AH526" s="1" t="s">
        <v>74</v>
      </c>
      <c r="AI526" s="1" t="s">
        <v>74</v>
      </c>
      <c r="AJ526" s="1" t="s">
        <v>74</v>
      </c>
      <c r="AK526" s="1" t="s">
        <v>74</v>
      </c>
      <c r="AL526" s="1" t="s">
        <v>74</v>
      </c>
      <c r="AM526" s="1" t="s">
        <v>74</v>
      </c>
      <c r="AN526" s="1" t="s">
        <v>74</v>
      </c>
      <c r="AO526" s="1" t="s">
        <v>5104</v>
      </c>
      <c r="AP526" s="1" t="s">
        <v>74</v>
      </c>
      <c r="AQ526" s="1" t="s">
        <v>74</v>
      </c>
      <c r="AR526" s="1" t="s">
        <v>74</v>
      </c>
      <c r="AS526" s="1" t="s">
        <v>74</v>
      </c>
      <c r="AT526" s="1" t="s">
        <v>5105</v>
      </c>
      <c r="AU526" s="1">
        <v>2005.0</v>
      </c>
      <c r="AV526" s="1">
        <v>579.0</v>
      </c>
      <c r="AW526" s="1">
        <v>11.0</v>
      </c>
      <c r="AX526" s="1" t="s">
        <v>74</v>
      </c>
      <c r="AY526" s="1" t="s">
        <v>74</v>
      </c>
      <c r="AZ526" s="1" t="s">
        <v>74</v>
      </c>
      <c r="BA526" s="1" t="s">
        <v>74</v>
      </c>
      <c r="BB526" s="1">
        <v>2313.0</v>
      </c>
      <c r="BC526" s="1">
        <v>2318.0</v>
      </c>
      <c r="BD526" s="1" t="s">
        <v>74</v>
      </c>
      <c r="BE526" s="1" t="s">
        <v>5106</v>
      </c>
      <c r="BF526" s="2" t="str">
        <f>HYPERLINK("http://dx.doi.org/10.1016/j.febslet.2005.02.078","http://dx.doi.org/10.1016/j.febslet.2005.02.078")</f>
        <v>http://dx.doi.org/10.1016/j.febslet.2005.02.078</v>
      </c>
      <c r="BG526" s="1" t="s">
        <v>74</v>
      </c>
      <c r="BH526" s="1" t="s">
        <v>74</v>
      </c>
      <c r="BI526" s="1" t="s">
        <v>74</v>
      </c>
      <c r="BJ526" s="1" t="s">
        <v>74</v>
      </c>
      <c r="BK526" s="1" t="s">
        <v>74</v>
      </c>
      <c r="BL526" s="1" t="s">
        <v>74</v>
      </c>
      <c r="BM526" s="1" t="s">
        <v>74</v>
      </c>
      <c r="BN526" s="1">
        <v>1.5848164E7</v>
      </c>
      <c r="BO526" s="1" t="s">
        <v>74</v>
      </c>
      <c r="BP526" s="1" t="s">
        <v>74</v>
      </c>
      <c r="BQ526" s="1" t="s">
        <v>74</v>
      </c>
      <c r="BR526" s="1" t="s">
        <v>74</v>
      </c>
      <c r="BS526" s="1" t="s">
        <v>5107</v>
      </c>
      <c r="BT526" s="1" t="str">
        <f>HYPERLINK("https%3A%2F%2Fwww.webofscience.com%2Fwos%2Fwoscc%2Ffull-record%2FWOS:000228756400012","View Full Record in Web of Science")</f>
        <v>View Full Record in Web of Science</v>
      </c>
    </row>
    <row r="527" ht="12.75" customHeight="1">
      <c r="A527" s="1" t="s">
        <v>72</v>
      </c>
      <c r="B527" s="1" t="s">
        <v>5108</v>
      </c>
      <c r="C527" s="1" t="s">
        <v>74</v>
      </c>
      <c r="D527" s="1" t="s">
        <v>74</v>
      </c>
      <c r="E527" s="1" t="s">
        <v>74</v>
      </c>
      <c r="F527" s="1" t="s">
        <v>5108</v>
      </c>
      <c r="G527" s="1" t="s">
        <v>74</v>
      </c>
      <c r="H527" s="1" t="s">
        <v>74</v>
      </c>
      <c r="I527" s="1" t="s">
        <v>5109</v>
      </c>
      <c r="J527" s="1" t="s">
        <v>1553</v>
      </c>
      <c r="K527" s="1" t="s">
        <v>74</v>
      </c>
      <c r="L527" s="1" t="s">
        <v>74</v>
      </c>
      <c r="M527" s="1" t="s">
        <v>74</v>
      </c>
      <c r="N527" s="1" t="s">
        <v>74</v>
      </c>
      <c r="O527" s="1" t="s">
        <v>1554</v>
      </c>
      <c r="P527" s="1" t="s">
        <v>1555</v>
      </c>
      <c r="Q527" s="1" t="s">
        <v>1556</v>
      </c>
      <c r="R527" s="1" t="s">
        <v>74</v>
      </c>
      <c r="S527" s="1" t="s">
        <v>74</v>
      </c>
      <c r="T527" s="1" t="s">
        <v>74</v>
      </c>
      <c r="U527" s="1" t="s">
        <v>74</v>
      </c>
      <c r="V527" s="1" t="s">
        <v>5110</v>
      </c>
      <c r="W527" s="1" t="s">
        <v>74</v>
      </c>
      <c r="X527" s="1" t="s">
        <v>74</v>
      </c>
      <c r="Y527" s="1" t="s">
        <v>74</v>
      </c>
      <c r="Z527" s="1" t="s">
        <v>74</v>
      </c>
      <c r="AA527" s="1" t="s">
        <v>5111</v>
      </c>
      <c r="AB527" s="1" t="s">
        <v>3791</v>
      </c>
      <c r="AC527" s="1" t="s">
        <v>74</v>
      </c>
      <c r="AD527" s="1" t="s">
        <v>74</v>
      </c>
      <c r="AE527" s="1" t="s">
        <v>74</v>
      </c>
      <c r="AF527" s="1" t="s">
        <v>74</v>
      </c>
      <c r="AG527" s="1" t="s">
        <v>74</v>
      </c>
      <c r="AH527" s="1" t="s">
        <v>74</v>
      </c>
      <c r="AI527" s="1" t="s">
        <v>74</v>
      </c>
      <c r="AJ527" s="1" t="s">
        <v>74</v>
      </c>
      <c r="AK527" s="1" t="s">
        <v>74</v>
      </c>
      <c r="AL527" s="1" t="s">
        <v>74</v>
      </c>
      <c r="AM527" s="1" t="s">
        <v>74</v>
      </c>
      <c r="AN527" s="1" t="s">
        <v>74</v>
      </c>
      <c r="AO527" s="1" t="s">
        <v>1560</v>
      </c>
      <c r="AP527" s="1" t="s">
        <v>74</v>
      </c>
      <c r="AQ527" s="1" t="s">
        <v>74</v>
      </c>
      <c r="AR527" s="1" t="s">
        <v>74</v>
      </c>
      <c r="AS527" s="1" t="s">
        <v>74</v>
      </c>
      <c r="AT527" s="1" t="s">
        <v>110</v>
      </c>
      <c r="AU527" s="1">
        <v>2002.0</v>
      </c>
      <c r="AV527" s="1">
        <v>48.0</v>
      </c>
      <c r="AW527" s="1" t="s">
        <v>74</v>
      </c>
      <c r="AX527" s="1" t="s">
        <v>74</v>
      </c>
      <c r="AY527" s="1">
        <v>3.0</v>
      </c>
      <c r="AZ527" s="1" t="s">
        <v>74</v>
      </c>
      <c r="BA527" s="1" t="s">
        <v>74</v>
      </c>
      <c r="BB527" s="1">
        <v>74.0</v>
      </c>
      <c r="BC527" s="1">
        <v>76.0</v>
      </c>
      <c r="BD527" s="1" t="s">
        <v>74</v>
      </c>
      <c r="BE527" s="1" t="s">
        <v>74</v>
      </c>
      <c r="BF527" s="1" t="s">
        <v>74</v>
      </c>
      <c r="BG527" s="1" t="s">
        <v>74</v>
      </c>
      <c r="BH527" s="1" t="s">
        <v>74</v>
      </c>
      <c r="BI527" s="1" t="s">
        <v>74</v>
      </c>
      <c r="BJ527" s="1" t="s">
        <v>74</v>
      </c>
      <c r="BK527" s="1" t="s">
        <v>74</v>
      </c>
      <c r="BL527" s="1" t="s">
        <v>74</v>
      </c>
      <c r="BM527" s="1" t="s">
        <v>74</v>
      </c>
      <c r="BN527" s="1" t="s">
        <v>74</v>
      </c>
      <c r="BO527" s="1" t="s">
        <v>74</v>
      </c>
      <c r="BP527" s="1" t="s">
        <v>74</v>
      </c>
      <c r="BQ527" s="1" t="s">
        <v>74</v>
      </c>
      <c r="BR527" s="1" t="s">
        <v>74</v>
      </c>
      <c r="BS527" s="1" t="s">
        <v>5112</v>
      </c>
      <c r="BT527" s="1" t="str">
        <f>HYPERLINK("https%3A%2F%2Fwww.webofscience.com%2Fwos%2Fwoscc%2Ffull-record%2FWOS:000180065500026","View Full Record in Web of Science")</f>
        <v>View Full Record in Web of Science</v>
      </c>
    </row>
    <row r="528" ht="12.75" customHeight="1">
      <c r="A528" s="1" t="s">
        <v>72</v>
      </c>
      <c r="B528" s="1" t="s">
        <v>5113</v>
      </c>
      <c r="C528" s="1" t="s">
        <v>74</v>
      </c>
      <c r="D528" s="1" t="s">
        <v>74</v>
      </c>
      <c r="E528" s="1" t="s">
        <v>74</v>
      </c>
      <c r="F528" s="1" t="s">
        <v>5113</v>
      </c>
      <c r="G528" s="1" t="s">
        <v>74</v>
      </c>
      <c r="H528" s="1" t="s">
        <v>74</v>
      </c>
      <c r="I528" s="1" t="s">
        <v>5114</v>
      </c>
      <c r="J528" s="1" t="s">
        <v>1651</v>
      </c>
      <c r="K528" s="1" t="s">
        <v>74</v>
      </c>
      <c r="L528" s="1" t="s">
        <v>74</v>
      </c>
      <c r="M528" s="1" t="s">
        <v>74</v>
      </c>
      <c r="N528" s="1" t="s">
        <v>74</v>
      </c>
      <c r="O528" s="1" t="s">
        <v>74</v>
      </c>
      <c r="P528" s="1" t="s">
        <v>74</v>
      </c>
      <c r="Q528" s="1" t="s">
        <v>74</v>
      </c>
      <c r="R528" s="1" t="s">
        <v>74</v>
      </c>
      <c r="S528" s="1" t="s">
        <v>74</v>
      </c>
      <c r="T528" s="1" t="s">
        <v>74</v>
      </c>
      <c r="U528" s="1" t="s">
        <v>74</v>
      </c>
      <c r="V528" s="1" t="s">
        <v>5115</v>
      </c>
      <c r="W528" s="1" t="s">
        <v>74</v>
      </c>
      <c r="X528" s="1" t="s">
        <v>74</v>
      </c>
      <c r="Y528" s="1" t="s">
        <v>74</v>
      </c>
      <c r="Z528" s="1" t="s">
        <v>74</v>
      </c>
      <c r="AA528" s="1" t="s">
        <v>5116</v>
      </c>
      <c r="AB528" s="1" t="s">
        <v>5117</v>
      </c>
      <c r="AC528" s="1" t="s">
        <v>74</v>
      </c>
      <c r="AD528" s="1" t="s">
        <v>74</v>
      </c>
      <c r="AE528" s="1" t="s">
        <v>74</v>
      </c>
      <c r="AF528" s="1" t="s">
        <v>74</v>
      </c>
      <c r="AG528" s="1" t="s">
        <v>74</v>
      </c>
      <c r="AH528" s="1" t="s">
        <v>74</v>
      </c>
      <c r="AI528" s="1" t="s">
        <v>74</v>
      </c>
      <c r="AJ528" s="1" t="s">
        <v>74</v>
      </c>
      <c r="AK528" s="1" t="s">
        <v>74</v>
      </c>
      <c r="AL528" s="1" t="s">
        <v>74</v>
      </c>
      <c r="AM528" s="1" t="s">
        <v>74</v>
      </c>
      <c r="AN528" s="1" t="s">
        <v>74</v>
      </c>
      <c r="AO528" s="1" t="s">
        <v>1653</v>
      </c>
      <c r="AP528" s="1" t="s">
        <v>74</v>
      </c>
      <c r="AQ528" s="1" t="s">
        <v>74</v>
      </c>
      <c r="AR528" s="1" t="s">
        <v>74</v>
      </c>
      <c r="AS528" s="1" t="s">
        <v>74</v>
      </c>
      <c r="AT528" s="1" t="s">
        <v>459</v>
      </c>
      <c r="AU528" s="1">
        <v>2002.0</v>
      </c>
      <c r="AV528" s="1">
        <v>47.0</v>
      </c>
      <c r="AW528" s="1">
        <v>3.0</v>
      </c>
      <c r="AX528" s="1" t="s">
        <v>74</v>
      </c>
      <c r="AY528" s="1" t="s">
        <v>74</v>
      </c>
      <c r="AZ528" s="1" t="s">
        <v>74</v>
      </c>
      <c r="BA528" s="1" t="s">
        <v>74</v>
      </c>
      <c r="BB528" s="1">
        <v>221.0</v>
      </c>
      <c r="BC528" s="1">
        <v>225.0</v>
      </c>
      <c r="BD528" s="1" t="s">
        <v>74</v>
      </c>
      <c r="BE528" s="1" t="s">
        <v>74</v>
      </c>
      <c r="BF528" s="1" t="s">
        <v>74</v>
      </c>
      <c r="BG528" s="1" t="s">
        <v>74</v>
      </c>
      <c r="BH528" s="1" t="s">
        <v>74</v>
      </c>
      <c r="BI528" s="1" t="s">
        <v>74</v>
      </c>
      <c r="BJ528" s="1" t="s">
        <v>74</v>
      </c>
      <c r="BK528" s="1" t="s">
        <v>74</v>
      </c>
      <c r="BL528" s="1" t="s">
        <v>74</v>
      </c>
      <c r="BM528" s="1" t="s">
        <v>74</v>
      </c>
      <c r="BN528" s="1" t="s">
        <v>74</v>
      </c>
      <c r="BO528" s="1" t="s">
        <v>74</v>
      </c>
      <c r="BP528" s="1" t="s">
        <v>74</v>
      </c>
      <c r="BQ528" s="1" t="s">
        <v>74</v>
      </c>
      <c r="BR528" s="1" t="s">
        <v>74</v>
      </c>
      <c r="BS528" s="1" t="s">
        <v>5118</v>
      </c>
      <c r="BT528" s="1" t="str">
        <f>HYPERLINK("https%3A%2F%2Fwww.webofscience.com%2Fwos%2Fwoscc%2Ffull-record%2FWOS:000177975100003","View Full Record in Web of Science")</f>
        <v>View Full Record in Web of Science</v>
      </c>
    </row>
    <row r="529" ht="12.75" customHeight="1">
      <c r="A529" s="1" t="s">
        <v>72</v>
      </c>
      <c r="B529" s="1" t="s">
        <v>5119</v>
      </c>
      <c r="C529" s="1" t="s">
        <v>74</v>
      </c>
      <c r="D529" s="1" t="s">
        <v>74</v>
      </c>
      <c r="E529" s="1" t="s">
        <v>74</v>
      </c>
      <c r="F529" s="1" t="s">
        <v>5119</v>
      </c>
      <c r="G529" s="1" t="s">
        <v>74</v>
      </c>
      <c r="H529" s="1" t="s">
        <v>74</v>
      </c>
      <c r="I529" s="1" t="s">
        <v>5120</v>
      </c>
      <c r="J529" s="1" t="s">
        <v>1355</v>
      </c>
      <c r="K529" s="1" t="s">
        <v>74</v>
      </c>
      <c r="L529" s="1" t="s">
        <v>74</v>
      </c>
      <c r="M529" s="1" t="s">
        <v>74</v>
      </c>
      <c r="N529" s="1" t="s">
        <v>74</v>
      </c>
      <c r="O529" s="1" t="s">
        <v>74</v>
      </c>
      <c r="P529" s="1" t="s">
        <v>74</v>
      </c>
      <c r="Q529" s="1" t="s">
        <v>74</v>
      </c>
      <c r="R529" s="1" t="s">
        <v>74</v>
      </c>
      <c r="S529" s="1" t="s">
        <v>74</v>
      </c>
      <c r="T529" s="1" t="s">
        <v>74</v>
      </c>
      <c r="U529" s="1" t="s">
        <v>74</v>
      </c>
      <c r="V529" s="1" t="s">
        <v>5121</v>
      </c>
      <c r="W529" s="1" t="s">
        <v>74</v>
      </c>
      <c r="X529" s="1" t="s">
        <v>74</v>
      </c>
      <c r="Y529" s="1" t="s">
        <v>74</v>
      </c>
      <c r="Z529" s="1" t="s">
        <v>74</v>
      </c>
      <c r="AA529" s="1" t="s">
        <v>1206</v>
      </c>
      <c r="AB529" s="1" t="s">
        <v>1357</v>
      </c>
      <c r="AC529" s="1" t="s">
        <v>74</v>
      </c>
      <c r="AD529" s="1" t="s">
        <v>74</v>
      </c>
      <c r="AE529" s="1" t="s">
        <v>74</v>
      </c>
      <c r="AF529" s="1" t="s">
        <v>74</v>
      </c>
      <c r="AG529" s="1" t="s">
        <v>74</v>
      </c>
      <c r="AH529" s="1" t="s">
        <v>74</v>
      </c>
      <c r="AI529" s="1" t="s">
        <v>74</v>
      </c>
      <c r="AJ529" s="1" t="s">
        <v>74</v>
      </c>
      <c r="AK529" s="1" t="s">
        <v>74</v>
      </c>
      <c r="AL529" s="1" t="s">
        <v>74</v>
      </c>
      <c r="AM529" s="1" t="s">
        <v>74</v>
      </c>
      <c r="AN529" s="1" t="s">
        <v>74</v>
      </c>
      <c r="AO529" s="1" t="s">
        <v>1358</v>
      </c>
      <c r="AP529" s="1" t="s">
        <v>74</v>
      </c>
      <c r="AQ529" s="1" t="s">
        <v>74</v>
      </c>
      <c r="AR529" s="1" t="s">
        <v>74</v>
      </c>
      <c r="AS529" s="1" t="s">
        <v>74</v>
      </c>
      <c r="AT529" s="1" t="s">
        <v>135</v>
      </c>
      <c r="AU529" s="1">
        <v>1999.0</v>
      </c>
      <c r="AV529" s="1">
        <v>30.0</v>
      </c>
      <c r="AW529" s="1">
        <v>4.0</v>
      </c>
      <c r="AX529" s="1" t="s">
        <v>74</v>
      </c>
      <c r="AY529" s="1" t="s">
        <v>74</v>
      </c>
      <c r="AZ529" s="1" t="s">
        <v>74</v>
      </c>
      <c r="BA529" s="1" t="s">
        <v>74</v>
      </c>
      <c r="BB529" s="1">
        <v>731.0</v>
      </c>
      <c r="BC529" s="1">
        <v>744.0</v>
      </c>
      <c r="BD529" s="1" t="s">
        <v>74</v>
      </c>
      <c r="BE529" s="1" t="s">
        <v>5122</v>
      </c>
      <c r="BF529" s="2" t="str">
        <f>HYPERLINK("http://dx.doi.org/10.1007/s11663-999-0035-4","http://dx.doi.org/10.1007/s11663-999-0035-4")</f>
        <v>http://dx.doi.org/10.1007/s11663-999-0035-4</v>
      </c>
      <c r="BG529" s="1" t="s">
        <v>74</v>
      </c>
      <c r="BH529" s="1" t="s">
        <v>74</v>
      </c>
      <c r="BI529" s="1" t="s">
        <v>74</v>
      </c>
      <c r="BJ529" s="1" t="s">
        <v>74</v>
      </c>
      <c r="BK529" s="1" t="s">
        <v>74</v>
      </c>
      <c r="BL529" s="1" t="s">
        <v>74</v>
      </c>
      <c r="BM529" s="1" t="s">
        <v>74</v>
      </c>
      <c r="BN529" s="1" t="s">
        <v>74</v>
      </c>
      <c r="BO529" s="1" t="s">
        <v>74</v>
      </c>
      <c r="BP529" s="1" t="s">
        <v>74</v>
      </c>
      <c r="BQ529" s="1" t="s">
        <v>74</v>
      </c>
      <c r="BR529" s="1" t="s">
        <v>74</v>
      </c>
      <c r="BS529" s="1" t="s">
        <v>5123</v>
      </c>
      <c r="BT529" s="1" t="str">
        <f>HYPERLINK("https%3A%2F%2Fwww.webofscience.com%2Fwos%2Fwoscc%2Ffull-record%2FWOS:000082122700020","View Full Record in Web of Science")</f>
        <v>View Full Record in Web of Science</v>
      </c>
    </row>
    <row r="530" ht="12.75" customHeight="1">
      <c r="A530" s="1" t="s">
        <v>72</v>
      </c>
      <c r="B530" s="1" t="s">
        <v>5124</v>
      </c>
      <c r="C530" s="1" t="s">
        <v>74</v>
      </c>
      <c r="D530" s="1" t="s">
        <v>74</v>
      </c>
      <c r="E530" s="1" t="s">
        <v>74</v>
      </c>
      <c r="F530" s="1" t="s">
        <v>5124</v>
      </c>
      <c r="G530" s="1" t="s">
        <v>74</v>
      </c>
      <c r="H530" s="1" t="s">
        <v>74</v>
      </c>
      <c r="I530" s="1" t="s">
        <v>5125</v>
      </c>
      <c r="J530" s="1" t="s">
        <v>5126</v>
      </c>
      <c r="K530" s="1" t="s">
        <v>74</v>
      </c>
      <c r="L530" s="1" t="s">
        <v>74</v>
      </c>
      <c r="M530" s="1" t="s">
        <v>74</v>
      </c>
      <c r="N530" s="1" t="s">
        <v>74</v>
      </c>
      <c r="O530" s="1" t="s">
        <v>74</v>
      </c>
      <c r="P530" s="1" t="s">
        <v>74</v>
      </c>
      <c r="Q530" s="1" t="s">
        <v>74</v>
      </c>
      <c r="R530" s="1" t="s">
        <v>74</v>
      </c>
      <c r="S530" s="1" t="s">
        <v>74</v>
      </c>
      <c r="T530" s="1" t="s">
        <v>74</v>
      </c>
      <c r="U530" s="1" t="s">
        <v>74</v>
      </c>
      <c r="V530" s="1" t="s">
        <v>74</v>
      </c>
      <c r="W530" s="1" t="s">
        <v>74</v>
      </c>
      <c r="X530" s="1" t="s">
        <v>74</v>
      </c>
      <c r="Y530" s="1" t="s">
        <v>74</v>
      </c>
      <c r="Z530" s="1" t="s">
        <v>74</v>
      </c>
      <c r="AA530" s="1" t="s">
        <v>5127</v>
      </c>
      <c r="AB530" s="1" t="s">
        <v>5128</v>
      </c>
      <c r="AC530" s="1" t="s">
        <v>74</v>
      </c>
      <c r="AD530" s="1" t="s">
        <v>74</v>
      </c>
      <c r="AE530" s="1" t="s">
        <v>74</v>
      </c>
      <c r="AF530" s="1" t="s">
        <v>74</v>
      </c>
      <c r="AG530" s="1" t="s">
        <v>74</v>
      </c>
      <c r="AH530" s="1" t="s">
        <v>74</v>
      </c>
      <c r="AI530" s="1" t="s">
        <v>74</v>
      </c>
      <c r="AJ530" s="1" t="s">
        <v>74</v>
      </c>
      <c r="AK530" s="1" t="s">
        <v>74</v>
      </c>
      <c r="AL530" s="1" t="s">
        <v>74</v>
      </c>
      <c r="AM530" s="1" t="s">
        <v>74</v>
      </c>
      <c r="AN530" s="1" t="s">
        <v>74</v>
      </c>
      <c r="AO530" s="1" t="s">
        <v>5129</v>
      </c>
      <c r="AP530" s="1" t="s">
        <v>74</v>
      </c>
      <c r="AQ530" s="1" t="s">
        <v>74</v>
      </c>
      <c r="AR530" s="1" t="s">
        <v>74</v>
      </c>
      <c r="AS530" s="1" t="s">
        <v>74</v>
      </c>
      <c r="AT530" s="1" t="s">
        <v>123</v>
      </c>
      <c r="AU530" s="1">
        <v>1997.0</v>
      </c>
      <c r="AV530" s="1">
        <v>25.0</v>
      </c>
      <c r="AW530" s="1">
        <v>7.0</v>
      </c>
      <c r="AX530" s="1" t="s">
        <v>74</v>
      </c>
      <c r="AY530" s="1" t="s">
        <v>74</v>
      </c>
      <c r="AZ530" s="1" t="s">
        <v>74</v>
      </c>
      <c r="BA530" s="1" t="s">
        <v>74</v>
      </c>
      <c r="BB530" s="1">
        <v>681.0</v>
      </c>
      <c r="BC530" s="1">
        <v>682.0</v>
      </c>
      <c r="BD530" s="1" t="s">
        <v>74</v>
      </c>
      <c r="BE530" s="1" t="s">
        <v>5130</v>
      </c>
      <c r="BF530" s="2" t="str">
        <f>HYPERLINK("http://dx.doi.org/10.1016/S0305-1978(97)00070-7","http://dx.doi.org/10.1016/S0305-1978(97)00070-7")</f>
        <v>http://dx.doi.org/10.1016/S0305-1978(97)00070-7</v>
      </c>
      <c r="BG530" s="1" t="s">
        <v>74</v>
      </c>
      <c r="BH530" s="1" t="s">
        <v>74</v>
      </c>
      <c r="BI530" s="1" t="s">
        <v>74</v>
      </c>
      <c r="BJ530" s="1" t="s">
        <v>74</v>
      </c>
      <c r="BK530" s="1" t="s">
        <v>74</v>
      </c>
      <c r="BL530" s="1" t="s">
        <v>74</v>
      </c>
      <c r="BM530" s="1" t="s">
        <v>74</v>
      </c>
      <c r="BN530" s="1" t="s">
        <v>74</v>
      </c>
      <c r="BO530" s="1" t="s">
        <v>74</v>
      </c>
      <c r="BP530" s="1" t="s">
        <v>74</v>
      </c>
      <c r="BQ530" s="1" t="s">
        <v>74</v>
      </c>
      <c r="BR530" s="1" t="s">
        <v>74</v>
      </c>
      <c r="BS530" s="1" t="s">
        <v>5131</v>
      </c>
      <c r="BT530" s="1" t="str">
        <f>HYPERLINK("https%3A%2F%2Fwww.webofscience.com%2Fwos%2Fwoscc%2Ffull-record%2FWOS:A1997YF32500014","View Full Record in Web of Science")</f>
        <v>View Full Record in Web of Science</v>
      </c>
    </row>
    <row r="531" ht="12.75" customHeight="1">
      <c r="A531" s="1" t="s">
        <v>72</v>
      </c>
      <c r="B531" s="1" t="s">
        <v>5132</v>
      </c>
      <c r="C531" s="1" t="s">
        <v>74</v>
      </c>
      <c r="D531" s="1" t="s">
        <v>74</v>
      </c>
      <c r="E531" s="1" t="s">
        <v>74</v>
      </c>
      <c r="F531" s="1" t="s">
        <v>5132</v>
      </c>
      <c r="G531" s="1" t="s">
        <v>74</v>
      </c>
      <c r="H531" s="1" t="s">
        <v>74</v>
      </c>
      <c r="I531" s="1" t="s">
        <v>5133</v>
      </c>
      <c r="J531" s="1" t="s">
        <v>5134</v>
      </c>
      <c r="K531" s="1" t="s">
        <v>74</v>
      </c>
      <c r="L531" s="1" t="s">
        <v>74</v>
      </c>
      <c r="M531" s="1" t="s">
        <v>74</v>
      </c>
      <c r="N531" s="1" t="s">
        <v>74</v>
      </c>
      <c r="O531" s="1" t="s">
        <v>74</v>
      </c>
      <c r="P531" s="1" t="s">
        <v>74</v>
      </c>
      <c r="Q531" s="1" t="s">
        <v>74</v>
      </c>
      <c r="R531" s="1" t="s">
        <v>74</v>
      </c>
      <c r="S531" s="1" t="s">
        <v>74</v>
      </c>
      <c r="T531" s="1" t="s">
        <v>74</v>
      </c>
      <c r="U531" s="1" t="s">
        <v>74</v>
      </c>
      <c r="V531" s="1" t="s">
        <v>5135</v>
      </c>
      <c r="W531" s="1" t="s">
        <v>74</v>
      </c>
      <c r="X531" s="1" t="s">
        <v>74</v>
      </c>
      <c r="Y531" s="1" t="s">
        <v>74</v>
      </c>
      <c r="Z531" s="1" t="s">
        <v>74</v>
      </c>
      <c r="AA531" s="1" t="s">
        <v>74</v>
      </c>
      <c r="AB531" s="1" t="s">
        <v>5136</v>
      </c>
      <c r="AC531" s="1" t="s">
        <v>74</v>
      </c>
      <c r="AD531" s="1" t="s">
        <v>74</v>
      </c>
      <c r="AE531" s="1" t="s">
        <v>74</v>
      </c>
      <c r="AF531" s="1" t="s">
        <v>74</v>
      </c>
      <c r="AG531" s="1" t="s">
        <v>74</v>
      </c>
      <c r="AH531" s="1" t="s">
        <v>74</v>
      </c>
      <c r="AI531" s="1" t="s">
        <v>74</v>
      </c>
      <c r="AJ531" s="1" t="s">
        <v>74</v>
      </c>
      <c r="AK531" s="1" t="s">
        <v>74</v>
      </c>
      <c r="AL531" s="1" t="s">
        <v>74</v>
      </c>
      <c r="AM531" s="1" t="s">
        <v>74</v>
      </c>
      <c r="AN531" s="1" t="s">
        <v>74</v>
      </c>
      <c r="AO531" s="1" t="s">
        <v>5137</v>
      </c>
      <c r="AP531" s="1" t="s">
        <v>74</v>
      </c>
      <c r="AQ531" s="1" t="s">
        <v>74</v>
      </c>
      <c r="AR531" s="1" t="s">
        <v>74</v>
      </c>
      <c r="AS531" s="1" t="s">
        <v>74</v>
      </c>
      <c r="AT531" s="1" t="s">
        <v>169</v>
      </c>
      <c r="AU531" s="1">
        <v>1996.0</v>
      </c>
      <c r="AV531" s="1">
        <v>7.0</v>
      </c>
      <c r="AW531" s="1">
        <v>1.0</v>
      </c>
      <c r="AX531" s="1" t="s">
        <v>74</v>
      </c>
      <c r="AY531" s="1" t="s">
        <v>74</v>
      </c>
      <c r="AZ531" s="1" t="s">
        <v>74</v>
      </c>
      <c r="BA531" s="1" t="s">
        <v>74</v>
      </c>
      <c r="BB531" s="1">
        <v>87.0</v>
      </c>
      <c r="BC531" s="1">
        <v>92.0</v>
      </c>
      <c r="BD531" s="1" t="s">
        <v>74</v>
      </c>
      <c r="BE531" s="1" t="s">
        <v>5138</v>
      </c>
      <c r="BF531" s="2" t="str">
        <f>HYPERLINK("http://dx.doi.org/10.1097/00001813-199601000-00010","http://dx.doi.org/10.1097/00001813-199601000-00010")</f>
        <v>http://dx.doi.org/10.1097/00001813-199601000-00010</v>
      </c>
      <c r="BG531" s="1" t="s">
        <v>74</v>
      </c>
      <c r="BH531" s="1" t="s">
        <v>74</v>
      </c>
      <c r="BI531" s="1" t="s">
        <v>74</v>
      </c>
      <c r="BJ531" s="1" t="s">
        <v>74</v>
      </c>
      <c r="BK531" s="1" t="s">
        <v>74</v>
      </c>
      <c r="BL531" s="1" t="s">
        <v>74</v>
      </c>
      <c r="BM531" s="1" t="s">
        <v>74</v>
      </c>
      <c r="BN531" s="1">
        <v>8742103.0</v>
      </c>
      <c r="BO531" s="1" t="s">
        <v>74</v>
      </c>
      <c r="BP531" s="1" t="s">
        <v>74</v>
      </c>
      <c r="BQ531" s="1" t="s">
        <v>74</v>
      </c>
      <c r="BR531" s="1" t="s">
        <v>74</v>
      </c>
      <c r="BS531" s="1" t="s">
        <v>5139</v>
      </c>
      <c r="BT531" s="1" t="str">
        <f>HYPERLINK("https%3A%2F%2Fwww.webofscience.com%2Fwos%2Fwoscc%2Ffull-record%2FWOS:A1996UC78400010","View Full Record in Web of Science")</f>
        <v>View Full Record in Web of Science</v>
      </c>
    </row>
    <row r="532" ht="12.75" customHeight="1">
      <c r="A532" s="1" t="s">
        <v>72</v>
      </c>
      <c r="B532" s="1" t="s">
        <v>5140</v>
      </c>
      <c r="C532" s="1" t="s">
        <v>74</v>
      </c>
      <c r="D532" s="1" t="s">
        <v>74</v>
      </c>
      <c r="E532" s="1" t="s">
        <v>74</v>
      </c>
      <c r="F532" s="1" t="s">
        <v>5140</v>
      </c>
      <c r="G532" s="1" t="s">
        <v>74</v>
      </c>
      <c r="H532" s="1" t="s">
        <v>74</v>
      </c>
      <c r="I532" s="1" t="s">
        <v>5141</v>
      </c>
      <c r="J532" s="1" t="s">
        <v>5142</v>
      </c>
      <c r="K532" s="1" t="s">
        <v>74</v>
      </c>
      <c r="L532" s="1" t="s">
        <v>74</v>
      </c>
      <c r="M532" s="1" t="s">
        <v>74</v>
      </c>
      <c r="N532" s="1" t="s">
        <v>74</v>
      </c>
      <c r="O532" s="1" t="s">
        <v>74</v>
      </c>
      <c r="P532" s="1" t="s">
        <v>74</v>
      </c>
      <c r="Q532" s="1" t="s">
        <v>74</v>
      </c>
      <c r="R532" s="1" t="s">
        <v>74</v>
      </c>
      <c r="S532" s="1" t="s">
        <v>74</v>
      </c>
      <c r="T532" s="1" t="s">
        <v>74</v>
      </c>
      <c r="U532" s="1" t="s">
        <v>74</v>
      </c>
      <c r="V532" s="1" t="s">
        <v>5143</v>
      </c>
      <c r="W532" s="1" t="s">
        <v>74</v>
      </c>
      <c r="X532" s="1" t="s">
        <v>74</v>
      </c>
      <c r="Y532" s="1" t="s">
        <v>74</v>
      </c>
      <c r="Z532" s="1" t="s">
        <v>74</v>
      </c>
      <c r="AA532" s="1" t="s">
        <v>74</v>
      </c>
      <c r="AB532" s="1" t="s">
        <v>5144</v>
      </c>
      <c r="AC532" s="1" t="s">
        <v>74</v>
      </c>
      <c r="AD532" s="1" t="s">
        <v>74</v>
      </c>
      <c r="AE532" s="1" t="s">
        <v>74</v>
      </c>
      <c r="AF532" s="1" t="s">
        <v>74</v>
      </c>
      <c r="AG532" s="1" t="s">
        <v>74</v>
      </c>
      <c r="AH532" s="1" t="s">
        <v>74</v>
      </c>
      <c r="AI532" s="1" t="s">
        <v>74</v>
      </c>
      <c r="AJ532" s="1" t="s">
        <v>74</v>
      </c>
      <c r="AK532" s="1" t="s">
        <v>74</v>
      </c>
      <c r="AL532" s="1" t="s">
        <v>74</v>
      </c>
      <c r="AM532" s="1" t="s">
        <v>74</v>
      </c>
      <c r="AN532" s="1" t="s">
        <v>74</v>
      </c>
      <c r="AO532" s="1" t="s">
        <v>5145</v>
      </c>
      <c r="AP532" s="1" t="s">
        <v>74</v>
      </c>
      <c r="AQ532" s="1" t="s">
        <v>74</v>
      </c>
      <c r="AR532" s="1" t="s">
        <v>74</v>
      </c>
      <c r="AS532" s="1" t="s">
        <v>74</v>
      </c>
      <c r="AT532" s="1" t="s">
        <v>2009</v>
      </c>
      <c r="AU532" s="1">
        <v>1995.0</v>
      </c>
      <c r="AV532" s="1">
        <v>38.0</v>
      </c>
      <c r="AW532" s="1">
        <v>5.0</v>
      </c>
      <c r="AX532" s="1" t="s">
        <v>74</v>
      </c>
      <c r="AY532" s="1" t="s">
        <v>74</v>
      </c>
      <c r="AZ532" s="1" t="s">
        <v>74</v>
      </c>
      <c r="BA532" s="1" t="s">
        <v>74</v>
      </c>
      <c r="BB532" s="1">
        <v>256.0</v>
      </c>
      <c r="BC532" s="1">
        <v>263.0</v>
      </c>
      <c r="BD532" s="1" t="s">
        <v>74</v>
      </c>
      <c r="BE532" s="1" t="s">
        <v>5146</v>
      </c>
      <c r="BF532" s="2" t="str">
        <f>HYPERLINK("http://dx.doi.org/10.1159/000150448","http://dx.doi.org/10.1159/000150448")</f>
        <v>http://dx.doi.org/10.1159/000150448</v>
      </c>
      <c r="BG532" s="1" t="s">
        <v>74</v>
      </c>
      <c r="BH532" s="1" t="s">
        <v>74</v>
      </c>
      <c r="BI532" s="1" t="s">
        <v>74</v>
      </c>
      <c r="BJ532" s="1" t="s">
        <v>74</v>
      </c>
      <c r="BK532" s="1" t="s">
        <v>74</v>
      </c>
      <c r="BL532" s="1" t="s">
        <v>74</v>
      </c>
      <c r="BM532" s="1" t="s">
        <v>74</v>
      </c>
      <c r="BN532" s="1">
        <v>8724855.0</v>
      </c>
      <c r="BO532" s="1" t="s">
        <v>74</v>
      </c>
      <c r="BP532" s="1" t="s">
        <v>74</v>
      </c>
      <c r="BQ532" s="1" t="s">
        <v>74</v>
      </c>
      <c r="BR532" s="1" t="s">
        <v>74</v>
      </c>
      <c r="BS532" s="1" t="s">
        <v>5147</v>
      </c>
      <c r="BT532" s="1" t="str">
        <f>HYPERLINK("https%3A%2F%2Fwww.webofscience.com%2Fwos%2Fwoscc%2Ffull-record%2FWOS:A1995TY48200002","View Full Record in Web of Science")</f>
        <v>View Full Record in Web of Science</v>
      </c>
    </row>
    <row r="533" ht="12.75" customHeight="1">
      <c r="A533" s="1" t="s">
        <v>72</v>
      </c>
      <c r="B533" s="1" t="s">
        <v>5148</v>
      </c>
      <c r="C533" s="1" t="s">
        <v>74</v>
      </c>
      <c r="D533" s="1" t="s">
        <v>74</v>
      </c>
      <c r="E533" s="1" t="s">
        <v>74</v>
      </c>
      <c r="F533" s="1" t="s">
        <v>5148</v>
      </c>
      <c r="G533" s="1" t="s">
        <v>74</v>
      </c>
      <c r="H533" s="1" t="s">
        <v>74</v>
      </c>
      <c r="I533" s="1" t="s">
        <v>5149</v>
      </c>
      <c r="J533" s="1" t="s">
        <v>5150</v>
      </c>
      <c r="K533" s="1" t="s">
        <v>74</v>
      </c>
      <c r="L533" s="1" t="s">
        <v>74</v>
      </c>
      <c r="M533" s="1" t="s">
        <v>74</v>
      </c>
      <c r="N533" s="1" t="s">
        <v>74</v>
      </c>
      <c r="O533" s="1" t="s">
        <v>74</v>
      </c>
      <c r="P533" s="1" t="s">
        <v>74</v>
      </c>
      <c r="Q533" s="1" t="s">
        <v>74</v>
      </c>
      <c r="R533" s="1" t="s">
        <v>74</v>
      </c>
      <c r="S533" s="1" t="s">
        <v>74</v>
      </c>
      <c r="T533" s="1" t="s">
        <v>74</v>
      </c>
      <c r="U533" s="1" t="s">
        <v>74</v>
      </c>
      <c r="V533" s="1" t="s">
        <v>5151</v>
      </c>
      <c r="W533" s="1" t="s">
        <v>74</v>
      </c>
      <c r="X533" s="1" t="s">
        <v>74</v>
      </c>
      <c r="Y533" s="1" t="s">
        <v>74</v>
      </c>
      <c r="Z533" s="1" t="s">
        <v>74</v>
      </c>
      <c r="AA533" s="1" t="s">
        <v>74</v>
      </c>
      <c r="AB533" s="1" t="s">
        <v>74</v>
      </c>
      <c r="AC533" s="1" t="s">
        <v>74</v>
      </c>
      <c r="AD533" s="1" t="s">
        <v>74</v>
      </c>
      <c r="AE533" s="1" t="s">
        <v>74</v>
      </c>
      <c r="AF533" s="1" t="s">
        <v>74</v>
      </c>
      <c r="AG533" s="1" t="s">
        <v>74</v>
      </c>
      <c r="AH533" s="1" t="s">
        <v>74</v>
      </c>
      <c r="AI533" s="1" t="s">
        <v>74</v>
      </c>
      <c r="AJ533" s="1" t="s">
        <v>74</v>
      </c>
      <c r="AK533" s="1" t="s">
        <v>74</v>
      </c>
      <c r="AL533" s="1" t="s">
        <v>74</v>
      </c>
      <c r="AM533" s="1" t="s">
        <v>74</v>
      </c>
      <c r="AN533" s="1" t="s">
        <v>74</v>
      </c>
      <c r="AO533" s="1" t="s">
        <v>5152</v>
      </c>
      <c r="AP533" s="1" t="s">
        <v>74</v>
      </c>
      <c r="AQ533" s="1" t="s">
        <v>74</v>
      </c>
      <c r="AR533" s="1" t="s">
        <v>74</v>
      </c>
      <c r="AS533" s="1" t="s">
        <v>74</v>
      </c>
      <c r="AT533" s="1" t="s">
        <v>5153</v>
      </c>
      <c r="AU533" s="1">
        <v>1995.0</v>
      </c>
      <c r="AV533" s="1">
        <v>264.0</v>
      </c>
      <c r="AW533" s="1">
        <v>1.0</v>
      </c>
      <c r="AX533" s="1" t="s">
        <v>74</v>
      </c>
      <c r="AY533" s="1" t="s">
        <v>74</v>
      </c>
      <c r="AZ533" s="1" t="s">
        <v>74</v>
      </c>
      <c r="BA533" s="1" t="s">
        <v>74</v>
      </c>
      <c r="BB533" s="1">
        <v>18.0</v>
      </c>
      <c r="BC533" s="1">
        <v>24.0</v>
      </c>
      <c r="BD533" s="1" t="s">
        <v>74</v>
      </c>
      <c r="BE533" s="1" t="s">
        <v>5154</v>
      </c>
      <c r="BF533" s="2" t="str">
        <f>HYPERLINK("http://dx.doi.org/10.1016/0040-6090(95)06570-9","http://dx.doi.org/10.1016/0040-6090(95)06570-9")</f>
        <v>http://dx.doi.org/10.1016/0040-6090(95)06570-9</v>
      </c>
      <c r="BG533" s="1" t="s">
        <v>74</v>
      </c>
      <c r="BH533" s="1" t="s">
        <v>74</v>
      </c>
      <c r="BI533" s="1" t="s">
        <v>74</v>
      </c>
      <c r="BJ533" s="1" t="s">
        <v>74</v>
      </c>
      <c r="BK533" s="1" t="s">
        <v>74</v>
      </c>
      <c r="BL533" s="1" t="s">
        <v>74</v>
      </c>
      <c r="BM533" s="1" t="s">
        <v>74</v>
      </c>
      <c r="BN533" s="1" t="s">
        <v>74</v>
      </c>
      <c r="BO533" s="1" t="s">
        <v>74</v>
      </c>
      <c r="BP533" s="1" t="s">
        <v>74</v>
      </c>
      <c r="BQ533" s="1" t="s">
        <v>74</v>
      </c>
      <c r="BR533" s="1" t="s">
        <v>74</v>
      </c>
      <c r="BS533" s="1" t="s">
        <v>5155</v>
      </c>
      <c r="BT533" s="1" t="str">
        <f>HYPERLINK("https%3A%2F%2Fwww.webofscience.com%2Fwos%2Fwoscc%2Ffull-record%2FWOS:A1995RU19500004","View Full Record in Web of Science")</f>
        <v>View Full Record in Web of Science</v>
      </c>
    </row>
    <row r="534" ht="12.75" customHeight="1">
      <c r="A534" s="1" t="s">
        <v>72</v>
      </c>
      <c r="B534" s="1" t="s">
        <v>5156</v>
      </c>
      <c r="C534" s="1" t="s">
        <v>74</v>
      </c>
      <c r="D534" s="1" t="s">
        <v>74</v>
      </c>
      <c r="E534" s="1" t="s">
        <v>74</v>
      </c>
      <c r="F534" s="1" t="s">
        <v>5156</v>
      </c>
      <c r="G534" s="1" t="s">
        <v>74</v>
      </c>
      <c r="H534" s="1" t="s">
        <v>74</v>
      </c>
      <c r="I534" s="1" t="s">
        <v>5157</v>
      </c>
      <c r="J534" s="1" t="s">
        <v>5158</v>
      </c>
      <c r="K534" s="1" t="s">
        <v>74</v>
      </c>
      <c r="L534" s="1" t="s">
        <v>74</v>
      </c>
      <c r="M534" s="1" t="s">
        <v>74</v>
      </c>
      <c r="N534" s="1" t="s">
        <v>74</v>
      </c>
      <c r="O534" s="1" t="s">
        <v>74</v>
      </c>
      <c r="P534" s="1" t="s">
        <v>74</v>
      </c>
      <c r="Q534" s="1" t="s">
        <v>74</v>
      </c>
      <c r="R534" s="1" t="s">
        <v>74</v>
      </c>
      <c r="S534" s="1" t="s">
        <v>74</v>
      </c>
      <c r="T534" s="1" t="s">
        <v>74</v>
      </c>
      <c r="U534" s="1" t="s">
        <v>74</v>
      </c>
      <c r="V534" s="1" t="s">
        <v>5159</v>
      </c>
      <c r="W534" s="1" t="s">
        <v>74</v>
      </c>
      <c r="X534" s="1" t="s">
        <v>74</v>
      </c>
      <c r="Y534" s="1" t="s">
        <v>74</v>
      </c>
      <c r="Z534" s="1" t="s">
        <v>74</v>
      </c>
      <c r="AA534" s="1" t="s">
        <v>825</v>
      </c>
      <c r="AB534" s="1" t="s">
        <v>74</v>
      </c>
      <c r="AC534" s="1" t="s">
        <v>74</v>
      </c>
      <c r="AD534" s="1" t="s">
        <v>74</v>
      </c>
      <c r="AE534" s="1" t="s">
        <v>74</v>
      </c>
      <c r="AF534" s="1" t="s">
        <v>74</v>
      </c>
      <c r="AG534" s="1" t="s">
        <v>74</v>
      </c>
      <c r="AH534" s="1" t="s">
        <v>74</v>
      </c>
      <c r="AI534" s="1" t="s">
        <v>74</v>
      </c>
      <c r="AJ534" s="1" t="s">
        <v>74</v>
      </c>
      <c r="AK534" s="1" t="s">
        <v>74</v>
      </c>
      <c r="AL534" s="1" t="s">
        <v>74</v>
      </c>
      <c r="AM534" s="1" t="s">
        <v>74</v>
      </c>
      <c r="AN534" s="1" t="s">
        <v>74</v>
      </c>
      <c r="AO534" s="1" t="s">
        <v>5160</v>
      </c>
      <c r="AP534" s="1" t="s">
        <v>74</v>
      </c>
      <c r="AQ534" s="1" t="s">
        <v>74</v>
      </c>
      <c r="AR534" s="1" t="s">
        <v>74</v>
      </c>
      <c r="AS534" s="1" t="s">
        <v>74</v>
      </c>
      <c r="AT534" s="1" t="s">
        <v>5161</v>
      </c>
      <c r="AU534" s="1">
        <v>1993.0</v>
      </c>
      <c r="AV534" s="1">
        <v>1164.0</v>
      </c>
      <c r="AW534" s="1">
        <v>2.0</v>
      </c>
      <c r="AX534" s="1" t="s">
        <v>74</v>
      </c>
      <c r="AY534" s="1" t="s">
        <v>74</v>
      </c>
      <c r="AZ534" s="1" t="s">
        <v>74</v>
      </c>
      <c r="BA534" s="1" t="s">
        <v>74</v>
      </c>
      <c r="BB534" s="1">
        <v>143.0</v>
      </c>
      <c r="BC534" s="1">
        <v>151.0</v>
      </c>
      <c r="BD534" s="1" t="s">
        <v>74</v>
      </c>
      <c r="BE534" s="1" t="s">
        <v>74</v>
      </c>
      <c r="BF534" s="1" t="s">
        <v>74</v>
      </c>
      <c r="BG534" s="1" t="s">
        <v>74</v>
      </c>
      <c r="BH534" s="1" t="s">
        <v>74</v>
      </c>
      <c r="BI534" s="1" t="s">
        <v>74</v>
      </c>
      <c r="BJ534" s="1" t="s">
        <v>74</v>
      </c>
      <c r="BK534" s="1" t="s">
        <v>74</v>
      </c>
      <c r="BL534" s="1" t="s">
        <v>74</v>
      </c>
      <c r="BM534" s="1" t="s">
        <v>74</v>
      </c>
      <c r="BN534" s="1">
        <v>8329445.0</v>
      </c>
      <c r="BO534" s="1" t="s">
        <v>74</v>
      </c>
      <c r="BP534" s="1" t="s">
        <v>74</v>
      </c>
      <c r="BQ534" s="1" t="s">
        <v>74</v>
      </c>
      <c r="BR534" s="1" t="s">
        <v>74</v>
      </c>
      <c r="BS534" s="1" t="s">
        <v>5162</v>
      </c>
      <c r="BT534" s="1" t="str">
        <f>HYPERLINK("https%3A%2F%2Fwww.webofscience.com%2Fwos%2Fwoscc%2Ffull-record%2FWOS:A1993LM60400005","View Full Record in Web of Science")</f>
        <v>View Full Record in Web of Science</v>
      </c>
    </row>
    <row r="535" ht="12.75" customHeight="1">
      <c r="A535" s="1" t="s">
        <v>72</v>
      </c>
      <c r="B535" s="1" t="s">
        <v>5163</v>
      </c>
      <c r="C535" s="1" t="s">
        <v>74</v>
      </c>
      <c r="D535" s="1" t="s">
        <v>74</v>
      </c>
      <c r="E535" s="1" t="s">
        <v>74</v>
      </c>
      <c r="F535" s="1" t="s">
        <v>5163</v>
      </c>
      <c r="G535" s="1" t="s">
        <v>74</v>
      </c>
      <c r="H535" s="1" t="s">
        <v>74</v>
      </c>
      <c r="I535" s="1" t="s">
        <v>5164</v>
      </c>
      <c r="J535" s="1" t="s">
        <v>3163</v>
      </c>
      <c r="K535" s="1" t="s">
        <v>74</v>
      </c>
      <c r="L535" s="1" t="s">
        <v>74</v>
      </c>
      <c r="M535" s="1" t="s">
        <v>74</v>
      </c>
      <c r="N535" s="1" t="s">
        <v>74</v>
      </c>
      <c r="O535" s="1" t="s">
        <v>74</v>
      </c>
      <c r="P535" s="1" t="s">
        <v>74</v>
      </c>
      <c r="Q535" s="1" t="s">
        <v>74</v>
      </c>
      <c r="R535" s="1" t="s">
        <v>74</v>
      </c>
      <c r="S535" s="1" t="s">
        <v>74</v>
      </c>
      <c r="T535" s="1" t="s">
        <v>74</v>
      </c>
      <c r="U535" s="1" t="s">
        <v>74</v>
      </c>
      <c r="V535" s="1" t="s">
        <v>74</v>
      </c>
      <c r="W535" s="1" t="s">
        <v>74</v>
      </c>
      <c r="X535" s="1" t="s">
        <v>74</v>
      </c>
      <c r="Y535" s="1" t="s">
        <v>74</v>
      </c>
      <c r="Z535" s="1" t="s">
        <v>74</v>
      </c>
      <c r="AA535" s="1" t="s">
        <v>74</v>
      </c>
      <c r="AB535" s="1" t="s">
        <v>74</v>
      </c>
      <c r="AC535" s="1" t="s">
        <v>74</v>
      </c>
      <c r="AD535" s="1" t="s">
        <v>74</v>
      </c>
      <c r="AE535" s="1" t="s">
        <v>74</v>
      </c>
      <c r="AF535" s="1" t="s">
        <v>74</v>
      </c>
      <c r="AG535" s="1" t="s">
        <v>74</v>
      </c>
      <c r="AH535" s="1" t="s">
        <v>74</v>
      </c>
      <c r="AI535" s="1" t="s">
        <v>74</v>
      </c>
      <c r="AJ535" s="1" t="s">
        <v>74</v>
      </c>
      <c r="AK535" s="1" t="s">
        <v>74</v>
      </c>
      <c r="AL535" s="1" t="s">
        <v>74</v>
      </c>
      <c r="AM535" s="1" t="s">
        <v>74</v>
      </c>
      <c r="AN535" s="1" t="s">
        <v>74</v>
      </c>
      <c r="AO535" s="1" t="s">
        <v>3164</v>
      </c>
      <c r="AP535" s="1" t="s">
        <v>74</v>
      </c>
      <c r="AQ535" s="1" t="s">
        <v>74</v>
      </c>
      <c r="AR535" s="1" t="s">
        <v>74</v>
      </c>
      <c r="AS535" s="1" t="s">
        <v>74</v>
      </c>
      <c r="AT535" s="1" t="s">
        <v>74</v>
      </c>
      <c r="AU535" s="1">
        <v>1982.0</v>
      </c>
      <c r="AV535" s="1">
        <v>18.0</v>
      </c>
      <c r="AW535" s="1">
        <v>12.0</v>
      </c>
      <c r="AX535" s="1" t="s">
        <v>74</v>
      </c>
      <c r="AY535" s="1" t="s">
        <v>74</v>
      </c>
      <c r="AZ535" s="1" t="s">
        <v>74</v>
      </c>
      <c r="BA535" s="1" t="s">
        <v>74</v>
      </c>
      <c r="BB535" s="1">
        <v>1037.0</v>
      </c>
      <c r="BC535" s="1">
        <v>1039.0</v>
      </c>
      <c r="BD535" s="1" t="s">
        <v>74</v>
      </c>
      <c r="BE535" s="1" t="s">
        <v>5165</v>
      </c>
      <c r="BF535" s="2" t="str">
        <f>HYPERLINK("http://dx.doi.org/10.1016/0014-3057(82)90203-8","http://dx.doi.org/10.1016/0014-3057(82)90203-8")</f>
        <v>http://dx.doi.org/10.1016/0014-3057(82)90203-8</v>
      </c>
      <c r="BG535" s="1" t="s">
        <v>74</v>
      </c>
      <c r="BH535" s="1" t="s">
        <v>74</v>
      </c>
      <c r="BI535" s="1" t="s">
        <v>74</v>
      </c>
      <c r="BJ535" s="1" t="s">
        <v>74</v>
      </c>
      <c r="BK535" s="1" t="s">
        <v>74</v>
      </c>
      <c r="BL535" s="1" t="s">
        <v>74</v>
      </c>
      <c r="BM535" s="1" t="s">
        <v>74</v>
      </c>
      <c r="BN535" s="1" t="s">
        <v>74</v>
      </c>
      <c r="BO535" s="1" t="s">
        <v>74</v>
      </c>
      <c r="BP535" s="1" t="s">
        <v>74</v>
      </c>
      <c r="BQ535" s="1" t="s">
        <v>74</v>
      </c>
      <c r="BR535" s="1" t="s">
        <v>74</v>
      </c>
      <c r="BS535" s="1" t="s">
        <v>5166</v>
      </c>
      <c r="BT535" s="1" t="str">
        <f>HYPERLINK("https%3A%2F%2Fwww.webofscience.com%2Fwos%2Fwoscc%2Ffull-record%2FWOS:A1982PS54200004","View Full Record in Web of Science")</f>
        <v>View Full Record in Web of Science</v>
      </c>
    </row>
    <row r="536" ht="12.75" customHeight="1">
      <c r="A536" s="1" t="s">
        <v>72</v>
      </c>
      <c r="B536" s="1" t="s">
        <v>5167</v>
      </c>
      <c r="C536" s="1" t="s">
        <v>74</v>
      </c>
      <c r="D536" s="1" t="s">
        <v>74</v>
      </c>
      <c r="E536" s="1" t="s">
        <v>74</v>
      </c>
      <c r="F536" s="1" t="s">
        <v>5168</v>
      </c>
      <c r="G536" s="1" t="s">
        <v>74</v>
      </c>
      <c r="H536" s="1" t="s">
        <v>74</v>
      </c>
      <c r="I536" s="1" t="s">
        <v>5169</v>
      </c>
      <c r="J536" s="1" t="s">
        <v>5170</v>
      </c>
      <c r="K536" s="1" t="s">
        <v>74</v>
      </c>
      <c r="L536" s="1" t="s">
        <v>74</v>
      </c>
      <c r="M536" s="1" t="s">
        <v>74</v>
      </c>
      <c r="N536" s="1" t="s">
        <v>74</v>
      </c>
      <c r="O536" s="1" t="s">
        <v>74</v>
      </c>
      <c r="P536" s="1" t="s">
        <v>74</v>
      </c>
      <c r="Q536" s="1" t="s">
        <v>74</v>
      </c>
      <c r="R536" s="1" t="s">
        <v>74</v>
      </c>
      <c r="S536" s="1" t="s">
        <v>74</v>
      </c>
      <c r="T536" s="1" t="s">
        <v>74</v>
      </c>
      <c r="U536" s="1" t="s">
        <v>74</v>
      </c>
      <c r="V536" s="1" t="s">
        <v>5171</v>
      </c>
      <c r="W536" s="1" t="s">
        <v>74</v>
      </c>
      <c r="X536" s="1" t="s">
        <v>74</v>
      </c>
      <c r="Y536" s="1" t="s">
        <v>74</v>
      </c>
      <c r="Z536" s="1" t="s">
        <v>74</v>
      </c>
      <c r="AA536" s="1" t="s">
        <v>5172</v>
      </c>
      <c r="AB536" s="1" t="s">
        <v>5173</v>
      </c>
      <c r="AC536" s="1" t="s">
        <v>74</v>
      </c>
      <c r="AD536" s="1" t="s">
        <v>74</v>
      </c>
      <c r="AE536" s="1" t="s">
        <v>74</v>
      </c>
      <c r="AF536" s="1" t="s">
        <v>74</v>
      </c>
      <c r="AG536" s="1" t="s">
        <v>74</v>
      </c>
      <c r="AH536" s="1" t="s">
        <v>74</v>
      </c>
      <c r="AI536" s="1" t="s">
        <v>74</v>
      </c>
      <c r="AJ536" s="1" t="s">
        <v>74</v>
      </c>
      <c r="AK536" s="1" t="s">
        <v>74</v>
      </c>
      <c r="AL536" s="1" t="s">
        <v>74</v>
      </c>
      <c r="AM536" s="1" t="s">
        <v>74</v>
      </c>
      <c r="AN536" s="1" t="s">
        <v>74</v>
      </c>
      <c r="AO536" s="1" t="s">
        <v>5174</v>
      </c>
      <c r="AP536" s="1" t="s">
        <v>5175</v>
      </c>
      <c r="AQ536" s="1" t="s">
        <v>74</v>
      </c>
      <c r="AR536" s="1" t="s">
        <v>74</v>
      </c>
      <c r="AS536" s="1" t="s">
        <v>74</v>
      </c>
      <c r="AT536" s="1" t="s">
        <v>4438</v>
      </c>
      <c r="AU536" s="1">
        <v>2025.0</v>
      </c>
      <c r="AV536" s="1">
        <v>265.0</v>
      </c>
      <c r="AW536" s="1" t="s">
        <v>74</v>
      </c>
      <c r="AX536" s="1" t="s">
        <v>74</v>
      </c>
      <c r="AY536" s="1" t="s">
        <v>74</v>
      </c>
      <c r="AZ536" s="1" t="s">
        <v>74</v>
      </c>
      <c r="BA536" s="1" t="s">
        <v>74</v>
      </c>
      <c r="BB536" s="1" t="s">
        <v>74</v>
      </c>
      <c r="BC536" s="1" t="s">
        <v>74</v>
      </c>
      <c r="BD536" s="1">
        <v>110241.0</v>
      </c>
      <c r="BE536" s="1" t="s">
        <v>5176</v>
      </c>
      <c r="BF536" s="2" t="str">
        <f>HYPERLINK("http://dx.doi.org/10.1016/j.neuropharm.2024.110241","http://dx.doi.org/10.1016/j.neuropharm.2024.110241")</f>
        <v>http://dx.doi.org/10.1016/j.neuropharm.2024.110241</v>
      </c>
      <c r="BG536" s="1" t="s">
        <v>74</v>
      </c>
      <c r="BH536" s="1" t="s">
        <v>5177</v>
      </c>
      <c r="BI536" s="1" t="s">
        <v>74</v>
      </c>
      <c r="BJ536" s="1" t="s">
        <v>74</v>
      </c>
      <c r="BK536" s="1" t="s">
        <v>74</v>
      </c>
      <c r="BL536" s="1" t="s">
        <v>74</v>
      </c>
      <c r="BM536" s="1" t="s">
        <v>74</v>
      </c>
      <c r="BN536" s="1">
        <v>3.9617175E7</v>
      </c>
      <c r="BO536" s="1" t="s">
        <v>74</v>
      </c>
      <c r="BP536" s="1" t="s">
        <v>74</v>
      </c>
      <c r="BQ536" s="1" t="s">
        <v>74</v>
      </c>
      <c r="BR536" s="1" t="s">
        <v>74</v>
      </c>
      <c r="BS536" s="1" t="s">
        <v>5178</v>
      </c>
      <c r="BT536" s="1" t="str">
        <f>HYPERLINK("https%3A%2F%2Fwww.webofscience.com%2Fwos%2Fwoscc%2Ffull-record%2FWOS:001381353000001","View Full Record in Web of Science")</f>
        <v>View Full Record in Web of Science</v>
      </c>
    </row>
    <row r="537" ht="12.75" customHeight="1">
      <c r="A537" s="1" t="s">
        <v>72</v>
      </c>
      <c r="B537" s="1" t="s">
        <v>5179</v>
      </c>
      <c r="C537" s="1" t="s">
        <v>74</v>
      </c>
      <c r="D537" s="1" t="s">
        <v>74</v>
      </c>
      <c r="E537" s="1" t="s">
        <v>74</v>
      </c>
      <c r="F537" s="1" t="s">
        <v>5180</v>
      </c>
      <c r="G537" s="1" t="s">
        <v>74</v>
      </c>
      <c r="H537" s="1" t="s">
        <v>74</v>
      </c>
      <c r="I537" s="1" t="s">
        <v>5181</v>
      </c>
      <c r="J537" s="1" t="s">
        <v>5182</v>
      </c>
      <c r="K537" s="1" t="s">
        <v>74</v>
      </c>
      <c r="L537" s="1" t="s">
        <v>74</v>
      </c>
      <c r="M537" s="1" t="s">
        <v>74</v>
      </c>
      <c r="N537" s="1" t="s">
        <v>74</v>
      </c>
      <c r="O537" s="1" t="s">
        <v>74</v>
      </c>
      <c r="P537" s="1" t="s">
        <v>74</v>
      </c>
      <c r="Q537" s="1" t="s">
        <v>74</v>
      </c>
      <c r="R537" s="1" t="s">
        <v>74</v>
      </c>
      <c r="S537" s="1" t="s">
        <v>74</v>
      </c>
      <c r="T537" s="1" t="s">
        <v>74</v>
      </c>
      <c r="U537" s="1" t="s">
        <v>74</v>
      </c>
      <c r="V537" s="1" t="s">
        <v>5183</v>
      </c>
      <c r="W537" s="1" t="s">
        <v>74</v>
      </c>
      <c r="X537" s="1" t="s">
        <v>74</v>
      </c>
      <c r="Y537" s="1" t="s">
        <v>74</v>
      </c>
      <c r="Z537" s="1" t="s">
        <v>74</v>
      </c>
      <c r="AA537" s="1" t="s">
        <v>5184</v>
      </c>
      <c r="AB537" s="1" t="s">
        <v>74</v>
      </c>
      <c r="AC537" s="1" t="s">
        <v>74</v>
      </c>
      <c r="AD537" s="1" t="s">
        <v>74</v>
      </c>
      <c r="AE537" s="1" t="s">
        <v>74</v>
      </c>
      <c r="AF537" s="1" t="s">
        <v>74</v>
      </c>
      <c r="AG537" s="1" t="s">
        <v>74</v>
      </c>
      <c r="AH537" s="1" t="s">
        <v>74</v>
      </c>
      <c r="AI537" s="1" t="s">
        <v>74</v>
      </c>
      <c r="AJ537" s="1" t="s">
        <v>74</v>
      </c>
      <c r="AK537" s="1" t="s">
        <v>74</v>
      </c>
      <c r="AL537" s="1" t="s">
        <v>74</v>
      </c>
      <c r="AM537" s="1" t="s">
        <v>74</v>
      </c>
      <c r="AN537" s="1" t="s">
        <v>74</v>
      </c>
      <c r="AO537" s="1" t="s">
        <v>5185</v>
      </c>
      <c r="AP537" s="1" t="s">
        <v>5186</v>
      </c>
      <c r="AQ537" s="1" t="s">
        <v>74</v>
      </c>
      <c r="AR537" s="1" t="s">
        <v>74</v>
      </c>
      <c r="AS537" s="1" t="s">
        <v>74</v>
      </c>
      <c r="AT537" s="1" t="s">
        <v>110</v>
      </c>
      <c r="AU537" s="1">
        <v>2024.0</v>
      </c>
      <c r="AV537" s="1">
        <v>282.0</v>
      </c>
      <c r="AW537" s="1" t="s">
        <v>74</v>
      </c>
      <c r="AX537" s="1">
        <v>2.0</v>
      </c>
      <c r="AY537" s="1" t="s">
        <v>74</v>
      </c>
      <c r="AZ537" s="1" t="s">
        <v>74</v>
      </c>
      <c r="BA537" s="1" t="s">
        <v>74</v>
      </c>
      <c r="BB537" s="1" t="s">
        <v>74</v>
      </c>
      <c r="BC537" s="1" t="s">
        <v>74</v>
      </c>
      <c r="BD537" s="1">
        <v>136875.0</v>
      </c>
      <c r="BE537" s="1" t="s">
        <v>5187</v>
      </c>
      <c r="BF537" s="2" t="str">
        <f>HYPERLINK("http://dx.doi.org/10.1016/j.ijbiomac.2024.136875","http://dx.doi.org/10.1016/j.ijbiomac.2024.136875")</f>
        <v>http://dx.doi.org/10.1016/j.ijbiomac.2024.136875</v>
      </c>
      <c r="BG537" s="1" t="s">
        <v>74</v>
      </c>
      <c r="BH537" s="1" t="s">
        <v>916</v>
      </c>
      <c r="BI537" s="1" t="s">
        <v>74</v>
      </c>
      <c r="BJ537" s="1" t="s">
        <v>74</v>
      </c>
      <c r="BK537" s="1" t="s">
        <v>74</v>
      </c>
      <c r="BL537" s="1" t="s">
        <v>74</v>
      </c>
      <c r="BM537" s="1" t="s">
        <v>74</v>
      </c>
      <c r="BN537" s="1">
        <v>3.9454921E7</v>
      </c>
      <c r="BO537" s="1" t="s">
        <v>74</v>
      </c>
      <c r="BP537" s="1" t="s">
        <v>74</v>
      </c>
      <c r="BQ537" s="1" t="s">
        <v>74</v>
      </c>
      <c r="BR537" s="1" t="s">
        <v>74</v>
      </c>
      <c r="BS537" s="1" t="s">
        <v>5188</v>
      </c>
      <c r="BT537" s="1" t="str">
        <f>HYPERLINK("https%3A%2F%2Fwww.webofscience.com%2Fwos%2Fwoscc%2Ffull-record%2FWOS:001348866400001","View Full Record in Web of Science")</f>
        <v>View Full Record in Web of Science</v>
      </c>
    </row>
    <row r="538" ht="12.75" customHeight="1">
      <c r="A538" s="1" t="s">
        <v>72</v>
      </c>
      <c r="B538" s="1" t="s">
        <v>3907</v>
      </c>
      <c r="C538" s="1" t="s">
        <v>74</v>
      </c>
      <c r="D538" s="1" t="s">
        <v>74</v>
      </c>
      <c r="E538" s="1" t="s">
        <v>74</v>
      </c>
      <c r="F538" s="1" t="s">
        <v>3908</v>
      </c>
      <c r="G538" s="1" t="s">
        <v>74</v>
      </c>
      <c r="H538" s="1" t="s">
        <v>74</v>
      </c>
      <c r="I538" s="1" t="s">
        <v>5189</v>
      </c>
      <c r="J538" s="1" t="s">
        <v>5190</v>
      </c>
      <c r="K538" s="1" t="s">
        <v>74</v>
      </c>
      <c r="L538" s="1" t="s">
        <v>74</v>
      </c>
      <c r="M538" s="1" t="s">
        <v>74</v>
      </c>
      <c r="N538" s="1" t="s">
        <v>74</v>
      </c>
      <c r="O538" s="1" t="s">
        <v>74</v>
      </c>
      <c r="P538" s="1" t="s">
        <v>74</v>
      </c>
      <c r="Q538" s="1" t="s">
        <v>74</v>
      </c>
      <c r="R538" s="1" t="s">
        <v>74</v>
      </c>
      <c r="S538" s="1" t="s">
        <v>74</v>
      </c>
      <c r="T538" s="1" t="s">
        <v>74</v>
      </c>
      <c r="U538" s="1" t="s">
        <v>74</v>
      </c>
      <c r="V538" s="1" t="s">
        <v>5191</v>
      </c>
      <c r="W538" s="1" t="s">
        <v>74</v>
      </c>
      <c r="X538" s="1" t="s">
        <v>74</v>
      </c>
      <c r="Y538" s="1" t="s">
        <v>74</v>
      </c>
      <c r="Z538" s="1" t="s">
        <v>74</v>
      </c>
      <c r="AA538" s="1" t="s">
        <v>307</v>
      </c>
      <c r="AB538" s="1" t="s">
        <v>5192</v>
      </c>
      <c r="AC538" s="1" t="s">
        <v>74</v>
      </c>
      <c r="AD538" s="1" t="s">
        <v>74</v>
      </c>
      <c r="AE538" s="1" t="s">
        <v>74</v>
      </c>
      <c r="AF538" s="1" t="s">
        <v>74</v>
      </c>
      <c r="AG538" s="1" t="s">
        <v>74</v>
      </c>
      <c r="AH538" s="1" t="s">
        <v>74</v>
      </c>
      <c r="AI538" s="1" t="s">
        <v>74</v>
      </c>
      <c r="AJ538" s="1" t="s">
        <v>74</v>
      </c>
      <c r="AK538" s="1" t="s">
        <v>74</v>
      </c>
      <c r="AL538" s="1" t="s">
        <v>74</v>
      </c>
      <c r="AM538" s="1" t="s">
        <v>74</v>
      </c>
      <c r="AN538" s="1" t="s">
        <v>74</v>
      </c>
      <c r="AO538" s="1" t="s">
        <v>5193</v>
      </c>
      <c r="AP538" s="1" t="s">
        <v>74</v>
      </c>
      <c r="AQ538" s="1" t="s">
        <v>74</v>
      </c>
      <c r="AR538" s="1" t="s">
        <v>74</v>
      </c>
      <c r="AS538" s="1" t="s">
        <v>74</v>
      </c>
      <c r="AT538" s="1" t="s">
        <v>5194</v>
      </c>
      <c r="AU538" s="1">
        <v>2024.0</v>
      </c>
      <c r="AV538" s="1">
        <v>12.0</v>
      </c>
      <c r="AW538" s="1" t="s">
        <v>74</v>
      </c>
      <c r="AX538" s="1" t="s">
        <v>74</v>
      </c>
      <c r="AY538" s="1" t="s">
        <v>74</v>
      </c>
      <c r="AZ538" s="1" t="s">
        <v>74</v>
      </c>
      <c r="BA538" s="1" t="s">
        <v>74</v>
      </c>
      <c r="BB538" s="1" t="s">
        <v>74</v>
      </c>
      <c r="BC538" s="1" t="s">
        <v>74</v>
      </c>
      <c r="BD538" s="1">
        <v>1338614.0</v>
      </c>
      <c r="BE538" s="1" t="s">
        <v>5195</v>
      </c>
      <c r="BF538" s="2" t="str">
        <f>HYPERLINK("http://dx.doi.org/10.3389/fchem.2024.1338614","http://dx.doi.org/10.3389/fchem.2024.1338614")</f>
        <v>http://dx.doi.org/10.3389/fchem.2024.1338614</v>
      </c>
      <c r="BG538" s="1" t="s">
        <v>74</v>
      </c>
      <c r="BH538" s="1" t="s">
        <v>74</v>
      </c>
      <c r="BI538" s="1" t="s">
        <v>74</v>
      </c>
      <c r="BJ538" s="1" t="s">
        <v>74</v>
      </c>
      <c r="BK538" s="1" t="s">
        <v>74</v>
      </c>
      <c r="BL538" s="1" t="s">
        <v>74</v>
      </c>
      <c r="BM538" s="1" t="s">
        <v>74</v>
      </c>
      <c r="BN538" s="1">
        <v>3.8807978E7</v>
      </c>
      <c r="BO538" s="1" t="s">
        <v>74</v>
      </c>
      <c r="BP538" s="1" t="s">
        <v>74</v>
      </c>
      <c r="BQ538" s="1" t="s">
        <v>74</v>
      </c>
      <c r="BR538" s="1" t="s">
        <v>74</v>
      </c>
      <c r="BS538" s="1" t="s">
        <v>5196</v>
      </c>
      <c r="BT538" s="1" t="str">
        <f>HYPERLINK("https%3A%2F%2Fwww.webofscience.com%2Fwos%2Fwoscc%2Ffull-record%2FWOS:001233350400001","View Full Record in Web of Science")</f>
        <v>View Full Record in Web of Science</v>
      </c>
    </row>
    <row r="539" ht="12.75" customHeight="1">
      <c r="A539" s="1" t="s">
        <v>72</v>
      </c>
      <c r="B539" s="1" t="s">
        <v>5197</v>
      </c>
      <c r="C539" s="1" t="s">
        <v>74</v>
      </c>
      <c r="D539" s="1" t="s">
        <v>74</v>
      </c>
      <c r="E539" s="1" t="s">
        <v>74</v>
      </c>
      <c r="F539" s="1" t="s">
        <v>5198</v>
      </c>
      <c r="G539" s="1" t="s">
        <v>74</v>
      </c>
      <c r="H539" s="1" t="s">
        <v>74</v>
      </c>
      <c r="I539" s="1" t="s">
        <v>5199</v>
      </c>
      <c r="J539" s="1" t="s">
        <v>5200</v>
      </c>
      <c r="K539" s="1" t="s">
        <v>74</v>
      </c>
      <c r="L539" s="1" t="s">
        <v>74</v>
      </c>
      <c r="M539" s="1" t="s">
        <v>74</v>
      </c>
      <c r="N539" s="1" t="s">
        <v>74</v>
      </c>
      <c r="O539" s="1" t="s">
        <v>74</v>
      </c>
      <c r="P539" s="1" t="s">
        <v>74</v>
      </c>
      <c r="Q539" s="1" t="s">
        <v>74</v>
      </c>
      <c r="R539" s="1" t="s">
        <v>74</v>
      </c>
      <c r="S539" s="1" t="s">
        <v>74</v>
      </c>
      <c r="T539" s="1" t="s">
        <v>74</v>
      </c>
      <c r="U539" s="1" t="s">
        <v>74</v>
      </c>
      <c r="V539" s="1" t="s">
        <v>5201</v>
      </c>
      <c r="W539" s="1" t="s">
        <v>74</v>
      </c>
      <c r="X539" s="1" t="s">
        <v>74</v>
      </c>
      <c r="Y539" s="1" t="s">
        <v>74</v>
      </c>
      <c r="Z539" s="1" t="s">
        <v>74</v>
      </c>
      <c r="AA539" s="1" t="s">
        <v>74</v>
      </c>
      <c r="AB539" s="1" t="s">
        <v>74</v>
      </c>
      <c r="AC539" s="1" t="s">
        <v>74</v>
      </c>
      <c r="AD539" s="1" t="s">
        <v>74</v>
      </c>
      <c r="AE539" s="1" t="s">
        <v>74</v>
      </c>
      <c r="AF539" s="1" t="s">
        <v>74</v>
      </c>
      <c r="AG539" s="1" t="s">
        <v>74</v>
      </c>
      <c r="AH539" s="1" t="s">
        <v>74</v>
      </c>
      <c r="AI539" s="1" t="s">
        <v>74</v>
      </c>
      <c r="AJ539" s="1" t="s">
        <v>74</v>
      </c>
      <c r="AK539" s="1" t="s">
        <v>74</v>
      </c>
      <c r="AL539" s="1" t="s">
        <v>74</v>
      </c>
      <c r="AM539" s="1" t="s">
        <v>74</v>
      </c>
      <c r="AN539" s="1" t="s">
        <v>74</v>
      </c>
      <c r="AO539" s="1" t="s">
        <v>5202</v>
      </c>
      <c r="AP539" s="1" t="s">
        <v>74</v>
      </c>
      <c r="AQ539" s="1" t="s">
        <v>74</v>
      </c>
      <c r="AR539" s="1" t="s">
        <v>74</v>
      </c>
      <c r="AS539" s="1" t="s">
        <v>74</v>
      </c>
      <c r="AT539" s="1" t="s">
        <v>74</v>
      </c>
      <c r="AU539" s="1">
        <v>2024.0</v>
      </c>
      <c r="AV539" s="1" t="s">
        <v>74</v>
      </c>
      <c r="AW539" s="1">
        <v>32.0</v>
      </c>
      <c r="AX539" s="1" t="s">
        <v>74</v>
      </c>
      <c r="AY539" s="1" t="s">
        <v>74</v>
      </c>
      <c r="AZ539" s="1" t="s">
        <v>74</v>
      </c>
      <c r="BA539" s="1" t="s">
        <v>74</v>
      </c>
      <c r="BB539" s="1" t="s">
        <v>74</v>
      </c>
      <c r="BC539" s="1" t="s">
        <v>74</v>
      </c>
      <c r="BD539" s="1" t="s">
        <v>74</v>
      </c>
      <c r="BE539" s="1" t="s">
        <v>74</v>
      </c>
      <c r="BF539" s="1" t="s">
        <v>74</v>
      </c>
      <c r="BG539" s="1" t="s">
        <v>74</v>
      </c>
      <c r="BH539" s="1" t="s">
        <v>74</v>
      </c>
      <c r="BI539" s="1" t="s">
        <v>74</v>
      </c>
      <c r="BJ539" s="1" t="s">
        <v>74</v>
      </c>
      <c r="BK539" s="1" t="s">
        <v>74</v>
      </c>
      <c r="BL539" s="1" t="s">
        <v>74</v>
      </c>
      <c r="BM539" s="1" t="s">
        <v>74</v>
      </c>
      <c r="BN539" s="1" t="s">
        <v>74</v>
      </c>
      <c r="BO539" s="1" t="s">
        <v>74</v>
      </c>
      <c r="BP539" s="1" t="s">
        <v>74</v>
      </c>
      <c r="BQ539" s="1" t="s">
        <v>74</v>
      </c>
      <c r="BR539" s="1" t="s">
        <v>74</v>
      </c>
      <c r="BS539" s="1" t="s">
        <v>5203</v>
      </c>
      <c r="BT539" s="1" t="str">
        <f>HYPERLINK("https%3A%2F%2Fwww.webofscience.com%2Fwos%2Fwoscc%2Ffull-record%2FWOS:001416120600025","View Full Record in Web of Science")</f>
        <v>View Full Record in Web of Science</v>
      </c>
    </row>
    <row r="540" ht="12.75" customHeight="1">
      <c r="A540" s="1" t="s">
        <v>251</v>
      </c>
      <c r="B540" s="1" t="s">
        <v>5204</v>
      </c>
      <c r="C540" s="1" t="s">
        <v>74</v>
      </c>
      <c r="D540" s="1" t="s">
        <v>74</v>
      </c>
      <c r="E540" s="1" t="s">
        <v>253</v>
      </c>
      <c r="F540" s="1" t="s">
        <v>5205</v>
      </c>
      <c r="G540" s="1" t="s">
        <v>74</v>
      </c>
      <c r="H540" s="1" t="s">
        <v>74</v>
      </c>
      <c r="I540" s="1" t="s">
        <v>5206</v>
      </c>
      <c r="J540" s="1" t="s">
        <v>5207</v>
      </c>
      <c r="K540" s="1" t="s">
        <v>5208</v>
      </c>
      <c r="L540" s="1" t="s">
        <v>74</v>
      </c>
      <c r="M540" s="1" t="s">
        <v>74</v>
      </c>
      <c r="N540" s="1" t="s">
        <v>74</v>
      </c>
      <c r="O540" s="1" t="s">
        <v>5209</v>
      </c>
      <c r="P540" s="1" t="s">
        <v>5210</v>
      </c>
      <c r="Q540" s="1" t="s">
        <v>5211</v>
      </c>
      <c r="R540" s="1" t="s">
        <v>74</v>
      </c>
      <c r="S540" s="1" t="s">
        <v>74</v>
      </c>
      <c r="T540" s="1" t="s">
        <v>74</v>
      </c>
      <c r="U540" s="1" t="s">
        <v>74</v>
      </c>
      <c r="V540" s="1" t="s">
        <v>5212</v>
      </c>
      <c r="W540" s="1" t="s">
        <v>74</v>
      </c>
      <c r="X540" s="1" t="s">
        <v>74</v>
      </c>
      <c r="Y540" s="1" t="s">
        <v>74</v>
      </c>
      <c r="Z540" s="1" t="s">
        <v>74</v>
      </c>
      <c r="AA540" s="1" t="s">
        <v>74</v>
      </c>
      <c r="AB540" s="1" t="s">
        <v>74</v>
      </c>
      <c r="AC540" s="1" t="s">
        <v>74</v>
      </c>
      <c r="AD540" s="1" t="s">
        <v>74</v>
      </c>
      <c r="AE540" s="1" t="s">
        <v>74</v>
      </c>
      <c r="AF540" s="1" t="s">
        <v>74</v>
      </c>
      <c r="AG540" s="1" t="s">
        <v>74</v>
      </c>
      <c r="AH540" s="1" t="s">
        <v>74</v>
      </c>
      <c r="AI540" s="1" t="s">
        <v>74</v>
      </c>
      <c r="AJ540" s="1" t="s">
        <v>74</v>
      </c>
      <c r="AK540" s="1" t="s">
        <v>74</v>
      </c>
      <c r="AL540" s="1" t="s">
        <v>74</v>
      </c>
      <c r="AM540" s="1" t="s">
        <v>74</v>
      </c>
      <c r="AN540" s="1" t="s">
        <v>74</v>
      </c>
      <c r="AO540" s="1" t="s">
        <v>5213</v>
      </c>
      <c r="AP540" s="1" t="s">
        <v>74</v>
      </c>
      <c r="AQ540" s="1" t="s">
        <v>5214</v>
      </c>
      <c r="AR540" s="1" t="s">
        <v>74</v>
      </c>
      <c r="AS540" s="1" t="s">
        <v>74</v>
      </c>
      <c r="AT540" s="1" t="s">
        <v>74</v>
      </c>
      <c r="AU540" s="1">
        <v>2024.0</v>
      </c>
      <c r="AV540" s="1" t="s">
        <v>74</v>
      </c>
      <c r="AW540" s="1" t="s">
        <v>74</v>
      </c>
      <c r="AX540" s="1" t="s">
        <v>74</v>
      </c>
      <c r="AY540" s="1" t="s">
        <v>74</v>
      </c>
      <c r="AZ540" s="1" t="s">
        <v>74</v>
      </c>
      <c r="BA540" s="1" t="s">
        <v>74</v>
      </c>
      <c r="BB540" s="1">
        <v>557.0</v>
      </c>
      <c r="BC540" s="1">
        <v>562.0</v>
      </c>
      <c r="BD540" s="1" t="s">
        <v>74</v>
      </c>
      <c r="BE540" s="1" t="s">
        <v>5215</v>
      </c>
      <c r="BF540" s="2" t="str">
        <f>HYPERLINK("http://dx.doi.org/10.1109/CSNDSP60683.2024.10636609","http://dx.doi.org/10.1109/CSNDSP60683.2024.10636609")</f>
        <v>http://dx.doi.org/10.1109/CSNDSP60683.2024.10636609</v>
      </c>
      <c r="BG540" s="1" t="s">
        <v>74</v>
      </c>
      <c r="BH540" s="1" t="s">
        <v>74</v>
      </c>
      <c r="BI540" s="1" t="s">
        <v>74</v>
      </c>
      <c r="BJ540" s="1" t="s">
        <v>74</v>
      </c>
      <c r="BK540" s="1" t="s">
        <v>74</v>
      </c>
      <c r="BL540" s="1" t="s">
        <v>74</v>
      </c>
      <c r="BM540" s="1" t="s">
        <v>74</v>
      </c>
      <c r="BN540" s="1" t="s">
        <v>74</v>
      </c>
      <c r="BO540" s="1" t="s">
        <v>74</v>
      </c>
      <c r="BP540" s="1" t="s">
        <v>74</v>
      </c>
      <c r="BQ540" s="1" t="s">
        <v>74</v>
      </c>
      <c r="BR540" s="1" t="s">
        <v>74</v>
      </c>
      <c r="BS540" s="1" t="s">
        <v>5216</v>
      </c>
      <c r="BT540" s="1" t="str">
        <f>HYPERLINK("https%3A%2F%2Fwww.webofscience.com%2Fwos%2Fwoscc%2Ffull-record%2FWOS:001324588800105","View Full Record in Web of Science")</f>
        <v>View Full Record in Web of Science</v>
      </c>
    </row>
    <row r="541" ht="12.75" customHeight="1">
      <c r="A541" s="1" t="s">
        <v>242</v>
      </c>
      <c r="B541" s="1" t="s">
        <v>5217</v>
      </c>
      <c r="C541" s="1" t="s">
        <v>74</v>
      </c>
      <c r="D541" s="1" t="s">
        <v>5218</v>
      </c>
      <c r="E541" s="1" t="s">
        <v>74</v>
      </c>
      <c r="F541" s="1" t="s">
        <v>5219</v>
      </c>
      <c r="G541" s="1" t="s">
        <v>74</v>
      </c>
      <c r="H541" s="1" t="s">
        <v>74</v>
      </c>
      <c r="I541" s="1" t="s">
        <v>5220</v>
      </c>
      <c r="J541" s="1" t="s">
        <v>5221</v>
      </c>
      <c r="K541" s="1" t="s">
        <v>5222</v>
      </c>
      <c r="L541" s="1" t="s">
        <v>74</v>
      </c>
      <c r="M541" s="1" t="s">
        <v>74</v>
      </c>
      <c r="N541" s="1" t="s">
        <v>74</v>
      </c>
      <c r="O541" s="1" t="s">
        <v>74</v>
      </c>
      <c r="P541" s="1" t="s">
        <v>74</v>
      </c>
      <c r="Q541" s="1" t="s">
        <v>74</v>
      </c>
      <c r="R541" s="1" t="s">
        <v>74</v>
      </c>
      <c r="S541" s="1" t="s">
        <v>74</v>
      </c>
      <c r="T541" s="1" t="s">
        <v>74</v>
      </c>
      <c r="U541" s="1" t="s">
        <v>74</v>
      </c>
      <c r="V541" s="1" t="s">
        <v>74</v>
      </c>
      <c r="W541" s="1" t="s">
        <v>74</v>
      </c>
      <c r="X541" s="1" t="s">
        <v>74</v>
      </c>
      <c r="Y541" s="1" t="s">
        <v>74</v>
      </c>
      <c r="Z541" s="1" t="s">
        <v>74</v>
      </c>
      <c r="AA541" s="1" t="s">
        <v>74</v>
      </c>
      <c r="AB541" s="1" t="s">
        <v>74</v>
      </c>
      <c r="AC541" s="1" t="s">
        <v>74</v>
      </c>
      <c r="AD541" s="1" t="s">
        <v>74</v>
      </c>
      <c r="AE541" s="1" t="s">
        <v>74</v>
      </c>
      <c r="AF541" s="1" t="s">
        <v>74</v>
      </c>
      <c r="AG541" s="1" t="s">
        <v>74</v>
      </c>
      <c r="AH541" s="1" t="s">
        <v>74</v>
      </c>
      <c r="AI541" s="1" t="s">
        <v>74</v>
      </c>
      <c r="AJ541" s="1" t="s">
        <v>74</v>
      </c>
      <c r="AK541" s="1" t="s">
        <v>74</v>
      </c>
      <c r="AL541" s="1" t="s">
        <v>74</v>
      </c>
      <c r="AM541" s="1" t="s">
        <v>74</v>
      </c>
      <c r="AN541" s="1" t="s">
        <v>74</v>
      </c>
      <c r="AO541" s="1" t="s">
        <v>74</v>
      </c>
      <c r="AP541" s="1" t="s">
        <v>74</v>
      </c>
      <c r="AQ541" s="1" t="s">
        <v>5223</v>
      </c>
      <c r="AR541" s="1" t="s">
        <v>74</v>
      </c>
      <c r="AS541" s="1" t="s">
        <v>74</v>
      </c>
      <c r="AT541" s="1" t="s">
        <v>74</v>
      </c>
      <c r="AU541" s="1">
        <v>2024.0</v>
      </c>
      <c r="AV541" s="1" t="s">
        <v>74</v>
      </c>
      <c r="AW541" s="1" t="s">
        <v>74</v>
      </c>
      <c r="AX541" s="1" t="s">
        <v>74</v>
      </c>
      <c r="AY541" s="1" t="s">
        <v>74</v>
      </c>
      <c r="AZ541" s="1" t="s">
        <v>74</v>
      </c>
      <c r="BA541" s="1" t="s">
        <v>74</v>
      </c>
      <c r="BB541" s="1">
        <v>138.0</v>
      </c>
      <c r="BC541" s="1">
        <v>144.0</v>
      </c>
      <c r="BD541" s="1" t="s">
        <v>74</v>
      </c>
      <c r="BE541" s="1" t="s">
        <v>5224</v>
      </c>
      <c r="BF541" s="2" t="str">
        <f>HYPERLINK("http://dx.doi.org/10.4324/9781315183886-15","http://dx.doi.org/10.4324/9781315183886-15")</f>
        <v>http://dx.doi.org/10.4324/9781315183886-15</v>
      </c>
      <c r="BG541" s="1" t="s">
        <v>5225</v>
      </c>
      <c r="BH541" s="1" t="s">
        <v>74</v>
      </c>
      <c r="BI541" s="1" t="s">
        <v>74</v>
      </c>
      <c r="BJ541" s="1" t="s">
        <v>74</v>
      </c>
      <c r="BK541" s="1" t="s">
        <v>74</v>
      </c>
      <c r="BL541" s="1" t="s">
        <v>74</v>
      </c>
      <c r="BM541" s="1" t="s">
        <v>74</v>
      </c>
      <c r="BN541" s="1" t="s">
        <v>74</v>
      </c>
      <c r="BO541" s="1" t="s">
        <v>74</v>
      </c>
      <c r="BP541" s="1" t="s">
        <v>74</v>
      </c>
      <c r="BQ541" s="1" t="s">
        <v>74</v>
      </c>
      <c r="BR541" s="1" t="s">
        <v>74</v>
      </c>
      <c r="BS541" s="1" t="s">
        <v>5226</v>
      </c>
      <c r="BT541" s="1" t="str">
        <f>HYPERLINK("https%3A%2F%2Fwww.webofscience.com%2Fwos%2Fwoscc%2Ffull-record%2FWOS:001200200000016","View Full Record in Web of Science")</f>
        <v>View Full Record in Web of Science</v>
      </c>
    </row>
    <row r="542" ht="12.75" customHeight="1">
      <c r="A542" s="1" t="s">
        <v>72</v>
      </c>
      <c r="B542" s="1" t="s">
        <v>5227</v>
      </c>
      <c r="C542" s="1" t="s">
        <v>74</v>
      </c>
      <c r="D542" s="1" t="s">
        <v>74</v>
      </c>
      <c r="E542" s="1" t="s">
        <v>74</v>
      </c>
      <c r="F542" s="1" t="s">
        <v>5228</v>
      </c>
      <c r="G542" s="1" t="s">
        <v>74</v>
      </c>
      <c r="H542" s="1" t="s">
        <v>74</v>
      </c>
      <c r="I542" s="1" t="s">
        <v>5229</v>
      </c>
      <c r="J542" s="1" t="s">
        <v>5230</v>
      </c>
      <c r="K542" s="1" t="s">
        <v>74</v>
      </c>
      <c r="L542" s="1" t="s">
        <v>74</v>
      </c>
      <c r="M542" s="1" t="s">
        <v>74</v>
      </c>
      <c r="N542" s="1" t="s">
        <v>74</v>
      </c>
      <c r="O542" s="1" t="s">
        <v>74</v>
      </c>
      <c r="P542" s="1" t="s">
        <v>74</v>
      </c>
      <c r="Q542" s="1" t="s">
        <v>74</v>
      </c>
      <c r="R542" s="1" t="s">
        <v>74</v>
      </c>
      <c r="S542" s="1" t="s">
        <v>74</v>
      </c>
      <c r="T542" s="1" t="s">
        <v>74</v>
      </c>
      <c r="U542" s="1" t="s">
        <v>74</v>
      </c>
      <c r="V542" s="1" t="s">
        <v>5231</v>
      </c>
      <c r="W542" s="1" t="s">
        <v>74</v>
      </c>
      <c r="X542" s="1" t="s">
        <v>74</v>
      </c>
      <c r="Y542" s="1" t="s">
        <v>74</v>
      </c>
      <c r="Z542" s="1" t="s">
        <v>74</v>
      </c>
      <c r="AA542" s="1" t="s">
        <v>5232</v>
      </c>
      <c r="AB542" s="1" t="s">
        <v>5233</v>
      </c>
      <c r="AC542" s="1" t="s">
        <v>74</v>
      </c>
      <c r="AD542" s="1" t="s">
        <v>74</v>
      </c>
      <c r="AE542" s="1" t="s">
        <v>74</v>
      </c>
      <c r="AF542" s="1" t="s">
        <v>74</v>
      </c>
      <c r="AG542" s="1" t="s">
        <v>74</v>
      </c>
      <c r="AH542" s="1" t="s">
        <v>74</v>
      </c>
      <c r="AI542" s="1" t="s">
        <v>74</v>
      </c>
      <c r="AJ542" s="1" t="s">
        <v>74</v>
      </c>
      <c r="AK542" s="1" t="s">
        <v>74</v>
      </c>
      <c r="AL542" s="1" t="s">
        <v>74</v>
      </c>
      <c r="AM542" s="1" t="s">
        <v>74</v>
      </c>
      <c r="AN542" s="1" t="s">
        <v>74</v>
      </c>
      <c r="AO542" s="1" t="s">
        <v>5234</v>
      </c>
      <c r="AP542" s="1" t="s">
        <v>5235</v>
      </c>
      <c r="AQ542" s="1" t="s">
        <v>74</v>
      </c>
      <c r="AR542" s="1" t="s">
        <v>74</v>
      </c>
      <c r="AS542" s="1" t="s">
        <v>74</v>
      </c>
      <c r="AT542" s="1" t="s">
        <v>169</v>
      </c>
      <c r="AU542" s="1">
        <v>2024.0</v>
      </c>
      <c r="AV542" s="1">
        <v>87.0</v>
      </c>
      <c r="AW542" s="1">
        <v>1.0</v>
      </c>
      <c r="AX542" s="1" t="s">
        <v>74</v>
      </c>
      <c r="AY542" s="1" t="s">
        <v>74</v>
      </c>
      <c r="AZ542" s="1" t="s">
        <v>74</v>
      </c>
      <c r="BA542" s="1" t="s">
        <v>74</v>
      </c>
      <c r="BB542" s="1">
        <v>219.0</v>
      </c>
      <c r="BC542" s="1">
        <v>255.0</v>
      </c>
      <c r="BD542" s="1" t="s">
        <v>74</v>
      </c>
      <c r="BE542" s="1" t="s">
        <v>5236</v>
      </c>
      <c r="BF542" s="2" t="str">
        <f>HYPERLINK("http://dx.doi.org/10.1007/s10640-023-00822-1","http://dx.doi.org/10.1007/s10640-023-00822-1")</f>
        <v>http://dx.doi.org/10.1007/s10640-023-00822-1</v>
      </c>
      <c r="BG542" s="1" t="s">
        <v>74</v>
      </c>
      <c r="BH542" s="1" t="s">
        <v>5237</v>
      </c>
      <c r="BI542" s="1" t="s">
        <v>74</v>
      </c>
      <c r="BJ542" s="1" t="s">
        <v>74</v>
      </c>
      <c r="BK542" s="1" t="s">
        <v>74</v>
      </c>
      <c r="BL542" s="1" t="s">
        <v>74</v>
      </c>
      <c r="BM542" s="1" t="s">
        <v>74</v>
      </c>
      <c r="BN542" s="1" t="s">
        <v>74</v>
      </c>
      <c r="BO542" s="1" t="s">
        <v>74</v>
      </c>
      <c r="BP542" s="1" t="s">
        <v>74</v>
      </c>
      <c r="BQ542" s="1" t="s">
        <v>74</v>
      </c>
      <c r="BR542" s="1" t="s">
        <v>74</v>
      </c>
      <c r="BS542" s="1" t="s">
        <v>5238</v>
      </c>
      <c r="BT542" s="1" t="str">
        <f>HYPERLINK("https%3A%2F%2Fwww.webofscience.com%2Fwos%2Fwoscc%2Ffull-record%2FWOS:001102585000001","View Full Record in Web of Science")</f>
        <v>View Full Record in Web of Science</v>
      </c>
    </row>
    <row r="543" ht="12.75" customHeight="1">
      <c r="A543" s="1" t="s">
        <v>72</v>
      </c>
      <c r="B543" s="1" t="s">
        <v>5239</v>
      </c>
      <c r="C543" s="1" t="s">
        <v>74</v>
      </c>
      <c r="D543" s="1" t="s">
        <v>74</v>
      </c>
      <c r="E543" s="1" t="s">
        <v>74</v>
      </c>
      <c r="F543" s="1" t="s">
        <v>5240</v>
      </c>
      <c r="G543" s="1" t="s">
        <v>74</v>
      </c>
      <c r="H543" s="1" t="s">
        <v>74</v>
      </c>
      <c r="I543" s="1" t="s">
        <v>5241</v>
      </c>
      <c r="J543" s="1" t="s">
        <v>5242</v>
      </c>
      <c r="K543" s="1" t="s">
        <v>74</v>
      </c>
      <c r="L543" s="1" t="s">
        <v>74</v>
      </c>
      <c r="M543" s="1" t="s">
        <v>74</v>
      </c>
      <c r="N543" s="1" t="s">
        <v>74</v>
      </c>
      <c r="O543" s="1" t="s">
        <v>74</v>
      </c>
      <c r="P543" s="1" t="s">
        <v>74</v>
      </c>
      <c r="Q543" s="1" t="s">
        <v>74</v>
      </c>
      <c r="R543" s="1" t="s">
        <v>74</v>
      </c>
      <c r="S543" s="1" t="s">
        <v>74</v>
      </c>
      <c r="T543" s="1" t="s">
        <v>74</v>
      </c>
      <c r="U543" s="1" t="s">
        <v>74</v>
      </c>
      <c r="V543" s="1" t="s">
        <v>5243</v>
      </c>
      <c r="W543" s="1" t="s">
        <v>74</v>
      </c>
      <c r="X543" s="1" t="s">
        <v>74</v>
      </c>
      <c r="Y543" s="1" t="s">
        <v>74</v>
      </c>
      <c r="Z543" s="1" t="s">
        <v>74</v>
      </c>
      <c r="AA543" s="1" t="s">
        <v>5244</v>
      </c>
      <c r="AB543" s="1" t="s">
        <v>5245</v>
      </c>
      <c r="AC543" s="1" t="s">
        <v>74</v>
      </c>
      <c r="AD543" s="1" t="s">
        <v>74</v>
      </c>
      <c r="AE543" s="1" t="s">
        <v>74</v>
      </c>
      <c r="AF543" s="1" t="s">
        <v>74</v>
      </c>
      <c r="AG543" s="1" t="s">
        <v>74</v>
      </c>
      <c r="AH543" s="1" t="s">
        <v>74</v>
      </c>
      <c r="AI543" s="1" t="s">
        <v>74</v>
      </c>
      <c r="AJ543" s="1" t="s">
        <v>74</v>
      </c>
      <c r="AK543" s="1" t="s">
        <v>74</v>
      </c>
      <c r="AL543" s="1" t="s">
        <v>74</v>
      </c>
      <c r="AM543" s="1" t="s">
        <v>74</v>
      </c>
      <c r="AN543" s="1" t="s">
        <v>74</v>
      </c>
      <c r="AO543" s="1" t="s">
        <v>5246</v>
      </c>
      <c r="AP543" s="1" t="s">
        <v>74</v>
      </c>
      <c r="AQ543" s="1" t="s">
        <v>74</v>
      </c>
      <c r="AR543" s="1" t="s">
        <v>74</v>
      </c>
      <c r="AS543" s="1" t="s">
        <v>74</v>
      </c>
      <c r="AT543" s="1" t="s">
        <v>5247</v>
      </c>
      <c r="AU543" s="1">
        <v>2023.0</v>
      </c>
      <c r="AV543" s="1">
        <v>138.0</v>
      </c>
      <c r="AW543" s="1">
        <v>8.0</v>
      </c>
      <c r="AX543" s="1" t="s">
        <v>74</v>
      </c>
      <c r="AY543" s="1" t="s">
        <v>74</v>
      </c>
      <c r="AZ543" s="1" t="s">
        <v>74</v>
      </c>
      <c r="BA543" s="1" t="s">
        <v>74</v>
      </c>
      <c r="BB543" s="1" t="s">
        <v>74</v>
      </c>
      <c r="BC543" s="1" t="s">
        <v>74</v>
      </c>
      <c r="BD543" s="1">
        <v>738.0</v>
      </c>
      <c r="BE543" s="1" t="s">
        <v>5248</v>
      </c>
      <c r="BF543" s="2" t="str">
        <f>HYPERLINK("http://dx.doi.org/10.1140/epjp/s13360-023-04367-6","http://dx.doi.org/10.1140/epjp/s13360-023-04367-6")</f>
        <v>http://dx.doi.org/10.1140/epjp/s13360-023-04367-6</v>
      </c>
      <c r="BG543" s="1" t="s">
        <v>74</v>
      </c>
      <c r="BH543" s="1" t="s">
        <v>74</v>
      </c>
      <c r="BI543" s="1" t="s">
        <v>74</v>
      </c>
      <c r="BJ543" s="1" t="s">
        <v>74</v>
      </c>
      <c r="BK543" s="1" t="s">
        <v>74</v>
      </c>
      <c r="BL543" s="1" t="s">
        <v>74</v>
      </c>
      <c r="BM543" s="1" t="s">
        <v>74</v>
      </c>
      <c r="BN543" s="1" t="s">
        <v>74</v>
      </c>
      <c r="BO543" s="1" t="s">
        <v>74</v>
      </c>
      <c r="BP543" s="1" t="s">
        <v>74</v>
      </c>
      <c r="BQ543" s="1" t="s">
        <v>74</v>
      </c>
      <c r="BR543" s="1" t="s">
        <v>74</v>
      </c>
      <c r="BS543" s="1" t="s">
        <v>5249</v>
      </c>
      <c r="BT543" s="1" t="str">
        <f>HYPERLINK("https%3A%2F%2Fwww.webofscience.com%2Fwos%2Fwoscc%2Ffull-record%2FWOS:001064009200001","View Full Record in Web of Science")</f>
        <v>View Full Record in Web of Science</v>
      </c>
    </row>
    <row r="544" ht="12.75" customHeight="1">
      <c r="A544" s="1" t="s">
        <v>72</v>
      </c>
      <c r="B544" s="1" t="s">
        <v>5250</v>
      </c>
      <c r="C544" s="1" t="s">
        <v>74</v>
      </c>
      <c r="D544" s="1" t="s">
        <v>74</v>
      </c>
      <c r="E544" s="1" t="s">
        <v>74</v>
      </c>
      <c r="F544" s="1" t="s">
        <v>5251</v>
      </c>
      <c r="G544" s="1" t="s">
        <v>74</v>
      </c>
      <c r="H544" s="1" t="s">
        <v>74</v>
      </c>
      <c r="I544" s="1" t="s">
        <v>5252</v>
      </c>
      <c r="J544" s="1" t="s">
        <v>2015</v>
      </c>
      <c r="K544" s="1" t="s">
        <v>74</v>
      </c>
      <c r="L544" s="1" t="s">
        <v>74</v>
      </c>
      <c r="M544" s="1" t="s">
        <v>74</v>
      </c>
      <c r="N544" s="1" t="s">
        <v>74</v>
      </c>
      <c r="O544" s="1" t="s">
        <v>74</v>
      </c>
      <c r="P544" s="1" t="s">
        <v>74</v>
      </c>
      <c r="Q544" s="1" t="s">
        <v>74</v>
      </c>
      <c r="R544" s="1" t="s">
        <v>74</v>
      </c>
      <c r="S544" s="1" t="s">
        <v>74</v>
      </c>
      <c r="T544" s="1" t="s">
        <v>74</v>
      </c>
      <c r="U544" s="1" t="s">
        <v>74</v>
      </c>
      <c r="V544" s="1" t="s">
        <v>5253</v>
      </c>
      <c r="W544" s="1" t="s">
        <v>74</v>
      </c>
      <c r="X544" s="1" t="s">
        <v>74</v>
      </c>
      <c r="Y544" s="1" t="s">
        <v>74</v>
      </c>
      <c r="Z544" s="1" t="s">
        <v>74</v>
      </c>
      <c r="AA544" s="1" t="s">
        <v>5254</v>
      </c>
      <c r="AB544" s="1" t="s">
        <v>5255</v>
      </c>
      <c r="AC544" s="1" t="s">
        <v>74</v>
      </c>
      <c r="AD544" s="1" t="s">
        <v>74</v>
      </c>
      <c r="AE544" s="1" t="s">
        <v>74</v>
      </c>
      <c r="AF544" s="1" t="s">
        <v>74</v>
      </c>
      <c r="AG544" s="1" t="s">
        <v>74</v>
      </c>
      <c r="AH544" s="1" t="s">
        <v>74</v>
      </c>
      <c r="AI544" s="1" t="s">
        <v>74</v>
      </c>
      <c r="AJ544" s="1" t="s">
        <v>74</v>
      </c>
      <c r="AK544" s="1" t="s">
        <v>74</v>
      </c>
      <c r="AL544" s="1" t="s">
        <v>74</v>
      </c>
      <c r="AM544" s="1" t="s">
        <v>74</v>
      </c>
      <c r="AN544" s="1" t="s">
        <v>74</v>
      </c>
      <c r="AO544" s="1" t="s">
        <v>2019</v>
      </c>
      <c r="AP544" s="1" t="s">
        <v>74</v>
      </c>
      <c r="AQ544" s="1" t="s">
        <v>74</v>
      </c>
      <c r="AR544" s="1" t="s">
        <v>74</v>
      </c>
      <c r="AS544" s="1" t="s">
        <v>74</v>
      </c>
      <c r="AT544" s="1" t="s">
        <v>3275</v>
      </c>
      <c r="AU544" s="1">
        <v>2023.0</v>
      </c>
      <c r="AV544" s="1">
        <v>13.0</v>
      </c>
      <c r="AW544" s="1">
        <v>1.0</v>
      </c>
      <c r="AX544" s="1" t="s">
        <v>74</v>
      </c>
      <c r="AY544" s="1" t="s">
        <v>74</v>
      </c>
      <c r="AZ544" s="1" t="s">
        <v>74</v>
      </c>
      <c r="BA544" s="1" t="s">
        <v>74</v>
      </c>
      <c r="BB544" s="1" t="s">
        <v>74</v>
      </c>
      <c r="BC544" s="1" t="s">
        <v>74</v>
      </c>
      <c r="BD544" s="1">
        <v>1831.0</v>
      </c>
      <c r="BE544" s="1" t="s">
        <v>5256</v>
      </c>
      <c r="BF544" s="2" t="str">
        <f>HYPERLINK("http://dx.doi.org/10.1038/s41598-023-28920-6","http://dx.doi.org/10.1038/s41598-023-28920-6")</f>
        <v>http://dx.doi.org/10.1038/s41598-023-28920-6</v>
      </c>
      <c r="BG544" s="1" t="s">
        <v>74</v>
      </c>
      <c r="BH544" s="1" t="s">
        <v>74</v>
      </c>
      <c r="BI544" s="1" t="s">
        <v>74</v>
      </c>
      <c r="BJ544" s="1" t="s">
        <v>74</v>
      </c>
      <c r="BK544" s="1" t="s">
        <v>74</v>
      </c>
      <c r="BL544" s="1" t="s">
        <v>74</v>
      </c>
      <c r="BM544" s="1" t="s">
        <v>74</v>
      </c>
      <c r="BN544" s="1">
        <v>3.6726019E7</v>
      </c>
      <c r="BO544" s="1" t="s">
        <v>74</v>
      </c>
      <c r="BP544" s="1" t="s">
        <v>74</v>
      </c>
      <c r="BQ544" s="1" t="s">
        <v>74</v>
      </c>
      <c r="BR544" s="1" t="s">
        <v>74</v>
      </c>
      <c r="BS544" s="1" t="s">
        <v>5257</v>
      </c>
      <c r="BT544" s="1" t="str">
        <f>HYPERLINK("https%3A%2F%2Fwww.webofscience.com%2Fwos%2Fwoscc%2Ffull-record%2FWOS:000954545400042","View Full Record in Web of Science")</f>
        <v>View Full Record in Web of Science</v>
      </c>
    </row>
    <row r="545" ht="12.75" customHeight="1">
      <c r="A545" s="1" t="s">
        <v>72</v>
      </c>
      <c r="B545" s="1" t="s">
        <v>5258</v>
      </c>
      <c r="C545" s="1" t="s">
        <v>74</v>
      </c>
      <c r="D545" s="1" t="s">
        <v>74</v>
      </c>
      <c r="E545" s="1" t="s">
        <v>74</v>
      </c>
      <c r="F545" s="1" t="s">
        <v>5259</v>
      </c>
      <c r="G545" s="1" t="s">
        <v>74</v>
      </c>
      <c r="H545" s="1" t="s">
        <v>74</v>
      </c>
      <c r="I545" s="1" t="s">
        <v>5260</v>
      </c>
      <c r="J545" s="1" t="s">
        <v>5261</v>
      </c>
      <c r="K545" s="1" t="s">
        <v>74</v>
      </c>
      <c r="L545" s="1" t="s">
        <v>74</v>
      </c>
      <c r="M545" s="1" t="s">
        <v>74</v>
      </c>
      <c r="N545" s="1" t="s">
        <v>74</v>
      </c>
      <c r="O545" s="1" t="s">
        <v>74</v>
      </c>
      <c r="P545" s="1" t="s">
        <v>74</v>
      </c>
      <c r="Q545" s="1" t="s">
        <v>74</v>
      </c>
      <c r="R545" s="1" t="s">
        <v>74</v>
      </c>
      <c r="S545" s="1" t="s">
        <v>74</v>
      </c>
      <c r="T545" s="1" t="s">
        <v>74</v>
      </c>
      <c r="U545" s="1" t="s">
        <v>74</v>
      </c>
      <c r="V545" s="1" t="s">
        <v>5262</v>
      </c>
      <c r="W545" s="1" t="s">
        <v>74</v>
      </c>
      <c r="X545" s="1" t="s">
        <v>74</v>
      </c>
      <c r="Y545" s="1" t="s">
        <v>74</v>
      </c>
      <c r="Z545" s="1" t="s">
        <v>74</v>
      </c>
      <c r="AA545" s="1" t="s">
        <v>5263</v>
      </c>
      <c r="AB545" s="1" t="s">
        <v>3282</v>
      </c>
      <c r="AC545" s="1" t="s">
        <v>74</v>
      </c>
      <c r="AD545" s="1" t="s">
        <v>74</v>
      </c>
      <c r="AE545" s="1" t="s">
        <v>74</v>
      </c>
      <c r="AF545" s="1" t="s">
        <v>74</v>
      </c>
      <c r="AG545" s="1" t="s">
        <v>74</v>
      </c>
      <c r="AH545" s="1" t="s">
        <v>74</v>
      </c>
      <c r="AI545" s="1" t="s">
        <v>74</v>
      </c>
      <c r="AJ545" s="1" t="s">
        <v>74</v>
      </c>
      <c r="AK545" s="1" t="s">
        <v>74</v>
      </c>
      <c r="AL545" s="1" t="s">
        <v>74</v>
      </c>
      <c r="AM545" s="1" t="s">
        <v>74</v>
      </c>
      <c r="AN545" s="1" t="s">
        <v>74</v>
      </c>
      <c r="AO545" s="1" t="s">
        <v>5264</v>
      </c>
      <c r="AP545" s="1" t="s">
        <v>5265</v>
      </c>
      <c r="AQ545" s="1" t="s">
        <v>74</v>
      </c>
      <c r="AR545" s="1" t="s">
        <v>74</v>
      </c>
      <c r="AS545" s="1" t="s">
        <v>74</v>
      </c>
      <c r="AT545" s="1" t="s">
        <v>135</v>
      </c>
      <c r="AU545" s="1">
        <v>2022.0</v>
      </c>
      <c r="AV545" s="1">
        <v>86.0</v>
      </c>
      <c r="AW545" s="1">
        <v>1.0</v>
      </c>
      <c r="AX545" s="1" t="s">
        <v>74</v>
      </c>
      <c r="AY545" s="1" t="s">
        <v>74</v>
      </c>
      <c r="AZ545" s="1" t="s">
        <v>74</v>
      </c>
      <c r="BA545" s="1" t="s">
        <v>74</v>
      </c>
      <c r="BB545" s="1" t="s">
        <v>74</v>
      </c>
      <c r="BC545" s="1" t="s">
        <v>74</v>
      </c>
      <c r="BD545" s="1">
        <v>1.0</v>
      </c>
      <c r="BE545" s="1" t="s">
        <v>5266</v>
      </c>
      <c r="BF545" s="2" t="str">
        <f>HYPERLINK("http://dx.doi.org/10.1007/s00245-022-09870-3","http://dx.doi.org/10.1007/s00245-022-09870-3")</f>
        <v>http://dx.doi.org/10.1007/s00245-022-09870-3</v>
      </c>
      <c r="BG545" s="1" t="s">
        <v>74</v>
      </c>
      <c r="BH545" s="1" t="s">
        <v>74</v>
      </c>
      <c r="BI545" s="1" t="s">
        <v>74</v>
      </c>
      <c r="BJ545" s="1" t="s">
        <v>74</v>
      </c>
      <c r="BK545" s="1" t="s">
        <v>74</v>
      </c>
      <c r="BL545" s="1" t="s">
        <v>74</v>
      </c>
      <c r="BM545" s="1" t="s">
        <v>74</v>
      </c>
      <c r="BN545" s="1" t="s">
        <v>74</v>
      </c>
      <c r="BO545" s="1" t="s">
        <v>74</v>
      </c>
      <c r="BP545" s="1" t="s">
        <v>74</v>
      </c>
      <c r="BQ545" s="1" t="s">
        <v>74</v>
      </c>
      <c r="BR545" s="1" t="s">
        <v>74</v>
      </c>
      <c r="BS545" s="1" t="s">
        <v>5267</v>
      </c>
      <c r="BT545" s="1" t="str">
        <f>HYPERLINK("https%3A%2F%2Fwww.webofscience.com%2Fwos%2Fwoscc%2Ffull-record%2FWOS:000807545000007","View Full Record in Web of Science")</f>
        <v>View Full Record in Web of Science</v>
      </c>
    </row>
    <row r="546" ht="12.75" customHeight="1">
      <c r="A546" s="1" t="s">
        <v>72</v>
      </c>
      <c r="B546" s="1" t="s">
        <v>5268</v>
      </c>
      <c r="C546" s="1" t="s">
        <v>74</v>
      </c>
      <c r="D546" s="1" t="s">
        <v>74</v>
      </c>
      <c r="E546" s="1" t="s">
        <v>74</v>
      </c>
      <c r="F546" s="1" t="s">
        <v>5269</v>
      </c>
      <c r="G546" s="1" t="s">
        <v>74</v>
      </c>
      <c r="H546" s="1" t="s">
        <v>74</v>
      </c>
      <c r="I546" s="1" t="s">
        <v>5270</v>
      </c>
      <c r="J546" s="1" t="s">
        <v>316</v>
      </c>
      <c r="K546" s="1" t="s">
        <v>74</v>
      </c>
      <c r="L546" s="1" t="s">
        <v>74</v>
      </c>
      <c r="M546" s="1" t="s">
        <v>74</v>
      </c>
      <c r="N546" s="1" t="s">
        <v>74</v>
      </c>
      <c r="O546" s="1" t="s">
        <v>74</v>
      </c>
      <c r="P546" s="1" t="s">
        <v>74</v>
      </c>
      <c r="Q546" s="1" t="s">
        <v>74</v>
      </c>
      <c r="R546" s="1" t="s">
        <v>74</v>
      </c>
      <c r="S546" s="1" t="s">
        <v>74</v>
      </c>
      <c r="T546" s="1" t="s">
        <v>74</v>
      </c>
      <c r="U546" s="1" t="s">
        <v>74</v>
      </c>
      <c r="V546" s="1" t="s">
        <v>5271</v>
      </c>
      <c r="W546" s="1" t="s">
        <v>74</v>
      </c>
      <c r="X546" s="1" t="s">
        <v>74</v>
      </c>
      <c r="Y546" s="1" t="s">
        <v>74</v>
      </c>
      <c r="Z546" s="1" t="s">
        <v>74</v>
      </c>
      <c r="AA546" s="1" t="s">
        <v>74</v>
      </c>
      <c r="AB546" s="1" t="s">
        <v>74</v>
      </c>
      <c r="AC546" s="1" t="s">
        <v>74</v>
      </c>
      <c r="AD546" s="1" t="s">
        <v>74</v>
      </c>
      <c r="AE546" s="1" t="s">
        <v>74</v>
      </c>
      <c r="AF546" s="1" t="s">
        <v>74</v>
      </c>
      <c r="AG546" s="1" t="s">
        <v>74</v>
      </c>
      <c r="AH546" s="1" t="s">
        <v>74</v>
      </c>
      <c r="AI546" s="1" t="s">
        <v>74</v>
      </c>
      <c r="AJ546" s="1" t="s">
        <v>74</v>
      </c>
      <c r="AK546" s="1" t="s">
        <v>74</v>
      </c>
      <c r="AL546" s="1" t="s">
        <v>74</v>
      </c>
      <c r="AM546" s="1" t="s">
        <v>74</v>
      </c>
      <c r="AN546" s="1" t="s">
        <v>74</v>
      </c>
      <c r="AO546" s="1" t="s">
        <v>318</v>
      </c>
      <c r="AP546" s="1" t="s">
        <v>319</v>
      </c>
      <c r="AQ546" s="1" t="s">
        <v>74</v>
      </c>
      <c r="AR546" s="1" t="s">
        <v>74</v>
      </c>
      <c r="AS546" s="1" t="s">
        <v>74</v>
      </c>
      <c r="AT546" s="1" t="s">
        <v>1829</v>
      </c>
      <c r="AU546" s="1">
        <v>2022.0</v>
      </c>
      <c r="AV546" s="1">
        <v>12.0</v>
      </c>
      <c r="AW546" s="1">
        <v>1.0</v>
      </c>
      <c r="AX546" s="1" t="s">
        <v>74</v>
      </c>
      <c r="AY546" s="1" t="s">
        <v>74</v>
      </c>
      <c r="AZ546" s="1" t="s">
        <v>74</v>
      </c>
      <c r="BA546" s="1" t="s">
        <v>74</v>
      </c>
      <c r="BB546" s="1">
        <v>101.0</v>
      </c>
      <c r="BC546" s="1">
        <v>130.0</v>
      </c>
      <c r="BD546" s="1" t="s">
        <v>74</v>
      </c>
      <c r="BE546" s="1" t="s">
        <v>74</v>
      </c>
      <c r="BF546" s="1" t="s">
        <v>74</v>
      </c>
      <c r="BG546" s="1" t="s">
        <v>74</v>
      </c>
      <c r="BH546" s="1" t="s">
        <v>74</v>
      </c>
      <c r="BI546" s="1" t="s">
        <v>74</v>
      </c>
      <c r="BJ546" s="1" t="s">
        <v>74</v>
      </c>
      <c r="BK546" s="1" t="s">
        <v>74</v>
      </c>
      <c r="BL546" s="1" t="s">
        <v>74</v>
      </c>
      <c r="BM546" s="1" t="s">
        <v>74</v>
      </c>
      <c r="BN546" s="1" t="s">
        <v>74</v>
      </c>
      <c r="BO546" s="1" t="s">
        <v>74</v>
      </c>
      <c r="BP546" s="1" t="s">
        <v>74</v>
      </c>
      <c r="BQ546" s="1" t="s">
        <v>74</v>
      </c>
      <c r="BR546" s="1" t="s">
        <v>74</v>
      </c>
      <c r="BS546" s="1" t="s">
        <v>5272</v>
      </c>
      <c r="BT546" s="1" t="str">
        <f>HYPERLINK("https%3A%2F%2Fwww.webofscience.com%2Fwos%2Fwoscc%2Ffull-record%2FWOS:000826787100004","View Full Record in Web of Science")</f>
        <v>View Full Record in Web of Science</v>
      </c>
    </row>
    <row r="547" ht="12.75" customHeight="1">
      <c r="A547" s="1" t="s">
        <v>72</v>
      </c>
      <c r="B547" s="1" t="s">
        <v>5273</v>
      </c>
      <c r="C547" s="1" t="s">
        <v>74</v>
      </c>
      <c r="D547" s="1" t="s">
        <v>74</v>
      </c>
      <c r="E547" s="1" t="s">
        <v>74</v>
      </c>
      <c r="F547" s="1" t="s">
        <v>5274</v>
      </c>
      <c r="G547" s="1" t="s">
        <v>74</v>
      </c>
      <c r="H547" s="1" t="s">
        <v>74</v>
      </c>
      <c r="I547" s="1" t="s">
        <v>5275</v>
      </c>
      <c r="J547" s="1" t="s">
        <v>5276</v>
      </c>
      <c r="K547" s="1" t="s">
        <v>74</v>
      </c>
      <c r="L547" s="1" t="s">
        <v>74</v>
      </c>
      <c r="M547" s="1" t="s">
        <v>74</v>
      </c>
      <c r="N547" s="1" t="s">
        <v>74</v>
      </c>
      <c r="O547" s="1" t="s">
        <v>74</v>
      </c>
      <c r="P547" s="1" t="s">
        <v>74</v>
      </c>
      <c r="Q547" s="1" t="s">
        <v>74</v>
      </c>
      <c r="R547" s="1" t="s">
        <v>74</v>
      </c>
      <c r="S547" s="1" t="s">
        <v>74</v>
      </c>
      <c r="T547" s="1" t="s">
        <v>74</v>
      </c>
      <c r="U547" s="1" t="s">
        <v>74</v>
      </c>
      <c r="V547" s="1" t="s">
        <v>5277</v>
      </c>
      <c r="W547" s="1" t="s">
        <v>74</v>
      </c>
      <c r="X547" s="1" t="s">
        <v>74</v>
      </c>
      <c r="Y547" s="1" t="s">
        <v>74</v>
      </c>
      <c r="Z547" s="1" t="s">
        <v>74</v>
      </c>
      <c r="AA547" s="1" t="s">
        <v>5278</v>
      </c>
      <c r="AB547" s="1" t="s">
        <v>74</v>
      </c>
      <c r="AC547" s="1" t="s">
        <v>74</v>
      </c>
      <c r="AD547" s="1" t="s">
        <v>74</v>
      </c>
      <c r="AE547" s="1" t="s">
        <v>74</v>
      </c>
      <c r="AF547" s="1" t="s">
        <v>74</v>
      </c>
      <c r="AG547" s="1" t="s">
        <v>74</v>
      </c>
      <c r="AH547" s="1" t="s">
        <v>74</v>
      </c>
      <c r="AI547" s="1" t="s">
        <v>74</v>
      </c>
      <c r="AJ547" s="1" t="s">
        <v>74</v>
      </c>
      <c r="AK547" s="1" t="s">
        <v>74</v>
      </c>
      <c r="AL547" s="1" t="s">
        <v>74</v>
      </c>
      <c r="AM547" s="1" t="s">
        <v>74</v>
      </c>
      <c r="AN547" s="1" t="s">
        <v>74</v>
      </c>
      <c r="AO547" s="1" t="s">
        <v>74</v>
      </c>
      <c r="AP547" s="1" t="s">
        <v>5279</v>
      </c>
      <c r="AQ547" s="1" t="s">
        <v>74</v>
      </c>
      <c r="AR547" s="1" t="s">
        <v>74</v>
      </c>
      <c r="AS547" s="1" t="s">
        <v>74</v>
      </c>
      <c r="AT547" s="1" t="s">
        <v>4341</v>
      </c>
      <c r="AU547" s="1">
        <v>2021.0</v>
      </c>
      <c r="AV547" s="1">
        <v>92.0</v>
      </c>
      <c r="AW547" s="1">
        <v>6.0</v>
      </c>
      <c r="AX547" s="1" t="s">
        <v>74</v>
      </c>
      <c r="AY547" s="1" t="s">
        <v>74</v>
      </c>
      <c r="AZ547" s="1" t="s">
        <v>74</v>
      </c>
      <c r="BA547" s="1" t="s">
        <v>74</v>
      </c>
      <c r="BB547" s="1">
        <v>847.0</v>
      </c>
      <c r="BC547" s="1">
        <v>853.0</v>
      </c>
      <c r="BD547" s="1" t="s">
        <v>74</v>
      </c>
      <c r="BE547" s="1" t="s">
        <v>5280</v>
      </c>
      <c r="BF547" s="2" t="str">
        <f>HYPERLINK("http://dx.doi.org/10.32641/andespediatr.v92i6.3064","http://dx.doi.org/10.32641/andespediatr.v92i6.3064")</f>
        <v>http://dx.doi.org/10.32641/andespediatr.v92i6.3064</v>
      </c>
      <c r="BG547" s="1" t="s">
        <v>74</v>
      </c>
      <c r="BH547" s="1" t="s">
        <v>74</v>
      </c>
      <c r="BI547" s="1" t="s">
        <v>74</v>
      </c>
      <c r="BJ547" s="1" t="s">
        <v>74</v>
      </c>
      <c r="BK547" s="1" t="s">
        <v>74</v>
      </c>
      <c r="BL547" s="1" t="s">
        <v>74</v>
      </c>
      <c r="BM547" s="1" t="s">
        <v>74</v>
      </c>
      <c r="BN547" s="1">
        <v>3.5506795E7</v>
      </c>
      <c r="BO547" s="1" t="s">
        <v>74</v>
      </c>
      <c r="BP547" s="1" t="s">
        <v>74</v>
      </c>
      <c r="BQ547" s="1" t="s">
        <v>74</v>
      </c>
      <c r="BR547" s="1" t="s">
        <v>74</v>
      </c>
      <c r="BS547" s="1" t="s">
        <v>5281</v>
      </c>
      <c r="BT547" s="1" t="str">
        <f>HYPERLINK("https%3A%2F%2Fwww.webofscience.com%2Fwos%2Fwoscc%2Ffull-record%2FWOS:000808831900004","View Full Record in Web of Science")</f>
        <v>View Full Record in Web of Science</v>
      </c>
    </row>
    <row r="548" ht="12.75" customHeight="1">
      <c r="A548" s="1" t="s">
        <v>72</v>
      </c>
      <c r="B548" s="1" t="s">
        <v>5282</v>
      </c>
      <c r="C548" s="1" t="s">
        <v>74</v>
      </c>
      <c r="D548" s="1" t="s">
        <v>74</v>
      </c>
      <c r="E548" s="1" t="s">
        <v>74</v>
      </c>
      <c r="F548" s="1" t="s">
        <v>5283</v>
      </c>
      <c r="G548" s="1" t="s">
        <v>74</v>
      </c>
      <c r="H548" s="1" t="s">
        <v>74</v>
      </c>
      <c r="I548" s="1" t="s">
        <v>5284</v>
      </c>
      <c r="J548" s="1" t="s">
        <v>1329</v>
      </c>
      <c r="K548" s="1" t="s">
        <v>74</v>
      </c>
      <c r="L548" s="1" t="s">
        <v>74</v>
      </c>
      <c r="M548" s="1" t="s">
        <v>74</v>
      </c>
      <c r="N548" s="1" t="s">
        <v>74</v>
      </c>
      <c r="O548" s="1" t="s">
        <v>74</v>
      </c>
      <c r="P548" s="1" t="s">
        <v>74</v>
      </c>
      <c r="Q548" s="1" t="s">
        <v>74</v>
      </c>
      <c r="R548" s="1" t="s">
        <v>74</v>
      </c>
      <c r="S548" s="1" t="s">
        <v>74</v>
      </c>
      <c r="T548" s="1" t="s">
        <v>74</v>
      </c>
      <c r="U548" s="1" t="s">
        <v>74</v>
      </c>
      <c r="V548" s="1" t="s">
        <v>5285</v>
      </c>
      <c r="W548" s="1" t="s">
        <v>74</v>
      </c>
      <c r="X548" s="1" t="s">
        <v>74</v>
      </c>
      <c r="Y548" s="1" t="s">
        <v>74</v>
      </c>
      <c r="Z548" s="1" t="s">
        <v>74</v>
      </c>
      <c r="AA548" s="1" t="s">
        <v>5286</v>
      </c>
      <c r="AB548" s="1" t="s">
        <v>74</v>
      </c>
      <c r="AC548" s="1" t="s">
        <v>74</v>
      </c>
      <c r="AD548" s="1" t="s">
        <v>74</v>
      </c>
      <c r="AE548" s="1" t="s">
        <v>74</v>
      </c>
      <c r="AF548" s="1" t="s">
        <v>74</v>
      </c>
      <c r="AG548" s="1" t="s">
        <v>74</v>
      </c>
      <c r="AH548" s="1" t="s">
        <v>74</v>
      </c>
      <c r="AI548" s="1" t="s">
        <v>74</v>
      </c>
      <c r="AJ548" s="1" t="s">
        <v>74</v>
      </c>
      <c r="AK548" s="1" t="s">
        <v>74</v>
      </c>
      <c r="AL548" s="1" t="s">
        <v>74</v>
      </c>
      <c r="AM548" s="1" t="s">
        <v>74</v>
      </c>
      <c r="AN548" s="1" t="s">
        <v>74</v>
      </c>
      <c r="AO548" s="1" t="s">
        <v>5287</v>
      </c>
      <c r="AP548" s="1" t="s">
        <v>74</v>
      </c>
      <c r="AQ548" s="1" t="s">
        <v>74</v>
      </c>
      <c r="AR548" s="1" t="s">
        <v>74</v>
      </c>
      <c r="AS548" s="1" t="s">
        <v>74</v>
      </c>
      <c r="AT548" s="1" t="s">
        <v>5288</v>
      </c>
      <c r="AU548" s="1">
        <v>2021.0</v>
      </c>
      <c r="AV548" s="1">
        <v>28.0</v>
      </c>
      <c r="AW548" s="1" t="s">
        <v>74</v>
      </c>
      <c r="AX548" s="1" t="s">
        <v>74</v>
      </c>
      <c r="AY548" s="1" t="s">
        <v>74</v>
      </c>
      <c r="AZ548" s="1" t="s">
        <v>74</v>
      </c>
      <c r="BA548" s="1" t="s">
        <v>74</v>
      </c>
      <c r="BB548" s="1" t="s">
        <v>74</v>
      </c>
      <c r="BC548" s="1" t="s">
        <v>74</v>
      </c>
      <c r="BD548" s="1" t="s">
        <v>5289</v>
      </c>
      <c r="BE548" s="1" t="s">
        <v>5290</v>
      </c>
      <c r="BF548" s="2" t="str">
        <f>HYPERLINK("http://dx.doi.org/10.29101/crcs.v28i0.15904","http://dx.doi.org/10.29101/crcs.v28i0.15904")</f>
        <v>http://dx.doi.org/10.29101/crcs.v28i0.15904</v>
      </c>
      <c r="BG548" s="1" t="s">
        <v>74</v>
      </c>
      <c r="BH548" s="1" t="s">
        <v>74</v>
      </c>
      <c r="BI548" s="1" t="s">
        <v>74</v>
      </c>
      <c r="BJ548" s="1" t="s">
        <v>74</v>
      </c>
      <c r="BK548" s="1" t="s">
        <v>74</v>
      </c>
      <c r="BL548" s="1" t="s">
        <v>74</v>
      </c>
      <c r="BM548" s="1" t="s">
        <v>74</v>
      </c>
      <c r="BN548" s="1" t="s">
        <v>74</v>
      </c>
      <c r="BO548" s="1" t="s">
        <v>74</v>
      </c>
      <c r="BP548" s="1" t="s">
        <v>74</v>
      </c>
      <c r="BQ548" s="1" t="s">
        <v>74</v>
      </c>
      <c r="BR548" s="1" t="s">
        <v>74</v>
      </c>
      <c r="BS548" s="1" t="s">
        <v>5291</v>
      </c>
      <c r="BT548" s="1" t="str">
        <f>HYPERLINK("https%3A%2F%2Fwww.webofscience.com%2Fwos%2Fwoscc%2Ffull-record%2FWOS:000705366700001","View Full Record in Web of Science")</f>
        <v>View Full Record in Web of Science</v>
      </c>
    </row>
    <row r="549" ht="12.75" customHeight="1">
      <c r="A549" s="1" t="s">
        <v>72</v>
      </c>
      <c r="B549" s="1" t="s">
        <v>5292</v>
      </c>
      <c r="C549" s="1" t="s">
        <v>74</v>
      </c>
      <c r="D549" s="1" t="s">
        <v>74</v>
      </c>
      <c r="E549" s="1" t="s">
        <v>74</v>
      </c>
      <c r="F549" s="1" t="s">
        <v>4795</v>
      </c>
      <c r="G549" s="1" t="s">
        <v>74</v>
      </c>
      <c r="H549" s="1" t="s">
        <v>74</v>
      </c>
      <c r="I549" s="1" t="s">
        <v>5293</v>
      </c>
      <c r="J549" s="1" t="s">
        <v>5294</v>
      </c>
      <c r="K549" s="1" t="s">
        <v>74</v>
      </c>
      <c r="L549" s="1" t="s">
        <v>74</v>
      </c>
      <c r="M549" s="1" t="s">
        <v>74</v>
      </c>
      <c r="N549" s="1" t="s">
        <v>74</v>
      </c>
      <c r="O549" s="1" t="s">
        <v>74</v>
      </c>
      <c r="P549" s="1" t="s">
        <v>74</v>
      </c>
      <c r="Q549" s="1" t="s">
        <v>74</v>
      </c>
      <c r="R549" s="1" t="s">
        <v>74</v>
      </c>
      <c r="S549" s="1" t="s">
        <v>74</v>
      </c>
      <c r="T549" s="1" t="s">
        <v>74</v>
      </c>
      <c r="U549" s="1" t="s">
        <v>74</v>
      </c>
      <c r="V549" s="1" t="s">
        <v>5295</v>
      </c>
      <c r="W549" s="1" t="s">
        <v>74</v>
      </c>
      <c r="X549" s="1" t="s">
        <v>74</v>
      </c>
      <c r="Y549" s="1" t="s">
        <v>74</v>
      </c>
      <c r="Z549" s="1" t="s">
        <v>74</v>
      </c>
      <c r="AA549" s="1" t="s">
        <v>2757</v>
      </c>
      <c r="AB549" s="1" t="s">
        <v>2758</v>
      </c>
      <c r="AC549" s="1" t="s">
        <v>74</v>
      </c>
      <c r="AD549" s="1" t="s">
        <v>74</v>
      </c>
      <c r="AE549" s="1" t="s">
        <v>74</v>
      </c>
      <c r="AF549" s="1" t="s">
        <v>74</v>
      </c>
      <c r="AG549" s="1" t="s">
        <v>74</v>
      </c>
      <c r="AH549" s="1" t="s">
        <v>74</v>
      </c>
      <c r="AI549" s="1" t="s">
        <v>74</v>
      </c>
      <c r="AJ549" s="1" t="s">
        <v>74</v>
      </c>
      <c r="AK549" s="1" t="s">
        <v>74</v>
      </c>
      <c r="AL549" s="1" t="s">
        <v>74</v>
      </c>
      <c r="AM549" s="1" t="s">
        <v>74</v>
      </c>
      <c r="AN549" s="1" t="s">
        <v>74</v>
      </c>
      <c r="AO549" s="1" t="s">
        <v>5296</v>
      </c>
      <c r="AP549" s="1" t="s">
        <v>5297</v>
      </c>
      <c r="AQ549" s="1" t="s">
        <v>74</v>
      </c>
      <c r="AR549" s="1" t="s">
        <v>74</v>
      </c>
      <c r="AS549" s="1" t="s">
        <v>74</v>
      </c>
      <c r="AT549" s="1" t="s">
        <v>5298</v>
      </c>
      <c r="AU549" s="1">
        <v>2021.0</v>
      </c>
      <c r="AV549" s="1">
        <v>883.0</v>
      </c>
      <c r="AW549" s="1" t="s">
        <v>74</v>
      </c>
      <c r="AX549" s="1" t="s">
        <v>74</v>
      </c>
      <c r="AY549" s="1" t="s">
        <v>74</v>
      </c>
      <c r="AZ549" s="1" t="s">
        <v>74</v>
      </c>
      <c r="BA549" s="1" t="s">
        <v>74</v>
      </c>
      <c r="BB549" s="1">
        <v>69.0</v>
      </c>
      <c r="BC549" s="1">
        <v>82.0</v>
      </c>
      <c r="BD549" s="1" t="s">
        <v>74</v>
      </c>
      <c r="BE549" s="1" t="s">
        <v>5299</v>
      </c>
      <c r="BF549" s="2" t="str">
        <f>HYPERLINK("http://dx.doi.org/10.1016/j.tcs.2021.06.007","http://dx.doi.org/10.1016/j.tcs.2021.06.007")</f>
        <v>http://dx.doi.org/10.1016/j.tcs.2021.06.007</v>
      </c>
      <c r="BG549" s="1" t="s">
        <v>74</v>
      </c>
      <c r="BH549" s="1" t="s">
        <v>205</v>
      </c>
      <c r="BI549" s="1" t="s">
        <v>74</v>
      </c>
      <c r="BJ549" s="1" t="s">
        <v>74</v>
      </c>
      <c r="BK549" s="1" t="s">
        <v>74</v>
      </c>
      <c r="BL549" s="1" t="s">
        <v>74</v>
      </c>
      <c r="BM549" s="1" t="s">
        <v>74</v>
      </c>
      <c r="BN549" s="1" t="s">
        <v>74</v>
      </c>
      <c r="BO549" s="1" t="s">
        <v>74</v>
      </c>
      <c r="BP549" s="1" t="s">
        <v>74</v>
      </c>
      <c r="BQ549" s="1" t="s">
        <v>74</v>
      </c>
      <c r="BR549" s="1" t="s">
        <v>74</v>
      </c>
      <c r="BS549" s="1" t="s">
        <v>5300</v>
      </c>
      <c r="BT549" s="1" t="str">
        <f>HYPERLINK("https%3A%2F%2Fwww.webofscience.com%2Fwos%2Fwoscc%2Ffull-record%2FWOS:000685511000005","View Full Record in Web of Science")</f>
        <v>View Full Record in Web of Science</v>
      </c>
    </row>
    <row r="550" ht="12.75" customHeight="1">
      <c r="A550" s="1" t="s">
        <v>72</v>
      </c>
      <c r="B550" s="1" t="s">
        <v>5301</v>
      </c>
      <c r="C550" s="1" t="s">
        <v>74</v>
      </c>
      <c r="D550" s="1" t="s">
        <v>74</v>
      </c>
      <c r="E550" s="1" t="s">
        <v>74</v>
      </c>
      <c r="F550" s="1" t="s">
        <v>5302</v>
      </c>
      <c r="G550" s="1" t="s">
        <v>74</v>
      </c>
      <c r="H550" s="1" t="s">
        <v>74</v>
      </c>
      <c r="I550" s="1" t="s">
        <v>5303</v>
      </c>
      <c r="J550" s="1" t="s">
        <v>5304</v>
      </c>
      <c r="K550" s="1" t="s">
        <v>74</v>
      </c>
      <c r="L550" s="1" t="s">
        <v>74</v>
      </c>
      <c r="M550" s="1" t="s">
        <v>74</v>
      </c>
      <c r="N550" s="1" t="s">
        <v>74</v>
      </c>
      <c r="O550" s="1" t="s">
        <v>74</v>
      </c>
      <c r="P550" s="1" t="s">
        <v>74</v>
      </c>
      <c r="Q550" s="1" t="s">
        <v>74</v>
      </c>
      <c r="R550" s="1" t="s">
        <v>74</v>
      </c>
      <c r="S550" s="1" t="s">
        <v>74</v>
      </c>
      <c r="T550" s="1" t="s">
        <v>74</v>
      </c>
      <c r="U550" s="1" t="s">
        <v>74</v>
      </c>
      <c r="V550" s="1" t="s">
        <v>5305</v>
      </c>
      <c r="W550" s="1" t="s">
        <v>74</v>
      </c>
      <c r="X550" s="1" t="s">
        <v>74</v>
      </c>
      <c r="Y550" s="1" t="s">
        <v>74</v>
      </c>
      <c r="Z550" s="1" t="s">
        <v>74</v>
      </c>
      <c r="AA550" s="1" t="s">
        <v>5306</v>
      </c>
      <c r="AB550" s="1" t="s">
        <v>5307</v>
      </c>
      <c r="AC550" s="1" t="s">
        <v>74</v>
      </c>
      <c r="AD550" s="1" t="s">
        <v>74</v>
      </c>
      <c r="AE550" s="1" t="s">
        <v>74</v>
      </c>
      <c r="AF550" s="1" t="s">
        <v>74</v>
      </c>
      <c r="AG550" s="1" t="s">
        <v>74</v>
      </c>
      <c r="AH550" s="1" t="s">
        <v>74</v>
      </c>
      <c r="AI550" s="1" t="s">
        <v>74</v>
      </c>
      <c r="AJ550" s="1" t="s">
        <v>74</v>
      </c>
      <c r="AK550" s="1" t="s">
        <v>74</v>
      </c>
      <c r="AL550" s="1" t="s">
        <v>74</v>
      </c>
      <c r="AM550" s="1" t="s">
        <v>74</v>
      </c>
      <c r="AN550" s="1" t="s">
        <v>74</v>
      </c>
      <c r="AO550" s="1" t="s">
        <v>5308</v>
      </c>
      <c r="AP550" s="1" t="s">
        <v>5309</v>
      </c>
      <c r="AQ550" s="1" t="s">
        <v>74</v>
      </c>
      <c r="AR550" s="1" t="s">
        <v>74</v>
      </c>
      <c r="AS550" s="1" t="s">
        <v>74</v>
      </c>
      <c r="AT550" s="1" t="s">
        <v>459</v>
      </c>
      <c r="AU550" s="1">
        <v>2021.0</v>
      </c>
      <c r="AV550" s="1">
        <v>44.0</v>
      </c>
      <c r="AW550" s="1">
        <v>9.0</v>
      </c>
      <c r="AX550" s="1" t="s">
        <v>74</v>
      </c>
      <c r="AY550" s="1" t="s">
        <v>74</v>
      </c>
      <c r="AZ550" s="1" t="s">
        <v>74</v>
      </c>
      <c r="BA550" s="1" t="s">
        <v>74</v>
      </c>
      <c r="BB550" s="1">
        <v>1567.0</v>
      </c>
      <c r="BC550" s="1">
        <v>1577.0</v>
      </c>
      <c r="BD550" s="1" t="s">
        <v>74</v>
      </c>
      <c r="BE550" s="1" t="s">
        <v>5310</v>
      </c>
      <c r="BF550" s="2" t="str">
        <f>HYPERLINK("http://dx.doi.org/10.1002/ceat.202100134","http://dx.doi.org/10.1002/ceat.202100134")</f>
        <v>http://dx.doi.org/10.1002/ceat.202100134</v>
      </c>
      <c r="BG550" s="1" t="s">
        <v>74</v>
      </c>
      <c r="BH550" s="1" t="s">
        <v>5311</v>
      </c>
      <c r="BI550" s="1" t="s">
        <v>74</v>
      </c>
      <c r="BJ550" s="1" t="s">
        <v>74</v>
      </c>
      <c r="BK550" s="1" t="s">
        <v>74</v>
      </c>
      <c r="BL550" s="1" t="s">
        <v>74</v>
      </c>
      <c r="BM550" s="1" t="s">
        <v>74</v>
      </c>
      <c r="BN550" s="1" t="s">
        <v>74</v>
      </c>
      <c r="BO550" s="1" t="s">
        <v>74</v>
      </c>
      <c r="BP550" s="1" t="s">
        <v>74</v>
      </c>
      <c r="BQ550" s="1" t="s">
        <v>74</v>
      </c>
      <c r="BR550" s="1" t="s">
        <v>74</v>
      </c>
      <c r="BS550" s="1" t="s">
        <v>5312</v>
      </c>
      <c r="BT550" s="1" t="str">
        <f>HYPERLINK("https%3A%2F%2Fwww.webofscience.com%2Fwos%2Fwoscc%2Ffull-record%2FWOS:000679189200001","View Full Record in Web of Science")</f>
        <v>View Full Record in Web of Science</v>
      </c>
    </row>
    <row r="551" ht="12.75" customHeight="1">
      <c r="A551" s="1" t="s">
        <v>72</v>
      </c>
      <c r="B551" s="1" t="s">
        <v>5313</v>
      </c>
      <c r="C551" s="1" t="s">
        <v>74</v>
      </c>
      <c r="D551" s="1" t="s">
        <v>74</v>
      </c>
      <c r="E551" s="1" t="s">
        <v>74</v>
      </c>
      <c r="F551" s="1" t="s">
        <v>5314</v>
      </c>
      <c r="G551" s="1" t="s">
        <v>74</v>
      </c>
      <c r="H551" s="1" t="s">
        <v>74</v>
      </c>
      <c r="I551" s="1" t="s">
        <v>5315</v>
      </c>
      <c r="J551" s="1" t="s">
        <v>5182</v>
      </c>
      <c r="K551" s="1" t="s">
        <v>74</v>
      </c>
      <c r="L551" s="1" t="s">
        <v>74</v>
      </c>
      <c r="M551" s="1" t="s">
        <v>74</v>
      </c>
      <c r="N551" s="1" t="s">
        <v>74</v>
      </c>
      <c r="O551" s="1" t="s">
        <v>74</v>
      </c>
      <c r="P551" s="1" t="s">
        <v>74</v>
      </c>
      <c r="Q551" s="1" t="s">
        <v>74</v>
      </c>
      <c r="R551" s="1" t="s">
        <v>74</v>
      </c>
      <c r="S551" s="1" t="s">
        <v>74</v>
      </c>
      <c r="T551" s="1" t="s">
        <v>74</v>
      </c>
      <c r="U551" s="1" t="s">
        <v>74</v>
      </c>
      <c r="V551" s="1" t="s">
        <v>5316</v>
      </c>
      <c r="W551" s="1" t="s">
        <v>74</v>
      </c>
      <c r="X551" s="1" t="s">
        <v>74</v>
      </c>
      <c r="Y551" s="1" t="s">
        <v>74</v>
      </c>
      <c r="Z551" s="1" t="s">
        <v>74</v>
      </c>
      <c r="AA551" s="1" t="s">
        <v>5317</v>
      </c>
      <c r="AB551" s="1" t="s">
        <v>5318</v>
      </c>
      <c r="AC551" s="1" t="s">
        <v>74</v>
      </c>
      <c r="AD551" s="1" t="s">
        <v>74</v>
      </c>
      <c r="AE551" s="1" t="s">
        <v>74</v>
      </c>
      <c r="AF551" s="1" t="s">
        <v>74</v>
      </c>
      <c r="AG551" s="1" t="s">
        <v>74</v>
      </c>
      <c r="AH551" s="1" t="s">
        <v>74</v>
      </c>
      <c r="AI551" s="1" t="s">
        <v>74</v>
      </c>
      <c r="AJ551" s="1" t="s">
        <v>74</v>
      </c>
      <c r="AK551" s="1" t="s">
        <v>74</v>
      </c>
      <c r="AL551" s="1" t="s">
        <v>74</v>
      </c>
      <c r="AM551" s="1" t="s">
        <v>74</v>
      </c>
      <c r="AN551" s="1" t="s">
        <v>74</v>
      </c>
      <c r="AO551" s="1" t="s">
        <v>5185</v>
      </c>
      <c r="AP551" s="1" t="s">
        <v>5186</v>
      </c>
      <c r="AQ551" s="1" t="s">
        <v>74</v>
      </c>
      <c r="AR551" s="1" t="s">
        <v>74</v>
      </c>
      <c r="AS551" s="1" t="s">
        <v>74</v>
      </c>
      <c r="AT551" s="1" t="s">
        <v>2282</v>
      </c>
      <c r="AU551" s="1">
        <v>2021.0</v>
      </c>
      <c r="AV551" s="1">
        <v>167.0</v>
      </c>
      <c r="AW551" s="1" t="s">
        <v>74</v>
      </c>
      <c r="AX551" s="1" t="s">
        <v>74</v>
      </c>
      <c r="AY551" s="1" t="s">
        <v>74</v>
      </c>
      <c r="AZ551" s="1" t="s">
        <v>74</v>
      </c>
      <c r="BA551" s="1" t="s">
        <v>74</v>
      </c>
      <c r="BB551" s="1">
        <v>255.0</v>
      </c>
      <c r="BC551" s="1">
        <v>266.0</v>
      </c>
      <c r="BD551" s="1" t="s">
        <v>74</v>
      </c>
      <c r="BE551" s="1" t="s">
        <v>5319</v>
      </c>
      <c r="BF551" s="2" t="str">
        <f>HYPERLINK("http://dx.doi.org/10.1016/j.ijbiomac.2020.11.140","http://dx.doi.org/10.1016/j.ijbiomac.2020.11.140")</f>
        <v>http://dx.doi.org/10.1016/j.ijbiomac.2020.11.140</v>
      </c>
      <c r="BG551" s="1" t="s">
        <v>74</v>
      </c>
      <c r="BH551" s="1" t="s">
        <v>74</v>
      </c>
      <c r="BI551" s="1" t="s">
        <v>74</v>
      </c>
      <c r="BJ551" s="1" t="s">
        <v>74</v>
      </c>
      <c r="BK551" s="1" t="s">
        <v>74</v>
      </c>
      <c r="BL551" s="1" t="s">
        <v>74</v>
      </c>
      <c r="BM551" s="1" t="s">
        <v>74</v>
      </c>
      <c r="BN551" s="1">
        <v>3.3246007E7</v>
      </c>
      <c r="BO551" s="1" t="s">
        <v>74</v>
      </c>
      <c r="BP551" s="1" t="s">
        <v>74</v>
      </c>
      <c r="BQ551" s="1" t="s">
        <v>74</v>
      </c>
      <c r="BR551" s="1" t="s">
        <v>74</v>
      </c>
      <c r="BS551" s="1" t="s">
        <v>5320</v>
      </c>
      <c r="BT551" s="1" t="str">
        <f>HYPERLINK("https%3A%2F%2Fwww.webofscience.com%2Fwos%2Fwoscc%2Ffull-record%2FWOS:000606683200025","View Full Record in Web of Science")</f>
        <v>View Full Record in Web of Science</v>
      </c>
    </row>
    <row r="552" ht="12.75" customHeight="1">
      <c r="A552" s="1" t="s">
        <v>242</v>
      </c>
      <c r="B552" s="1" t="s">
        <v>243</v>
      </c>
      <c r="C552" s="1" t="s">
        <v>74</v>
      </c>
      <c r="D552" s="1" t="s">
        <v>244</v>
      </c>
      <c r="E552" s="1" t="s">
        <v>74</v>
      </c>
      <c r="F552" s="1" t="s">
        <v>245</v>
      </c>
      <c r="G552" s="1" t="s">
        <v>74</v>
      </c>
      <c r="H552" s="1" t="s">
        <v>74</v>
      </c>
      <c r="I552" s="1" t="s">
        <v>5321</v>
      </c>
      <c r="J552" s="1" t="s">
        <v>247</v>
      </c>
      <c r="K552" s="1" t="s">
        <v>74</v>
      </c>
      <c r="L552" s="1" t="s">
        <v>74</v>
      </c>
      <c r="M552" s="1" t="s">
        <v>74</v>
      </c>
      <c r="N552" s="1" t="s">
        <v>74</v>
      </c>
      <c r="O552" s="1" t="s">
        <v>74</v>
      </c>
      <c r="P552" s="1" t="s">
        <v>74</v>
      </c>
      <c r="Q552" s="1" t="s">
        <v>74</v>
      </c>
      <c r="R552" s="1" t="s">
        <v>74</v>
      </c>
      <c r="S552" s="1" t="s">
        <v>74</v>
      </c>
      <c r="T552" s="1" t="s">
        <v>74</v>
      </c>
      <c r="U552" s="1" t="s">
        <v>74</v>
      </c>
      <c r="V552" s="1" t="s">
        <v>74</v>
      </c>
      <c r="W552" s="1" t="s">
        <v>74</v>
      </c>
      <c r="X552" s="1" t="s">
        <v>74</v>
      </c>
      <c r="Y552" s="1" t="s">
        <v>74</v>
      </c>
      <c r="Z552" s="1" t="s">
        <v>74</v>
      </c>
      <c r="AA552" s="1" t="s">
        <v>74</v>
      </c>
      <c r="AB552" s="1" t="s">
        <v>74</v>
      </c>
      <c r="AC552" s="1" t="s">
        <v>74</v>
      </c>
      <c r="AD552" s="1" t="s">
        <v>74</v>
      </c>
      <c r="AE552" s="1" t="s">
        <v>74</v>
      </c>
      <c r="AF552" s="1" t="s">
        <v>74</v>
      </c>
      <c r="AG552" s="1" t="s">
        <v>74</v>
      </c>
      <c r="AH552" s="1" t="s">
        <v>74</v>
      </c>
      <c r="AI552" s="1" t="s">
        <v>74</v>
      </c>
      <c r="AJ552" s="1" t="s">
        <v>74</v>
      </c>
      <c r="AK552" s="1" t="s">
        <v>74</v>
      </c>
      <c r="AL552" s="1" t="s">
        <v>74</v>
      </c>
      <c r="AM552" s="1" t="s">
        <v>74</v>
      </c>
      <c r="AN552" s="1" t="s">
        <v>74</v>
      </c>
      <c r="AO552" s="1" t="s">
        <v>74</v>
      </c>
      <c r="AP552" s="1" t="s">
        <v>74</v>
      </c>
      <c r="AQ552" s="1" t="s">
        <v>248</v>
      </c>
      <c r="AR552" s="1" t="s">
        <v>74</v>
      </c>
      <c r="AS552" s="1" t="s">
        <v>74</v>
      </c>
      <c r="AT552" s="1" t="s">
        <v>74</v>
      </c>
      <c r="AU552" s="1">
        <v>2021.0</v>
      </c>
      <c r="AV552" s="1" t="s">
        <v>74</v>
      </c>
      <c r="AW552" s="1" t="s">
        <v>74</v>
      </c>
      <c r="AX552" s="1" t="s">
        <v>74</v>
      </c>
      <c r="AY552" s="1" t="s">
        <v>74</v>
      </c>
      <c r="AZ552" s="1" t="s">
        <v>74</v>
      </c>
      <c r="BA552" s="1" t="s">
        <v>74</v>
      </c>
      <c r="BB552" s="1">
        <v>138.0</v>
      </c>
      <c r="BC552" s="1">
        <v>156.0</v>
      </c>
      <c r="BD552" s="1" t="s">
        <v>74</v>
      </c>
      <c r="BE552" s="1" t="s">
        <v>74</v>
      </c>
      <c r="BF552" s="1" t="s">
        <v>74</v>
      </c>
      <c r="BG552" s="1" t="s">
        <v>249</v>
      </c>
      <c r="BH552" s="1" t="s">
        <v>74</v>
      </c>
      <c r="BI552" s="1" t="s">
        <v>74</v>
      </c>
      <c r="BJ552" s="1" t="s">
        <v>74</v>
      </c>
      <c r="BK552" s="1" t="s">
        <v>74</v>
      </c>
      <c r="BL552" s="1" t="s">
        <v>74</v>
      </c>
      <c r="BM552" s="1" t="s">
        <v>74</v>
      </c>
      <c r="BN552" s="1" t="s">
        <v>74</v>
      </c>
      <c r="BO552" s="1" t="s">
        <v>74</v>
      </c>
      <c r="BP552" s="1" t="s">
        <v>74</v>
      </c>
      <c r="BQ552" s="1" t="s">
        <v>74</v>
      </c>
      <c r="BR552" s="1" t="s">
        <v>74</v>
      </c>
      <c r="BS552" s="1" t="s">
        <v>5322</v>
      </c>
      <c r="BT552" s="1" t="str">
        <f>HYPERLINK("https%3A%2F%2Fwww.webofscience.com%2Fwos%2Fwoscc%2Ffull-record%2FWOS:001178587400008","View Full Record in Web of Science")</f>
        <v>View Full Record in Web of Science</v>
      </c>
    </row>
    <row r="553" ht="12.75" customHeight="1">
      <c r="A553" s="1" t="s">
        <v>251</v>
      </c>
      <c r="B553" s="1" t="s">
        <v>5323</v>
      </c>
      <c r="C553" s="1" t="s">
        <v>74</v>
      </c>
      <c r="D553" s="1" t="s">
        <v>74</v>
      </c>
      <c r="E553" s="1" t="s">
        <v>253</v>
      </c>
      <c r="F553" s="1" t="s">
        <v>5324</v>
      </c>
      <c r="G553" s="1" t="s">
        <v>74</v>
      </c>
      <c r="H553" s="1" t="s">
        <v>74</v>
      </c>
      <c r="I553" s="1" t="s">
        <v>5325</v>
      </c>
      <c r="J553" s="1" t="s">
        <v>256</v>
      </c>
      <c r="K553" s="1" t="s">
        <v>74</v>
      </c>
      <c r="L553" s="1" t="s">
        <v>74</v>
      </c>
      <c r="M553" s="1" t="s">
        <v>74</v>
      </c>
      <c r="N553" s="1" t="s">
        <v>74</v>
      </c>
      <c r="O553" s="1" t="s">
        <v>257</v>
      </c>
      <c r="P553" s="1" t="s">
        <v>258</v>
      </c>
      <c r="Q553" s="1" t="s">
        <v>259</v>
      </c>
      <c r="R553" s="1" t="s">
        <v>260</v>
      </c>
      <c r="S553" s="1" t="s">
        <v>74</v>
      </c>
      <c r="T553" s="1" t="s">
        <v>74</v>
      </c>
      <c r="U553" s="1" t="s">
        <v>74</v>
      </c>
      <c r="V553" s="1" t="s">
        <v>5326</v>
      </c>
      <c r="W553" s="1" t="s">
        <v>74</v>
      </c>
      <c r="X553" s="1" t="s">
        <v>74</v>
      </c>
      <c r="Y553" s="1" t="s">
        <v>74</v>
      </c>
      <c r="Z553" s="1" t="s">
        <v>74</v>
      </c>
      <c r="AA553" s="1" t="s">
        <v>5327</v>
      </c>
      <c r="AB553" s="1" t="s">
        <v>263</v>
      </c>
      <c r="AC553" s="1" t="s">
        <v>74</v>
      </c>
      <c r="AD553" s="1" t="s">
        <v>74</v>
      </c>
      <c r="AE553" s="1" t="s">
        <v>74</v>
      </c>
      <c r="AF553" s="1" t="s">
        <v>74</v>
      </c>
      <c r="AG553" s="1" t="s">
        <v>74</v>
      </c>
      <c r="AH553" s="1" t="s">
        <v>74</v>
      </c>
      <c r="AI553" s="1" t="s">
        <v>74</v>
      </c>
      <c r="AJ553" s="1" t="s">
        <v>74</v>
      </c>
      <c r="AK553" s="1" t="s">
        <v>74</v>
      </c>
      <c r="AL553" s="1" t="s">
        <v>74</v>
      </c>
      <c r="AM553" s="1" t="s">
        <v>74</v>
      </c>
      <c r="AN553" s="1" t="s">
        <v>74</v>
      </c>
      <c r="AO553" s="1" t="s">
        <v>74</v>
      </c>
      <c r="AP553" s="1" t="s">
        <v>74</v>
      </c>
      <c r="AQ553" s="1" t="s">
        <v>264</v>
      </c>
      <c r="AR553" s="1" t="s">
        <v>74</v>
      </c>
      <c r="AS553" s="1" t="s">
        <v>74</v>
      </c>
      <c r="AT553" s="1" t="s">
        <v>74</v>
      </c>
      <c r="AU553" s="1">
        <v>2021.0</v>
      </c>
      <c r="AV553" s="1" t="s">
        <v>74</v>
      </c>
      <c r="AW553" s="1" t="s">
        <v>74</v>
      </c>
      <c r="AX553" s="1" t="s">
        <v>74</v>
      </c>
      <c r="AY553" s="1" t="s">
        <v>74</v>
      </c>
      <c r="AZ553" s="1" t="s">
        <v>74</v>
      </c>
      <c r="BA553" s="1" t="s">
        <v>74</v>
      </c>
      <c r="BB553" s="1" t="s">
        <v>74</v>
      </c>
      <c r="BC553" s="1" t="s">
        <v>74</v>
      </c>
      <c r="BD553" s="1" t="s">
        <v>74</v>
      </c>
      <c r="BE553" s="1" t="s">
        <v>5328</v>
      </c>
      <c r="BF553" s="2" t="str">
        <f>HYPERLINK("http://dx.doi.org/10.1109/ICAACCA51523.2021.9465236","http://dx.doi.org/10.1109/ICAACCA51523.2021.9465236")</f>
        <v>http://dx.doi.org/10.1109/ICAACCA51523.2021.9465236</v>
      </c>
      <c r="BG553" s="1" t="s">
        <v>74</v>
      </c>
      <c r="BH553" s="1" t="s">
        <v>74</v>
      </c>
      <c r="BI553" s="1" t="s">
        <v>74</v>
      </c>
      <c r="BJ553" s="1" t="s">
        <v>74</v>
      </c>
      <c r="BK553" s="1" t="s">
        <v>74</v>
      </c>
      <c r="BL553" s="1" t="s">
        <v>74</v>
      </c>
      <c r="BM553" s="1" t="s">
        <v>74</v>
      </c>
      <c r="BN553" s="1" t="s">
        <v>74</v>
      </c>
      <c r="BO553" s="1" t="s">
        <v>74</v>
      </c>
      <c r="BP553" s="1" t="s">
        <v>74</v>
      </c>
      <c r="BQ553" s="1" t="s">
        <v>74</v>
      </c>
      <c r="BR553" s="1" t="s">
        <v>74</v>
      </c>
      <c r="BS553" s="1" t="s">
        <v>5329</v>
      </c>
      <c r="BT553" s="1" t="str">
        <f>HYPERLINK("https%3A%2F%2Fwww.webofscience.com%2Fwos%2Fwoscc%2Ffull-record%2FWOS:000855764500076","View Full Record in Web of Science")</f>
        <v>View Full Record in Web of Science</v>
      </c>
    </row>
    <row r="554" ht="12.75" customHeight="1">
      <c r="A554" s="1" t="s">
        <v>251</v>
      </c>
      <c r="B554" s="1" t="s">
        <v>5330</v>
      </c>
      <c r="C554" s="1" t="s">
        <v>74</v>
      </c>
      <c r="D554" s="1" t="s">
        <v>74</v>
      </c>
      <c r="E554" s="1" t="s">
        <v>253</v>
      </c>
      <c r="F554" s="1" t="s">
        <v>5331</v>
      </c>
      <c r="G554" s="1" t="s">
        <v>74</v>
      </c>
      <c r="H554" s="1" t="s">
        <v>74</v>
      </c>
      <c r="I554" s="1" t="s">
        <v>5332</v>
      </c>
      <c r="J554" s="1" t="s">
        <v>5333</v>
      </c>
      <c r="K554" s="1" t="s">
        <v>74</v>
      </c>
      <c r="L554" s="1" t="s">
        <v>74</v>
      </c>
      <c r="M554" s="1" t="s">
        <v>74</v>
      </c>
      <c r="N554" s="1" t="s">
        <v>74</v>
      </c>
      <c r="O554" s="1" t="s">
        <v>5334</v>
      </c>
      <c r="P554" s="1" t="s">
        <v>5335</v>
      </c>
      <c r="Q554" s="1" t="s">
        <v>259</v>
      </c>
      <c r="R554" s="1" t="s">
        <v>5336</v>
      </c>
      <c r="S554" s="1" t="s">
        <v>74</v>
      </c>
      <c r="T554" s="1" t="s">
        <v>74</v>
      </c>
      <c r="U554" s="1" t="s">
        <v>74</v>
      </c>
      <c r="V554" s="1" t="s">
        <v>5337</v>
      </c>
      <c r="W554" s="1" t="s">
        <v>74</v>
      </c>
      <c r="X554" s="1" t="s">
        <v>74</v>
      </c>
      <c r="Y554" s="1" t="s">
        <v>74</v>
      </c>
      <c r="Z554" s="1" t="s">
        <v>74</v>
      </c>
      <c r="AA554" s="1" t="s">
        <v>5338</v>
      </c>
      <c r="AB554" s="1" t="s">
        <v>263</v>
      </c>
      <c r="AC554" s="1" t="s">
        <v>74</v>
      </c>
      <c r="AD554" s="1" t="s">
        <v>74</v>
      </c>
      <c r="AE554" s="1" t="s">
        <v>74</v>
      </c>
      <c r="AF554" s="1" t="s">
        <v>74</v>
      </c>
      <c r="AG554" s="1" t="s">
        <v>74</v>
      </c>
      <c r="AH554" s="1" t="s">
        <v>74</v>
      </c>
      <c r="AI554" s="1" t="s">
        <v>74</v>
      </c>
      <c r="AJ554" s="1" t="s">
        <v>74</v>
      </c>
      <c r="AK554" s="1" t="s">
        <v>74</v>
      </c>
      <c r="AL554" s="1" t="s">
        <v>74</v>
      </c>
      <c r="AM554" s="1" t="s">
        <v>74</v>
      </c>
      <c r="AN554" s="1" t="s">
        <v>74</v>
      </c>
      <c r="AO554" s="1" t="s">
        <v>74</v>
      </c>
      <c r="AP554" s="1" t="s">
        <v>74</v>
      </c>
      <c r="AQ554" s="1" t="s">
        <v>5339</v>
      </c>
      <c r="AR554" s="1" t="s">
        <v>74</v>
      </c>
      <c r="AS554" s="1" t="s">
        <v>74</v>
      </c>
      <c r="AT554" s="1" t="s">
        <v>74</v>
      </c>
      <c r="AU554" s="1">
        <v>2021.0</v>
      </c>
      <c r="AV554" s="1" t="s">
        <v>74</v>
      </c>
      <c r="AW554" s="1" t="s">
        <v>74</v>
      </c>
      <c r="AX554" s="1" t="s">
        <v>74</v>
      </c>
      <c r="AY554" s="1" t="s">
        <v>74</v>
      </c>
      <c r="AZ554" s="1" t="s">
        <v>74</v>
      </c>
      <c r="BA554" s="1" t="s">
        <v>74</v>
      </c>
      <c r="BB554" s="1" t="s">
        <v>74</v>
      </c>
      <c r="BC554" s="1" t="s">
        <v>74</v>
      </c>
      <c r="BD554" s="1" t="s">
        <v>74</v>
      </c>
      <c r="BE554" s="1" t="s">
        <v>5340</v>
      </c>
      <c r="BF554" s="2" t="str">
        <f>HYPERLINK("http://dx.doi.org/10.1109/EVER52347.2021.9456646","http://dx.doi.org/10.1109/EVER52347.2021.9456646")</f>
        <v>http://dx.doi.org/10.1109/EVER52347.2021.9456646</v>
      </c>
      <c r="BG554" s="1" t="s">
        <v>74</v>
      </c>
      <c r="BH554" s="1" t="s">
        <v>74</v>
      </c>
      <c r="BI554" s="1" t="s">
        <v>74</v>
      </c>
      <c r="BJ554" s="1" t="s">
        <v>74</v>
      </c>
      <c r="BK554" s="1" t="s">
        <v>74</v>
      </c>
      <c r="BL554" s="1" t="s">
        <v>74</v>
      </c>
      <c r="BM554" s="1" t="s">
        <v>74</v>
      </c>
      <c r="BN554" s="1" t="s">
        <v>74</v>
      </c>
      <c r="BO554" s="1" t="s">
        <v>74</v>
      </c>
      <c r="BP554" s="1" t="s">
        <v>74</v>
      </c>
      <c r="BQ554" s="1" t="s">
        <v>74</v>
      </c>
      <c r="BR554" s="1" t="s">
        <v>74</v>
      </c>
      <c r="BS554" s="1" t="s">
        <v>5341</v>
      </c>
      <c r="BT554" s="1" t="str">
        <f>HYPERLINK("https%3A%2F%2Fwww.webofscience.com%2Fwos%2Fwoscc%2Ffull-record%2FWOS:000713923900047","View Full Record in Web of Science")</f>
        <v>View Full Record in Web of Science</v>
      </c>
    </row>
    <row r="555" ht="12.75" customHeight="1">
      <c r="A555" s="1" t="s">
        <v>242</v>
      </c>
      <c r="B555" s="1" t="s">
        <v>5342</v>
      </c>
      <c r="C555" s="1" t="s">
        <v>74</v>
      </c>
      <c r="D555" s="1" t="s">
        <v>5343</v>
      </c>
      <c r="E555" s="1" t="s">
        <v>74</v>
      </c>
      <c r="F555" s="1" t="s">
        <v>5344</v>
      </c>
      <c r="G555" s="1" t="s">
        <v>74</v>
      </c>
      <c r="H555" s="1" t="s">
        <v>74</v>
      </c>
      <c r="I555" s="1" t="s">
        <v>5345</v>
      </c>
      <c r="J555" s="1" t="s">
        <v>5346</v>
      </c>
      <c r="K555" s="1" t="s">
        <v>74</v>
      </c>
      <c r="L555" s="1" t="s">
        <v>74</v>
      </c>
      <c r="M555" s="1" t="s">
        <v>74</v>
      </c>
      <c r="N555" s="1" t="s">
        <v>74</v>
      </c>
      <c r="O555" s="1" t="s">
        <v>74</v>
      </c>
      <c r="P555" s="1" t="s">
        <v>74</v>
      </c>
      <c r="Q555" s="1" t="s">
        <v>74</v>
      </c>
      <c r="R555" s="1" t="s">
        <v>74</v>
      </c>
      <c r="S555" s="1" t="s">
        <v>74</v>
      </c>
      <c r="T555" s="1" t="s">
        <v>74</v>
      </c>
      <c r="U555" s="1" t="s">
        <v>74</v>
      </c>
      <c r="V555" s="1" t="s">
        <v>74</v>
      </c>
      <c r="W555" s="1" t="s">
        <v>74</v>
      </c>
      <c r="X555" s="1" t="s">
        <v>74</v>
      </c>
      <c r="Y555" s="1" t="s">
        <v>74</v>
      </c>
      <c r="Z555" s="1" t="s">
        <v>74</v>
      </c>
      <c r="AA555" s="1" t="s">
        <v>74</v>
      </c>
      <c r="AB555" s="1" t="s">
        <v>74</v>
      </c>
      <c r="AC555" s="1" t="s">
        <v>74</v>
      </c>
      <c r="AD555" s="1" t="s">
        <v>74</v>
      </c>
      <c r="AE555" s="1" t="s">
        <v>74</v>
      </c>
      <c r="AF555" s="1" t="s">
        <v>74</v>
      </c>
      <c r="AG555" s="1" t="s">
        <v>74</v>
      </c>
      <c r="AH555" s="1" t="s">
        <v>74</v>
      </c>
      <c r="AI555" s="1" t="s">
        <v>74</v>
      </c>
      <c r="AJ555" s="1" t="s">
        <v>74</v>
      </c>
      <c r="AK555" s="1" t="s">
        <v>74</v>
      </c>
      <c r="AL555" s="1" t="s">
        <v>74</v>
      </c>
      <c r="AM555" s="1" t="s">
        <v>74</v>
      </c>
      <c r="AN555" s="1" t="s">
        <v>74</v>
      </c>
      <c r="AO555" s="1" t="s">
        <v>74</v>
      </c>
      <c r="AP555" s="1" t="s">
        <v>74</v>
      </c>
      <c r="AQ555" s="1" t="s">
        <v>5347</v>
      </c>
      <c r="AR555" s="1" t="s">
        <v>74</v>
      </c>
      <c r="AS555" s="1" t="s">
        <v>74</v>
      </c>
      <c r="AT555" s="1" t="s">
        <v>74</v>
      </c>
      <c r="AU555" s="1">
        <v>2021.0</v>
      </c>
      <c r="AV555" s="1" t="s">
        <v>74</v>
      </c>
      <c r="AW555" s="1" t="s">
        <v>74</v>
      </c>
      <c r="AX555" s="1" t="s">
        <v>74</v>
      </c>
      <c r="AY555" s="1" t="s">
        <v>74</v>
      </c>
      <c r="AZ555" s="1" t="s">
        <v>74</v>
      </c>
      <c r="BA555" s="1" t="s">
        <v>74</v>
      </c>
      <c r="BB555" s="1">
        <v>275.0</v>
      </c>
      <c r="BC555" s="1">
        <v>297.0</v>
      </c>
      <c r="BD555" s="1" t="s">
        <v>74</v>
      </c>
      <c r="BE555" s="1" t="s">
        <v>74</v>
      </c>
      <c r="BF555" s="1" t="s">
        <v>74</v>
      </c>
      <c r="BG555" s="1" t="s">
        <v>74</v>
      </c>
      <c r="BH555" s="1" t="s">
        <v>74</v>
      </c>
      <c r="BI555" s="1" t="s">
        <v>74</v>
      </c>
      <c r="BJ555" s="1" t="s">
        <v>74</v>
      </c>
      <c r="BK555" s="1" t="s">
        <v>74</v>
      </c>
      <c r="BL555" s="1" t="s">
        <v>74</v>
      </c>
      <c r="BM555" s="1" t="s">
        <v>74</v>
      </c>
      <c r="BN555" s="1" t="s">
        <v>74</v>
      </c>
      <c r="BO555" s="1" t="s">
        <v>74</v>
      </c>
      <c r="BP555" s="1" t="s">
        <v>74</v>
      </c>
      <c r="BQ555" s="1" t="s">
        <v>74</v>
      </c>
      <c r="BR555" s="1" t="s">
        <v>74</v>
      </c>
      <c r="BS555" s="1" t="s">
        <v>5348</v>
      </c>
      <c r="BT555" s="1" t="str">
        <f>HYPERLINK("https%3A%2F%2Fwww.webofscience.com%2Fwos%2Fwoscc%2Ffull-record%2FWOS:000651158400014","View Full Record in Web of Science")</f>
        <v>View Full Record in Web of Science</v>
      </c>
    </row>
    <row r="556" ht="12.75" customHeight="1">
      <c r="A556" s="1" t="s">
        <v>72</v>
      </c>
      <c r="B556" s="1" t="s">
        <v>5349</v>
      </c>
      <c r="C556" s="1" t="s">
        <v>74</v>
      </c>
      <c r="D556" s="1" t="s">
        <v>74</v>
      </c>
      <c r="E556" s="1" t="s">
        <v>74</v>
      </c>
      <c r="F556" s="1" t="s">
        <v>5350</v>
      </c>
      <c r="G556" s="1" t="s">
        <v>74</v>
      </c>
      <c r="H556" s="1" t="s">
        <v>74</v>
      </c>
      <c r="I556" s="1" t="s">
        <v>5351</v>
      </c>
      <c r="J556" s="1" t="s">
        <v>5352</v>
      </c>
      <c r="K556" s="1" t="s">
        <v>74</v>
      </c>
      <c r="L556" s="1" t="s">
        <v>74</v>
      </c>
      <c r="M556" s="1" t="s">
        <v>74</v>
      </c>
      <c r="N556" s="1" t="s">
        <v>74</v>
      </c>
      <c r="O556" s="1" t="s">
        <v>74</v>
      </c>
      <c r="P556" s="1" t="s">
        <v>74</v>
      </c>
      <c r="Q556" s="1" t="s">
        <v>74</v>
      </c>
      <c r="R556" s="1" t="s">
        <v>74</v>
      </c>
      <c r="S556" s="1" t="s">
        <v>74</v>
      </c>
      <c r="T556" s="1" t="s">
        <v>74</v>
      </c>
      <c r="U556" s="1" t="s">
        <v>74</v>
      </c>
      <c r="V556" s="1" t="s">
        <v>5353</v>
      </c>
      <c r="W556" s="1" t="s">
        <v>74</v>
      </c>
      <c r="X556" s="1" t="s">
        <v>74</v>
      </c>
      <c r="Y556" s="1" t="s">
        <v>74</v>
      </c>
      <c r="Z556" s="1" t="s">
        <v>74</v>
      </c>
      <c r="AA556" s="1" t="s">
        <v>5354</v>
      </c>
      <c r="AB556" s="1" t="s">
        <v>3253</v>
      </c>
      <c r="AC556" s="1" t="s">
        <v>74</v>
      </c>
      <c r="AD556" s="1" t="s">
        <v>74</v>
      </c>
      <c r="AE556" s="1" t="s">
        <v>74</v>
      </c>
      <c r="AF556" s="1" t="s">
        <v>74</v>
      </c>
      <c r="AG556" s="1" t="s">
        <v>74</v>
      </c>
      <c r="AH556" s="1" t="s">
        <v>74</v>
      </c>
      <c r="AI556" s="1" t="s">
        <v>74</v>
      </c>
      <c r="AJ556" s="1" t="s">
        <v>74</v>
      </c>
      <c r="AK556" s="1" t="s">
        <v>74</v>
      </c>
      <c r="AL556" s="1" t="s">
        <v>74</v>
      </c>
      <c r="AM556" s="1" t="s">
        <v>74</v>
      </c>
      <c r="AN556" s="1" t="s">
        <v>74</v>
      </c>
      <c r="AO556" s="1" t="s">
        <v>5355</v>
      </c>
      <c r="AP556" s="1" t="s">
        <v>5356</v>
      </c>
      <c r="AQ556" s="1" t="s">
        <v>74</v>
      </c>
      <c r="AR556" s="1" t="s">
        <v>74</v>
      </c>
      <c r="AS556" s="1" t="s">
        <v>74</v>
      </c>
      <c r="AT556" s="1" t="s">
        <v>5357</v>
      </c>
      <c r="AU556" s="1">
        <v>2020.0</v>
      </c>
      <c r="AV556" s="1">
        <v>2020.0</v>
      </c>
      <c r="AW556" s="1" t="s">
        <v>74</v>
      </c>
      <c r="AX556" s="1" t="s">
        <v>74</v>
      </c>
      <c r="AY556" s="1" t="s">
        <v>74</v>
      </c>
      <c r="AZ556" s="1" t="s">
        <v>74</v>
      </c>
      <c r="BA556" s="1" t="s">
        <v>74</v>
      </c>
      <c r="BB556" s="1" t="s">
        <v>74</v>
      </c>
      <c r="BC556" s="1" t="s">
        <v>74</v>
      </c>
      <c r="BD556" s="1">
        <v>7628105.0</v>
      </c>
      <c r="BE556" s="1" t="s">
        <v>5358</v>
      </c>
      <c r="BF556" s="2" t="str">
        <f>HYPERLINK("http://dx.doi.org/10.1155/2020/7628105","http://dx.doi.org/10.1155/2020/7628105")</f>
        <v>http://dx.doi.org/10.1155/2020/7628105</v>
      </c>
      <c r="BG556" s="1" t="s">
        <v>74</v>
      </c>
      <c r="BH556" s="1" t="s">
        <v>74</v>
      </c>
      <c r="BI556" s="1" t="s">
        <v>74</v>
      </c>
      <c r="BJ556" s="1" t="s">
        <v>74</v>
      </c>
      <c r="BK556" s="1" t="s">
        <v>74</v>
      </c>
      <c r="BL556" s="1" t="s">
        <v>74</v>
      </c>
      <c r="BM556" s="1" t="s">
        <v>74</v>
      </c>
      <c r="BN556" s="1" t="s">
        <v>74</v>
      </c>
      <c r="BO556" s="1" t="s">
        <v>74</v>
      </c>
      <c r="BP556" s="1" t="s">
        <v>74</v>
      </c>
      <c r="BQ556" s="1" t="s">
        <v>74</v>
      </c>
      <c r="BR556" s="1" t="s">
        <v>74</v>
      </c>
      <c r="BS556" s="1" t="s">
        <v>5359</v>
      </c>
      <c r="BT556" s="1" t="str">
        <f>HYPERLINK("https%3A%2F%2Fwww.webofscience.com%2Fwos%2Fwoscc%2Ffull-record%2FWOS:000595644000009","View Full Record in Web of Science")</f>
        <v>View Full Record in Web of Science</v>
      </c>
    </row>
    <row r="557" ht="12.75" customHeight="1">
      <c r="A557" s="1" t="s">
        <v>72</v>
      </c>
      <c r="B557" s="1" t="s">
        <v>2443</v>
      </c>
      <c r="C557" s="1" t="s">
        <v>74</v>
      </c>
      <c r="D557" s="1" t="s">
        <v>74</v>
      </c>
      <c r="E557" s="1" t="s">
        <v>74</v>
      </c>
      <c r="F557" s="1" t="s">
        <v>2444</v>
      </c>
      <c r="G557" s="1" t="s">
        <v>74</v>
      </c>
      <c r="H557" s="1" t="s">
        <v>74</v>
      </c>
      <c r="I557" s="1" t="s">
        <v>5360</v>
      </c>
      <c r="J557" s="1" t="s">
        <v>1709</v>
      </c>
      <c r="K557" s="1" t="s">
        <v>74</v>
      </c>
      <c r="L557" s="1" t="s">
        <v>74</v>
      </c>
      <c r="M557" s="1" t="s">
        <v>74</v>
      </c>
      <c r="N557" s="1" t="s">
        <v>74</v>
      </c>
      <c r="O557" s="1" t="s">
        <v>74</v>
      </c>
      <c r="P557" s="1" t="s">
        <v>74</v>
      </c>
      <c r="Q557" s="1" t="s">
        <v>74</v>
      </c>
      <c r="R557" s="1" t="s">
        <v>74</v>
      </c>
      <c r="S557" s="1" t="s">
        <v>74</v>
      </c>
      <c r="T557" s="1" t="s">
        <v>74</v>
      </c>
      <c r="U557" s="1" t="s">
        <v>74</v>
      </c>
      <c r="V557" s="1" t="s">
        <v>5361</v>
      </c>
      <c r="W557" s="1" t="s">
        <v>74</v>
      </c>
      <c r="X557" s="1" t="s">
        <v>74</v>
      </c>
      <c r="Y557" s="1" t="s">
        <v>74</v>
      </c>
      <c r="Z557" s="1" t="s">
        <v>74</v>
      </c>
      <c r="AA557" s="1" t="s">
        <v>2447</v>
      </c>
      <c r="AB557" s="1" t="s">
        <v>5362</v>
      </c>
      <c r="AC557" s="1" t="s">
        <v>74</v>
      </c>
      <c r="AD557" s="1" t="s">
        <v>74</v>
      </c>
      <c r="AE557" s="1" t="s">
        <v>74</v>
      </c>
      <c r="AF557" s="1" t="s">
        <v>74</v>
      </c>
      <c r="AG557" s="1" t="s">
        <v>74</v>
      </c>
      <c r="AH557" s="1" t="s">
        <v>74</v>
      </c>
      <c r="AI557" s="1" t="s">
        <v>74</v>
      </c>
      <c r="AJ557" s="1" t="s">
        <v>74</v>
      </c>
      <c r="AK557" s="1" t="s">
        <v>74</v>
      </c>
      <c r="AL557" s="1" t="s">
        <v>74</v>
      </c>
      <c r="AM557" s="1" t="s">
        <v>74</v>
      </c>
      <c r="AN557" s="1" t="s">
        <v>74</v>
      </c>
      <c r="AO557" s="1" t="s">
        <v>74</v>
      </c>
      <c r="AP557" s="1" t="s">
        <v>1712</v>
      </c>
      <c r="AQ557" s="1" t="s">
        <v>74</v>
      </c>
      <c r="AR557" s="1" t="s">
        <v>74</v>
      </c>
      <c r="AS557" s="1" t="s">
        <v>74</v>
      </c>
      <c r="AT557" s="1" t="s">
        <v>123</v>
      </c>
      <c r="AU557" s="1">
        <v>2020.0</v>
      </c>
      <c r="AV557" s="1">
        <v>8.0</v>
      </c>
      <c r="AW557" s="1">
        <v>10.0</v>
      </c>
      <c r="AX557" s="1" t="s">
        <v>74</v>
      </c>
      <c r="AY557" s="1" t="s">
        <v>74</v>
      </c>
      <c r="AZ557" s="1" t="s">
        <v>74</v>
      </c>
      <c r="BA557" s="1" t="s">
        <v>74</v>
      </c>
      <c r="BB557" s="1" t="s">
        <v>74</v>
      </c>
      <c r="BC557" s="1" t="s">
        <v>74</v>
      </c>
      <c r="BD557" s="1">
        <v>1748.0</v>
      </c>
      <c r="BE557" s="1" t="s">
        <v>5363</v>
      </c>
      <c r="BF557" s="2" t="str">
        <f>HYPERLINK("http://dx.doi.org/10.3390/math8101748","http://dx.doi.org/10.3390/math8101748")</f>
        <v>http://dx.doi.org/10.3390/math8101748</v>
      </c>
      <c r="BG557" s="1" t="s">
        <v>74</v>
      </c>
      <c r="BH557" s="1" t="s">
        <v>74</v>
      </c>
      <c r="BI557" s="1" t="s">
        <v>74</v>
      </c>
      <c r="BJ557" s="1" t="s">
        <v>74</v>
      </c>
      <c r="BK557" s="1" t="s">
        <v>74</v>
      </c>
      <c r="BL557" s="1" t="s">
        <v>74</v>
      </c>
      <c r="BM557" s="1" t="s">
        <v>74</v>
      </c>
      <c r="BN557" s="1" t="s">
        <v>74</v>
      </c>
      <c r="BO557" s="1" t="s">
        <v>74</v>
      </c>
      <c r="BP557" s="1" t="s">
        <v>74</v>
      </c>
      <c r="BQ557" s="1" t="s">
        <v>74</v>
      </c>
      <c r="BR557" s="1" t="s">
        <v>74</v>
      </c>
      <c r="BS557" s="1" t="s">
        <v>5364</v>
      </c>
      <c r="BT557" s="1" t="str">
        <f>HYPERLINK("https%3A%2F%2Fwww.webofscience.com%2Fwos%2Fwoscc%2Ffull-record%2FWOS:000586997500001","View Full Record in Web of Science")</f>
        <v>View Full Record in Web of Science</v>
      </c>
    </row>
    <row r="558" ht="12.75" customHeight="1">
      <c r="A558" s="1" t="s">
        <v>72</v>
      </c>
      <c r="B558" s="1" t="s">
        <v>5365</v>
      </c>
      <c r="C558" s="1" t="s">
        <v>74</v>
      </c>
      <c r="D558" s="1" t="s">
        <v>74</v>
      </c>
      <c r="E558" s="1" t="s">
        <v>74</v>
      </c>
      <c r="F558" s="1" t="s">
        <v>5366</v>
      </c>
      <c r="G558" s="1" t="s">
        <v>74</v>
      </c>
      <c r="H558" s="1" t="s">
        <v>74</v>
      </c>
      <c r="I558" s="1" t="s">
        <v>5367</v>
      </c>
      <c r="J558" s="1" t="s">
        <v>2003</v>
      </c>
      <c r="K558" s="1" t="s">
        <v>74</v>
      </c>
      <c r="L558" s="1" t="s">
        <v>74</v>
      </c>
      <c r="M558" s="1" t="s">
        <v>74</v>
      </c>
      <c r="N558" s="1" t="s">
        <v>74</v>
      </c>
      <c r="O558" s="1" t="s">
        <v>74</v>
      </c>
      <c r="P558" s="1" t="s">
        <v>74</v>
      </c>
      <c r="Q558" s="1" t="s">
        <v>74</v>
      </c>
      <c r="R558" s="1" t="s">
        <v>74</v>
      </c>
      <c r="S558" s="1" t="s">
        <v>74</v>
      </c>
      <c r="T558" s="1" t="s">
        <v>74</v>
      </c>
      <c r="U558" s="1" t="s">
        <v>74</v>
      </c>
      <c r="V558" s="1" t="s">
        <v>5368</v>
      </c>
      <c r="W558" s="1" t="s">
        <v>74</v>
      </c>
      <c r="X558" s="1" t="s">
        <v>74</v>
      </c>
      <c r="Y558" s="1" t="s">
        <v>74</v>
      </c>
      <c r="Z558" s="1" t="s">
        <v>74</v>
      </c>
      <c r="AA558" s="1" t="s">
        <v>74</v>
      </c>
      <c r="AB558" s="1" t="s">
        <v>74</v>
      </c>
      <c r="AC558" s="1" t="s">
        <v>74</v>
      </c>
      <c r="AD558" s="1" t="s">
        <v>74</v>
      </c>
      <c r="AE558" s="1" t="s">
        <v>74</v>
      </c>
      <c r="AF558" s="1" t="s">
        <v>74</v>
      </c>
      <c r="AG558" s="1" t="s">
        <v>74</v>
      </c>
      <c r="AH558" s="1" t="s">
        <v>74</v>
      </c>
      <c r="AI558" s="1" t="s">
        <v>74</v>
      </c>
      <c r="AJ558" s="1" t="s">
        <v>74</v>
      </c>
      <c r="AK558" s="1" t="s">
        <v>74</v>
      </c>
      <c r="AL558" s="1" t="s">
        <v>74</v>
      </c>
      <c r="AM558" s="1" t="s">
        <v>74</v>
      </c>
      <c r="AN558" s="1" t="s">
        <v>74</v>
      </c>
      <c r="AO558" s="1" t="s">
        <v>2007</v>
      </c>
      <c r="AP558" s="1" t="s">
        <v>2008</v>
      </c>
      <c r="AQ558" s="1" t="s">
        <v>74</v>
      </c>
      <c r="AR558" s="1" t="s">
        <v>74</v>
      </c>
      <c r="AS558" s="1" t="s">
        <v>74</v>
      </c>
      <c r="AT558" s="1" t="s">
        <v>5369</v>
      </c>
      <c r="AU558" s="1">
        <v>2020.0</v>
      </c>
      <c r="AV558" s="1">
        <v>24.0</v>
      </c>
      <c r="AW558" s="1">
        <v>2.0</v>
      </c>
      <c r="AX558" s="1" t="s">
        <v>74</v>
      </c>
      <c r="AY558" s="1" t="s">
        <v>74</v>
      </c>
      <c r="AZ558" s="1" t="s">
        <v>74</v>
      </c>
      <c r="BA558" s="1" t="s">
        <v>74</v>
      </c>
      <c r="BB558" s="1">
        <v>256.0</v>
      </c>
      <c r="BC558" s="1">
        <v>268.0</v>
      </c>
      <c r="BD558" s="1" t="s">
        <v>74</v>
      </c>
      <c r="BE558" s="1" t="s">
        <v>74</v>
      </c>
      <c r="BF558" s="1" t="s">
        <v>74</v>
      </c>
      <c r="BG558" s="1" t="s">
        <v>74</v>
      </c>
      <c r="BH558" s="1" t="s">
        <v>74</v>
      </c>
      <c r="BI558" s="1" t="s">
        <v>74</v>
      </c>
      <c r="BJ558" s="1" t="s">
        <v>74</v>
      </c>
      <c r="BK558" s="1" t="s">
        <v>74</v>
      </c>
      <c r="BL558" s="1" t="s">
        <v>74</v>
      </c>
      <c r="BM558" s="1" t="s">
        <v>74</v>
      </c>
      <c r="BN558" s="1" t="s">
        <v>74</v>
      </c>
      <c r="BO558" s="1" t="s">
        <v>74</v>
      </c>
      <c r="BP558" s="1" t="s">
        <v>74</v>
      </c>
      <c r="BQ558" s="1" t="s">
        <v>74</v>
      </c>
      <c r="BR558" s="1" t="s">
        <v>74</v>
      </c>
      <c r="BS558" s="1" t="s">
        <v>5370</v>
      </c>
      <c r="BT558" s="1" t="str">
        <f>HYPERLINK("https%3A%2F%2Fwww.webofscience.com%2Fwos%2Fwoscc%2Ffull-record%2FWOS:000532723100008","View Full Record in Web of Science")</f>
        <v>View Full Record in Web of Science</v>
      </c>
    </row>
    <row r="559" ht="12.75" customHeight="1">
      <c r="A559" s="1" t="s">
        <v>72</v>
      </c>
      <c r="B559" s="1" t="s">
        <v>5371</v>
      </c>
      <c r="C559" s="1" t="s">
        <v>74</v>
      </c>
      <c r="D559" s="1" t="s">
        <v>74</v>
      </c>
      <c r="E559" s="1" t="s">
        <v>74</v>
      </c>
      <c r="F559" s="1" t="s">
        <v>5372</v>
      </c>
      <c r="G559" s="1" t="s">
        <v>74</v>
      </c>
      <c r="H559" s="1" t="s">
        <v>74</v>
      </c>
      <c r="I559" s="1" t="s">
        <v>5373</v>
      </c>
      <c r="J559" s="1" t="s">
        <v>5374</v>
      </c>
      <c r="K559" s="1" t="s">
        <v>74</v>
      </c>
      <c r="L559" s="1" t="s">
        <v>74</v>
      </c>
      <c r="M559" s="1" t="s">
        <v>74</v>
      </c>
      <c r="N559" s="1" t="s">
        <v>74</v>
      </c>
      <c r="O559" s="1" t="s">
        <v>74</v>
      </c>
      <c r="P559" s="1" t="s">
        <v>74</v>
      </c>
      <c r="Q559" s="1" t="s">
        <v>74</v>
      </c>
      <c r="R559" s="1" t="s">
        <v>74</v>
      </c>
      <c r="S559" s="1" t="s">
        <v>74</v>
      </c>
      <c r="T559" s="1" t="s">
        <v>74</v>
      </c>
      <c r="U559" s="1" t="s">
        <v>74</v>
      </c>
      <c r="V559" s="1" t="s">
        <v>5375</v>
      </c>
      <c r="W559" s="1" t="s">
        <v>74</v>
      </c>
      <c r="X559" s="1" t="s">
        <v>74</v>
      </c>
      <c r="Y559" s="1" t="s">
        <v>74</v>
      </c>
      <c r="Z559" s="1" t="s">
        <v>74</v>
      </c>
      <c r="AA559" s="1" t="s">
        <v>5376</v>
      </c>
      <c r="AB559" s="1" t="s">
        <v>5377</v>
      </c>
      <c r="AC559" s="1" t="s">
        <v>74</v>
      </c>
      <c r="AD559" s="1" t="s">
        <v>74</v>
      </c>
      <c r="AE559" s="1" t="s">
        <v>74</v>
      </c>
      <c r="AF559" s="1" t="s">
        <v>74</v>
      </c>
      <c r="AG559" s="1" t="s">
        <v>74</v>
      </c>
      <c r="AH559" s="1" t="s">
        <v>74</v>
      </c>
      <c r="AI559" s="1" t="s">
        <v>74</v>
      </c>
      <c r="AJ559" s="1" t="s">
        <v>74</v>
      </c>
      <c r="AK559" s="1" t="s">
        <v>74</v>
      </c>
      <c r="AL559" s="1" t="s">
        <v>74</v>
      </c>
      <c r="AM559" s="1" t="s">
        <v>74</v>
      </c>
      <c r="AN559" s="1" t="s">
        <v>74</v>
      </c>
      <c r="AO559" s="1" t="s">
        <v>74</v>
      </c>
      <c r="AP559" s="1" t="s">
        <v>5378</v>
      </c>
      <c r="AQ559" s="1" t="s">
        <v>74</v>
      </c>
      <c r="AR559" s="1" t="s">
        <v>74</v>
      </c>
      <c r="AS559" s="1" t="s">
        <v>74</v>
      </c>
      <c r="AT559" s="1" t="s">
        <v>360</v>
      </c>
      <c r="AU559" s="1">
        <v>2020.0</v>
      </c>
      <c r="AV559" s="1">
        <v>13.0</v>
      </c>
      <c r="AW559" s="1">
        <v>4.0</v>
      </c>
      <c r="AX559" s="1" t="s">
        <v>74</v>
      </c>
      <c r="AY559" s="1" t="s">
        <v>74</v>
      </c>
      <c r="AZ559" s="1" t="s">
        <v>74</v>
      </c>
      <c r="BA559" s="1" t="s">
        <v>74</v>
      </c>
      <c r="BB559" s="1" t="s">
        <v>74</v>
      </c>
      <c r="BC559" s="1" t="s">
        <v>74</v>
      </c>
      <c r="BD559" s="1">
        <v>953.0</v>
      </c>
      <c r="BE559" s="1" t="s">
        <v>5379</v>
      </c>
      <c r="BF559" s="2" t="str">
        <f>HYPERLINK("http://dx.doi.org/10.3390/en13040953","http://dx.doi.org/10.3390/en13040953")</f>
        <v>http://dx.doi.org/10.3390/en13040953</v>
      </c>
      <c r="BG559" s="1" t="s">
        <v>74</v>
      </c>
      <c r="BH559" s="1" t="s">
        <v>74</v>
      </c>
      <c r="BI559" s="1" t="s">
        <v>74</v>
      </c>
      <c r="BJ559" s="1" t="s">
        <v>74</v>
      </c>
      <c r="BK559" s="1" t="s">
        <v>74</v>
      </c>
      <c r="BL559" s="1" t="s">
        <v>74</v>
      </c>
      <c r="BM559" s="1" t="s">
        <v>74</v>
      </c>
      <c r="BN559" s="1" t="s">
        <v>74</v>
      </c>
      <c r="BO559" s="1" t="s">
        <v>74</v>
      </c>
      <c r="BP559" s="1" t="s">
        <v>74</v>
      </c>
      <c r="BQ559" s="1" t="s">
        <v>74</v>
      </c>
      <c r="BR559" s="1" t="s">
        <v>74</v>
      </c>
      <c r="BS559" s="1" t="s">
        <v>5380</v>
      </c>
      <c r="BT559" s="1" t="str">
        <f>HYPERLINK("https%3A%2F%2Fwww.webofscience.com%2Fwos%2Fwoscc%2Ffull-record%2FWOS:000522492700181","View Full Record in Web of Science")</f>
        <v>View Full Record in Web of Science</v>
      </c>
    </row>
    <row r="560" ht="12.75" customHeight="1">
      <c r="A560" s="1" t="s">
        <v>251</v>
      </c>
      <c r="B560" s="1" t="s">
        <v>5381</v>
      </c>
      <c r="C560" s="1" t="s">
        <v>74</v>
      </c>
      <c r="D560" s="1" t="s">
        <v>4068</v>
      </c>
      <c r="E560" s="1" t="s">
        <v>74</v>
      </c>
      <c r="F560" s="1" t="s">
        <v>5382</v>
      </c>
      <c r="G560" s="1" t="s">
        <v>74</v>
      </c>
      <c r="H560" s="1" t="s">
        <v>74</v>
      </c>
      <c r="I560" s="1" t="s">
        <v>5383</v>
      </c>
      <c r="J560" s="1" t="s">
        <v>4071</v>
      </c>
      <c r="K560" s="1" t="s">
        <v>4072</v>
      </c>
      <c r="L560" s="1" t="s">
        <v>74</v>
      </c>
      <c r="M560" s="1" t="s">
        <v>74</v>
      </c>
      <c r="N560" s="1" t="s">
        <v>74</v>
      </c>
      <c r="O560" s="1" t="s">
        <v>4073</v>
      </c>
      <c r="P560" s="1" t="s">
        <v>4074</v>
      </c>
      <c r="Q560" s="1" t="s">
        <v>259</v>
      </c>
      <c r="R560" s="1" t="s">
        <v>253</v>
      </c>
      <c r="S560" s="1" t="s">
        <v>74</v>
      </c>
      <c r="T560" s="1" t="s">
        <v>74</v>
      </c>
      <c r="U560" s="1" t="s">
        <v>74</v>
      </c>
      <c r="V560" s="1" t="s">
        <v>5384</v>
      </c>
      <c r="W560" s="1" t="s">
        <v>74</v>
      </c>
      <c r="X560" s="1" t="s">
        <v>74</v>
      </c>
      <c r="Y560" s="1" t="s">
        <v>74</v>
      </c>
      <c r="Z560" s="1" t="s">
        <v>74</v>
      </c>
      <c r="AA560" s="1" t="s">
        <v>5385</v>
      </c>
      <c r="AB560" s="1" t="s">
        <v>5386</v>
      </c>
      <c r="AC560" s="1" t="s">
        <v>74</v>
      </c>
      <c r="AD560" s="1" t="s">
        <v>74</v>
      </c>
      <c r="AE560" s="1" t="s">
        <v>74</v>
      </c>
      <c r="AF560" s="1" t="s">
        <v>74</v>
      </c>
      <c r="AG560" s="1" t="s">
        <v>74</v>
      </c>
      <c r="AH560" s="1" t="s">
        <v>74</v>
      </c>
      <c r="AI560" s="1" t="s">
        <v>74</v>
      </c>
      <c r="AJ560" s="1" t="s">
        <v>74</v>
      </c>
      <c r="AK560" s="1" t="s">
        <v>74</v>
      </c>
      <c r="AL560" s="1" t="s">
        <v>74</v>
      </c>
      <c r="AM560" s="1" t="s">
        <v>74</v>
      </c>
      <c r="AN560" s="1" t="s">
        <v>74</v>
      </c>
      <c r="AO560" s="1" t="s">
        <v>4077</v>
      </c>
      <c r="AP560" s="1" t="s">
        <v>74</v>
      </c>
      <c r="AQ560" s="1" t="s">
        <v>4078</v>
      </c>
      <c r="AR560" s="1" t="s">
        <v>74</v>
      </c>
      <c r="AS560" s="1" t="s">
        <v>74</v>
      </c>
      <c r="AT560" s="1" t="s">
        <v>74</v>
      </c>
      <c r="AU560" s="1">
        <v>2020.0</v>
      </c>
      <c r="AV560" s="1" t="s">
        <v>74</v>
      </c>
      <c r="AW560" s="1" t="s">
        <v>74</v>
      </c>
      <c r="AX560" s="1" t="s">
        <v>74</v>
      </c>
      <c r="AY560" s="1" t="s">
        <v>74</v>
      </c>
      <c r="AZ560" s="1" t="s">
        <v>74</v>
      </c>
      <c r="BA560" s="1" t="s">
        <v>74</v>
      </c>
      <c r="BB560" s="1" t="s">
        <v>74</v>
      </c>
      <c r="BC560" s="1" t="s">
        <v>74</v>
      </c>
      <c r="BD560" s="1" t="s">
        <v>74</v>
      </c>
      <c r="BE560" s="1" t="s">
        <v>74</v>
      </c>
      <c r="BF560" s="1" t="s">
        <v>74</v>
      </c>
      <c r="BG560" s="1" t="s">
        <v>74</v>
      </c>
      <c r="BH560" s="1" t="s">
        <v>74</v>
      </c>
      <c r="BI560" s="1" t="s">
        <v>74</v>
      </c>
      <c r="BJ560" s="1" t="s">
        <v>74</v>
      </c>
      <c r="BK560" s="1" t="s">
        <v>74</v>
      </c>
      <c r="BL560" s="1" t="s">
        <v>74</v>
      </c>
      <c r="BM560" s="1" t="s">
        <v>74</v>
      </c>
      <c r="BN560" s="1" t="s">
        <v>74</v>
      </c>
      <c r="BO560" s="1" t="s">
        <v>74</v>
      </c>
      <c r="BP560" s="1" t="s">
        <v>74</v>
      </c>
      <c r="BQ560" s="1" t="s">
        <v>74</v>
      </c>
      <c r="BR560" s="1" t="s">
        <v>74</v>
      </c>
      <c r="BS560" s="1" t="s">
        <v>5387</v>
      </c>
      <c r="BT560" s="1" t="str">
        <f>HYPERLINK("https%3A%2F%2Fwww.webofscience.com%2Fwos%2Fwoscc%2Ffull-record%2FWOS:000926136200047","View Full Record in Web of Science")</f>
        <v>View Full Record in Web of Science</v>
      </c>
    </row>
    <row r="561" ht="12.75" customHeight="1">
      <c r="A561" s="1" t="s">
        <v>1511</v>
      </c>
      <c r="B561" s="1" t="s">
        <v>5388</v>
      </c>
      <c r="C561" s="1" t="s">
        <v>74</v>
      </c>
      <c r="D561" s="1" t="s">
        <v>5389</v>
      </c>
      <c r="E561" s="1" t="s">
        <v>74</v>
      </c>
      <c r="F561" s="1" t="s">
        <v>5390</v>
      </c>
      <c r="G561" s="1" t="s">
        <v>74</v>
      </c>
      <c r="H561" s="1" t="s">
        <v>74</v>
      </c>
      <c r="I561" s="1" t="s">
        <v>5391</v>
      </c>
      <c r="J561" s="1" t="s">
        <v>5392</v>
      </c>
      <c r="K561" s="1" t="s">
        <v>5393</v>
      </c>
      <c r="L561" s="1" t="s">
        <v>74</v>
      </c>
      <c r="M561" s="1" t="s">
        <v>74</v>
      </c>
      <c r="N561" s="1" t="s">
        <v>74</v>
      </c>
      <c r="O561" s="1" t="s">
        <v>74</v>
      </c>
      <c r="P561" s="1" t="s">
        <v>74</v>
      </c>
      <c r="Q561" s="1" t="s">
        <v>74</v>
      </c>
      <c r="R561" s="1" t="s">
        <v>74</v>
      </c>
      <c r="S561" s="1" t="s">
        <v>74</v>
      </c>
      <c r="T561" s="1" t="s">
        <v>74</v>
      </c>
      <c r="U561" s="1" t="s">
        <v>74</v>
      </c>
      <c r="V561" s="1" t="s">
        <v>5394</v>
      </c>
      <c r="W561" s="1" t="s">
        <v>74</v>
      </c>
      <c r="X561" s="1" t="s">
        <v>74</v>
      </c>
      <c r="Y561" s="1" t="s">
        <v>74</v>
      </c>
      <c r="Z561" s="1" t="s">
        <v>74</v>
      </c>
      <c r="AA561" s="1" t="s">
        <v>5395</v>
      </c>
      <c r="AB561" s="1" t="s">
        <v>5396</v>
      </c>
      <c r="AC561" s="1" t="s">
        <v>74</v>
      </c>
      <c r="AD561" s="1" t="s">
        <v>74</v>
      </c>
      <c r="AE561" s="1" t="s">
        <v>74</v>
      </c>
      <c r="AF561" s="1" t="s">
        <v>74</v>
      </c>
      <c r="AG561" s="1" t="s">
        <v>74</v>
      </c>
      <c r="AH561" s="1" t="s">
        <v>74</v>
      </c>
      <c r="AI561" s="1" t="s">
        <v>74</v>
      </c>
      <c r="AJ561" s="1" t="s">
        <v>74</v>
      </c>
      <c r="AK561" s="1" t="s">
        <v>74</v>
      </c>
      <c r="AL561" s="1" t="s">
        <v>74</v>
      </c>
      <c r="AM561" s="1" t="s">
        <v>74</v>
      </c>
      <c r="AN561" s="1" t="s">
        <v>74</v>
      </c>
      <c r="AO561" s="1" t="s">
        <v>5397</v>
      </c>
      <c r="AP561" s="1" t="s">
        <v>5398</v>
      </c>
      <c r="AQ561" s="1" t="s">
        <v>74</v>
      </c>
      <c r="AR561" s="1" t="s">
        <v>74</v>
      </c>
      <c r="AS561" s="1" t="s">
        <v>74</v>
      </c>
      <c r="AT561" s="1" t="s">
        <v>74</v>
      </c>
      <c r="AU561" s="1">
        <v>2020.0</v>
      </c>
      <c r="AV561" s="1">
        <v>64.0</v>
      </c>
      <c r="AW561" s="1">
        <v>1.0</v>
      </c>
      <c r="AX561" s="1" t="s">
        <v>74</v>
      </c>
      <c r="AY561" s="1" t="s">
        <v>74</v>
      </c>
      <c r="AZ561" s="1" t="s">
        <v>74</v>
      </c>
      <c r="BA561" s="1" t="s">
        <v>74</v>
      </c>
      <c r="BB561" s="1">
        <v>33.0</v>
      </c>
      <c r="BC561" s="1">
        <v>44.0</v>
      </c>
      <c r="BD561" s="1" t="s">
        <v>74</v>
      </c>
      <c r="BE561" s="1" t="s">
        <v>5399</v>
      </c>
      <c r="BF561" s="2" t="str">
        <f>HYPERLINK("http://dx.doi.org/10.1042/EBC20190044","http://dx.doi.org/10.1042/EBC20190044")</f>
        <v>http://dx.doi.org/10.1042/EBC20190044</v>
      </c>
      <c r="BG561" s="1" t="s">
        <v>74</v>
      </c>
      <c r="BH561" s="1" t="s">
        <v>74</v>
      </c>
      <c r="BI561" s="1" t="s">
        <v>74</v>
      </c>
      <c r="BJ561" s="1" t="s">
        <v>74</v>
      </c>
      <c r="BK561" s="1" t="s">
        <v>74</v>
      </c>
      <c r="BL561" s="1" t="s">
        <v>74</v>
      </c>
      <c r="BM561" s="1" t="s">
        <v>74</v>
      </c>
      <c r="BN561" s="1">
        <v>3.1845743E7</v>
      </c>
      <c r="BO561" s="1" t="s">
        <v>74</v>
      </c>
      <c r="BP561" s="1" t="s">
        <v>74</v>
      </c>
      <c r="BQ561" s="1" t="s">
        <v>74</v>
      </c>
      <c r="BR561" s="1" t="s">
        <v>74</v>
      </c>
      <c r="BS561" s="1" t="s">
        <v>5400</v>
      </c>
      <c r="BT561" s="1" t="str">
        <f>HYPERLINK("https%3A%2F%2Fwww.webofscience.com%2Fwos%2Fwoscc%2Ffull-record%2FWOS:000537063700003","View Full Record in Web of Science")</f>
        <v>View Full Record in Web of Science</v>
      </c>
    </row>
    <row r="562" ht="12.75" customHeight="1">
      <c r="A562" s="1" t="s">
        <v>72</v>
      </c>
      <c r="B562" s="1" t="s">
        <v>2443</v>
      </c>
      <c r="C562" s="1" t="s">
        <v>74</v>
      </c>
      <c r="D562" s="1" t="s">
        <v>74</v>
      </c>
      <c r="E562" s="1" t="s">
        <v>74</v>
      </c>
      <c r="F562" s="1" t="s">
        <v>2444</v>
      </c>
      <c r="G562" s="1" t="s">
        <v>74</v>
      </c>
      <c r="H562" s="1" t="s">
        <v>74</v>
      </c>
      <c r="I562" s="1" t="s">
        <v>5401</v>
      </c>
      <c r="J562" s="1" t="s">
        <v>5402</v>
      </c>
      <c r="K562" s="1" t="s">
        <v>74</v>
      </c>
      <c r="L562" s="1" t="s">
        <v>74</v>
      </c>
      <c r="M562" s="1" t="s">
        <v>74</v>
      </c>
      <c r="N562" s="1" t="s">
        <v>74</v>
      </c>
      <c r="O562" s="1" t="s">
        <v>74</v>
      </c>
      <c r="P562" s="1" t="s">
        <v>74</v>
      </c>
      <c r="Q562" s="1" t="s">
        <v>74</v>
      </c>
      <c r="R562" s="1" t="s">
        <v>74</v>
      </c>
      <c r="S562" s="1" t="s">
        <v>74</v>
      </c>
      <c r="T562" s="1" t="s">
        <v>74</v>
      </c>
      <c r="U562" s="1" t="s">
        <v>74</v>
      </c>
      <c r="V562" s="1" t="s">
        <v>5403</v>
      </c>
      <c r="W562" s="1" t="s">
        <v>74</v>
      </c>
      <c r="X562" s="1" t="s">
        <v>74</v>
      </c>
      <c r="Y562" s="1" t="s">
        <v>74</v>
      </c>
      <c r="Z562" s="1" t="s">
        <v>74</v>
      </c>
      <c r="AA562" s="1" t="s">
        <v>2447</v>
      </c>
      <c r="AB562" s="1" t="s">
        <v>5404</v>
      </c>
      <c r="AC562" s="1" t="s">
        <v>74</v>
      </c>
      <c r="AD562" s="1" t="s">
        <v>74</v>
      </c>
      <c r="AE562" s="1" t="s">
        <v>74</v>
      </c>
      <c r="AF562" s="1" t="s">
        <v>74</v>
      </c>
      <c r="AG562" s="1" t="s">
        <v>74</v>
      </c>
      <c r="AH562" s="1" t="s">
        <v>74</v>
      </c>
      <c r="AI562" s="1" t="s">
        <v>74</v>
      </c>
      <c r="AJ562" s="1" t="s">
        <v>74</v>
      </c>
      <c r="AK562" s="1" t="s">
        <v>74</v>
      </c>
      <c r="AL562" s="1" t="s">
        <v>74</v>
      </c>
      <c r="AM562" s="1" t="s">
        <v>74</v>
      </c>
      <c r="AN562" s="1" t="s">
        <v>74</v>
      </c>
      <c r="AO562" s="1" t="s">
        <v>5405</v>
      </c>
      <c r="AP562" s="1" t="s">
        <v>5406</v>
      </c>
      <c r="AQ562" s="1" t="s">
        <v>74</v>
      </c>
      <c r="AR562" s="1" t="s">
        <v>74</v>
      </c>
      <c r="AS562" s="1" t="s">
        <v>74</v>
      </c>
      <c r="AT562" s="1" t="s">
        <v>5407</v>
      </c>
      <c r="AU562" s="1">
        <v>2019.0</v>
      </c>
      <c r="AV562" s="1">
        <v>25.0</v>
      </c>
      <c r="AW562" s="1" t="s">
        <v>5408</v>
      </c>
      <c r="AX562" s="1" t="s">
        <v>74</v>
      </c>
      <c r="AY562" s="1" t="s">
        <v>74</v>
      </c>
      <c r="AZ562" s="1" t="s">
        <v>411</v>
      </c>
      <c r="BA562" s="1" t="s">
        <v>74</v>
      </c>
      <c r="BB562" s="1">
        <v>1344.0</v>
      </c>
      <c r="BC562" s="1">
        <v>1362.0</v>
      </c>
      <c r="BD562" s="1" t="s">
        <v>74</v>
      </c>
      <c r="BE562" s="1" t="s">
        <v>5409</v>
      </c>
      <c r="BF562" s="2" t="str">
        <f>HYPERLINK("http://dx.doi.org/10.1080/10236198.2019.1638916","http://dx.doi.org/10.1080/10236198.2019.1638916")</f>
        <v>http://dx.doi.org/10.1080/10236198.2019.1638916</v>
      </c>
      <c r="BG562" s="1" t="s">
        <v>74</v>
      </c>
      <c r="BH562" s="1" t="s">
        <v>5410</v>
      </c>
      <c r="BI562" s="1" t="s">
        <v>74</v>
      </c>
      <c r="BJ562" s="1" t="s">
        <v>74</v>
      </c>
      <c r="BK562" s="1" t="s">
        <v>74</v>
      </c>
      <c r="BL562" s="1" t="s">
        <v>74</v>
      </c>
      <c r="BM562" s="1" t="s">
        <v>74</v>
      </c>
      <c r="BN562" s="1" t="s">
        <v>74</v>
      </c>
      <c r="BO562" s="1" t="s">
        <v>74</v>
      </c>
      <c r="BP562" s="1" t="s">
        <v>74</v>
      </c>
      <c r="BQ562" s="1" t="s">
        <v>74</v>
      </c>
      <c r="BR562" s="1" t="s">
        <v>74</v>
      </c>
      <c r="BS562" s="1" t="s">
        <v>5411</v>
      </c>
      <c r="BT562" s="1" t="str">
        <f>HYPERLINK("https%3A%2F%2Fwww.webofscience.com%2Fwos%2Fwoscc%2Ffull-record%2FWOS:000478348200001","View Full Record in Web of Science")</f>
        <v>View Full Record in Web of Science</v>
      </c>
    </row>
    <row r="563" ht="12.75" customHeight="1">
      <c r="A563" s="1" t="s">
        <v>72</v>
      </c>
      <c r="B563" s="1" t="s">
        <v>5412</v>
      </c>
      <c r="C563" s="1" t="s">
        <v>74</v>
      </c>
      <c r="D563" s="1" t="s">
        <v>74</v>
      </c>
      <c r="E563" s="1" t="s">
        <v>74</v>
      </c>
      <c r="F563" s="1" t="s">
        <v>5413</v>
      </c>
      <c r="G563" s="1" t="s">
        <v>74</v>
      </c>
      <c r="H563" s="1" t="s">
        <v>74</v>
      </c>
      <c r="I563" s="1" t="s">
        <v>5414</v>
      </c>
      <c r="J563" s="1" t="s">
        <v>5415</v>
      </c>
      <c r="K563" s="1" t="s">
        <v>74</v>
      </c>
      <c r="L563" s="1" t="s">
        <v>74</v>
      </c>
      <c r="M563" s="1" t="s">
        <v>74</v>
      </c>
      <c r="N563" s="1" t="s">
        <v>74</v>
      </c>
      <c r="O563" s="1" t="s">
        <v>74</v>
      </c>
      <c r="P563" s="1" t="s">
        <v>74</v>
      </c>
      <c r="Q563" s="1" t="s">
        <v>74</v>
      </c>
      <c r="R563" s="1" t="s">
        <v>74</v>
      </c>
      <c r="S563" s="1" t="s">
        <v>74</v>
      </c>
      <c r="T563" s="1" t="s">
        <v>74</v>
      </c>
      <c r="U563" s="1" t="s">
        <v>74</v>
      </c>
      <c r="V563" s="1" t="s">
        <v>5416</v>
      </c>
      <c r="W563" s="1" t="s">
        <v>74</v>
      </c>
      <c r="X563" s="1" t="s">
        <v>74</v>
      </c>
      <c r="Y563" s="1" t="s">
        <v>74</v>
      </c>
      <c r="Z563" s="1" t="s">
        <v>74</v>
      </c>
      <c r="AA563" s="1" t="s">
        <v>5417</v>
      </c>
      <c r="AB563" s="1" t="s">
        <v>5418</v>
      </c>
      <c r="AC563" s="1" t="s">
        <v>74</v>
      </c>
      <c r="AD563" s="1" t="s">
        <v>74</v>
      </c>
      <c r="AE563" s="1" t="s">
        <v>74</v>
      </c>
      <c r="AF563" s="1" t="s">
        <v>74</v>
      </c>
      <c r="AG563" s="1" t="s">
        <v>74</v>
      </c>
      <c r="AH563" s="1" t="s">
        <v>74</v>
      </c>
      <c r="AI563" s="1" t="s">
        <v>74</v>
      </c>
      <c r="AJ563" s="1" t="s">
        <v>74</v>
      </c>
      <c r="AK563" s="1" t="s">
        <v>74</v>
      </c>
      <c r="AL563" s="1" t="s">
        <v>74</v>
      </c>
      <c r="AM563" s="1" t="s">
        <v>74</v>
      </c>
      <c r="AN563" s="1" t="s">
        <v>74</v>
      </c>
      <c r="AO563" s="1" t="s">
        <v>5419</v>
      </c>
      <c r="AP563" s="1" t="s">
        <v>5420</v>
      </c>
      <c r="AQ563" s="1" t="s">
        <v>74</v>
      </c>
      <c r="AR563" s="1" t="s">
        <v>74</v>
      </c>
      <c r="AS563" s="1" t="s">
        <v>74</v>
      </c>
      <c r="AT563" s="1" t="s">
        <v>360</v>
      </c>
      <c r="AU563" s="1">
        <v>2019.0</v>
      </c>
      <c r="AV563" s="1">
        <v>168.0</v>
      </c>
      <c r="AW563" s="1" t="s">
        <v>74</v>
      </c>
      <c r="AX563" s="1" t="s">
        <v>74</v>
      </c>
      <c r="AY563" s="1" t="s">
        <v>74</v>
      </c>
      <c r="AZ563" s="1" t="s">
        <v>74</v>
      </c>
      <c r="BA563" s="1" t="s">
        <v>74</v>
      </c>
      <c r="BB563" s="1">
        <v>203.0</v>
      </c>
      <c r="BC563" s="1">
        <v>210.0</v>
      </c>
      <c r="BD563" s="1" t="s">
        <v>74</v>
      </c>
      <c r="BE563" s="1" t="s">
        <v>5421</v>
      </c>
      <c r="BF563" s="2" t="str">
        <f>HYPERLINK("http://dx.doi.org/10.1016/j.clay.2018.10.020","http://dx.doi.org/10.1016/j.clay.2018.10.020")</f>
        <v>http://dx.doi.org/10.1016/j.clay.2018.10.020</v>
      </c>
      <c r="BG563" s="1" t="s">
        <v>74</v>
      </c>
      <c r="BH563" s="1" t="s">
        <v>74</v>
      </c>
      <c r="BI563" s="1" t="s">
        <v>74</v>
      </c>
      <c r="BJ563" s="1" t="s">
        <v>74</v>
      </c>
      <c r="BK563" s="1" t="s">
        <v>74</v>
      </c>
      <c r="BL563" s="1" t="s">
        <v>74</v>
      </c>
      <c r="BM563" s="1" t="s">
        <v>74</v>
      </c>
      <c r="BN563" s="1" t="s">
        <v>74</v>
      </c>
      <c r="BO563" s="1" t="s">
        <v>74</v>
      </c>
      <c r="BP563" s="1" t="s">
        <v>74</v>
      </c>
      <c r="BQ563" s="1" t="s">
        <v>74</v>
      </c>
      <c r="BR563" s="1" t="s">
        <v>74</v>
      </c>
      <c r="BS563" s="1" t="s">
        <v>5422</v>
      </c>
      <c r="BT563" s="1" t="str">
        <f>HYPERLINK("https%3A%2F%2Fwww.webofscience.com%2Fwos%2Fwoscc%2Ffull-record%2FWOS:000455692700022","View Full Record in Web of Science")</f>
        <v>View Full Record in Web of Science</v>
      </c>
    </row>
    <row r="564" ht="12.75" customHeight="1">
      <c r="A564" s="1" t="s">
        <v>251</v>
      </c>
      <c r="B564" s="1" t="s">
        <v>5423</v>
      </c>
      <c r="C564" s="1" t="s">
        <v>74</v>
      </c>
      <c r="D564" s="1" t="s">
        <v>74</v>
      </c>
      <c r="E564" s="1" t="s">
        <v>5424</v>
      </c>
      <c r="F564" s="1" t="s">
        <v>5425</v>
      </c>
      <c r="G564" s="1" t="s">
        <v>74</v>
      </c>
      <c r="H564" s="1" t="s">
        <v>74</v>
      </c>
      <c r="I564" s="1" t="s">
        <v>5426</v>
      </c>
      <c r="J564" s="1" t="s">
        <v>5427</v>
      </c>
      <c r="K564" s="1" t="s">
        <v>74</v>
      </c>
      <c r="L564" s="1" t="s">
        <v>74</v>
      </c>
      <c r="M564" s="1" t="s">
        <v>74</v>
      </c>
      <c r="N564" s="1" t="s">
        <v>74</v>
      </c>
      <c r="O564" s="1" t="s">
        <v>5428</v>
      </c>
      <c r="P564" s="1" t="s">
        <v>5429</v>
      </c>
      <c r="Q564" s="1" t="s">
        <v>5430</v>
      </c>
      <c r="R564" s="1" t="s">
        <v>5431</v>
      </c>
      <c r="S564" s="1" t="s">
        <v>74</v>
      </c>
      <c r="T564" s="1" t="s">
        <v>74</v>
      </c>
      <c r="U564" s="1" t="s">
        <v>74</v>
      </c>
      <c r="V564" s="1" t="s">
        <v>5432</v>
      </c>
      <c r="W564" s="1" t="s">
        <v>74</v>
      </c>
      <c r="X564" s="1" t="s">
        <v>74</v>
      </c>
      <c r="Y564" s="1" t="s">
        <v>74</v>
      </c>
      <c r="Z564" s="1" t="s">
        <v>74</v>
      </c>
      <c r="AA564" s="1" t="s">
        <v>5433</v>
      </c>
      <c r="AB564" s="1" t="s">
        <v>5434</v>
      </c>
      <c r="AC564" s="1" t="s">
        <v>74</v>
      </c>
      <c r="AD564" s="1" t="s">
        <v>74</v>
      </c>
      <c r="AE564" s="1" t="s">
        <v>74</v>
      </c>
      <c r="AF564" s="1" t="s">
        <v>74</v>
      </c>
      <c r="AG564" s="1" t="s">
        <v>74</v>
      </c>
      <c r="AH564" s="1" t="s">
        <v>74</v>
      </c>
      <c r="AI564" s="1" t="s">
        <v>74</v>
      </c>
      <c r="AJ564" s="1" t="s">
        <v>74</v>
      </c>
      <c r="AK564" s="1" t="s">
        <v>74</v>
      </c>
      <c r="AL564" s="1" t="s">
        <v>74</v>
      </c>
      <c r="AM564" s="1" t="s">
        <v>74</v>
      </c>
      <c r="AN564" s="1" t="s">
        <v>74</v>
      </c>
      <c r="AO564" s="1" t="s">
        <v>74</v>
      </c>
      <c r="AP564" s="1" t="s">
        <v>74</v>
      </c>
      <c r="AQ564" s="1" t="s">
        <v>5435</v>
      </c>
      <c r="AR564" s="1" t="s">
        <v>74</v>
      </c>
      <c r="AS564" s="1" t="s">
        <v>74</v>
      </c>
      <c r="AT564" s="1" t="s">
        <v>74</v>
      </c>
      <c r="AU564" s="1">
        <v>2019.0</v>
      </c>
      <c r="AV564" s="1" t="s">
        <v>74</v>
      </c>
      <c r="AW564" s="1" t="s">
        <v>74</v>
      </c>
      <c r="AX564" s="1" t="s">
        <v>74</v>
      </c>
      <c r="AY564" s="1" t="s">
        <v>74</v>
      </c>
      <c r="AZ564" s="1" t="s">
        <v>74</v>
      </c>
      <c r="BA564" s="1" t="s">
        <v>74</v>
      </c>
      <c r="BB564" s="1" t="s">
        <v>74</v>
      </c>
      <c r="BC564" s="1" t="s">
        <v>74</v>
      </c>
      <c r="BD564" s="1" t="s">
        <v>5436</v>
      </c>
      <c r="BE564" s="1" t="s">
        <v>74</v>
      </c>
      <c r="BF564" s="1" t="s">
        <v>74</v>
      </c>
      <c r="BG564" s="1" t="s">
        <v>74</v>
      </c>
      <c r="BH564" s="1" t="s">
        <v>74</v>
      </c>
      <c r="BI564" s="1" t="s">
        <v>74</v>
      </c>
      <c r="BJ564" s="1" t="s">
        <v>74</v>
      </c>
      <c r="BK564" s="1" t="s">
        <v>74</v>
      </c>
      <c r="BL564" s="1" t="s">
        <v>74</v>
      </c>
      <c r="BM564" s="1" t="s">
        <v>74</v>
      </c>
      <c r="BN564" s="1" t="s">
        <v>74</v>
      </c>
      <c r="BO564" s="1" t="s">
        <v>74</v>
      </c>
      <c r="BP564" s="1" t="s">
        <v>74</v>
      </c>
      <c r="BQ564" s="1" t="s">
        <v>74</v>
      </c>
      <c r="BR564" s="1" t="s">
        <v>74</v>
      </c>
      <c r="BS564" s="1" t="s">
        <v>5437</v>
      </c>
      <c r="BT564" s="1" t="str">
        <f>HYPERLINK("https%3A%2F%2Fwww.webofscience.com%2Fwos%2Fwoscc%2Ffull-record%2FWOS:000502408800009","View Full Record in Web of Science")</f>
        <v>View Full Record in Web of Science</v>
      </c>
    </row>
    <row r="565" ht="12.75" customHeight="1">
      <c r="A565" s="1" t="s">
        <v>72</v>
      </c>
      <c r="B565" s="1" t="s">
        <v>5438</v>
      </c>
      <c r="C565" s="1" t="s">
        <v>74</v>
      </c>
      <c r="D565" s="1" t="s">
        <v>74</v>
      </c>
      <c r="E565" s="1" t="s">
        <v>74</v>
      </c>
      <c r="F565" s="1" t="s">
        <v>5439</v>
      </c>
      <c r="G565" s="1" t="s">
        <v>74</v>
      </c>
      <c r="H565" s="1" t="s">
        <v>74</v>
      </c>
      <c r="I565" s="1" t="s">
        <v>5440</v>
      </c>
      <c r="J565" s="1" t="s">
        <v>5441</v>
      </c>
      <c r="K565" s="1" t="s">
        <v>74</v>
      </c>
      <c r="L565" s="1" t="s">
        <v>74</v>
      </c>
      <c r="M565" s="1" t="s">
        <v>74</v>
      </c>
      <c r="N565" s="1" t="s">
        <v>74</v>
      </c>
      <c r="O565" s="1" t="s">
        <v>74</v>
      </c>
      <c r="P565" s="1" t="s">
        <v>74</v>
      </c>
      <c r="Q565" s="1" t="s">
        <v>74</v>
      </c>
      <c r="R565" s="1" t="s">
        <v>74</v>
      </c>
      <c r="S565" s="1" t="s">
        <v>74</v>
      </c>
      <c r="T565" s="1" t="s">
        <v>74</v>
      </c>
      <c r="U565" s="1" t="s">
        <v>74</v>
      </c>
      <c r="V565" s="1" t="s">
        <v>5442</v>
      </c>
      <c r="W565" s="1" t="s">
        <v>74</v>
      </c>
      <c r="X565" s="1" t="s">
        <v>74</v>
      </c>
      <c r="Y565" s="1" t="s">
        <v>74</v>
      </c>
      <c r="Z565" s="1" t="s">
        <v>74</v>
      </c>
      <c r="AA565" s="1" t="s">
        <v>5443</v>
      </c>
      <c r="AB565" s="1" t="s">
        <v>5444</v>
      </c>
      <c r="AC565" s="1" t="s">
        <v>74</v>
      </c>
      <c r="AD565" s="1" t="s">
        <v>74</v>
      </c>
      <c r="AE565" s="1" t="s">
        <v>74</v>
      </c>
      <c r="AF565" s="1" t="s">
        <v>74</v>
      </c>
      <c r="AG565" s="1" t="s">
        <v>74</v>
      </c>
      <c r="AH565" s="1" t="s">
        <v>74</v>
      </c>
      <c r="AI565" s="1" t="s">
        <v>74</v>
      </c>
      <c r="AJ565" s="1" t="s">
        <v>74</v>
      </c>
      <c r="AK565" s="1" t="s">
        <v>74</v>
      </c>
      <c r="AL565" s="1" t="s">
        <v>74</v>
      </c>
      <c r="AM565" s="1" t="s">
        <v>74</v>
      </c>
      <c r="AN565" s="1" t="s">
        <v>74</v>
      </c>
      <c r="AO565" s="1" t="s">
        <v>5445</v>
      </c>
      <c r="AP565" s="1" t="s">
        <v>5446</v>
      </c>
      <c r="AQ565" s="1" t="s">
        <v>74</v>
      </c>
      <c r="AR565" s="1" t="s">
        <v>74</v>
      </c>
      <c r="AS565" s="1" t="s">
        <v>74</v>
      </c>
      <c r="AT565" s="1" t="s">
        <v>5447</v>
      </c>
      <c r="AU565" s="1">
        <v>2018.0</v>
      </c>
      <c r="AV565" s="1">
        <v>51.0</v>
      </c>
      <c r="AW565" s="1" t="s">
        <v>74</v>
      </c>
      <c r="AX565" s="1" t="s">
        <v>74</v>
      </c>
      <c r="AY565" s="1" t="s">
        <v>74</v>
      </c>
      <c r="AZ565" s="1" t="s">
        <v>74</v>
      </c>
      <c r="BA565" s="1" t="s">
        <v>74</v>
      </c>
      <c r="BB565" s="1" t="s">
        <v>74</v>
      </c>
      <c r="BC565" s="1" t="s">
        <v>74</v>
      </c>
      <c r="BD565" s="1">
        <v>55.0</v>
      </c>
      <c r="BE565" s="1" t="s">
        <v>5448</v>
      </c>
      <c r="BF565" s="2" t="str">
        <f>HYPERLINK("http://dx.doi.org/10.1186/s40659-018-0206-3","http://dx.doi.org/10.1186/s40659-018-0206-3")</f>
        <v>http://dx.doi.org/10.1186/s40659-018-0206-3</v>
      </c>
      <c r="BG565" s="1" t="s">
        <v>74</v>
      </c>
      <c r="BH565" s="1" t="s">
        <v>74</v>
      </c>
      <c r="BI565" s="1" t="s">
        <v>74</v>
      </c>
      <c r="BJ565" s="1" t="s">
        <v>74</v>
      </c>
      <c r="BK565" s="1" t="s">
        <v>74</v>
      </c>
      <c r="BL565" s="1" t="s">
        <v>74</v>
      </c>
      <c r="BM565" s="1" t="s">
        <v>74</v>
      </c>
      <c r="BN565" s="1">
        <v>3.0526684E7</v>
      </c>
      <c r="BO565" s="1" t="s">
        <v>74</v>
      </c>
      <c r="BP565" s="1" t="s">
        <v>74</v>
      </c>
      <c r="BQ565" s="1" t="s">
        <v>74</v>
      </c>
      <c r="BR565" s="1" t="s">
        <v>74</v>
      </c>
      <c r="BS565" s="1" t="s">
        <v>5449</v>
      </c>
      <c r="BT565" s="1" t="str">
        <f>HYPERLINK("https%3A%2F%2Fwww.webofscience.com%2Fwos%2Fwoscc%2Ffull-record%2FWOS:000452538200001","View Full Record in Web of Science")</f>
        <v>View Full Record in Web of Science</v>
      </c>
    </row>
    <row r="566" ht="12.75" customHeight="1">
      <c r="A566" s="1" t="s">
        <v>72</v>
      </c>
      <c r="B566" s="1" t="s">
        <v>5450</v>
      </c>
      <c r="C566" s="1" t="s">
        <v>74</v>
      </c>
      <c r="D566" s="1" t="s">
        <v>74</v>
      </c>
      <c r="E566" s="1" t="s">
        <v>74</v>
      </c>
      <c r="F566" s="1" t="s">
        <v>5451</v>
      </c>
      <c r="G566" s="1" t="s">
        <v>74</v>
      </c>
      <c r="H566" s="1" t="s">
        <v>74</v>
      </c>
      <c r="I566" s="1" t="s">
        <v>5452</v>
      </c>
      <c r="J566" s="1" t="s">
        <v>3626</v>
      </c>
      <c r="K566" s="1" t="s">
        <v>74</v>
      </c>
      <c r="L566" s="1" t="s">
        <v>74</v>
      </c>
      <c r="M566" s="1" t="s">
        <v>74</v>
      </c>
      <c r="N566" s="1" t="s">
        <v>74</v>
      </c>
      <c r="O566" s="1" t="s">
        <v>74</v>
      </c>
      <c r="P566" s="1" t="s">
        <v>74</v>
      </c>
      <c r="Q566" s="1" t="s">
        <v>74</v>
      </c>
      <c r="R566" s="1" t="s">
        <v>74</v>
      </c>
      <c r="S566" s="1" t="s">
        <v>74</v>
      </c>
      <c r="T566" s="1" t="s">
        <v>74</v>
      </c>
      <c r="U566" s="1" t="s">
        <v>74</v>
      </c>
      <c r="V566" s="1" t="s">
        <v>5453</v>
      </c>
      <c r="W566" s="1" t="s">
        <v>74</v>
      </c>
      <c r="X566" s="1" t="s">
        <v>74</v>
      </c>
      <c r="Y566" s="1" t="s">
        <v>74</v>
      </c>
      <c r="Z566" s="1" t="s">
        <v>74</v>
      </c>
      <c r="AA566" s="1" t="s">
        <v>5454</v>
      </c>
      <c r="AB566" s="1" t="s">
        <v>5455</v>
      </c>
      <c r="AC566" s="1" t="s">
        <v>74</v>
      </c>
      <c r="AD566" s="1" t="s">
        <v>74</v>
      </c>
      <c r="AE566" s="1" t="s">
        <v>74</v>
      </c>
      <c r="AF566" s="1" t="s">
        <v>74</v>
      </c>
      <c r="AG566" s="1" t="s">
        <v>74</v>
      </c>
      <c r="AH566" s="1" t="s">
        <v>74</v>
      </c>
      <c r="AI566" s="1" t="s">
        <v>74</v>
      </c>
      <c r="AJ566" s="1" t="s">
        <v>74</v>
      </c>
      <c r="AK566" s="1" t="s">
        <v>74</v>
      </c>
      <c r="AL566" s="1" t="s">
        <v>74</v>
      </c>
      <c r="AM566" s="1" t="s">
        <v>74</v>
      </c>
      <c r="AN566" s="1" t="s">
        <v>74</v>
      </c>
      <c r="AO566" s="1" t="s">
        <v>3630</v>
      </c>
      <c r="AP566" s="1" t="s">
        <v>74</v>
      </c>
      <c r="AQ566" s="1" t="s">
        <v>74</v>
      </c>
      <c r="AR566" s="1" t="s">
        <v>74</v>
      </c>
      <c r="AS566" s="1" t="s">
        <v>74</v>
      </c>
      <c r="AT566" s="1" t="s">
        <v>5456</v>
      </c>
      <c r="AU566" s="1">
        <v>2018.0</v>
      </c>
      <c r="AV566" s="1">
        <v>57.0</v>
      </c>
      <c r="AW566" s="1">
        <v>5.0</v>
      </c>
      <c r="AX566" s="1" t="s">
        <v>74</v>
      </c>
      <c r="AY566" s="1" t="s">
        <v>74</v>
      </c>
      <c r="AZ566" s="1" t="s">
        <v>74</v>
      </c>
      <c r="BA566" s="1" t="s">
        <v>74</v>
      </c>
      <c r="BB566" s="1">
        <v>1621.0</v>
      </c>
      <c r="BC566" s="1">
        <v>1629.0</v>
      </c>
      <c r="BD566" s="1" t="s">
        <v>74</v>
      </c>
      <c r="BE566" s="1" t="s">
        <v>5457</v>
      </c>
      <c r="BF566" s="2" t="str">
        <f>HYPERLINK("http://dx.doi.org/10.1021/acs.iecr.7b04147","http://dx.doi.org/10.1021/acs.iecr.7b04147")</f>
        <v>http://dx.doi.org/10.1021/acs.iecr.7b04147</v>
      </c>
      <c r="BG566" s="1" t="s">
        <v>74</v>
      </c>
      <c r="BH566" s="1" t="s">
        <v>74</v>
      </c>
      <c r="BI566" s="1" t="s">
        <v>74</v>
      </c>
      <c r="BJ566" s="1" t="s">
        <v>74</v>
      </c>
      <c r="BK566" s="1" t="s">
        <v>74</v>
      </c>
      <c r="BL566" s="1" t="s">
        <v>74</v>
      </c>
      <c r="BM566" s="1" t="s">
        <v>74</v>
      </c>
      <c r="BN566" s="1" t="s">
        <v>74</v>
      </c>
      <c r="BO566" s="1" t="s">
        <v>74</v>
      </c>
      <c r="BP566" s="1" t="s">
        <v>74</v>
      </c>
      <c r="BQ566" s="1" t="s">
        <v>74</v>
      </c>
      <c r="BR566" s="1" t="s">
        <v>74</v>
      </c>
      <c r="BS566" s="1" t="s">
        <v>5458</v>
      </c>
      <c r="BT566" s="1" t="str">
        <f>HYPERLINK("https%3A%2F%2Fwww.webofscience.com%2Fwos%2Fwoscc%2Ffull-record%2FWOS:000424851800028","View Full Record in Web of Science")</f>
        <v>View Full Record in Web of Science</v>
      </c>
    </row>
    <row r="567" ht="12.75" customHeight="1">
      <c r="A567" s="1" t="s">
        <v>251</v>
      </c>
      <c r="B567" s="1" t="s">
        <v>5459</v>
      </c>
      <c r="C567" s="1" t="s">
        <v>74</v>
      </c>
      <c r="D567" s="1" t="s">
        <v>5460</v>
      </c>
      <c r="E567" s="1" t="s">
        <v>74</v>
      </c>
      <c r="F567" s="1" t="s">
        <v>5461</v>
      </c>
      <c r="G567" s="1" t="s">
        <v>74</v>
      </c>
      <c r="H567" s="1" t="s">
        <v>74</v>
      </c>
      <c r="I567" s="1" t="s">
        <v>5462</v>
      </c>
      <c r="J567" s="1" t="s">
        <v>5463</v>
      </c>
      <c r="K567" s="1" t="s">
        <v>74</v>
      </c>
      <c r="L567" s="1" t="s">
        <v>74</v>
      </c>
      <c r="M567" s="1" t="s">
        <v>74</v>
      </c>
      <c r="N567" s="1" t="s">
        <v>74</v>
      </c>
      <c r="O567" s="1" t="s">
        <v>5464</v>
      </c>
      <c r="P567" s="1" t="s">
        <v>5465</v>
      </c>
      <c r="Q567" s="1" t="s">
        <v>5466</v>
      </c>
      <c r="R567" s="1" t="s">
        <v>5467</v>
      </c>
      <c r="S567" s="1" t="s">
        <v>74</v>
      </c>
      <c r="T567" s="1" t="s">
        <v>74</v>
      </c>
      <c r="U567" s="1" t="s">
        <v>74</v>
      </c>
      <c r="V567" s="1" t="s">
        <v>5468</v>
      </c>
      <c r="W567" s="1" t="s">
        <v>74</v>
      </c>
      <c r="X567" s="1" t="s">
        <v>74</v>
      </c>
      <c r="Y567" s="1" t="s">
        <v>74</v>
      </c>
      <c r="Z567" s="1" t="s">
        <v>74</v>
      </c>
      <c r="AA567" s="1" t="s">
        <v>5469</v>
      </c>
      <c r="AB567" s="1" t="s">
        <v>5470</v>
      </c>
      <c r="AC567" s="1" t="s">
        <v>74</v>
      </c>
      <c r="AD567" s="1" t="s">
        <v>74</v>
      </c>
      <c r="AE567" s="1" t="s">
        <v>74</v>
      </c>
      <c r="AF567" s="1" t="s">
        <v>74</v>
      </c>
      <c r="AG567" s="1" t="s">
        <v>74</v>
      </c>
      <c r="AH567" s="1" t="s">
        <v>74</v>
      </c>
      <c r="AI567" s="1" t="s">
        <v>74</v>
      </c>
      <c r="AJ567" s="1" t="s">
        <v>74</v>
      </c>
      <c r="AK567" s="1" t="s">
        <v>74</v>
      </c>
      <c r="AL567" s="1" t="s">
        <v>74</v>
      </c>
      <c r="AM567" s="1" t="s">
        <v>74</v>
      </c>
      <c r="AN567" s="1" t="s">
        <v>74</v>
      </c>
      <c r="AO567" s="1" t="s">
        <v>74</v>
      </c>
      <c r="AP567" s="1" t="s">
        <v>74</v>
      </c>
      <c r="AQ567" s="1" t="s">
        <v>5471</v>
      </c>
      <c r="AR567" s="1" t="s">
        <v>74</v>
      </c>
      <c r="AS567" s="1" t="s">
        <v>74</v>
      </c>
      <c r="AT567" s="1" t="s">
        <v>74</v>
      </c>
      <c r="AU567" s="1">
        <v>2018.0</v>
      </c>
      <c r="AV567" s="1" t="s">
        <v>74</v>
      </c>
      <c r="AW567" s="1" t="s">
        <v>74</v>
      </c>
      <c r="AX567" s="1" t="s">
        <v>74</v>
      </c>
      <c r="AY567" s="1" t="s">
        <v>74</v>
      </c>
      <c r="AZ567" s="1" t="s">
        <v>74</v>
      </c>
      <c r="BA567" s="1" t="s">
        <v>74</v>
      </c>
      <c r="BB567" s="1" t="s">
        <v>74</v>
      </c>
      <c r="BC567" s="1" t="s">
        <v>74</v>
      </c>
      <c r="BD567" s="1" t="s">
        <v>74</v>
      </c>
      <c r="BE567" s="1" t="s">
        <v>74</v>
      </c>
      <c r="BF567" s="1" t="s">
        <v>74</v>
      </c>
      <c r="BG567" s="1" t="s">
        <v>74</v>
      </c>
      <c r="BH567" s="1" t="s">
        <v>74</v>
      </c>
      <c r="BI567" s="1" t="s">
        <v>74</v>
      </c>
      <c r="BJ567" s="1" t="s">
        <v>74</v>
      </c>
      <c r="BK567" s="1" t="s">
        <v>74</v>
      </c>
      <c r="BL567" s="1" t="s">
        <v>74</v>
      </c>
      <c r="BM567" s="1" t="s">
        <v>74</v>
      </c>
      <c r="BN567" s="1" t="s">
        <v>74</v>
      </c>
      <c r="BO567" s="1" t="s">
        <v>74</v>
      </c>
      <c r="BP567" s="1" t="s">
        <v>74</v>
      </c>
      <c r="BQ567" s="1" t="s">
        <v>74</v>
      </c>
      <c r="BR567" s="1" t="s">
        <v>74</v>
      </c>
      <c r="BS567" s="1" t="s">
        <v>5472</v>
      </c>
      <c r="BT567" s="1" t="str">
        <f>HYPERLINK("https%3A%2F%2Fwww.webofscience.com%2Fwos%2Fwoscc%2Ffull-record%2FWOS:000458417600020","View Full Record in Web of Science")</f>
        <v>View Full Record in Web of Science</v>
      </c>
    </row>
    <row r="568" ht="12.75" customHeight="1">
      <c r="A568" s="1" t="s">
        <v>251</v>
      </c>
      <c r="B568" s="1" t="s">
        <v>5473</v>
      </c>
      <c r="C568" s="1" t="s">
        <v>74</v>
      </c>
      <c r="D568" s="1" t="s">
        <v>5474</v>
      </c>
      <c r="E568" s="1" t="s">
        <v>74</v>
      </c>
      <c r="F568" s="1" t="s">
        <v>5475</v>
      </c>
      <c r="G568" s="1" t="s">
        <v>74</v>
      </c>
      <c r="H568" s="1" t="s">
        <v>74</v>
      </c>
      <c r="I568" s="1" t="s">
        <v>5476</v>
      </c>
      <c r="J568" s="1" t="s">
        <v>5477</v>
      </c>
      <c r="K568" s="1" t="s">
        <v>669</v>
      </c>
      <c r="L568" s="1" t="s">
        <v>74</v>
      </c>
      <c r="M568" s="1" t="s">
        <v>74</v>
      </c>
      <c r="N568" s="1" t="s">
        <v>74</v>
      </c>
      <c r="O568" s="1" t="s">
        <v>5478</v>
      </c>
      <c r="P568" s="1" t="s">
        <v>5479</v>
      </c>
      <c r="Q568" s="1" t="s">
        <v>5480</v>
      </c>
      <c r="R568" s="1" t="s">
        <v>74</v>
      </c>
      <c r="S568" s="1" t="s">
        <v>5481</v>
      </c>
      <c r="T568" s="1" t="s">
        <v>74</v>
      </c>
      <c r="U568" s="1" t="s">
        <v>74</v>
      </c>
      <c r="V568" s="1" t="s">
        <v>5482</v>
      </c>
      <c r="W568" s="1" t="s">
        <v>74</v>
      </c>
      <c r="X568" s="1" t="s">
        <v>74</v>
      </c>
      <c r="Y568" s="1" t="s">
        <v>74</v>
      </c>
      <c r="Z568" s="1" t="s">
        <v>74</v>
      </c>
      <c r="AA568" s="1" t="s">
        <v>74</v>
      </c>
      <c r="AB568" s="1" t="s">
        <v>5483</v>
      </c>
      <c r="AC568" s="1" t="s">
        <v>74</v>
      </c>
      <c r="AD568" s="1" t="s">
        <v>74</v>
      </c>
      <c r="AE568" s="1" t="s">
        <v>74</v>
      </c>
      <c r="AF568" s="1" t="s">
        <v>74</v>
      </c>
      <c r="AG568" s="1" t="s">
        <v>74</v>
      </c>
      <c r="AH568" s="1" t="s">
        <v>74</v>
      </c>
      <c r="AI568" s="1" t="s">
        <v>74</v>
      </c>
      <c r="AJ568" s="1" t="s">
        <v>74</v>
      </c>
      <c r="AK568" s="1" t="s">
        <v>74</v>
      </c>
      <c r="AL568" s="1" t="s">
        <v>74</v>
      </c>
      <c r="AM568" s="1" t="s">
        <v>74</v>
      </c>
      <c r="AN568" s="1" t="s">
        <v>74</v>
      </c>
      <c r="AO568" s="1" t="s">
        <v>675</v>
      </c>
      <c r="AP568" s="1" t="s">
        <v>676</v>
      </c>
      <c r="AQ568" s="1" t="s">
        <v>5484</v>
      </c>
      <c r="AR568" s="1" t="s">
        <v>74</v>
      </c>
      <c r="AS568" s="1" t="s">
        <v>74</v>
      </c>
      <c r="AT568" s="1" t="s">
        <v>74</v>
      </c>
      <c r="AU568" s="1">
        <v>2018.0</v>
      </c>
      <c r="AV568" s="1">
        <v>10657.0</v>
      </c>
      <c r="AW568" s="1" t="s">
        <v>74</v>
      </c>
      <c r="AX568" s="1" t="s">
        <v>74</v>
      </c>
      <c r="AY568" s="1" t="s">
        <v>74</v>
      </c>
      <c r="AZ568" s="1" t="s">
        <v>74</v>
      </c>
      <c r="BA568" s="1" t="s">
        <v>74</v>
      </c>
      <c r="BB568" s="1">
        <v>94.0</v>
      </c>
      <c r="BC568" s="1">
        <v>101.0</v>
      </c>
      <c r="BD568" s="1" t="s">
        <v>74</v>
      </c>
      <c r="BE568" s="1" t="s">
        <v>5485</v>
      </c>
      <c r="BF568" s="2" t="str">
        <f>HYPERLINK("http://dx.doi.org/10.1007/978-3-319-75193-1_12","http://dx.doi.org/10.1007/978-3-319-75193-1_12")</f>
        <v>http://dx.doi.org/10.1007/978-3-319-75193-1_12</v>
      </c>
      <c r="BG568" s="1" t="s">
        <v>74</v>
      </c>
      <c r="BH568" s="1" t="s">
        <v>74</v>
      </c>
      <c r="BI568" s="1" t="s">
        <v>74</v>
      </c>
      <c r="BJ568" s="1" t="s">
        <v>74</v>
      </c>
      <c r="BK568" s="1" t="s">
        <v>74</v>
      </c>
      <c r="BL568" s="1" t="s">
        <v>74</v>
      </c>
      <c r="BM568" s="1" t="s">
        <v>74</v>
      </c>
      <c r="BN568" s="1" t="s">
        <v>74</v>
      </c>
      <c r="BO568" s="1" t="s">
        <v>74</v>
      </c>
      <c r="BP568" s="1" t="s">
        <v>74</v>
      </c>
      <c r="BQ568" s="1" t="s">
        <v>74</v>
      </c>
      <c r="BR568" s="1" t="s">
        <v>74</v>
      </c>
      <c r="BS568" s="1" t="s">
        <v>5486</v>
      </c>
      <c r="BT568" s="1" t="str">
        <f>HYPERLINK("https%3A%2F%2Fwww.webofscience.com%2Fwos%2Fwoscc%2Ffull-record%2FWOS:001416962800012","View Full Record in Web of Science")</f>
        <v>View Full Record in Web of Science</v>
      </c>
    </row>
    <row r="569" ht="12.75" customHeight="1">
      <c r="A569" s="1" t="s">
        <v>251</v>
      </c>
      <c r="B569" s="1" t="s">
        <v>5487</v>
      </c>
      <c r="C569" s="1" t="s">
        <v>74</v>
      </c>
      <c r="D569" s="1" t="s">
        <v>5488</v>
      </c>
      <c r="E569" s="1" t="s">
        <v>74</v>
      </c>
      <c r="F569" s="1" t="s">
        <v>5489</v>
      </c>
      <c r="G569" s="1" t="s">
        <v>74</v>
      </c>
      <c r="H569" s="1" t="s">
        <v>74</v>
      </c>
      <c r="I569" s="1" t="s">
        <v>5490</v>
      </c>
      <c r="J569" s="1" t="s">
        <v>5491</v>
      </c>
      <c r="K569" s="1" t="s">
        <v>5492</v>
      </c>
      <c r="L569" s="1" t="s">
        <v>74</v>
      </c>
      <c r="M569" s="1" t="s">
        <v>74</v>
      </c>
      <c r="N569" s="1" t="s">
        <v>74</v>
      </c>
      <c r="O569" s="1" t="s">
        <v>5493</v>
      </c>
      <c r="P569" s="1" t="s">
        <v>5494</v>
      </c>
      <c r="Q569" s="1" t="s">
        <v>5495</v>
      </c>
      <c r="R569" s="1" t="s">
        <v>5496</v>
      </c>
      <c r="S569" s="1" t="s">
        <v>74</v>
      </c>
      <c r="T569" s="1" t="s">
        <v>74</v>
      </c>
      <c r="U569" s="1" t="s">
        <v>74</v>
      </c>
      <c r="V569" s="1" t="s">
        <v>5497</v>
      </c>
      <c r="W569" s="1" t="s">
        <v>74</v>
      </c>
      <c r="X569" s="1" t="s">
        <v>74</v>
      </c>
      <c r="Y569" s="1" t="s">
        <v>74</v>
      </c>
      <c r="Z569" s="1" t="s">
        <v>74</v>
      </c>
      <c r="AA569" s="1" t="s">
        <v>5498</v>
      </c>
      <c r="AB569" s="1" t="s">
        <v>5499</v>
      </c>
      <c r="AC569" s="1" t="s">
        <v>74</v>
      </c>
      <c r="AD569" s="1" t="s">
        <v>74</v>
      </c>
      <c r="AE569" s="1" t="s">
        <v>74</v>
      </c>
      <c r="AF569" s="1" t="s">
        <v>74</v>
      </c>
      <c r="AG569" s="1" t="s">
        <v>74</v>
      </c>
      <c r="AH569" s="1" t="s">
        <v>74</v>
      </c>
      <c r="AI569" s="1" t="s">
        <v>74</v>
      </c>
      <c r="AJ569" s="1" t="s">
        <v>74</v>
      </c>
      <c r="AK569" s="1" t="s">
        <v>74</v>
      </c>
      <c r="AL569" s="1" t="s">
        <v>74</v>
      </c>
      <c r="AM569" s="1" t="s">
        <v>74</v>
      </c>
      <c r="AN569" s="1" t="s">
        <v>74</v>
      </c>
      <c r="AO569" s="1" t="s">
        <v>5500</v>
      </c>
      <c r="AP569" s="1" t="s">
        <v>74</v>
      </c>
      <c r="AQ569" s="1" t="s">
        <v>5501</v>
      </c>
      <c r="AR569" s="1" t="s">
        <v>74</v>
      </c>
      <c r="AS569" s="1" t="s">
        <v>74</v>
      </c>
      <c r="AT569" s="1" t="s">
        <v>74</v>
      </c>
      <c r="AU569" s="1">
        <v>2018.0</v>
      </c>
      <c r="AV569" s="1">
        <v>183.0</v>
      </c>
      <c r="AW569" s="1" t="s">
        <v>74</v>
      </c>
      <c r="AX569" s="1" t="s">
        <v>74</v>
      </c>
      <c r="AY569" s="1" t="s">
        <v>74</v>
      </c>
      <c r="AZ569" s="1" t="s">
        <v>74</v>
      </c>
      <c r="BA569" s="1" t="s">
        <v>74</v>
      </c>
      <c r="BB569" s="1" t="s">
        <v>74</v>
      </c>
      <c r="BC569" s="1" t="s">
        <v>74</v>
      </c>
      <c r="BD569" s="1">
        <v>3017.0</v>
      </c>
      <c r="BE569" s="1" t="s">
        <v>5502</v>
      </c>
      <c r="BF569" s="2" t="str">
        <f>HYPERLINK("http://dx.doi.org/10.1051/epjconf/201818303017","http://dx.doi.org/10.1051/epjconf/201818303017")</f>
        <v>http://dx.doi.org/10.1051/epjconf/201818303017</v>
      </c>
      <c r="BG569" s="1" t="s">
        <v>74</v>
      </c>
      <c r="BH569" s="1" t="s">
        <v>74</v>
      </c>
      <c r="BI569" s="1" t="s">
        <v>74</v>
      </c>
      <c r="BJ569" s="1" t="s">
        <v>74</v>
      </c>
      <c r="BK569" s="1" t="s">
        <v>74</v>
      </c>
      <c r="BL569" s="1" t="s">
        <v>74</v>
      </c>
      <c r="BM569" s="1" t="s">
        <v>74</v>
      </c>
      <c r="BN569" s="1" t="s">
        <v>74</v>
      </c>
      <c r="BO569" s="1" t="s">
        <v>74</v>
      </c>
      <c r="BP569" s="1" t="s">
        <v>74</v>
      </c>
      <c r="BQ569" s="1" t="s">
        <v>74</v>
      </c>
      <c r="BR569" s="1" t="s">
        <v>74</v>
      </c>
      <c r="BS569" s="1" t="s">
        <v>5503</v>
      </c>
      <c r="BT569" s="1" t="str">
        <f>HYPERLINK("https%3A%2F%2Fwww.webofscience.com%2Fwos%2Fwoscc%2Ffull-record%2FWOS:000570191100146","View Full Record in Web of Science")</f>
        <v>View Full Record in Web of Science</v>
      </c>
    </row>
    <row r="570" ht="12.75" customHeight="1">
      <c r="A570" s="1" t="s">
        <v>72</v>
      </c>
      <c r="B570" s="1" t="s">
        <v>5504</v>
      </c>
      <c r="C570" s="1" t="s">
        <v>74</v>
      </c>
      <c r="D570" s="1" t="s">
        <v>74</v>
      </c>
      <c r="E570" s="1" t="s">
        <v>74</v>
      </c>
      <c r="F570" s="1" t="s">
        <v>5505</v>
      </c>
      <c r="G570" s="1" t="s">
        <v>74</v>
      </c>
      <c r="H570" s="1" t="s">
        <v>74</v>
      </c>
      <c r="I570" s="1" t="s">
        <v>5506</v>
      </c>
      <c r="J570" s="1" t="s">
        <v>3596</v>
      </c>
      <c r="K570" s="1" t="s">
        <v>74</v>
      </c>
      <c r="L570" s="1" t="s">
        <v>74</v>
      </c>
      <c r="M570" s="1" t="s">
        <v>74</v>
      </c>
      <c r="N570" s="1" t="s">
        <v>74</v>
      </c>
      <c r="O570" s="1" t="s">
        <v>74</v>
      </c>
      <c r="P570" s="1" t="s">
        <v>74</v>
      </c>
      <c r="Q570" s="1" t="s">
        <v>74</v>
      </c>
      <c r="R570" s="1" t="s">
        <v>74</v>
      </c>
      <c r="S570" s="1" t="s">
        <v>74</v>
      </c>
      <c r="T570" s="1" t="s">
        <v>74</v>
      </c>
      <c r="U570" s="1" t="s">
        <v>74</v>
      </c>
      <c r="V570" s="1" t="s">
        <v>5507</v>
      </c>
      <c r="W570" s="1" t="s">
        <v>74</v>
      </c>
      <c r="X570" s="1" t="s">
        <v>74</v>
      </c>
      <c r="Y570" s="1" t="s">
        <v>74</v>
      </c>
      <c r="Z570" s="1" t="s">
        <v>74</v>
      </c>
      <c r="AA570" s="1" t="s">
        <v>5508</v>
      </c>
      <c r="AB570" s="1" t="s">
        <v>5509</v>
      </c>
      <c r="AC570" s="1" t="s">
        <v>74</v>
      </c>
      <c r="AD570" s="1" t="s">
        <v>74</v>
      </c>
      <c r="AE570" s="1" t="s">
        <v>74</v>
      </c>
      <c r="AF570" s="1" t="s">
        <v>74</v>
      </c>
      <c r="AG570" s="1" t="s">
        <v>74</v>
      </c>
      <c r="AH570" s="1" t="s">
        <v>74</v>
      </c>
      <c r="AI570" s="1" t="s">
        <v>74</v>
      </c>
      <c r="AJ570" s="1" t="s">
        <v>74</v>
      </c>
      <c r="AK570" s="1" t="s">
        <v>74</v>
      </c>
      <c r="AL570" s="1" t="s">
        <v>74</v>
      </c>
      <c r="AM570" s="1" t="s">
        <v>74</v>
      </c>
      <c r="AN570" s="1" t="s">
        <v>74</v>
      </c>
      <c r="AO570" s="1" t="s">
        <v>3598</v>
      </c>
      <c r="AP570" s="1" t="s">
        <v>3599</v>
      </c>
      <c r="AQ570" s="1" t="s">
        <v>74</v>
      </c>
      <c r="AR570" s="1" t="s">
        <v>74</v>
      </c>
      <c r="AS570" s="1" t="s">
        <v>74</v>
      </c>
      <c r="AT570" s="1" t="s">
        <v>110</v>
      </c>
      <c r="AU570" s="1">
        <v>2017.0</v>
      </c>
      <c r="AV570" s="1">
        <v>369.0</v>
      </c>
      <c r="AW570" s="1" t="s">
        <v>2320</v>
      </c>
      <c r="AX570" s="1" t="s">
        <v>74</v>
      </c>
      <c r="AY570" s="1" t="s">
        <v>74</v>
      </c>
      <c r="AZ570" s="1" t="s">
        <v>74</v>
      </c>
      <c r="BA570" s="1" t="s">
        <v>74</v>
      </c>
      <c r="BB570" s="1">
        <v>1211.0</v>
      </c>
      <c r="BC570" s="1">
        <v>1236.0</v>
      </c>
      <c r="BD570" s="1" t="s">
        <v>74</v>
      </c>
      <c r="BE570" s="1" t="s">
        <v>5510</v>
      </c>
      <c r="BF570" s="2" t="str">
        <f>HYPERLINK("http://dx.doi.org/10.1007/s00208-016-1481-3","http://dx.doi.org/10.1007/s00208-016-1481-3")</f>
        <v>http://dx.doi.org/10.1007/s00208-016-1481-3</v>
      </c>
      <c r="BG570" s="1" t="s">
        <v>74</v>
      </c>
      <c r="BH570" s="1" t="s">
        <v>74</v>
      </c>
      <c r="BI570" s="1" t="s">
        <v>74</v>
      </c>
      <c r="BJ570" s="1" t="s">
        <v>74</v>
      </c>
      <c r="BK570" s="1" t="s">
        <v>74</v>
      </c>
      <c r="BL570" s="1" t="s">
        <v>74</v>
      </c>
      <c r="BM570" s="1" t="s">
        <v>74</v>
      </c>
      <c r="BN570" s="1" t="s">
        <v>74</v>
      </c>
      <c r="BO570" s="1" t="s">
        <v>74</v>
      </c>
      <c r="BP570" s="1" t="s">
        <v>74</v>
      </c>
      <c r="BQ570" s="1" t="s">
        <v>74</v>
      </c>
      <c r="BR570" s="1" t="s">
        <v>74</v>
      </c>
      <c r="BS570" s="1" t="s">
        <v>5511</v>
      </c>
      <c r="BT570" s="1" t="str">
        <f>HYPERLINK("https%3A%2F%2Fwww.webofscience.com%2Fwos%2Fwoscc%2Ffull-record%2FWOS:000413115900009","View Full Record in Web of Science")</f>
        <v>View Full Record in Web of Science</v>
      </c>
    </row>
    <row r="571" ht="12.75" customHeight="1">
      <c r="A571" s="1" t="s">
        <v>72</v>
      </c>
      <c r="B571" s="1" t="s">
        <v>5512</v>
      </c>
      <c r="C571" s="1" t="s">
        <v>74</v>
      </c>
      <c r="D571" s="1" t="s">
        <v>74</v>
      </c>
      <c r="E571" s="1" t="s">
        <v>74</v>
      </c>
      <c r="F571" s="1" t="s">
        <v>5513</v>
      </c>
      <c r="G571" s="1" t="s">
        <v>74</v>
      </c>
      <c r="H571" s="1" t="s">
        <v>74</v>
      </c>
      <c r="I571" s="1" t="s">
        <v>5514</v>
      </c>
      <c r="J571" s="1" t="s">
        <v>3018</v>
      </c>
      <c r="K571" s="1" t="s">
        <v>74</v>
      </c>
      <c r="L571" s="1" t="s">
        <v>74</v>
      </c>
      <c r="M571" s="1" t="s">
        <v>74</v>
      </c>
      <c r="N571" s="1" t="s">
        <v>74</v>
      </c>
      <c r="O571" s="1" t="s">
        <v>74</v>
      </c>
      <c r="P571" s="1" t="s">
        <v>74</v>
      </c>
      <c r="Q571" s="1" t="s">
        <v>74</v>
      </c>
      <c r="R571" s="1" t="s">
        <v>74</v>
      </c>
      <c r="S571" s="1" t="s">
        <v>74</v>
      </c>
      <c r="T571" s="1" t="s">
        <v>74</v>
      </c>
      <c r="U571" s="1" t="s">
        <v>74</v>
      </c>
      <c r="V571" s="1" t="s">
        <v>5515</v>
      </c>
      <c r="W571" s="1" t="s">
        <v>74</v>
      </c>
      <c r="X571" s="1" t="s">
        <v>74</v>
      </c>
      <c r="Y571" s="1" t="s">
        <v>74</v>
      </c>
      <c r="Z571" s="1" t="s">
        <v>74</v>
      </c>
      <c r="AA571" s="1" t="s">
        <v>74</v>
      </c>
      <c r="AB571" s="1" t="s">
        <v>74</v>
      </c>
      <c r="AC571" s="1" t="s">
        <v>74</v>
      </c>
      <c r="AD571" s="1" t="s">
        <v>74</v>
      </c>
      <c r="AE571" s="1" t="s">
        <v>74</v>
      </c>
      <c r="AF571" s="1" t="s">
        <v>74</v>
      </c>
      <c r="AG571" s="1" t="s">
        <v>74</v>
      </c>
      <c r="AH571" s="1" t="s">
        <v>74</v>
      </c>
      <c r="AI571" s="1" t="s">
        <v>74</v>
      </c>
      <c r="AJ571" s="1" t="s">
        <v>74</v>
      </c>
      <c r="AK571" s="1" t="s">
        <v>74</v>
      </c>
      <c r="AL571" s="1" t="s">
        <v>74</v>
      </c>
      <c r="AM571" s="1" t="s">
        <v>74</v>
      </c>
      <c r="AN571" s="1" t="s">
        <v>74</v>
      </c>
      <c r="AO571" s="1" t="s">
        <v>3020</v>
      </c>
      <c r="AP571" s="1" t="s">
        <v>74</v>
      </c>
      <c r="AQ571" s="1" t="s">
        <v>74</v>
      </c>
      <c r="AR571" s="1" t="s">
        <v>74</v>
      </c>
      <c r="AS571" s="1" t="s">
        <v>74</v>
      </c>
      <c r="AT571" s="1" t="s">
        <v>215</v>
      </c>
      <c r="AU571" s="1">
        <v>2017.0</v>
      </c>
      <c r="AV571" s="1">
        <v>23.0</v>
      </c>
      <c r="AW571" s="1">
        <v>1.0</v>
      </c>
      <c r="AX571" s="1" t="s">
        <v>74</v>
      </c>
      <c r="AY571" s="1" t="s">
        <v>74</v>
      </c>
      <c r="AZ571" s="1" t="s">
        <v>74</v>
      </c>
      <c r="BA571" s="1" t="s">
        <v>74</v>
      </c>
      <c r="BB571" s="1">
        <v>99.0</v>
      </c>
      <c r="BC571" s="1">
        <v>108.0</v>
      </c>
      <c r="BD571" s="1" t="s">
        <v>74</v>
      </c>
      <c r="BE571" s="1" t="s">
        <v>74</v>
      </c>
      <c r="BF571" s="1" t="s">
        <v>74</v>
      </c>
      <c r="BG571" s="1" t="s">
        <v>74</v>
      </c>
      <c r="BH571" s="1" t="s">
        <v>74</v>
      </c>
      <c r="BI571" s="1" t="s">
        <v>74</v>
      </c>
      <c r="BJ571" s="1" t="s">
        <v>74</v>
      </c>
      <c r="BK571" s="1" t="s">
        <v>74</v>
      </c>
      <c r="BL571" s="1" t="s">
        <v>74</v>
      </c>
      <c r="BM571" s="1" t="s">
        <v>74</v>
      </c>
      <c r="BN571" s="1" t="s">
        <v>74</v>
      </c>
      <c r="BO571" s="1" t="s">
        <v>74</v>
      </c>
      <c r="BP571" s="1" t="s">
        <v>74</v>
      </c>
      <c r="BQ571" s="1" t="s">
        <v>74</v>
      </c>
      <c r="BR571" s="1" t="s">
        <v>74</v>
      </c>
      <c r="BS571" s="1" t="s">
        <v>5516</v>
      </c>
      <c r="BT571" s="1" t="str">
        <f>HYPERLINK("https%3A%2F%2Fwww.webofscience.com%2Fwos%2Fwoscc%2Ffull-record%2FWOS:000408069000012","View Full Record in Web of Science")</f>
        <v>View Full Record in Web of Science</v>
      </c>
    </row>
    <row r="572" ht="12.75" customHeight="1">
      <c r="A572" s="1" t="s">
        <v>72</v>
      </c>
      <c r="B572" s="1" t="s">
        <v>5517</v>
      </c>
      <c r="C572" s="1" t="s">
        <v>74</v>
      </c>
      <c r="D572" s="1" t="s">
        <v>74</v>
      </c>
      <c r="E572" s="1" t="s">
        <v>74</v>
      </c>
      <c r="F572" s="1" t="s">
        <v>5518</v>
      </c>
      <c r="G572" s="1" t="s">
        <v>74</v>
      </c>
      <c r="H572" s="1" t="s">
        <v>74</v>
      </c>
      <c r="I572" s="1" t="s">
        <v>5519</v>
      </c>
      <c r="J572" s="1" t="s">
        <v>2837</v>
      </c>
      <c r="K572" s="1" t="s">
        <v>74</v>
      </c>
      <c r="L572" s="1" t="s">
        <v>74</v>
      </c>
      <c r="M572" s="1" t="s">
        <v>74</v>
      </c>
      <c r="N572" s="1" t="s">
        <v>74</v>
      </c>
      <c r="O572" s="1" t="s">
        <v>74</v>
      </c>
      <c r="P572" s="1" t="s">
        <v>74</v>
      </c>
      <c r="Q572" s="1" t="s">
        <v>74</v>
      </c>
      <c r="R572" s="1" t="s">
        <v>74</v>
      </c>
      <c r="S572" s="1" t="s">
        <v>74</v>
      </c>
      <c r="T572" s="1" t="s">
        <v>74</v>
      </c>
      <c r="U572" s="1" t="s">
        <v>74</v>
      </c>
      <c r="V572" s="1" t="s">
        <v>5520</v>
      </c>
      <c r="W572" s="1" t="s">
        <v>74</v>
      </c>
      <c r="X572" s="1" t="s">
        <v>74</v>
      </c>
      <c r="Y572" s="1" t="s">
        <v>74</v>
      </c>
      <c r="Z572" s="1" t="s">
        <v>74</v>
      </c>
      <c r="AA572" s="1" t="s">
        <v>5521</v>
      </c>
      <c r="AB572" s="1" t="s">
        <v>5522</v>
      </c>
      <c r="AC572" s="1" t="s">
        <v>74</v>
      </c>
      <c r="AD572" s="1" t="s">
        <v>74</v>
      </c>
      <c r="AE572" s="1" t="s">
        <v>74</v>
      </c>
      <c r="AF572" s="1" t="s">
        <v>74</v>
      </c>
      <c r="AG572" s="1" t="s">
        <v>74</v>
      </c>
      <c r="AH572" s="1" t="s">
        <v>74</v>
      </c>
      <c r="AI572" s="1" t="s">
        <v>74</v>
      </c>
      <c r="AJ572" s="1" t="s">
        <v>74</v>
      </c>
      <c r="AK572" s="1" t="s">
        <v>74</v>
      </c>
      <c r="AL572" s="1" t="s">
        <v>74</v>
      </c>
      <c r="AM572" s="1" t="s">
        <v>74</v>
      </c>
      <c r="AN572" s="1" t="s">
        <v>74</v>
      </c>
      <c r="AO572" s="1" t="s">
        <v>2841</v>
      </c>
      <c r="AP572" s="1" t="s">
        <v>2842</v>
      </c>
      <c r="AQ572" s="1" t="s">
        <v>74</v>
      </c>
      <c r="AR572" s="1" t="s">
        <v>74</v>
      </c>
      <c r="AS572" s="1" t="s">
        <v>74</v>
      </c>
      <c r="AT572" s="1" t="s">
        <v>5523</v>
      </c>
      <c r="AU572" s="1">
        <v>2016.0</v>
      </c>
      <c r="AV572" s="1">
        <v>107.0</v>
      </c>
      <c r="AW572" s="1" t="s">
        <v>74</v>
      </c>
      <c r="AX572" s="1" t="s">
        <v>74</v>
      </c>
      <c r="AY572" s="1" t="s">
        <v>74</v>
      </c>
      <c r="AZ572" s="1" t="s">
        <v>74</v>
      </c>
      <c r="BA572" s="1" t="s">
        <v>74</v>
      </c>
      <c r="BB572" s="1">
        <v>97.0</v>
      </c>
      <c r="BC572" s="1">
        <v>105.0</v>
      </c>
      <c r="BD572" s="1" t="s">
        <v>74</v>
      </c>
      <c r="BE572" s="1" t="s">
        <v>5524</v>
      </c>
      <c r="BF572" s="2" t="str">
        <f>HYPERLINK("http://dx.doi.org/10.1016/j.compositesb.2016.09.053","http://dx.doi.org/10.1016/j.compositesb.2016.09.053")</f>
        <v>http://dx.doi.org/10.1016/j.compositesb.2016.09.053</v>
      </c>
      <c r="BG572" s="1" t="s">
        <v>74</v>
      </c>
      <c r="BH572" s="1" t="s">
        <v>74</v>
      </c>
      <c r="BI572" s="1" t="s">
        <v>74</v>
      </c>
      <c r="BJ572" s="1" t="s">
        <v>74</v>
      </c>
      <c r="BK572" s="1" t="s">
        <v>74</v>
      </c>
      <c r="BL572" s="1" t="s">
        <v>74</v>
      </c>
      <c r="BM572" s="1" t="s">
        <v>74</v>
      </c>
      <c r="BN572" s="1" t="s">
        <v>74</v>
      </c>
      <c r="BO572" s="1" t="s">
        <v>74</v>
      </c>
      <c r="BP572" s="1" t="s">
        <v>74</v>
      </c>
      <c r="BQ572" s="1" t="s">
        <v>74</v>
      </c>
      <c r="BR572" s="1" t="s">
        <v>74</v>
      </c>
      <c r="BS572" s="1" t="s">
        <v>5525</v>
      </c>
      <c r="BT572" s="1" t="str">
        <f>HYPERLINK("https%3A%2F%2Fwww.webofscience.com%2Fwos%2Fwoscc%2Ffull-record%2FWOS:000387523500011","View Full Record in Web of Science")</f>
        <v>View Full Record in Web of Science</v>
      </c>
    </row>
    <row r="573" ht="12.75" customHeight="1">
      <c r="A573" s="1" t="s">
        <v>72</v>
      </c>
      <c r="B573" s="1" t="s">
        <v>5526</v>
      </c>
      <c r="C573" s="1" t="s">
        <v>74</v>
      </c>
      <c r="D573" s="1" t="s">
        <v>74</v>
      </c>
      <c r="E573" s="1" t="s">
        <v>74</v>
      </c>
      <c r="F573" s="1" t="s">
        <v>5527</v>
      </c>
      <c r="G573" s="1" t="s">
        <v>74</v>
      </c>
      <c r="H573" s="1" t="s">
        <v>74</v>
      </c>
      <c r="I573" s="1" t="s">
        <v>5528</v>
      </c>
      <c r="J573" s="1" t="s">
        <v>3416</v>
      </c>
      <c r="K573" s="1" t="s">
        <v>74</v>
      </c>
      <c r="L573" s="1" t="s">
        <v>74</v>
      </c>
      <c r="M573" s="1" t="s">
        <v>74</v>
      </c>
      <c r="N573" s="1" t="s">
        <v>74</v>
      </c>
      <c r="O573" s="1" t="s">
        <v>74</v>
      </c>
      <c r="P573" s="1" t="s">
        <v>74</v>
      </c>
      <c r="Q573" s="1" t="s">
        <v>74</v>
      </c>
      <c r="R573" s="1" t="s">
        <v>74</v>
      </c>
      <c r="S573" s="1" t="s">
        <v>74</v>
      </c>
      <c r="T573" s="1" t="s">
        <v>74</v>
      </c>
      <c r="U573" s="1" t="s">
        <v>74</v>
      </c>
      <c r="V573" s="1" t="s">
        <v>5529</v>
      </c>
      <c r="W573" s="1" t="s">
        <v>74</v>
      </c>
      <c r="X573" s="1" t="s">
        <v>74</v>
      </c>
      <c r="Y573" s="1" t="s">
        <v>74</v>
      </c>
      <c r="Z573" s="1" t="s">
        <v>74</v>
      </c>
      <c r="AA573" s="1" t="s">
        <v>5530</v>
      </c>
      <c r="AB573" s="1" t="s">
        <v>5531</v>
      </c>
      <c r="AC573" s="1" t="s">
        <v>74</v>
      </c>
      <c r="AD573" s="1" t="s">
        <v>74</v>
      </c>
      <c r="AE573" s="1" t="s">
        <v>74</v>
      </c>
      <c r="AF573" s="1" t="s">
        <v>74</v>
      </c>
      <c r="AG573" s="1" t="s">
        <v>74</v>
      </c>
      <c r="AH573" s="1" t="s">
        <v>74</v>
      </c>
      <c r="AI573" s="1" t="s">
        <v>74</v>
      </c>
      <c r="AJ573" s="1" t="s">
        <v>74</v>
      </c>
      <c r="AK573" s="1" t="s">
        <v>74</v>
      </c>
      <c r="AL573" s="1" t="s">
        <v>74</v>
      </c>
      <c r="AM573" s="1" t="s">
        <v>74</v>
      </c>
      <c r="AN573" s="1" t="s">
        <v>74</v>
      </c>
      <c r="AO573" s="1" t="s">
        <v>3420</v>
      </c>
      <c r="AP573" s="1" t="s">
        <v>3421</v>
      </c>
      <c r="AQ573" s="1" t="s">
        <v>74</v>
      </c>
      <c r="AR573" s="1" t="s">
        <v>74</v>
      </c>
      <c r="AS573" s="1" t="s">
        <v>74</v>
      </c>
      <c r="AT573" s="1" t="s">
        <v>110</v>
      </c>
      <c r="AU573" s="1">
        <v>2016.0</v>
      </c>
      <c r="AV573" s="1">
        <v>59.0</v>
      </c>
      <c r="AW573" s="1" t="s">
        <v>74</v>
      </c>
      <c r="AX573" s="1" t="s">
        <v>74</v>
      </c>
      <c r="AY573" s="1" t="s">
        <v>74</v>
      </c>
      <c r="AZ573" s="1" t="s">
        <v>74</v>
      </c>
      <c r="BA573" s="1" t="s">
        <v>74</v>
      </c>
      <c r="BB573" s="1">
        <v>36.0</v>
      </c>
      <c r="BC573" s="1">
        <v>45.0</v>
      </c>
      <c r="BD573" s="1" t="s">
        <v>74</v>
      </c>
      <c r="BE573" s="1" t="s">
        <v>5532</v>
      </c>
      <c r="BF573" s="2" t="str">
        <f>HYPERLINK("http://dx.doi.org/10.1016/j.fsi.2016.10.020","http://dx.doi.org/10.1016/j.fsi.2016.10.020")</f>
        <v>http://dx.doi.org/10.1016/j.fsi.2016.10.020</v>
      </c>
      <c r="BG573" s="1" t="s">
        <v>74</v>
      </c>
      <c r="BH573" s="1" t="s">
        <v>74</v>
      </c>
      <c r="BI573" s="1" t="s">
        <v>74</v>
      </c>
      <c r="BJ573" s="1" t="s">
        <v>74</v>
      </c>
      <c r="BK573" s="1" t="s">
        <v>74</v>
      </c>
      <c r="BL573" s="1" t="s">
        <v>74</v>
      </c>
      <c r="BM573" s="1" t="s">
        <v>74</v>
      </c>
      <c r="BN573" s="1">
        <v>2.7742589E7</v>
      </c>
      <c r="BO573" s="1" t="s">
        <v>74</v>
      </c>
      <c r="BP573" s="1" t="s">
        <v>74</v>
      </c>
      <c r="BQ573" s="1" t="s">
        <v>74</v>
      </c>
      <c r="BR573" s="1" t="s">
        <v>74</v>
      </c>
      <c r="BS573" s="1" t="s">
        <v>5533</v>
      </c>
      <c r="BT573" s="1" t="str">
        <f>HYPERLINK("https%3A%2F%2Fwww.webofscience.com%2Fwos%2Fwoscc%2Ffull-record%2FWOS:000389729100005","View Full Record in Web of Science")</f>
        <v>View Full Record in Web of Science</v>
      </c>
    </row>
    <row r="574" ht="12.75" customHeight="1">
      <c r="A574" s="1" t="s">
        <v>72</v>
      </c>
      <c r="B574" s="1" t="s">
        <v>5534</v>
      </c>
      <c r="C574" s="1" t="s">
        <v>74</v>
      </c>
      <c r="D574" s="1" t="s">
        <v>74</v>
      </c>
      <c r="E574" s="1" t="s">
        <v>74</v>
      </c>
      <c r="F574" s="1" t="s">
        <v>5535</v>
      </c>
      <c r="G574" s="1" t="s">
        <v>74</v>
      </c>
      <c r="H574" s="1" t="s">
        <v>74</v>
      </c>
      <c r="I574" s="1" t="s">
        <v>5536</v>
      </c>
      <c r="J574" s="1" t="s">
        <v>5537</v>
      </c>
      <c r="K574" s="1" t="s">
        <v>74</v>
      </c>
      <c r="L574" s="1" t="s">
        <v>74</v>
      </c>
      <c r="M574" s="1" t="s">
        <v>74</v>
      </c>
      <c r="N574" s="1" t="s">
        <v>74</v>
      </c>
      <c r="O574" s="1" t="s">
        <v>74</v>
      </c>
      <c r="P574" s="1" t="s">
        <v>74</v>
      </c>
      <c r="Q574" s="1" t="s">
        <v>74</v>
      </c>
      <c r="R574" s="1" t="s">
        <v>74</v>
      </c>
      <c r="S574" s="1" t="s">
        <v>74</v>
      </c>
      <c r="T574" s="1" t="s">
        <v>74</v>
      </c>
      <c r="U574" s="1" t="s">
        <v>74</v>
      </c>
      <c r="V574" s="1" t="s">
        <v>5538</v>
      </c>
      <c r="W574" s="1" t="s">
        <v>74</v>
      </c>
      <c r="X574" s="1" t="s">
        <v>74</v>
      </c>
      <c r="Y574" s="1" t="s">
        <v>74</v>
      </c>
      <c r="Z574" s="1" t="s">
        <v>74</v>
      </c>
      <c r="AA574" s="1" t="s">
        <v>74</v>
      </c>
      <c r="AB574" s="1" t="s">
        <v>74</v>
      </c>
      <c r="AC574" s="1" t="s">
        <v>74</v>
      </c>
      <c r="AD574" s="1" t="s">
        <v>74</v>
      </c>
      <c r="AE574" s="1" t="s">
        <v>74</v>
      </c>
      <c r="AF574" s="1" t="s">
        <v>74</v>
      </c>
      <c r="AG574" s="1" t="s">
        <v>74</v>
      </c>
      <c r="AH574" s="1" t="s">
        <v>74</v>
      </c>
      <c r="AI574" s="1" t="s">
        <v>74</v>
      </c>
      <c r="AJ574" s="1" t="s">
        <v>74</v>
      </c>
      <c r="AK574" s="1" t="s">
        <v>74</v>
      </c>
      <c r="AL574" s="1" t="s">
        <v>74</v>
      </c>
      <c r="AM574" s="1" t="s">
        <v>74</v>
      </c>
      <c r="AN574" s="1" t="s">
        <v>74</v>
      </c>
      <c r="AO574" s="1" t="s">
        <v>5539</v>
      </c>
      <c r="AP574" s="1" t="s">
        <v>5540</v>
      </c>
      <c r="AQ574" s="1" t="s">
        <v>74</v>
      </c>
      <c r="AR574" s="1" t="s">
        <v>74</v>
      </c>
      <c r="AS574" s="1" t="s">
        <v>74</v>
      </c>
      <c r="AT574" s="1" t="s">
        <v>180</v>
      </c>
      <c r="AU574" s="1">
        <v>2016.0</v>
      </c>
      <c r="AV574" s="1">
        <v>40.0</v>
      </c>
      <c r="AW574" s="1">
        <v>5.0</v>
      </c>
      <c r="AX574" s="1" t="s">
        <v>74</v>
      </c>
      <c r="AY574" s="1" t="s">
        <v>74</v>
      </c>
      <c r="AZ574" s="1" t="s">
        <v>411</v>
      </c>
      <c r="BA574" s="1" t="s">
        <v>74</v>
      </c>
      <c r="BB574" s="1">
        <v>485.0</v>
      </c>
      <c r="BC574" s="1">
        <v>501.0</v>
      </c>
      <c r="BD574" s="1" t="s">
        <v>74</v>
      </c>
      <c r="BE574" s="1" t="s">
        <v>5541</v>
      </c>
      <c r="BF574" s="2" t="str">
        <f>HYPERLINK("http://dx.doi.org/10.1016/j.telpol.2016.02.002","http://dx.doi.org/10.1016/j.telpol.2016.02.002")</f>
        <v>http://dx.doi.org/10.1016/j.telpol.2016.02.002</v>
      </c>
      <c r="BG574" s="1" t="s">
        <v>74</v>
      </c>
      <c r="BH574" s="1" t="s">
        <v>74</v>
      </c>
      <c r="BI574" s="1" t="s">
        <v>74</v>
      </c>
      <c r="BJ574" s="1" t="s">
        <v>74</v>
      </c>
      <c r="BK574" s="1" t="s">
        <v>74</v>
      </c>
      <c r="BL574" s="1" t="s">
        <v>74</v>
      </c>
      <c r="BM574" s="1" t="s">
        <v>74</v>
      </c>
      <c r="BN574" s="1" t="s">
        <v>74</v>
      </c>
      <c r="BO574" s="1" t="s">
        <v>74</v>
      </c>
      <c r="BP574" s="1" t="s">
        <v>74</v>
      </c>
      <c r="BQ574" s="1" t="s">
        <v>74</v>
      </c>
      <c r="BR574" s="1" t="s">
        <v>74</v>
      </c>
      <c r="BS574" s="1" t="s">
        <v>5542</v>
      </c>
      <c r="BT574" s="1" t="str">
        <f>HYPERLINK("https%3A%2F%2Fwww.webofscience.com%2Fwos%2Fwoscc%2Ffull-record%2FWOS:000374808800008","View Full Record in Web of Science")</f>
        <v>View Full Record in Web of Science</v>
      </c>
    </row>
    <row r="575" ht="12.75" customHeight="1">
      <c r="A575" s="1" t="s">
        <v>72</v>
      </c>
      <c r="B575" s="1" t="s">
        <v>5543</v>
      </c>
      <c r="C575" s="1" t="s">
        <v>74</v>
      </c>
      <c r="D575" s="1" t="s">
        <v>74</v>
      </c>
      <c r="E575" s="1" t="s">
        <v>74</v>
      </c>
      <c r="F575" s="1" t="s">
        <v>5544</v>
      </c>
      <c r="G575" s="1" t="s">
        <v>74</v>
      </c>
      <c r="H575" s="1" t="s">
        <v>74</v>
      </c>
      <c r="I575" s="1" t="s">
        <v>5545</v>
      </c>
      <c r="J575" s="1" t="s">
        <v>186</v>
      </c>
      <c r="K575" s="1" t="s">
        <v>74</v>
      </c>
      <c r="L575" s="1" t="s">
        <v>74</v>
      </c>
      <c r="M575" s="1" t="s">
        <v>74</v>
      </c>
      <c r="N575" s="1" t="s">
        <v>74</v>
      </c>
      <c r="O575" s="1" t="s">
        <v>74</v>
      </c>
      <c r="P575" s="1" t="s">
        <v>74</v>
      </c>
      <c r="Q575" s="1" t="s">
        <v>74</v>
      </c>
      <c r="R575" s="1" t="s">
        <v>74</v>
      </c>
      <c r="S575" s="1" t="s">
        <v>74</v>
      </c>
      <c r="T575" s="1" t="s">
        <v>74</v>
      </c>
      <c r="U575" s="1" t="s">
        <v>74</v>
      </c>
      <c r="V575" s="1" t="s">
        <v>5546</v>
      </c>
      <c r="W575" s="1" t="s">
        <v>74</v>
      </c>
      <c r="X575" s="1" t="s">
        <v>74</v>
      </c>
      <c r="Y575" s="1" t="s">
        <v>74</v>
      </c>
      <c r="Z575" s="1" t="s">
        <v>74</v>
      </c>
      <c r="AA575" s="1" t="s">
        <v>5547</v>
      </c>
      <c r="AB575" s="1" t="s">
        <v>5548</v>
      </c>
      <c r="AC575" s="1" t="s">
        <v>74</v>
      </c>
      <c r="AD575" s="1" t="s">
        <v>74</v>
      </c>
      <c r="AE575" s="1" t="s">
        <v>74</v>
      </c>
      <c r="AF575" s="1" t="s">
        <v>74</v>
      </c>
      <c r="AG575" s="1" t="s">
        <v>74</v>
      </c>
      <c r="AH575" s="1" t="s">
        <v>74</v>
      </c>
      <c r="AI575" s="1" t="s">
        <v>74</v>
      </c>
      <c r="AJ575" s="1" t="s">
        <v>74</v>
      </c>
      <c r="AK575" s="1" t="s">
        <v>74</v>
      </c>
      <c r="AL575" s="1" t="s">
        <v>74</v>
      </c>
      <c r="AM575" s="1" t="s">
        <v>74</v>
      </c>
      <c r="AN575" s="1" t="s">
        <v>74</v>
      </c>
      <c r="AO575" s="1" t="s">
        <v>190</v>
      </c>
      <c r="AP575" s="1" t="s">
        <v>74</v>
      </c>
      <c r="AQ575" s="1" t="s">
        <v>74</v>
      </c>
      <c r="AR575" s="1" t="s">
        <v>74</v>
      </c>
      <c r="AS575" s="1" t="s">
        <v>74</v>
      </c>
      <c r="AT575" s="1" t="s">
        <v>5549</v>
      </c>
      <c r="AU575" s="1">
        <v>2016.0</v>
      </c>
      <c r="AV575" s="1">
        <v>11.0</v>
      </c>
      <c r="AW575" s="1">
        <v>3.0</v>
      </c>
      <c r="AX575" s="1" t="s">
        <v>74</v>
      </c>
      <c r="AY575" s="1" t="s">
        <v>74</v>
      </c>
      <c r="AZ575" s="1" t="s">
        <v>74</v>
      </c>
      <c r="BA575" s="1" t="s">
        <v>74</v>
      </c>
      <c r="BB575" s="1" t="s">
        <v>74</v>
      </c>
      <c r="BC575" s="1" t="s">
        <v>74</v>
      </c>
      <c r="BD575" s="1" t="s">
        <v>5550</v>
      </c>
      <c r="BE575" s="1" t="s">
        <v>5551</v>
      </c>
      <c r="BF575" s="2" t="str">
        <f>HYPERLINK("http://dx.doi.org/10.1371/journal.pone.0151273","http://dx.doi.org/10.1371/journal.pone.0151273")</f>
        <v>http://dx.doi.org/10.1371/journal.pone.0151273</v>
      </c>
      <c r="BG575" s="1" t="s">
        <v>74</v>
      </c>
      <c r="BH575" s="1" t="s">
        <v>74</v>
      </c>
      <c r="BI575" s="1" t="s">
        <v>74</v>
      </c>
      <c r="BJ575" s="1" t="s">
        <v>74</v>
      </c>
      <c r="BK575" s="1" t="s">
        <v>74</v>
      </c>
      <c r="BL575" s="1" t="s">
        <v>74</v>
      </c>
      <c r="BM575" s="1" t="s">
        <v>74</v>
      </c>
      <c r="BN575" s="1">
        <v>2.696325E7</v>
      </c>
      <c r="BO575" s="1" t="s">
        <v>74</v>
      </c>
      <c r="BP575" s="1" t="s">
        <v>74</v>
      </c>
      <c r="BQ575" s="1" t="s">
        <v>74</v>
      </c>
      <c r="BR575" s="1" t="s">
        <v>74</v>
      </c>
      <c r="BS575" s="1" t="s">
        <v>5552</v>
      </c>
      <c r="BT575" s="1" t="str">
        <f>HYPERLINK("https%3A%2F%2Fwww.webofscience.com%2Fwos%2Fwoscc%2Ffull-record%2FWOS:000371993000132","View Full Record in Web of Science")</f>
        <v>View Full Record in Web of Science</v>
      </c>
    </row>
    <row r="576" ht="12.75" customHeight="1">
      <c r="A576" s="1" t="s">
        <v>72</v>
      </c>
      <c r="B576" s="1" t="s">
        <v>5553</v>
      </c>
      <c r="C576" s="1" t="s">
        <v>74</v>
      </c>
      <c r="D576" s="1" t="s">
        <v>74</v>
      </c>
      <c r="E576" s="1" t="s">
        <v>74</v>
      </c>
      <c r="F576" s="1" t="s">
        <v>5554</v>
      </c>
      <c r="G576" s="1" t="s">
        <v>74</v>
      </c>
      <c r="H576" s="1" t="s">
        <v>74</v>
      </c>
      <c r="I576" s="1" t="s">
        <v>5555</v>
      </c>
      <c r="J576" s="1" t="s">
        <v>5556</v>
      </c>
      <c r="K576" s="1" t="s">
        <v>74</v>
      </c>
      <c r="L576" s="1" t="s">
        <v>74</v>
      </c>
      <c r="M576" s="1" t="s">
        <v>74</v>
      </c>
      <c r="N576" s="1" t="s">
        <v>74</v>
      </c>
      <c r="O576" s="1" t="s">
        <v>74</v>
      </c>
      <c r="P576" s="1" t="s">
        <v>74</v>
      </c>
      <c r="Q576" s="1" t="s">
        <v>74</v>
      </c>
      <c r="R576" s="1" t="s">
        <v>74</v>
      </c>
      <c r="S576" s="1" t="s">
        <v>74</v>
      </c>
      <c r="T576" s="1" t="s">
        <v>74</v>
      </c>
      <c r="U576" s="1" t="s">
        <v>74</v>
      </c>
      <c r="V576" s="1" t="s">
        <v>5557</v>
      </c>
      <c r="W576" s="1" t="s">
        <v>74</v>
      </c>
      <c r="X576" s="1" t="s">
        <v>74</v>
      </c>
      <c r="Y576" s="1" t="s">
        <v>74</v>
      </c>
      <c r="Z576" s="1" t="s">
        <v>74</v>
      </c>
      <c r="AA576" s="1" t="s">
        <v>5558</v>
      </c>
      <c r="AB576" s="1" t="s">
        <v>5559</v>
      </c>
      <c r="AC576" s="1" t="s">
        <v>74</v>
      </c>
      <c r="AD576" s="1" t="s">
        <v>74</v>
      </c>
      <c r="AE576" s="1" t="s">
        <v>74</v>
      </c>
      <c r="AF576" s="1" t="s">
        <v>74</v>
      </c>
      <c r="AG576" s="1" t="s">
        <v>74</v>
      </c>
      <c r="AH576" s="1" t="s">
        <v>74</v>
      </c>
      <c r="AI576" s="1" t="s">
        <v>74</v>
      </c>
      <c r="AJ576" s="1" t="s">
        <v>74</v>
      </c>
      <c r="AK576" s="1" t="s">
        <v>74</v>
      </c>
      <c r="AL576" s="1" t="s">
        <v>74</v>
      </c>
      <c r="AM576" s="1" t="s">
        <v>74</v>
      </c>
      <c r="AN576" s="1" t="s">
        <v>74</v>
      </c>
      <c r="AO576" s="1" t="s">
        <v>5560</v>
      </c>
      <c r="AP576" s="1" t="s">
        <v>5561</v>
      </c>
      <c r="AQ576" s="1" t="s">
        <v>74</v>
      </c>
      <c r="AR576" s="1" t="s">
        <v>74</v>
      </c>
      <c r="AS576" s="1" t="s">
        <v>74</v>
      </c>
      <c r="AT576" s="1" t="s">
        <v>3275</v>
      </c>
      <c r="AU576" s="1">
        <v>2016.0</v>
      </c>
      <c r="AV576" s="1">
        <v>274.0</v>
      </c>
      <c r="AW576" s="1" t="s">
        <v>74</v>
      </c>
      <c r="AX576" s="1" t="s">
        <v>74</v>
      </c>
      <c r="AY576" s="1" t="s">
        <v>74</v>
      </c>
      <c r="AZ576" s="1" t="s">
        <v>74</v>
      </c>
      <c r="BA576" s="1" t="s">
        <v>74</v>
      </c>
      <c r="BB576" s="1">
        <v>590.0</v>
      </c>
      <c r="BC576" s="1">
        <v>603.0</v>
      </c>
      <c r="BD576" s="1" t="s">
        <v>74</v>
      </c>
      <c r="BE576" s="1" t="s">
        <v>5562</v>
      </c>
      <c r="BF576" s="2" t="str">
        <f>HYPERLINK("http://dx.doi.org/10.1016/j.amc.2015.11.034","http://dx.doi.org/10.1016/j.amc.2015.11.034")</f>
        <v>http://dx.doi.org/10.1016/j.amc.2015.11.034</v>
      </c>
      <c r="BG576" s="1" t="s">
        <v>74</v>
      </c>
      <c r="BH576" s="1" t="s">
        <v>74</v>
      </c>
      <c r="BI576" s="1" t="s">
        <v>74</v>
      </c>
      <c r="BJ576" s="1" t="s">
        <v>74</v>
      </c>
      <c r="BK576" s="1" t="s">
        <v>74</v>
      </c>
      <c r="BL576" s="1" t="s">
        <v>74</v>
      </c>
      <c r="BM576" s="1" t="s">
        <v>74</v>
      </c>
      <c r="BN576" s="1" t="s">
        <v>74</v>
      </c>
      <c r="BO576" s="1" t="s">
        <v>74</v>
      </c>
      <c r="BP576" s="1" t="s">
        <v>74</v>
      </c>
      <c r="BQ576" s="1" t="s">
        <v>74</v>
      </c>
      <c r="BR576" s="1" t="s">
        <v>74</v>
      </c>
      <c r="BS576" s="1" t="s">
        <v>5563</v>
      </c>
      <c r="BT576" s="1" t="str">
        <f>HYPERLINK("https%3A%2F%2Fwww.webofscience.com%2Fwos%2Fwoscc%2Ffull-record%2FWOS:000367521900052","View Full Record in Web of Science")</f>
        <v>View Full Record in Web of Science</v>
      </c>
    </row>
    <row r="577" ht="12.75" customHeight="1">
      <c r="A577" s="1" t="s">
        <v>251</v>
      </c>
      <c r="B577" s="1" t="s">
        <v>5564</v>
      </c>
      <c r="C577" s="1" t="s">
        <v>74</v>
      </c>
      <c r="D577" s="1" t="s">
        <v>5565</v>
      </c>
      <c r="E577" s="1" t="s">
        <v>74</v>
      </c>
      <c r="F577" s="1" t="s">
        <v>5566</v>
      </c>
      <c r="G577" s="1" t="s">
        <v>74</v>
      </c>
      <c r="H577" s="1" t="s">
        <v>74</v>
      </c>
      <c r="I577" s="1" t="s">
        <v>5567</v>
      </c>
      <c r="J577" s="1" t="s">
        <v>5568</v>
      </c>
      <c r="K577" s="1" t="s">
        <v>5569</v>
      </c>
      <c r="L577" s="1" t="s">
        <v>74</v>
      </c>
      <c r="M577" s="1" t="s">
        <v>74</v>
      </c>
      <c r="N577" s="1" t="s">
        <v>74</v>
      </c>
      <c r="O577" s="1" t="s">
        <v>5570</v>
      </c>
      <c r="P577" s="1" t="s">
        <v>5571</v>
      </c>
      <c r="Q577" s="1" t="s">
        <v>5466</v>
      </c>
      <c r="R577" s="1" t="s">
        <v>74</v>
      </c>
      <c r="S577" s="1" t="s">
        <v>74</v>
      </c>
      <c r="T577" s="1" t="s">
        <v>74</v>
      </c>
      <c r="U577" s="1" t="s">
        <v>74</v>
      </c>
      <c r="V577" s="1" t="s">
        <v>5572</v>
      </c>
      <c r="W577" s="1" t="s">
        <v>74</v>
      </c>
      <c r="X577" s="1" t="s">
        <v>74</v>
      </c>
      <c r="Y577" s="1" t="s">
        <v>74</v>
      </c>
      <c r="Z577" s="1" t="s">
        <v>74</v>
      </c>
      <c r="AA577" s="1" t="s">
        <v>5573</v>
      </c>
      <c r="AB577" s="1" t="s">
        <v>5574</v>
      </c>
      <c r="AC577" s="1" t="s">
        <v>74</v>
      </c>
      <c r="AD577" s="1" t="s">
        <v>74</v>
      </c>
      <c r="AE577" s="1" t="s">
        <v>74</v>
      </c>
      <c r="AF577" s="1" t="s">
        <v>74</v>
      </c>
      <c r="AG577" s="1" t="s">
        <v>74</v>
      </c>
      <c r="AH577" s="1" t="s">
        <v>74</v>
      </c>
      <c r="AI577" s="1" t="s">
        <v>74</v>
      </c>
      <c r="AJ577" s="1" t="s">
        <v>74</v>
      </c>
      <c r="AK577" s="1" t="s">
        <v>74</v>
      </c>
      <c r="AL577" s="1" t="s">
        <v>74</v>
      </c>
      <c r="AM577" s="1" t="s">
        <v>74</v>
      </c>
      <c r="AN577" s="1" t="s">
        <v>74</v>
      </c>
      <c r="AO577" s="1" t="s">
        <v>5575</v>
      </c>
      <c r="AP577" s="1" t="s">
        <v>5576</v>
      </c>
      <c r="AQ577" s="1" t="s">
        <v>74</v>
      </c>
      <c r="AR577" s="1" t="s">
        <v>74</v>
      </c>
      <c r="AS577" s="1" t="s">
        <v>74</v>
      </c>
      <c r="AT577" s="1" t="s">
        <v>74</v>
      </c>
      <c r="AU577" s="1">
        <v>2016.0</v>
      </c>
      <c r="AV577" s="1">
        <v>720.0</v>
      </c>
      <c r="AW577" s="1" t="s">
        <v>74</v>
      </c>
      <c r="AX577" s="1" t="s">
        <v>74</v>
      </c>
      <c r="AY577" s="1" t="s">
        <v>74</v>
      </c>
      <c r="AZ577" s="1" t="s">
        <v>74</v>
      </c>
      <c r="BA577" s="1" t="s">
        <v>74</v>
      </c>
      <c r="BB577" s="1" t="s">
        <v>74</v>
      </c>
      <c r="BC577" s="1" t="s">
        <v>74</v>
      </c>
      <c r="BD577" s="1">
        <v>12045.0</v>
      </c>
      <c r="BE577" s="1" t="s">
        <v>5577</v>
      </c>
      <c r="BF577" s="2" t="str">
        <f>HYPERLINK("http://dx.doi.org/10.1088/1742-6596/720/1/012045","http://dx.doi.org/10.1088/1742-6596/720/1/012045")</f>
        <v>http://dx.doi.org/10.1088/1742-6596/720/1/012045</v>
      </c>
      <c r="BG577" s="1" t="s">
        <v>74</v>
      </c>
      <c r="BH577" s="1" t="s">
        <v>74</v>
      </c>
      <c r="BI577" s="1" t="s">
        <v>74</v>
      </c>
      <c r="BJ577" s="1" t="s">
        <v>74</v>
      </c>
      <c r="BK577" s="1" t="s">
        <v>74</v>
      </c>
      <c r="BL577" s="1" t="s">
        <v>74</v>
      </c>
      <c r="BM577" s="1" t="s">
        <v>74</v>
      </c>
      <c r="BN577" s="1" t="s">
        <v>74</v>
      </c>
      <c r="BO577" s="1" t="s">
        <v>74</v>
      </c>
      <c r="BP577" s="1" t="s">
        <v>74</v>
      </c>
      <c r="BQ577" s="1" t="s">
        <v>74</v>
      </c>
      <c r="BR577" s="1" t="s">
        <v>74</v>
      </c>
      <c r="BS577" s="1" t="s">
        <v>5578</v>
      </c>
      <c r="BT577" s="1" t="str">
        <f>HYPERLINK("https%3A%2F%2Fwww.webofscience.com%2Fwos%2Fwoscc%2Ffull-record%2FWOS:000443419700045","View Full Record in Web of Science")</f>
        <v>View Full Record in Web of Science</v>
      </c>
    </row>
    <row r="578" ht="12.75" customHeight="1">
      <c r="A578" s="1" t="s">
        <v>72</v>
      </c>
      <c r="B578" s="1" t="s">
        <v>5579</v>
      </c>
      <c r="C578" s="1" t="s">
        <v>74</v>
      </c>
      <c r="D578" s="1" t="s">
        <v>74</v>
      </c>
      <c r="E578" s="1" t="s">
        <v>74</v>
      </c>
      <c r="F578" s="1" t="s">
        <v>5580</v>
      </c>
      <c r="G578" s="1" t="s">
        <v>74</v>
      </c>
      <c r="H578" s="1" t="s">
        <v>74</v>
      </c>
      <c r="I578" s="1" t="s">
        <v>5581</v>
      </c>
      <c r="J578" s="1" t="s">
        <v>1309</v>
      </c>
      <c r="K578" s="1" t="s">
        <v>74</v>
      </c>
      <c r="L578" s="1" t="s">
        <v>74</v>
      </c>
      <c r="M578" s="1" t="s">
        <v>74</v>
      </c>
      <c r="N578" s="1" t="s">
        <v>74</v>
      </c>
      <c r="O578" s="1" t="s">
        <v>74</v>
      </c>
      <c r="P578" s="1" t="s">
        <v>74</v>
      </c>
      <c r="Q578" s="1" t="s">
        <v>74</v>
      </c>
      <c r="R578" s="1" t="s">
        <v>74</v>
      </c>
      <c r="S578" s="1" t="s">
        <v>74</v>
      </c>
      <c r="T578" s="1" t="s">
        <v>74</v>
      </c>
      <c r="U578" s="1" t="s">
        <v>74</v>
      </c>
      <c r="V578" s="1" t="s">
        <v>5582</v>
      </c>
      <c r="W578" s="1" t="s">
        <v>74</v>
      </c>
      <c r="X578" s="1" t="s">
        <v>74</v>
      </c>
      <c r="Y578" s="1" t="s">
        <v>74</v>
      </c>
      <c r="Z578" s="1" t="s">
        <v>74</v>
      </c>
      <c r="AA578" s="1" t="s">
        <v>5583</v>
      </c>
      <c r="AB578" s="1" t="s">
        <v>5584</v>
      </c>
      <c r="AC578" s="1" t="s">
        <v>74</v>
      </c>
      <c r="AD578" s="1" t="s">
        <v>74</v>
      </c>
      <c r="AE578" s="1" t="s">
        <v>74</v>
      </c>
      <c r="AF578" s="1" t="s">
        <v>74</v>
      </c>
      <c r="AG578" s="1" t="s">
        <v>74</v>
      </c>
      <c r="AH578" s="1" t="s">
        <v>74</v>
      </c>
      <c r="AI578" s="1" t="s">
        <v>74</v>
      </c>
      <c r="AJ578" s="1" t="s">
        <v>74</v>
      </c>
      <c r="AK578" s="1" t="s">
        <v>74</v>
      </c>
      <c r="AL578" s="1" t="s">
        <v>74</v>
      </c>
      <c r="AM578" s="1" t="s">
        <v>74</v>
      </c>
      <c r="AN578" s="1" t="s">
        <v>74</v>
      </c>
      <c r="AO578" s="1" t="s">
        <v>1312</v>
      </c>
      <c r="AP578" s="1" t="s">
        <v>74</v>
      </c>
      <c r="AQ578" s="1" t="s">
        <v>74</v>
      </c>
      <c r="AR578" s="1" t="s">
        <v>74</v>
      </c>
      <c r="AS578" s="1" t="s">
        <v>74</v>
      </c>
      <c r="AT578" s="1" t="s">
        <v>1049</v>
      </c>
      <c r="AU578" s="1">
        <v>2015.0</v>
      </c>
      <c r="AV578" s="1">
        <v>49.0</v>
      </c>
      <c r="AW578" s="1" t="s">
        <v>74</v>
      </c>
      <c r="AX578" s="1" t="s">
        <v>74</v>
      </c>
      <c r="AY578" s="1" t="s">
        <v>74</v>
      </c>
      <c r="AZ578" s="1" t="s">
        <v>74</v>
      </c>
      <c r="BA578" s="1" t="s">
        <v>74</v>
      </c>
      <c r="BB578" s="1">
        <v>119.0</v>
      </c>
      <c r="BC578" s="1">
        <v>125.0</v>
      </c>
      <c r="BD578" s="1" t="s">
        <v>74</v>
      </c>
      <c r="BE578" s="1" t="s">
        <v>5585</v>
      </c>
      <c r="BF578" s="2" t="str">
        <f>HYPERLINK("http://dx.doi.org/10.1016/j.aml.2015.05.007","http://dx.doi.org/10.1016/j.aml.2015.05.007")</f>
        <v>http://dx.doi.org/10.1016/j.aml.2015.05.007</v>
      </c>
      <c r="BG578" s="1" t="s">
        <v>74</v>
      </c>
      <c r="BH578" s="1" t="s">
        <v>74</v>
      </c>
      <c r="BI578" s="1" t="s">
        <v>74</v>
      </c>
      <c r="BJ578" s="1" t="s">
        <v>74</v>
      </c>
      <c r="BK578" s="1" t="s">
        <v>74</v>
      </c>
      <c r="BL578" s="1" t="s">
        <v>74</v>
      </c>
      <c r="BM578" s="1" t="s">
        <v>74</v>
      </c>
      <c r="BN578" s="1" t="s">
        <v>74</v>
      </c>
      <c r="BO578" s="1" t="s">
        <v>74</v>
      </c>
      <c r="BP578" s="1" t="s">
        <v>74</v>
      </c>
      <c r="BQ578" s="1" t="s">
        <v>74</v>
      </c>
      <c r="BR578" s="1" t="s">
        <v>74</v>
      </c>
      <c r="BS578" s="1" t="s">
        <v>5586</v>
      </c>
      <c r="BT578" s="1" t="str">
        <f>HYPERLINK("https%3A%2F%2Fwww.webofscience.com%2Fwos%2Fwoscc%2Ffull-record%2FWOS:000358630100018","View Full Record in Web of Science")</f>
        <v>View Full Record in Web of Science</v>
      </c>
    </row>
    <row r="579" ht="12.75" customHeight="1">
      <c r="A579" s="1" t="s">
        <v>72</v>
      </c>
      <c r="B579" s="1" t="s">
        <v>5587</v>
      </c>
      <c r="C579" s="1" t="s">
        <v>74</v>
      </c>
      <c r="D579" s="1" t="s">
        <v>74</v>
      </c>
      <c r="E579" s="1" t="s">
        <v>74</v>
      </c>
      <c r="F579" s="1" t="s">
        <v>5588</v>
      </c>
      <c r="G579" s="1" t="s">
        <v>74</v>
      </c>
      <c r="H579" s="1" t="s">
        <v>74</v>
      </c>
      <c r="I579" s="1" t="s">
        <v>5589</v>
      </c>
      <c r="J579" s="1" t="s">
        <v>5590</v>
      </c>
      <c r="K579" s="1" t="s">
        <v>74</v>
      </c>
      <c r="L579" s="1" t="s">
        <v>74</v>
      </c>
      <c r="M579" s="1" t="s">
        <v>74</v>
      </c>
      <c r="N579" s="1" t="s">
        <v>74</v>
      </c>
      <c r="O579" s="1" t="s">
        <v>74</v>
      </c>
      <c r="P579" s="1" t="s">
        <v>74</v>
      </c>
      <c r="Q579" s="1" t="s">
        <v>74</v>
      </c>
      <c r="R579" s="1" t="s">
        <v>74</v>
      </c>
      <c r="S579" s="1" t="s">
        <v>74</v>
      </c>
      <c r="T579" s="1" t="s">
        <v>74</v>
      </c>
      <c r="U579" s="1" t="s">
        <v>74</v>
      </c>
      <c r="V579" s="1" t="s">
        <v>5591</v>
      </c>
      <c r="W579" s="1" t="s">
        <v>74</v>
      </c>
      <c r="X579" s="1" t="s">
        <v>74</v>
      </c>
      <c r="Y579" s="1" t="s">
        <v>74</v>
      </c>
      <c r="Z579" s="1" t="s">
        <v>74</v>
      </c>
      <c r="AA579" s="1" t="s">
        <v>5592</v>
      </c>
      <c r="AB579" s="1" t="s">
        <v>5593</v>
      </c>
      <c r="AC579" s="1" t="s">
        <v>74</v>
      </c>
      <c r="AD579" s="1" t="s">
        <v>74</v>
      </c>
      <c r="AE579" s="1" t="s">
        <v>74</v>
      </c>
      <c r="AF579" s="1" t="s">
        <v>74</v>
      </c>
      <c r="AG579" s="1" t="s">
        <v>74</v>
      </c>
      <c r="AH579" s="1" t="s">
        <v>74</v>
      </c>
      <c r="AI579" s="1" t="s">
        <v>74</v>
      </c>
      <c r="AJ579" s="1" t="s">
        <v>74</v>
      </c>
      <c r="AK579" s="1" t="s">
        <v>74</v>
      </c>
      <c r="AL579" s="1" t="s">
        <v>74</v>
      </c>
      <c r="AM579" s="1" t="s">
        <v>74</v>
      </c>
      <c r="AN579" s="1" t="s">
        <v>74</v>
      </c>
      <c r="AO579" s="1" t="s">
        <v>5594</v>
      </c>
      <c r="AP579" s="1" t="s">
        <v>5595</v>
      </c>
      <c r="AQ579" s="1" t="s">
        <v>74</v>
      </c>
      <c r="AR579" s="1" t="s">
        <v>74</v>
      </c>
      <c r="AS579" s="1" t="s">
        <v>74</v>
      </c>
      <c r="AT579" s="1" t="s">
        <v>1049</v>
      </c>
      <c r="AU579" s="1">
        <v>2015.0</v>
      </c>
      <c r="AV579" s="1">
        <v>27.0</v>
      </c>
      <c r="AW579" s="1">
        <v>4.0</v>
      </c>
      <c r="AX579" s="1" t="s">
        <v>74</v>
      </c>
      <c r="AY579" s="1" t="s">
        <v>74</v>
      </c>
      <c r="AZ579" s="1" t="s">
        <v>74</v>
      </c>
      <c r="BA579" s="1" t="s">
        <v>74</v>
      </c>
      <c r="BB579" s="1">
        <v>431.0</v>
      </c>
      <c r="BC579" s="1">
        <v>440.0</v>
      </c>
      <c r="BD579" s="1" t="s">
        <v>74</v>
      </c>
      <c r="BE579" s="1" t="s">
        <v>5596</v>
      </c>
      <c r="BF579" s="2" t="str">
        <f>HYPERLINK("http://dx.doi.org/10.1123/pes.2014-0132","http://dx.doi.org/10.1123/pes.2014-0132")</f>
        <v>http://dx.doi.org/10.1123/pes.2014-0132</v>
      </c>
      <c r="BG579" s="1" t="s">
        <v>74</v>
      </c>
      <c r="BH579" s="1" t="s">
        <v>74</v>
      </c>
      <c r="BI579" s="1" t="s">
        <v>74</v>
      </c>
      <c r="BJ579" s="1" t="s">
        <v>74</v>
      </c>
      <c r="BK579" s="1" t="s">
        <v>74</v>
      </c>
      <c r="BL579" s="1" t="s">
        <v>74</v>
      </c>
      <c r="BM579" s="1" t="s">
        <v>74</v>
      </c>
      <c r="BN579" s="1">
        <v>2.5902557E7</v>
      </c>
      <c r="BO579" s="1" t="s">
        <v>74</v>
      </c>
      <c r="BP579" s="1" t="s">
        <v>74</v>
      </c>
      <c r="BQ579" s="1" t="s">
        <v>74</v>
      </c>
      <c r="BR579" s="1" t="s">
        <v>74</v>
      </c>
      <c r="BS579" s="1" t="s">
        <v>5597</v>
      </c>
      <c r="BT579" s="1" t="str">
        <f>HYPERLINK("https%3A%2F%2Fwww.webofscience.com%2Fwos%2Fwoscc%2Ffull-record%2FWOS:000367419300002","View Full Record in Web of Science")</f>
        <v>View Full Record in Web of Science</v>
      </c>
    </row>
    <row r="580" ht="12.75" customHeight="1">
      <c r="A580" s="1" t="s">
        <v>72</v>
      </c>
      <c r="B580" s="1" t="s">
        <v>5598</v>
      </c>
      <c r="C580" s="1" t="s">
        <v>74</v>
      </c>
      <c r="D580" s="1" t="s">
        <v>74</v>
      </c>
      <c r="E580" s="1" t="s">
        <v>74</v>
      </c>
      <c r="F580" s="1" t="s">
        <v>5599</v>
      </c>
      <c r="G580" s="1" t="s">
        <v>74</v>
      </c>
      <c r="H580" s="1" t="s">
        <v>74</v>
      </c>
      <c r="I580" s="1" t="s">
        <v>5600</v>
      </c>
      <c r="J580" s="1" t="s">
        <v>5601</v>
      </c>
      <c r="K580" s="1" t="s">
        <v>74</v>
      </c>
      <c r="L580" s="1" t="s">
        <v>74</v>
      </c>
      <c r="M580" s="1" t="s">
        <v>74</v>
      </c>
      <c r="N580" s="1" t="s">
        <v>74</v>
      </c>
      <c r="O580" s="1" t="s">
        <v>74</v>
      </c>
      <c r="P580" s="1" t="s">
        <v>74</v>
      </c>
      <c r="Q580" s="1" t="s">
        <v>74</v>
      </c>
      <c r="R580" s="1" t="s">
        <v>74</v>
      </c>
      <c r="S580" s="1" t="s">
        <v>74</v>
      </c>
      <c r="T580" s="1" t="s">
        <v>74</v>
      </c>
      <c r="U580" s="1" t="s">
        <v>74</v>
      </c>
      <c r="V580" s="1" t="s">
        <v>5602</v>
      </c>
      <c r="W580" s="1" t="s">
        <v>74</v>
      </c>
      <c r="X580" s="1" t="s">
        <v>74</v>
      </c>
      <c r="Y580" s="1" t="s">
        <v>74</v>
      </c>
      <c r="Z580" s="1" t="s">
        <v>74</v>
      </c>
      <c r="AA580" s="1" t="s">
        <v>74</v>
      </c>
      <c r="AB580" s="1" t="s">
        <v>5603</v>
      </c>
      <c r="AC580" s="1" t="s">
        <v>74</v>
      </c>
      <c r="AD580" s="1" t="s">
        <v>74</v>
      </c>
      <c r="AE580" s="1" t="s">
        <v>74</v>
      </c>
      <c r="AF580" s="1" t="s">
        <v>74</v>
      </c>
      <c r="AG580" s="1" t="s">
        <v>74</v>
      </c>
      <c r="AH580" s="1" t="s">
        <v>74</v>
      </c>
      <c r="AI580" s="1" t="s">
        <v>74</v>
      </c>
      <c r="AJ580" s="1" t="s">
        <v>74</v>
      </c>
      <c r="AK580" s="1" t="s">
        <v>74</v>
      </c>
      <c r="AL580" s="1" t="s">
        <v>74</v>
      </c>
      <c r="AM580" s="1" t="s">
        <v>74</v>
      </c>
      <c r="AN580" s="1" t="s">
        <v>74</v>
      </c>
      <c r="AO580" s="1" t="s">
        <v>5604</v>
      </c>
      <c r="AP580" s="1" t="s">
        <v>5605</v>
      </c>
      <c r="AQ580" s="1" t="s">
        <v>74</v>
      </c>
      <c r="AR580" s="1" t="s">
        <v>74</v>
      </c>
      <c r="AS580" s="1" t="s">
        <v>74</v>
      </c>
      <c r="AT580" s="1" t="s">
        <v>5606</v>
      </c>
      <c r="AU580" s="1">
        <v>2015.0</v>
      </c>
      <c r="AV580" s="1">
        <v>141.0</v>
      </c>
      <c r="AW580" s="1" t="s">
        <v>74</v>
      </c>
      <c r="AX580" s="1" t="s">
        <v>74</v>
      </c>
      <c r="AY580" s="1" t="s">
        <v>74</v>
      </c>
      <c r="AZ580" s="1" t="s">
        <v>74</v>
      </c>
      <c r="BA580" s="1" t="s">
        <v>74</v>
      </c>
      <c r="BB580" s="1">
        <v>27.0</v>
      </c>
      <c r="BC580" s="1">
        <v>33.0</v>
      </c>
      <c r="BD580" s="1" t="s">
        <v>74</v>
      </c>
      <c r="BE580" s="1" t="s">
        <v>5607</v>
      </c>
      <c r="BF580" s="2" t="str">
        <f>HYPERLINK("http://dx.doi.org/10.1016/j.minpro.2015.06.003","http://dx.doi.org/10.1016/j.minpro.2015.06.003")</f>
        <v>http://dx.doi.org/10.1016/j.minpro.2015.06.003</v>
      </c>
      <c r="BG580" s="1" t="s">
        <v>74</v>
      </c>
      <c r="BH580" s="1" t="s">
        <v>74</v>
      </c>
      <c r="BI580" s="1" t="s">
        <v>74</v>
      </c>
      <c r="BJ580" s="1" t="s">
        <v>74</v>
      </c>
      <c r="BK580" s="1" t="s">
        <v>74</v>
      </c>
      <c r="BL580" s="1" t="s">
        <v>74</v>
      </c>
      <c r="BM580" s="1" t="s">
        <v>74</v>
      </c>
      <c r="BN580" s="1" t="s">
        <v>74</v>
      </c>
      <c r="BO580" s="1" t="s">
        <v>74</v>
      </c>
      <c r="BP580" s="1" t="s">
        <v>74</v>
      </c>
      <c r="BQ580" s="1" t="s">
        <v>74</v>
      </c>
      <c r="BR580" s="1" t="s">
        <v>74</v>
      </c>
      <c r="BS580" s="1" t="s">
        <v>5608</v>
      </c>
      <c r="BT580" s="1" t="str">
        <f>HYPERLINK("https%3A%2F%2Fwww.webofscience.com%2Fwos%2Fwoscc%2Ffull-record%2FWOS:000358270600005","View Full Record in Web of Science")</f>
        <v>View Full Record in Web of Science</v>
      </c>
    </row>
    <row r="581" ht="12.75" customHeight="1">
      <c r="A581" s="1" t="s">
        <v>72</v>
      </c>
      <c r="B581" s="1" t="s">
        <v>5609</v>
      </c>
      <c r="C581" s="1" t="s">
        <v>74</v>
      </c>
      <c r="D581" s="1" t="s">
        <v>74</v>
      </c>
      <c r="E581" s="1" t="s">
        <v>74</v>
      </c>
      <c r="F581" s="1" t="s">
        <v>5610</v>
      </c>
      <c r="G581" s="1" t="s">
        <v>74</v>
      </c>
      <c r="H581" s="1" t="s">
        <v>74</v>
      </c>
      <c r="I581" s="1" t="s">
        <v>5611</v>
      </c>
      <c r="J581" s="1" t="s">
        <v>5612</v>
      </c>
      <c r="K581" s="1" t="s">
        <v>74</v>
      </c>
      <c r="L581" s="1" t="s">
        <v>74</v>
      </c>
      <c r="M581" s="1" t="s">
        <v>74</v>
      </c>
      <c r="N581" s="1" t="s">
        <v>74</v>
      </c>
      <c r="O581" s="1" t="s">
        <v>74</v>
      </c>
      <c r="P581" s="1" t="s">
        <v>74</v>
      </c>
      <c r="Q581" s="1" t="s">
        <v>74</v>
      </c>
      <c r="R581" s="1" t="s">
        <v>74</v>
      </c>
      <c r="S581" s="1" t="s">
        <v>74</v>
      </c>
      <c r="T581" s="1" t="s">
        <v>74</v>
      </c>
      <c r="U581" s="1" t="s">
        <v>74</v>
      </c>
      <c r="V581" s="1" t="s">
        <v>74</v>
      </c>
      <c r="W581" s="1" t="s">
        <v>74</v>
      </c>
      <c r="X581" s="1" t="s">
        <v>74</v>
      </c>
      <c r="Y581" s="1" t="s">
        <v>74</v>
      </c>
      <c r="Z581" s="1" t="s">
        <v>74</v>
      </c>
      <c r="AA581" s="1" t="s">
        <v>74</v>
      </c>
      <c r="AB581" s="1" t="s">
        <v>74</v>
      </c>
      <c r="AC581" s="1" t="s">
        <v>74</v>
      </c>
      <c r="AD581" s="1" t="s">
        <v>74</v>
      </c>
      <c r="AE581" s="1" t="s">
        <v>74</v>
      </c>
      <c r="AF581" s="1" t="s">
        <v>74</v>
      </c>
      <c r="AG581" s="1" t="s">
        <v>74</v>
      </c>
      <c r="AH581" s="1" t="s">
        <v>74</v>
      </c>
      <c r="AI581" s="1" t="s">
        <v>74</v>
      </c>
      <c r="AJ581" s="1" t="s">
        <v>74</v>
      </c>
      <c r="AK581" s="1" t="s">
        <v>74</v>
      </c>
      <c r="AL581" s="1" t="s">
        <v>74</v>
      </c>
      <c r="AM581" s="1" t="s">
        <v>74</v>
      </c>
      <c r="AN581" s="1" t="s">
        <v>74</v>
      </c>
      <c r="AO581" s="1" t="s">
        <v>5613</v>
      </c>
      <c r="AP581" s="1" t="s">
        <v>74</v>
      </c>
      <c r="AQ581" s="1" t="s">
        <v>74</v>
      </c>
      <c r="AR581" s="1" t="s">
        <v>74</v>
      </c>
      <c r="AS581" s="1" t="s">
        <v>74</v>
      </c>
      <c r="AT581" s="1" t="s">
        <v>88</v>
      </c>
      <c r="AU581" s="1">
        <v>2014.0</v>
      </c>
      <c r="AV581" s="1">
        <v>268.0</v>
      </c>
      <c r="AW581" s="1">
        <v>2.0</v>
      </c>
      <c r="AX581" s="1" t="s">
        <v>74</v>
      </c>
      <c r="AY581" s="1" t="s">
        <v>74</v>
      </c>
      <c r="AZ581" s="1" t="s">
        <v>74</v>
      </c>
      <c r="BA581" s="1" t="s">
        <v>74</v>
      </c>
      <c r="BB581" s="1">
        <v>313.0</v>
      </c>
      <c r="BC581" s="1">
        <v>369.0</v>
      </c>
      <c r="BD581" s="1" t="s">
        <v>74</v>
      </c>
      <c r="BE581" s="1" t="s">
        <v>5614</v>
      </c>
      <c r="BF581" s="2" t="str">
        <f>HYPERLINK("http://dx.doi.org/10.2140/pjm.2014.268.313","http://dx.doi.org/10.2140/pjm.2014.268.313")</f>
        <v>http://dx.doi.org/10.2140/pjm.2014.268.313</v>
      </c>
      <c r="BG581" s="1" t="s">
        <v>74</v>
      </c>
      <c r="BH581" s="1" t="s">
        <v>74</v>
      </c>
      <c r="BI581" s="1" t="s">
        <v>74</v>
      </c>
      <c r="BJ581" s="1" t="s">
        <v>74</v>
      </c>
      <c r="BK581" s="1" t="s">
        <v>74</v>
      </c>
      <c r="BL581" s="1" t="s">
        <v>74</v>
      </c>
      <c r="BM581" s="1" t="s">
        <v>74</v>
      </c>
      <c r="BN581" s="1" t="s">
        <v>74</v>
      </c>
      <c r="BO581" s="1" t="s">
        <v>74</v>
      </c>
      <c r="BP581" s="1" t="s">
        <v>74</v>
      </c>
      <c r="BQ581" s="1" t="s">
        <v>74</v>
      </c>
      <c r="BR581" s="1" t="s">
        <v>74</v>
      </c>
      <c r="BS581" s="1" t="s">
        <v>5615</v>
      </c>
      <c r="BT581" s="1" t="str">
        <f>HYPERLINK("https%3A%2F%2Fwww.webofscience.com%2Fwos%2Fwoscc%2Ffull-record%2FWOS:000338428200004","View Full Record in Web of Science")</f>
        <v>View Full Record in Web of Science</v>
      </c>
    </row>
    <row r="582" ht="12.75" customHeight="1">
      <c r="A582" s="1" t="s">
        <v>72</v>
      </c>
      <c r="B582" s="1" t="s">
        <v>5616</v>
      </c>
      <c r="C582" s="1" t="s">
        <v>74</v>
      </c>
      <c r="D582" s="1" t="s">
        <v>74</v>
      </c>
      <c r="E582" s="1" t="s">
        <v>74</v>
      </c>
      <c r="F582" s="1" t="s">
        <v>5617</v>
      </c>
      <c r="G582" s="1" t="s">
        <v>74</v>
      </c>
      <c r="H582" s="1" t="s">
        <v>74</v>
      </c>
      <c r="I582" s="1" t="s">
        <v>5618</v>
      </c>
      <c r="J582" s="1" t="s">
        <v>5619</v>
      </c>
      <c r="K582" s="1" t="s">
        <v>74</v>
      </c>
      <c r="L582" s="1" t="s">
        <v>74</v>
      </c>
      <c r="M582" s="1" t="s">
        <v>74</v>
      </c>
      <c r="N582" s="1" t="s">
        <v>74</v>
      </c>
      <c r="O582" s="1" t="s">
        <v>74</v>
      </c>
      <c r="P582" s="1" t="s">
        <v>74</v>
      </c>
      <c r="Q582" s="1" t="s">
        <v>74</v>
      </c>
      <c r="R582" s="1" t="s">
        <v>74</v>
      </c>
      <c r="S582" s="1" t="s">
        <v>74</v>
      </c>
      <c r="T582" s="1" t="s">
        <v>74</v>
      </c>
      <c r="U582" s="1" t="s">
        <v>74</v>
      </c>
      <c r="V582" s="1" t="s">
        <v>5620</v>
      </c>
      <c r="W582" s="1" t="s">
        <v>74</v>
      </c>
      <c r="X582" s="1" t="s">
        <v>74</v>
      </c>
      <c r="Y582" s="1" t="s">
        <v>74</v>
      </c>
      <c r="Z582" s="1" t="s">
        <v>74</v>
      </c>
      <c r="AA582" s="1" t="s">
        <v>5621</v>
      </c>
      <c r="AB582" s="1" t="s">
        <v>5622</v>
      </c>
      <c r="AC582" s="1" t="s">
        <v>74</v>
      </c>
      <c r="AD582" s="1" t="s">
        <v>74</v>
      </c>
      <c r="AE582" s="1" t="s">
        <v>74</v>
      </c>
      <c r="AF582" s="1" t="s">
        <v>74</v>
      </c>
      <c r="AG582" s="1" t="s">
        <v>74</v>
      </c>
      <c r="AH582" s="1" t="s">
        <v>74</v>
      </c>
      <c r="AI582" s="1" t="s">
        <v>74</v>
      </c>
      <c r="AJ582" s="1" t="s">
        <v>74</v>
      </c>
      <c r="AK582" s="1" t="s">
        <v>74</v>
      </c>
      <c r="AL582" s="1" t="s">
        <v>74</v>
      </c>
      <c r="AM582" s="1" t="s">
        <v>74</v>
      </c>
      <c r="AN582" s="1" t="s">
        <v>74</v>
      </c>
      <c r="AO582" s="1" t="s">
        <v>5623</v>
      </c>
      <c r="AP582" s="1" t="s">
        <v>5624</v>
      </c>
      <c r="AQ582" s="1" t="s">
        <v>74</v>
      </c>
      <c r="AR582" s="1" t="s">
        <v>74</v>
      </c>
      <c r="AS582" s="1" t="s">
        <v>74</v>
      </c>
      <c r="AT582" s="1" t="s">
        <v>88</v>
      </c>
      <c r="AU582" s="1">
        <v>2014.0</v>
      </c>
      <c r="AV582" s="1">
        <v>78.0</v>
      </c>
      <c r="AW582" s="1" t="s">
        <v>5625</v>
      </c>
      <c r="AX582" s="1" t="s">
        <v>74</v>
      </c>
      <c r="AY582" s="1" t="s">
        <v>74</v>
      </c>
      <c r="AZ582" s="1" t="s">
        <v>74</v>
      </c>
      <c r="BA582" s="1" t="s">
        <v>74</v>
      </c>
      <c r="BB582" s="1">
        <v>287.0</v>
      </c>
      <c r="BC582" s="1">
        <v>298.0</v>
      </c>
      <c r="BD582" s="1" t="s">
        <v>74</v>
      </c>
      <c r="BE582" s="1" t="s">
        <v>5626</v>
      </c>
      <c r="BF582" s="2" t="str">
        <f>HYPERLINK("http://dx.doi.org/10.1007/s10847-013-0297-y","http://dx.doi.org/10.1007/s10847-013-0297-y")</f>
        <v>http://dx.doi.org/10.1007/s10847-013-0297-y</v>
      </c>
      <c r="BG582" s="1" t="s">
        <v>74</v>
      </c>
      <c r="BH582" s="1" t="s">
        <v>74</v>
      </c>
      <c r="BI582" s="1" t="s">
        <v>74</v>
      </c>
      <c r="BJ582" s="1" t="s">
        <v>74</v>
      </c>
      <c r="BK582" s="1" t="s">
        <v>74</v>
      </c>
      <c r="BL582" s="1" t="s">
        <v>74</v>
      </c>
      <c r="BM582" s="1" t="s">
        <v>74</v>
      </c>
      <c r="BN582" s="1" t="s">
        <v>74</v>
      </c>
      <c r="BO582" s="1" t="s">
        <v>74</v>
      </c>
      <c r="BP582" s="1" t="s">
        <v>74</v>
      </c>
      <c r="BQ582" s="1" t="s">
        <v>74</v>
      </c>
      <c r="BR582" s="1" t="s">
        <v>74</v>
      </c>
      <c r="BS582" s="1" t="s">
        <v>5627</v>
      </c>
      <c r="BT582" s="1" t="str">
        <f>HYPERLINK("https%3A%2F%2Fwww.webofscience.com%2Fwos%2Fwoscc%2Ffull-record%2FWOS:000334496700029","View Full Record in Web of Science")</f>
        <v>View Full Record in Web of Science</v>
      </c>
    </row>
    <row r="583" ht="12.75" customHeight="1">
      <c r="A583" s="1" t="s">
        <v>72</v>
      </c>
      <c r="B583" s="1" t="s">
        <v>5628</v>
      </c>
      <c r="C583" s="1" t="s">
        <v>74</v>
      </c>
      <c r="D583" s="1" t="s">
        <v>74</v>
      </c>
      <c r="E583" s="1" t="s">
        <v>74</v>
      </c>
      <c r="F583" s="1" t="s">
        <v>5629</v>
      </c>
      <c r="G583" s="1" t="s">
        <v>74</v>
      </c>
      <c r="H583" s="1" t="s">
        <v>74</v>
      </c>
      <c r="I583" s="1" t="s">
        <v>5630</v>
      </c>
      <c r="J583" s="1" t="s">
        <v>4192</v>
      </c>
      <c r="K583" s="1" t="s">
        <v>74</v>
      </c>
      <c r="L583" s="1" t="s">
        <v>74</v>
      </c>
      <c r="M583" s="1" t="s">
        <v>74</v>
      </c>
      <c r="N583" s="1" t="s">
        <v>74</v>
      </c>
      <c r="O583" s="1" t="s">
        <v>74</v>
      </c>
      <c r="P583" s="1" t="s">
        <v>74</v>
      </c>
      <c r="Q583" s="1" t="s">
        <v>74</v>
      </c>
      <c r="R583" s="1" t="s">
        <v>74</v>
      </c>
      <c r="S583" s="1" t="s">
        <v>74</v>
      </c>
      <c r="T583" s="1" t="s">
        <v>74</v>
      </c>
      <c r="U583" s="1" t="s">
        <v>74</v>
      </c>
      <c r="V583" s="1" t="s">
        <v>5631</v>
      </c>
      <c r="W583" s="1" t="s">
        <v>74</v>
      </c>
      <c r="X583" s="1" t="s">
        <v>74</v>
      </c>
      <c r="Y583" s="1" t="s">
        <v>74</v>
      </c>
      <c r="Z583" s="1" t="s">
        <v>74</v>
      </c>
      <c r="AA583" s="1" t="s">
        <v>5632</v>
      </c>
      <c r="AB583" s="1" t="s">
        <v>5633</v>
      </c>
      <c r="AC583" s="1" t="s">
        <v>74</v>
      </c>
      <c r="AD583" s="1" t="s">
        <v>74</v>
      </c>
      <c r="AE583" s="1" t="s">
        <v>74</v>
      </c>
      <c r="AF583" s="1" t="s">
        <v>74</v>
      </c>
      <c r="AG583" s="1" t="s">
        <v>74</v>
      </c>
      <c r="AH583" s="1" t="s">
        <v>74</v>
      </c>
      <c r="AI583" s="1" t="s">
        <v>74</v>
      </c>
      <c r="AJ583" s="1" t="s">
        <v>74</v>
      </c>
      <c r="AK583" s="1" t="s">
        <v>74</v>
      </c>
      <c r="AL583" s="1" t="s">
        <v>74</v>
      </c>
      <c r="AM583" s="1" t="s">
        <v>74</v>
      </c>
      <c r="AN583" s="1" t="s">
        <v>74</v>
      </c>
      <c r="AO583" s="1" t="s">
        <v>4196</v>
      </c>
      <c r="AP583" s="1" t="s">
        <v>4197</v>
      </c>
      <c r="AQ583" s="1" t="s">
        <v>74</v>
      </c>
      <c r="AR583" s="1" t="s">
        <v>74</v>
      </c>
      <c r="AS583" s="1" t="s">
        <v>74</v>
      </c>
      <c r="AT583" s="1" t="s">
        <v>74</v>
      </c>
      <c r="AU583" s="1">
        <v>2014.0</v>
      </c>
      <c r="AV583" s="1">
        <v>67.0</v>
      </c>
      <c r="AW583" s="1" t="s">
        <v>5634</v>
      </c>
      <c r="AX583" s="1" t="s">
        <v>74</v>
      </c>
      <c r="AY583" s="1" t="s">
        <v>74</v>
      </c>
      <c r="AZ583" s="1" t="s">
        <v>411</v>
      </c>
      <c r="BA583" s="1" t="s">
        <v>74</v>
      </c>
      <c r="BB583" s="1">
        <v>4090.0</v>
      </c>
      <c r="BC583" s="1">
        <v>4100.0</v>
      </c>
      <c r="BD583" s="1" t="s">
        <v>74</v>
      </c>
      <c r="BE583" s="1" t="s">
        <v>5635</v>
      </c>
      <c r="BF583" s="2" t="str">
        <f>HYPERLINK("http://dx.doi.org/10.1080/00958972.2014.974581","http://dx.doi.org/10.1080/00958972.2014.974581")</f>
        <v>http://dx.doi.org/10.1080/00958972.2014.974581</v>
      </c>
      <c r="BG583" s="1" t="s">
        <v>74</v>
      </c>
      <c r="BH583" s="1" t="s">
        <v>74</v>
      </c>
      <c r="BI583" s="1" t="s">
        <v>74</v>
      </c>
      <c r="BJ583" s="1" t="s">
        <v>74</v>
      </c>
      <c r="BK583" s="1" t="s">
        <v>74</v>
      </c>
      <c r="BL583" s="1" t="s">
        <v>74</v>
      </c>
      <c r="BM583" s="1" t="s">
        <v>74</v>
      </c>
      <c r="BN583" s="1" t="s">
        <v>74</v>
      </c>
      <c r="BO583" s="1" t="s">
        <v>74</v>
      </c>
      <c r="BP583" s="1" t="s">
        <v>74</v>
      </c>
      <c r="BQ583" s="1" t="s">
        <v>74</v>
      </c>
      <c r="BR583" s="1" t="s">
        <v>74</v>
      </c>
      <c r="BS583" s="1" t="s">
        <v>5636</v>
      </c>
      <c r="BT583" s="1" t="str">
        <f>HYPERLINK("https%3A%2F%2Fwww.webofscience.com%2Fwos%2Fwoscc%2Ffull-record%2FWOS:000345454600026","View Full Record in Web of Science")</f>
        <v>View Full Record in Web of Science</v>
      </c>
    </row>
    <row r="584" ht="12.75" customHeight="1">
      <c r="A584" s="1" t="s">
        <v>72</v>
      </c>
      <c r="B584" s="1" t="s">
        <v>5637</v>
      </c>
      <c r="C584" s="1" t="s">
        <v>74</v>
      </c>
      <c r="D584" s="1" t="s">
        <v>74</v>
      </c>
      <c r="E584" s="1" t="s">
        <v>74</v>
      </c>
      <c r="F584" s="1" t="s">
        <v>5638</v>
      </c>
      <c r="G584" s="1" t="s">
        <v>74</v>
      </c>
      <c r="H584" s="1" t="s">
        <v>74</v>
      </c>
      <c r="I584" s="1" t="s">
        <v>5639</v>
      </c>
      <c r="J584" s="1" t="s">
        <v>5640</v>
      </c>
      <c r="K584" s="1" t="s">
        <v>74</v>
      </c>
      <c r="L584" s="1" t="s">
        <v>74</v>
      </c>
      <c r="M584" s="1" t="s">
        <v>74</v>
      </c>
      <c r="N584" s="1" t="s">
        <v>74</v>
      </c>
      <c r="O584" s="1" t="s">
        <v>74</v>
      </c>
      <c r="P584" s="1" t="s">
        <v>74</v>
      </c>
      <c r="Q584" s="1" t="s">
        <v>74</v>
      </c>
      <c r="R584" s="1" t="s">
        <v>74</v>
      </c>
      <c r="S584" s="1" t="s">
        <v>74</v>
      </c>
      <c r="T584" s="1" t="s">
        <v>74</v>
      </c>
      <c r="U584" s="1" t="s">
        <v>74</v>
      </c>
      <c r="V584" s="1" t="s">
        <v>5641</v>
      </c>
      <c r="W584" s="1" t="s">
        <v>74</v>
      </c>
      <c r="X584" s="1" t="s">
        <v>74</v>
      </c>
      <c r="Y584" s="1" t="s">
        <v>74</v>
      </c>
      <c r="Z584" s="1" t="s">
        <v>74</v>
      </c>
      <c r="AA584" s="1" t="s">
        <v>3054</v>
      </c>
      <c r="AB584" s="1" t="s">
        <v>74</v>
      </c>
      <c r="AC584" s="1" t="s">
        <v>74</v>
      </c>
      <c r="AD584" s="1" t="s">
        <v>74</v>
      </c>
      <c r="AE584" s="1" t="s">
        <v>74</v>
      </c>
      <c r="AF584" s="1" t="s">
        <v>74</v>
      </c>
      <c r="AG584" s="1" t="s">
        <v>74</v>
      </c>
      <c r="AH584" s="1" t="s">
        <v>74</v>
      </c>
      <c r="AI584" s="1" t="s">
        <v>74</v>
      </c>
      <c r="AJ584" s="1" t="s">
        <v>74</v>
      </c>
      <c r="AK584" s="1" t="s">
        <v>74</v>
      </c>
      <c r="AL584" s="1" t="s">
        <v>74</v>
      </c>
      <c r="AM584" s="1" t="s">
        <v>74</v>
      </c>
      <c r="AN584" s="1" t="s">
        <v>74</v>
      </c>
      <c r="AO584" s="1" t="s">
        <v>5642</v>
      </c>
      <c r="AP584" s="1" t="s">
        <v>5643</v>
      </c>
      <c r="AQ584" s="1" t="s">
        <v>74</v>
      </c>
      <c r="AR584" s="1" t="s">
        <v>74</v>
      </c>
      <c r="AS584" s="1" t="s">
        <v>74</v>
      </c>
      <c r="AT584" s="1" t="s">
        <v>459</v>
      </c>
      <c r="AU584" s="1">
        <v>2013.0</v>
      </c>
      <c r="AV584" s="1">
        <v>12.0</v>
      </c>
      <c r="AW584" s="1">
        <v>5.0</v>
      </c>
      <c r="AX584" s="1" t="s">
        <v>74</v>
      </c>
      <c r="AY584" s="1" t="s">
        <v>74</v>
      </c>
      <c r="AZ584" s="1" t="s">
        <v>74</v>
      </c>
      <c r="BA584" s="1" t="s">
        <v>74</v>
      </c>
      <c r="BB584" s="1">
        <v>2031.0</v>
      </c>
      <c r="BC584" s="1">
        <v>2068.0</v>
      </c>
      <c r="BD584" s="1" t="s">
        <v>74</v>
      </c>
      <c r="BE584" s="1" t="s">
        <v>5644</v>
      </c>
      <c r="BF584" s="2" t="str">
        <f>HYPERLINK("http://dx.doi.org/10.3934/cpaa.2013.12.2031","http://dx.doi.org/10.3934/cpaa.2013.12.2031")</f>
        <v>http://dx.doi.org/10.3934/cpaa.2013.12.2031</v>
      </c>
      <c r="BG584" s="1" t="s">
        <v>74</v>
      </c>
      <c r="BH584" s="1" t="s">
        <v>74</v>
      </c>
      <c r="BI584" s="1" t="s">
        <v>74</v>
      </c>
      <c r="BJ584" s="1" t="s">
        <v>74</v>
      </c>
      <c r="BK584" s="1" t="s">
        <v>74</v>
      </c>
      <c r="BL584" s="1" t="s">
        <v>74</v>
      </c>
      <c r="BM584" s="1" t="s">
        <v>74</v>
      </c>
      <c r="BN584" s="1" t="s">
        <v>74</v>
      </c>
      <c r="BO584" s="1" t="s">
        <v>74</v>
      </c>
      <c r="BP584" s="1" t="s">
        <v>74</v>
      </c>
      <c r="BQ584" s="1" t="s">
        <v>74</v>
      </c>
      <c r="BR584" s="1" t="s">
        <v>74</v>
      </c>
      <c r="BS584" s="1" t="s">
        <v>5645</v>
      </c>
      <c r="BT584" s="1" t="str">
        <f>HYPERLINK("https%3A%2F%2Fwww.webofscience.com%2Fwos%2Fwoscc%2Ffull-record%2FWOS:000314021700011","View Full Record in Web of Science")</f>
        <v>View Full Record in Web of Science</v>
      </c>
    </row>
    <row r="585" ht="12.75" customHeight="1">
      <c r="A585" s="1" t="s">
        <v>72</v>
      </c>
      <c r="B585" s="1" t="s">
        <v>5646</v>
      </c>
      <c r="C585" s="1" t="s">
        <v>74</v>
      </c>
      <c r="D585" s="1" t="s">
        <v>74</v>
      </c>
      <c r="E585" s="1" t="s">
        <v>74</v>
      </c>
      <c r="F585" s="1" t="s">
        <v>5647</v>
      </c>
      <c r="G585" s="1" t="s">
        <v>74</v>
      </c>
      <c r="H585" s="1" t="s">
        <v>74</v>
      </c>
      <c r="I585" s="1" t="s">
        <v>5648</v>
      </c>
      <c r="J585" s="1" t="s">
        <v>5649</v>
      </c>
      <c r="K585" s="1" t="s">
        <v>74</v>
      </c>
      <c r="L585" s="1" t="s">
        <v>74</v>
      </c>
      <c r="M585" s="1" t="s">
        <v>74</v>
      </c>
      <c r="N585" s="1" t="s">
        <v>74</v>
      </c>
      <c r="O585" s="1" t="s">
        <v>74</v>
      </c>
      <c r="P585" s="1" t="s">
        <v>74</v>
      </c>
      <c r="Q585" s="1" t="s">
        <v>74</v>
      </c>
      <c r="R585" s="1" t="s">
        <v>74</v>
      </c>
      <c r="S585" s="1" t="s">
        <v>74</v>
      </c>
      <c r="T585" s="1" t="s">
        <v>74</v>
      </c>
      <c r="U585" s="1" t="s">
        <v>74</v>
      </c>
      <c r="V585" s="1" t="s">
        <v>5650</v>
      </c>
      <c r="W585" s="1" t="s">
        <v>74</v>
      </c>
      <c r="X585" s="1" t="s">
        <v>74</v>
      </c>
      <c r="Y585" s="1" t="s">
        <v>74</v>
      </c>
      <c r="Z585" s="1" t="s">
        <v>74</v>
      </c>
      <c r="AA585" s="1" t="s">
        <v>5651</v>
      </c>
      <c r="AB585" s="1" t="s">
        <v>5652</v>
      </c>
      <c r="AC585" s="1" t="s">
        <v>74</v>
      </c>
      <c r="AD585" s="1" t="s">
        <v>74</v>
      </c>
      <c r="AE585" s="1" t="s">
        <v>74</v>
      </c>
      <c r="AF585" s="1" t="s">
        <v>74</v>
      </c>
      <c r="AG585" s="1" t="s">
        <v>74</v>
      </c>
      <c r="AH585" s="1" t="s">
        <v>74</v>
      </c>
      <c r="AI585" s="1" t="s">
        <v>74</v>
      </c>
      <c r="AJ585" s="1" t="s">
        <v>74</v>
      </c>
      <c r="AK585" s="1" t="s">
        <v>74</v>
      </c>
      <c r="AL585" s="1" t="s">
        <v>74</v>
      </c>
      <c r="AM585" s="1" t="s">
        <v>74</v>
      </c>
      <c r="AN585" s="1" t="s">
        <v>74</v>
      </c>
      <c r="AO585" s="1" t="s">
        <v>5653</v>
      </c>
      <c r="AP585" s="1" t="s">
        <v>5654</v>
      </c>
      <c r="AQ585" s="1" t="s">
        <v>74</v>
      </c>
      <c r="AR585" s="1" t="s">
        <v>74</v>
      </c>
      <c r="AS585" s="1" t="s">
        <v>74</v>
      </c>
      <c r="AT585" s="1" t="s">
        <v>74</v>
      </c>
      <c r="AU585" s="1">
        <v>2012.0</v>
      </c>
      <c r="AV585" s="1" t="s">
        <v>74</v>
      </c>
      <c r="AW585" s="1">
        <v>60.0</v>
      </c>
      <c r="AX585" s="1" t="s">
        <v>74</v>
      </c>
      <c r="AY585" s="1" t="s">
        <v>74</v>
      </c>
      <c r="AZ585" s="1" t="s">
        <v>74</v>
      </c>
      <c r="BA585" s="1" t="s">
        <v>74</v>
      </c>
      <c r="BB585" s="1">
        <v>91.0</v>
      </c>
      <c r="BC585" s="1" t="s">
        <v>576</v>
      </c>
      <c r="BD585" s="1" t="s">
        <v>74</v>
      </c>
      <c r="BE585" s="1" t="s">
        <v>5655</v>
      </c>
      <c r="BF585" s="2" t="str">
        <f>HYPERLINK("http://dx.doi.org/10.21138/bage.1500","http://dx.doi.org/10.21138/bage.1500")</f>
        <v>http://dx.doi.org/10.21138/bage.1500</v>
      </c>
      <c r="BG585" s="1" t="s">
        <v>74</v>
      </c>
      <c r="BH585" s="1" t="s">
        <v>74</v>
      </c>
      <c r="BI585" s="1" t="s">
        <v>74</v>
      </c>
      <c r="BJ585" s="1" t="s">
        <v>74</v>
      </c>
      <c r="BK585" s="1" t="s">
        <v>74</v>
      </c>
      <c r="BL585" s="1" t="s">
        <v>74</v>
      </c>
      <c r="BM585" s="1" t="s">
        <v>74</v>
      </c>
      <c r="BN585" s="1" t="s">
        <v>74</v>
      </c>
      <c r="BO585" s="1" t="s">
        <v>74</v>
      </c>
      <c r="BP585" s="1" t="s">
        <v>74</v>
      </c>
      <c r="BQ585" s="1" t="s">
        <v>74</v>
      </c>
      <c r="BR585" s="1" t="s">
        <v>74</v>
      </c>
      <c r="BS585" s="1" t="s">
        <v>5656</v>
      </c>
      <c r="BT585" s="1" t="str">
        <f>HYPERLINK("https%3A%2F%2Fwww.webofscience.com%2Fwos%2Fwoscc%2Ffull-record%2FWOS:000311706000005","View Full Record in Web of Science")</f>
        <v>View Full Record in Web of Science</v>
      </c>
    </row>
    <row r="586" ht="12.75" customHeight="1">
      <c r="A586" s="1" t="s">
        <v>72</v>
      </c>
      <c r="B586" s="1" t="s">
        <v>5657</v>
      </c>
      <c r="C586" s="1" t="s">
        <v>74</v>
      </c>
      <c r="D586" s="1" t="s">
        <v>74</v>
      </c>
      <c r="E586" s="1" t="s">
        <v>74</v>
      </c>
      <c r="F586" s="1" t="s">
        <v>5658</v>
      </c>
      <c r="G586" s="1" t="s">
        <v>74</v>
      </c>
      <c r="H586" s="1" t="s">
        <v>74</v>
      </c>
      <c r="I586" s="1" t="s">
        <v>5659</v>
      </c>
      <c r="J586" s="1" t="s">
        <v>5660</v>
      </c>
      <c r="K586" s="1" t="s">
        <v>74</v>
      </c>
      <c r="L586" s="1" t="s">
        <v>74</v>
      </c>
      <c r="M586" s="1" t="s">
        <v>74</v>
      </c>
      <c r="N586" s="1" t="s">
        <v>74</v>
      </c>
      <c r="O586" s="1" t="s">
        <v>74</v>
      </c>
      <c r="P586" s="1" t="s">
        <v>74</v>
      </c>
      <c r="Q586" s="1" t="s">
        <v>74</v>
      </c>
      <c r="R586" s="1" t="s">
        <v>74</v>
      </c>
      <c r="S586" s="1" t="s">
        <v>74</v>
      </c>
      <c r="T586" s="1" t="s">
        <v>74</v>
      </c>
      <c r="U586" s="1" t="s">
        <v>74</v>
      </c>
      <c r="V586" s="1" t="s">
        <v>5661</v>
      </c>
      <c r="W586" s="1" t="s">
        <v>74</v>
      </c>
      <c r="X586" s="1" t="s">
        <v>74</v>
      </c>
      <c r="Y586" s="1" t="s">
        <v>74</v>
      </c>
      <c r="Z586" s="1" t="s">
        <v>74</v>
      </c>
      <c r="AA586" s="1" t="s">
        <v>5662</v>
      </c>
      <c r="AB586" s="1" t="s">
        <v>5663</v>
      </c>
      <c r="AC586" s="1" t="s">
        <v>74</v>
      </c>
      <c r="AD586" s="1" t="s">
        <v>74</v>
      </c>
      <c r="AE586" s="1" t="s">
        <v>74</v>
      </c>
      <c r="AF586" s="1" t="s">
        <v>74</v>
      </c>
      <c r="AG586" s="1" t="s">
        <v>74</v>
      </c>
      <c r="AH586" s="1" t="s">
        <v>74</v>
      </c>
      <c r="AI586" s="1" t="s">
        <v>74</v>
      </c>
      <c r="AJ586" s="1" t="s">
        <v>74</v>
      </c>
      <c r="AK586" s="1" t="s">
        <v>74</v>
      </c>
      <c r="AL586" s="1" t="s">
        <v>74</v>
      </c>
      <c r="AM586" s="1" t="s">
        <v>74</v>
      </c>
      <c r="AN586" s="1" t="s">
        <v>74</v>
      </c>
      <c r="AO586" s="1" t="s">
        <v>5664</v>
      </c>
      <c r="AP586" s="1" t="s">
        <v>5665</v>
      </c>
      <c r="AQ586" s="1" t="s">
        <v>74</v>
      </c>
      <c r="AR586" s="1" t="s">
        <v>74</v>
      </c>
      <c r="AS586" s="1" t="s">
        <v>74</v>
      </c>
      <c r="AT586" s="1" t="s">
        <v>5666</v>
      </c>
      <c r="AU586" s="1">
        <v>2011.0</v>
      </c>
      <c r="AV586" s="1">
        <v>318.0</v>
      </c>
      <c r="AW586" s="1" t="s">
        <v>2150</v>
      </c>
      <c r="AX586" s="1" t="s">
        <v>74</v>
      </c>
      <c r="AY586" s="1" t="s">
        <v>74</v>
      </c>
      <c r="AZ586" s="1" t="s">
        <v>74</v>
      </c>
      <c r="BA586" s="1" t="s">
        <v>74</v>
      </c>
      <c r="BB586" s="1">
        <v>54.0</v>
      </c>
      <c r="BC586" s="1">
        <v>60.0</v>
      </c>
      <c r="BD586" s="1" t="s">
        <v>74</v>
      </c>
      <c r="BE586" s="1" t="s">
        <v>5667</v>
      </c>
      <c r="BF586" s="2" t="str">
        <f>HYPERLINK("http://dx.doi.org/10.1016/j.aquaculture.2011.04.045","http://dx.doi.org/10.1016/j.aquaculture.2011.04.045")</f>
        <v>http://dx.doi.org/10.1016/j.aquaculture.2011.04.045</v>
      </c>
      <c r="BG586" s="1" t="s">
        <v>74</v>
      </c>
      <c r="BH586" s="1" t="s">
        <v>74</v>
      </c>
      <c r="BI586" s="1" t="s">
        <v>74</v>
      </c>
      <c r="BJ586" s="1" t="s">
        <v>74</v>
      </c>
      <c r="BK586" s="1" t="s">
        <v>74</v>
      </c>
      <c r="BL586" s="1" t="s">
        <v>74</v>
      </c>
      <c r="BM586" s="1" t="s">
        <v>74</v>
      </c>
      <c r="BN586" s="1" t="s">
        <v>74</v>
      </c>
      <c r="BO586" s="1" t="s">
        <v>74</v>
      </c>
      <c r="BP586" s="1" t="s">
        <v>74</v>
      </c>
      <c r="BQ586" s="1" t="s">
        <v>74</v>
      </c>
      <c r="BR586" s="1" t="s">
        <v>74</v>
      </c>
      <c r="BS586" s="1" t="s">
        <v>5668</v>
      </c>
      <c r="BT586" s="1" t="str">
        <f>HYPERLINK("https%3A%2F%2Fwww.webofscience.com%2Fwos%2Fwoscc%2Ffull-record%2FWOS:000292616000010","View Full Record in Web of Science")</f>
        <v>View Full Record in Web of Science</v>
      </c>
    </row>
    <row r="587" ht="12.75" customHeight="1">
      <c r="A587" s="1" t="s">
        <v>72</v>
      </c>
      <c r="B587" s="1" t="s">
        <v>5669</v>
      </c>
      <c r="C587" s="1" t="s">
        <v>74</v>
      </c>
      <c r="D587" s="1" t="s">
        <v>74</v>
      </c>
      <c r="E587" s="1" t="s">
        <v>74</v>
      </c>
      <c r="F587" s="1" t="s">
        <v>5670</v>
      </c>
      <c r="G587" s="1" t="s">
        <v>74</v>
      </c>
      <c r="H587" s="1" t="s">
        <v>74</v>
      </c>
      <c r="I587" s="1" t="s">
        <v>5671</v>
      </c>
      <c r="J587" s="1" t="s">
        <v>5672</v>
      </c>
      <c r="K587" s="1" t="s">
        <v>74</v>
      </c>
      <c r="L587" s="1" t="s">
        <v>74</v>
      </c>
      <c r="M587" s="1" t="s">
        <v>74</v>
      </c>
      <c r="N587" s="1" t="s">
        <v>74</v>
      </c>
      <c r="O587" s="1" t="s">
        <v>74</v>
      </c>
      <c r="P587" s="1" t="s">
        <v>74</v>
      </c>
      <c r="Q587" s="1" t="s">
        <v>74</v>
      </c>
      <c r="R587" s="1" t="s">
        <v>74</v>
      </c>
      <c r="S587" s="1" t="s">
        <v>74</v>
      </c>
      <c r="T587" s="1" t="s">
        <v>74</v>
      </c>
      <c r="U587" s="1" t="s">
        <v>74</v>
      </c>
      <c r="V587" s="1" t="s">
        <v>5673</v>
      </c>
      <c r="W587" s="1" t="s">
        <v>74</v>
      </c>
      <c r="X587" s="1" t="s">
        <v>74</v>
      </c>
      <c r="Y587" s="1" t="s">
        <v>74</v>
      </c>
      <c r="Z587" s="1" t="s">
        <v>74</v>
      </c>
      <c r="AA587" s="1" t="s">
        <v>74</v>
      </c>
      <c r="AB587" s="1" t="s">
        <v>74</v>
      </c>
      <c r="AC587" s="1" t="s">
        <v>74</v>
      </c>
      <c r="AD587" s="1" t="s">
        <v>74</v>
      </c>
      <c r="AE587" s="1" t="s">
        <v>74</v>
      </c>
      <c r="AF587" s="1" t="s">
        <v>74</v>
      </c>
      <c r="AG587" s="1" t="s">
        <v>74</v>
      </c>
      <c r="AH587" s="1" t="s">
        <v>74</v>
      </c>
      <c r="AI587" s="1" t="s">
        <v>74</v>
      </c>
      <c r="AJ587" s="1" t="s">
        <v>74</v>
      </c>
      <c r="AK587" s="1" t="s">
        <v>74</v>
      </c>
      <c r="AL587" s="1" t="s">
        <v>74</v>
      </c>
      <c r="AM587" s="1" t="s">
        <v>74</v>
      </c>
      <c r="AN587" s="1" t="s">
        <v>74</v>
      </c>
      <c r="AO587" s="1" t="s">
        <v>5674</v>
      </c>
      <c r="AP587" s="1" t="s">
        <v>5675</v>
      </c>
      <c r="AQ587" s="1" t="s">
        <v>74</v>
      </c>
      <c r="AR587" s="1" t="s">
        <v>74</v>
      </c>
      <c r="AS587" s="1" t="s">
        <v>74</v>
      </c>
      <c r="AT587" s="1" t="s">
        <v>650</v>
      </c>
      <c r="AU587" s="1">
        <v>2011.0</v>
      </c>
      <c r="AV587" s="1">
        <v>33.0</v>
      </c>
      <c r="AW587" s="1">
        <v>2.0</v>
      </c>
      <c r="AX587" s="1" t="s">
        <v>74</v>
      </c>
      <c r="AY587" s="1" t="s">
        <v>74</v>
      </c>
      <c r="AZ587" s="1" t="s">
        <v>74</v>
      </c>
      <c r="BA587" s="1" t="s">
        <v>74</v>
      </c>
      <c r="BB587" s="1">
        <v>180.0</v>
      </c>
      <c r="BC587" s="1">
        <v>187.0</v>
      </c>
      <c r="BD587" s="1" t="s">
        <v>74</v>
      </c>
      <c r="BE587" s="1" t="s">
        <v>5676</v>
      </c>
      <c r="BF587" s="2" t="str">
        <f>HYPERLINK("http://dx.doi.org/10.1016/j.medengphy.2010.09.023","http://dx.doi.org/10.1016/j.medengphy.2010.09.023")</f>
        <v>http://dx.doi.org/10.1016/j.medengphy.2010.09.023</v>
      </c>
      <c r="BG587" s="1" t="s">
        <v>74</v>
      </c>
      <c r="BH587" s="1" t="s">
        <v>74</v>
      </c>
      <c r="BI587" s="1" t="s">
        <v>74</v>
      </c>
      <c r="BJ587" s="1" t="s">
        <v>74</v>
      </c>
      <c r="BK587" s="1" t="s">
        <v>74</v>
      </c>
      <c r="BL587" s="1" t="s">
        <v>74</v>
      </c>
      <c r="BM587" s="1" t="s">
        <v>74</v>
      </c>
      <c r="BN587" s="1">
        <v>2.1051271E7</v>
      </c>
      <c r="BO587" s="1" t="s">
        <v>74</v>
      </c>
      <c r="BP587" s="1" t="s">
        <v>74</v>
      </c>
      <c r="BQ587" s="1" t="s">
        <v>74</v>
      </c>
      <c r="BR587" s="1" t="s">
        <v>74</v>
      </c>
      <c r="BS587" s="1" t="s">
        <v>5677</v>
      </c>
      <c r="BT587" s="1" t="str">
        <f>HYPERLINK("https%3A%2F%2Fwww.webofscience.com%2Fwos%2Fwoscc%2Ffull-record%2FWOS:000288586300005","View Full Record in Web of Science")</f>
        <v>View Full Record in Web of Science</v>
      </c>
    </row>
    <row r="588" ht="12.75" customHeight="1">
      <c r="A588" s="1" t="s">
        <v>72</v>
      </c>
      <c r="B588" s="1" t="s">
        <v>5678</v>
      </c>
      <c r="C588" s="1" t="s">
        <v>74</v>
      </c>
      <c r="D588" s="1" t="s">
        <v>74</v>
      </c>
      <c r="E588" s="1" t="s">
        <v>74</v>
      </c>
      <c r="F588" s="1" t="s">
        <v>5679</v>
      </c>
      <c r="G588" s="1" t="s">
        <v>74</v>
      </c>
      <c r="H588" s="1" t="s">
        <v>74</v>
      </c>
      <c r="I588" s="1" t="s">
        <v>5680</v>
      </c>
      <c r="J588" s="1" t="s">
        <v>5681</v>
      </c>
      <c r="K588" s="1" t="s">
        <v>74</v>
      </c>
      <c r="L588" s="1" t="s">
        <v>74</v>
      </c>
      <c r="M588" s="1" t="s">
        <v>74</v>
      </c>
      <c r="N588" s="1" t="s">
        <v>74</v>
      </c>
      <c r="O588" s="1" t="s">
        <v>74</v>
      </c>
      <c r="P588" s="1" t="s">
        <v>74</v>
      </c>
      <c r="Q588" s="1" t="s">
        <v>74</v>
      </c>
      <c r="R588" s="1" t="s">
        <v>74</v>
      </c>
      <c r="S588" s="1" t="s">
        <v>74</v>
      </c>
      <c r="T588" s="1" t="s">
        <v>74</v>
      </c>
      <c r="U588" s="1" t="s">
        <v>74</v>
      </c>
      <c r="V588" s="1" t="s">
        <v>5682</v>
      </c>
      <c r="W588" s="1" t="s">
        <v>74</v>
      </c>
      <c r="X588" s="1" t="s">
        <v>74</v>
      </c>
      <c r="Y588" s="1" t="s">
        <v>74</v>
      </c>
      <c r="Z588" s="1" t="s">
        <v>74</v>
      </c>
      <c r="AA588" s="1" t="s">
        <v>5683</v>
      </c>
      <c r="AB588" s="1" t="s">
        <v>5684</v>
      </c>
      <c r="AC588" s="1" t="s">
        <v>74</v>
      </c>
      <c r="AD588" s="1" t="s">
        <v>74</v>
      </c>
      <c r="AE588" s="1" t="s">
        <v>74</v>
      </c>
      <c r="AF588" s="1" t="s">
        <v>74</v>
      </c>
      <c r="AG588" s="1" t="s">
        <v>74</v>
      </c>
      <c r="AH588" s="1" t="s">
        <v>74</v>
      </c>
      <c r="AI588" s="1" t="s">
        <v>74</v>
      </c>
      <c r="AJ588" s="1" t="s">
        <v>74</v>
      </c>
      <c r="AK588" s="1" t="s">
        <v>74</v>
      </c>
      <c r="AL588" s="1" t="s">
        <v>74</v>
      </c>
      <c r="AM588" s="1" t="s">
        <v>74</v>
      </c>
      <c r="AN588" s="1" t="s">
        <v>74</v>
      </c>
      <c r="AO588" s="1" t="s">
        <v>74</v>
      </c>
      <c r="AP588" s="1" t="s">
        <v>5685</v>
      </c>
      <c r="AQ588" s="1" t="s">
        <v>74</v>
      </c>
      <c r="AR588" s="1" t="s">
        <v>74</v>
      </c>
      <c r="AS588" s="1" t="s">
        <v>74</v>
      </c>
      <c r="AT588" s="1" t="s">
        <v>74</v>
      </c>
      <c r="AU588" s="1">
        <v>2011.0</v>
      </c>
      <c r="AV588" s="1">
        <v>108.0</v>
      </c>
      <c r="AW588" s="1">
        <v>1.0</v>
      </c>
      <c r="AX588" s="1" t="s">
        <v>74</v>
      </c>
      <c r="AY588" s="1" t="s">
        <v>74</v>
      </c>
      <c r="AZ588" s="1" t="s">
        <v>74</v>
      </c>
      <c r="BA588" s="1" t="s">
        <v>74</v>
      </c>
      <c r="BB588" s="1">
        <v>41.0</v>
      </c>
      <c r="BC588" s="1">
        <v>45.0</v>
      </c>
      <c r="BD588" s="1" t="s">
        <v>74</v>
      </c>
      <c r="BE588" s="1" t="s">
        <v>5686</v>
      </c>
      <c r="BF588" s="2" t="str">
        <f>HYPERLINK("http://dx.doi.org/10.14411/eje.2011.005","http://dx.doi.org/10.14411/eje.2011.005")</f>
        <v>http://dx.doi.org/10.14411/eje.2011.005</v>
      </c>
      <c r="BG588" s="1" t="s">
        <v>74</v>
      </c>
      <c r="BH588" s="1" t="s">
        <v>74</v>
      </c>
      <c r="BI588" s="1" t="s">
        <v>74</v>
      </c>
      <c r="BJ588" s="1" t="s">
        <v>74</v>
      </c>
      <c r="BK588" s="1" t="s">
        <v>74</v>
      </c>
      <c r="BL588" s="1" t="s">
        <v>74</v>
      </c>
      <c r="BM588" s="1" t="s">
        <v>74</v>
      </c>
      <c r="BN588" s="1" t="s">
        <v>74</v>
      </c>
      <c r="BO588" s="1" t="s">
        <v>74</v>
      </c>
      <c r="BP588" s="1" t="s">
        <v>74</v>
      </c>
      <c r="BQ588" s="1" t="s">
        <v>74</v>
      </c>
      <c r="BR588" s="1" t="s">
        <v>74</v>
      </c>
      <c r="BS588" s="1" t="s">
        <v>5687</v>
      </c>
      <c r="BT588" s="1" t="str">
        <f>HYPERLINK("https%3A%2F%2Fwww.webofscience.com%2Fwos%2Fwoscc%2Ffull-record%2FWOS:000285980200005","View Full Record in Web of Science")</f>
        <v>View Full Record in Web of Science</v>
      </c>
    </row>
    <row r="589" ht="12.75" customHeight="1">
      <c r="A589" s="1" t="s">
        <v>72</v>
      </c>
      <c r="B589" s="1" t="s">
        <v>5688</v>
      </c>
      <c r="C589" s="1" t="s">
        <v>74</v>
      </c>
      <c r="D589" s="1" t="s">
        <v>74</v>
      </c>
      <c r="E589" s="1" t="s">
        <v>74</v>
      </c>
      <c r="F589" s="1" t="s">
        <v>5689</v>
      </c>
      <c r="G589" s="1" t="s">
        <v>74</v>
      </c>
      <c r="H589" s="1" t="s">
        <v>74</v>
      </c>
      <c r="I589" s="1" t="s">
        <v>5690</v>
      </c>
      <c r="J589" s="1" t="s">
        <v>5691</v>
      </c>
      <c r="K589" s="1" t="s">
        <v>74</v>
      </c>
      <c r="L589" s="1" t="s">
        <v>74</v>
      </c>
      <c r="M589" s="1" t="s">
        <v>74</v>
      </c>
      <c r="N589" s="1" t="s">
        <v>74</v>
      </c>
      <c r="O589" s="1" t="s">
        <v>74</v>
      </c>
      <c r="P589" s="1" t="s">
        <v>74</v>
      </c>
      <c r="Q589" s="1" t="s">
        <v>74</v>
      </c>
      <c r="R589" s="1" t="s">
        <v>74</v>
      </c>
      <c r="S589" s="1" t="s">
        <v>74</v>
      </c>
      <c r="T589" s="1" t="s">
        <v>74</v>
      </c>
      <c r="U589" s="1" t="s">
        <v>74</v>
      </c>
      <c r="V589" s="1" t="s">
        <v>5692</v>
      </c>
      <c r="W589" s="1" t="s">
        <v>74</v>
      </c>
      <c r="X589" s="1" t="s">
        <v>74</v>
      </c>
      <c r="Y589" s="1" t="s">
        <v>74</v>
      </c>
      <c r="Z589" s="1" t="s">
        <v>74</v>
      </c>
      <c r="AA589" s="1" t="s">
        <v>74</v>
      </c>
      <c r="AB589" s="1" t="s">
        <v>74</v>
      </c>
      <c r="AC589" s="1" t="s">
        <v>74</v>
      </c>
      <c r="AD589" s="1" t="s">
        <v>74</v>
      </c>
      <c r="AE589" s="1" t="s">
        <v>74</v>
      </c>
      <c r="AF589" s="1" t="s">
        <v>74</v>
      </c>
      <c r="AG589" s="1" t="s">
        <v>74</v>
      </c>
      <c r="AH589" s="1" t="s">
        <v>74</v>
      </c>
      <c r="AI589" s="1" t="s">
        <v>74</v>
      </c>
      <c r="AJ589" s="1" t="s">
        <v>74</v>
      </c>
      <c r="AK589" s="1" t="s">
        <v>74</v>
      </c>
      <c r="AL589" s="1" t="s">
        <v>74</v>
      </c>
      <c r="AM589" s="1" t="s">
        <v>74</v>
      </c>
      <c r="AN589" s="1" t="s">
        <v>74</v>
      </c>
      <c r="AO589" s="1" t="s">
        <v>5693</v>
      </c>
      <c r="AP589" s="1" t="s">
        <v>5694</v>
      </c>
      <c r="AQ589" s="1" t="s">
        <v>74</v>
      </c>
      <c r="AR589" s="1" t="s">
        <v>74</v>
      </c>
      <c r="AS589" s="1" t="s">
        <v>74</v>
      </c>
      <c r="AT589" s="1" t="s">
        <v>110</v>
      </c>
      <c r="AU589" s="1">
        <v>2009.0</v>
      </c>
      <c r="AV589" s="1">
        <v>15.0</v>
      </c>
      <c r="AW589" s="1" t="s">
        <v>74</v>
      </c>
      <c r="AX589" s="1" t="s">
        <v>74</v>
      </c>
      <c r="AY589" s="1">
        <v>3.0</v>
      </c>
      <c r="AZ589" s="1" t="s">
        <v>74</v>
      </c>
      <c r="BA589" s="1" t="s">
        <v>74</v>
      </c>
      <c r="BB589" s="1" t="s">
        <v>5695</v>
      </c>
      <c r="BC589" s="1" t="s">
        <v>5696</v>
      </c>
      <c r="BD589" s="1" t="s">
        <v>74</v>
      </c>
      <c r="BE589" s="1" t="s">
        <v>5697</v>
      </c>
      <c r="BF589" s="2" t="str">
        <f>HYPERLINK("http://dx.doi.org/10.1016/S1353-8020(09)70773-4","http://dx.doi.org/10.1016/S1353-8020(09)70773-4")</f>
        <v>http://dx.doi.org/10.1016/S1353-8020(09)70773-4</v>
      </c>
      <c r="BG589" s="1" t="s">
        <v>74</v>
      </c>
      <c r="BH589" s="1" t="s">
        <v>74</v>
      </c>
      <c r="BI589" s="1" t="s">
        <v>74</v>
      </c>
      <c r="BJ589" s="1" t="s">
        <v>74</v>
      </c>
      <c r="BK589" s="1" t="s">
        <v>74</v>
      </c>
      <c r="BL589" s="1" t="s">
        <v>74</v>
      </c>
      <c r="BM589" s="1" t="s">
        <v>74</v>
      </c>
      <c r="BN589" s="1">
        <v>2.0082996E7</v>
      </c>
      <c r="BO589" s="1" t="s">
        <v>74</v>
      </c>
      <c r="BP589" s="1" t="s">
        <v>74</v>
      </c>
      <c r="BQ589" s="1" t="s">
        <v>74</v>
      </c>
      <c r="BR589" s="1" t="s">
        <v>74</v>
      </c>
      <c r="BS589" s="1" t="s">
        <v>5698</v>
      </c>
      <c r="BT589" s="1" t="str">
        <f>HYPERLINK("https%3A%2F%2Fwww.webofscience.com%2Fwos%2Fwoscc%2Ffull-record%2FWOS:000576252500005","View Full Record in Web of Science")</f>
        <v>View Full Record in Web of Science</v>
      </c>
    </row>
    <row r="590" ht="12.75" customHeight="1">
      <c r="A590" s="1" t="s">
        <v>72</v>
      </c>
      <c r="B590" s="1" t="s">
        <v>5699</v>
      </c>
      <c r="C590" s="1" t="s">
        <v>74</v>
      </c>
      <c r="D590" s="1" t="s">
        <v>74</v>
      </c>
      <c r="E590" s="1" t="s">
        <v>74</v>
      </c>
      <c r="F590" s="1" t="s">
        <v>5700</v>
      </c>
      <c r="G590" s="1" t="s">
        <v>74</v>
      </c>
      <c r="H590" s="1" t="s">
        <v>74</v>
      </c>
      <c r="I590" s="1" t="s">
        <v>5701</v>
      </c>
      <c r="J590" s="1" t="s">
        <v>4545</v>
      </c>
      <c r="K590" s="1" t="s">
        <v>74</v>
      </c>
      <c r="L590" s="1" t="s">
        <v>74</v>
      </c>
      <c r="M590" s="1" t="s">
        <v>74</v>
      </c>
      <c r="N590" s="1" t="s">
        <v>74</v>
      </c>
      <c r="O590" s="1" t="s">
        <v>74</v>
      </c>
      <c r="P590" s="1" t="s">
        <v>74</v>
      </c>
      <c r="Q590" s="1" t="s">
        <v>74</v>
      </c>
      <c r="R590" s="1" t="s">
        <v>74</v>
      </c>
      <c r="S590" s="1" t="s">
        <v>74</v>
      </c>
      <c r="T590" s="1" t="s">
        <v>74</v>
      </c>
      <c r="U590" s="1" t="s">
        <v>74</v>
      </c>
      <c r="V590" s="1" t="s">
        <v>5702</v>
      </c>
      <c r="W590" s="1" t="s">
        <v>74</v>
      </c>
      <c r="X590" s="1" t="s">
        <v>74</v>
      </c>
      <c r="Y590" s="1" t="s">
        <v>74</v>
      </c>
      <c r="Z590" s="1" t="s">
        <v>74</v>
      </c>
      <c r="AA590" s="1" t="s">
        <v>74</v>
      </c>
      <c r="AB590" s="1" t="s">
        <v>74</v>
      </c>
      <c r="AC590" s="1" t="s">
        <v>74</v>
      </c>
      <c r="AD590" s="1" t="s">
        <v>74</v>
      </c>
      <c r="AE590" s="1" t="s">
        <v>74</v>
      </c>
      <c r="AF590" s="1" t="s">
        <v>74</v>
      </c>
      <c r="AG590" s="1" t="s">
        <v>74</v>
      </c>
      <c r="AH590" s="1" t="s">
        <v>74</v>
      </c>
      <c r="AI590" s="1" t="s">
        <v>74</v>
      </c>
      <c r="AJ590" s="1" t="s">
        <v>74</v>
      </c>
      <c r="AK590" s="1" t="s">
        <v>74</v>
      </c>
      <c r="AL590" s="1" t="s">
        <v>74</v>
      </c>
      <c r="AM590" s="1" t="s">
        <v>74</v>
      </c>
      <c r="AN590" s="1" t="s">
        <v>74</v>
      </c>
      <c r="AO590" s="1" t="s">
        <v>4548</v>
      </c>
      <c r="AP590" s="1" t="s">
        <v>74</v>
      </c>
      <c r="AQ590" s="1" t="s">
        <v>74</v>
      </c>
      <c r="AR590" s="1" t="s">
        <v>74</v>
      </c>
      <c r="AS590" s="1" t="s">
        <v>74</v>
      </c>
      <c r="AT590" s="1" t="s">
        <v>1049</v>
      </c>
      <c r="AU590" s="1">
        <v>2009.0</v>
      </c>
      <c r="AV590" s="1">
        <v>52.0</v>
      </c>
      <c r="AW590" s="1" t="s">
        <v>5634</v>
      </c>
      <c r="AX590" s="1" t="s">
        <v>74</v>
      </c>
      <c r="AY590" s="1" t="s">
        <v>74</v>
      </c>
      <c r="AZ590" s="1" t="s">
        <v>74</v>
      </c>
      <c r="BA590" s="1" t="s">
        <v>74</v>
      </c>
      <c r="BB590" s="1">
        <v>5512.0</v>
      </c>
      <c r="BC590" s="1">
        <v>5524.0</v>
      </c>
      <c r="BD590" s="1" t="s">
        <v>74</v>
      </c>
      <c r="BE590" s="1" t="s">
        <v>5703</v>
      </c>
      <c r="BF590" s="2" t="str">
        <f>HYPERLINK("http://dx.doi.org/10.1016/j.ijheatmasstransfer.2009.06.030","http://dx.doi.org/10.1016/j.ijheatmasstransfer.2009.06.030")</f>
        <v>http://dx.doi.org/10.1016/j.ijheatmasstransfer.2009.06.030</v>
      </c>
      <c r="BG590" s="1" t="s">
        <v>74</v>
      </c>
      <c r="BH590" s="1" t="s">
        <v>74</v>
      </c>
      <c r="BI590" s="1" t="s">
        <v>74</v>
      </c>
      <c r="BJ590" s="1" t="s">
        <v>74</v>
      </c>
      <c r="BK590" s="1" t="s">
        <v>74</v>
      </c>
      <c r="BL590" s="1" t="s">
        <v>74</v>
      </c>
      <c r="BM590" s="1" t="s">
        <v>74</v>
      </c>
      <c r="BN590" s="1" t="s">
        <v>74</v>
      </c>
      <c r="BO590" s="1" t="s">
        <v>74</v>
      </c>
      <c r="BP590" s="1" t="s">
        <v>74</v>
      </c>
      <c r="BQ590" s="1" t="s">
        <v>74</v>
      </c>
      <c r="BR590" s="1" t="s">
        <v>74</v>
      </c>
      <c r="BS590" s="1" t="s">
        <v>5704</v>
      </c>
      <c r="BT590" s="1" t="str">
        <f>HYPERLINK("https%3A%2F%2Fwww.webofscience.com%2Fwos%2Fwoscc%2Ffull-record%2FWOS:000273358700024","View Full Record in Web of Science")</f>
        <v>View Full Record in Web of Science</v>
      </c>
    </row>
    <row r="591" ht="12.75" customHeight="1">
      <c r="A591" s="1" t="s">
        <v>72</v>
      </c>
      <c r="B591" s="1" t="s">
        <v>5705</v>
      </c>
      <c r="C591" s="1" t="s">
        <v>74</v>
      </c>
      <c r="D591" s="1" t="s">
        <v>74</v>
      </c>
      <c r="E591" s="1" t="s">
        <v>74</v>
      </c>
      <c r="F591" s="1" t="s">
        <v>5706</v>
      </c>
      <c r="G591" s="1" t="s">
        <v>74</v>
      </c>
      <c r="H591" s="1" t="s">
        <v>74</v>
      </c>
      <c r="I591" s="1" t="s">
        <v>5707</v>
      </c>
      <c r="J591" s="1" t="s">
        <v>3672</v>
      </c>
      <c r="K591" s="1" t="s">
        <v>74</v>
      </c>
      <c r="L591" s="1" t="s">
        <v>74</v>
      </c>
      <c r="M591" s="1" t="s">
        <v>74</v>
      </c>
      <c r="N591" s="1" t="s">
        <v>74</v>
      </c>
      <c r="O591" s="1" t="s">
        <v>74</v>
      </c>
      <c r="P591" s="1" t="s">
        <v>74</v>
      </c>
      <c r="Q591" s="1" t="s">
        <v>74</v>
      </c>
      <c r="R591" s="1" t="s">
        <v>74</v>
      </c>
      <c r="S591" s="1" t="s">
        <v>74</v>
      </c>
      <c r="T591" s="1" t="s">
        <v>74</v>
      </c>
      <c r="U591" s="1" t="s">
        <v>74</v>
      </c>
      <c r="V591" s="1" t="s">
        <v>5708</v>
      </c>
      <c r="W591" s="1" t="s">
        <v>74</v>
      </c>
      <c r="X591" s="1" t="s">
        <v>74</v>
      </c>
      <c r="Y591" s="1" t="s">
        <v>74</v>
      </c>
      <c r="Z591" s="1" t="s">
        <v>74</v>
      </c>
      <c r="AA591" s="1" t="s">
        <v>4356</v>
      </c>
      <c r="AB591" s="1" t="s">
        <v>4357</v>
      </c>
      <c r="AC591" s="1" t="s">
        <v>74</v>
      </c>
      <c r="AD591" s="1" t="s">
        <v>74</v>
      </c>
      <c r="AE591" s="1" t="s">
        <v>74</v>
      </c>
      <c r="AF591" s="1" t="s">
        <v>74</v>
      </c>
      <c r="AG591" s="1" t="s">
        <v>74</v>
      </c>
      <c r="AH591" s="1" t="s">
        <v>74</v>
      </c>
      <c r="AI591" s="1" t="s">
        <v>74</v>
      </c>
      <c r="AJ591" s="1" t="s">
        <v>74</v>
      </c>
      <c r="AK591" s="1" t="s">
        <v>74</v>
      </c>
      <c r="AL591" s="1" t="s">
        <v>74</v>
      </c>
      <c r="AM591" s="1" t="s">
        <v>74</v>
      </c>
      <c r="AN591" s="1" t="s">
        <v>74</v>
      </c>
      <c r="AO591" s="1" t="s">
        <v>3676</v>
      </c>
      <c r="AP591" s="1" t="s">
        <v>74</v>
      </c>
      <c r="AQ591" s="1" t="s">
        <v>74</v>
      </c>
      <c r="AR591" s="1" t="s">
        <v>74</v>
      </c>
      <c r="AS591" s="1" t="s">
        <v>74</v>
      </c>
      <c r="AT591" s="1" t="s">
        <v>4341</v>
      </c>
      <c r="AU591" s="1">
        <v>2009.0</v>
      </c>
      <c r="AV591" s="1">
        <v>45.0</v>
      </c>
      <c r="AW591" s="1">
        <v>6.0</v>
      </c>
      <c r="AX591" s="1" t="s">
        <v>74</v>
      </c>
      <c r="AY591" s="1" t="s">
        <v>74</v>
      </c>
      <c r="AZ591" s="1" t="s">
        <v>74</v>
      </c>
      <c r="BA591" s="1" t="s">
        <v>74</v>
      </c>
      <c r="BB591" s="1">
        <v>406.0</v>
      </c>
      <c r="BC591" s="1">
        <v>414.0</v>
      </c>
      <c r="BD591" s="1" t="s">
        <v>74</v>
      </c>
      <c r="BE591" s="1" t="s">
        <v>5709</v>
      </c>
      <c r="BF591" s="2" t="str">
        <f>HYPERLINK("http://dx.doi.org/10.3989/revmetalm.0822","http://dx.doi.org/10.3989/revmetalm.0822")</f>
        <v>http://dx.doi.org/10.3989/revmetalm.0822</v>
      </c>
      <c r="BG591" s="1" t="s">
        <v>74</v>
      </c>
      <c r="BH591" s="1" t="s">
        <v>74</v>
      </c>
      <c r="BI591" s="1" t="s">
        <v>74</v>
      </c>
      <c r="BJ591" s="1" t="s">
        <v>74</v>
      </c>
      <c r="BK591" s="1" t="s">
        <v>74</v>
      </c>
      <c r="BL591" s="1" t="s">
        <v>74</v>
      </c>
      <c r="BM591" s="1" t="s">
        <v>74</v>
      </c>
      <c r="BN591" s="1" t="s">
        <v>74</v>
      </c>
      <c r="BO591" s="1" t="s">
        <v>74</v>
      </c>
      <c r="BP591" s="1" t="s">
        <v>74</v>
      </c>
      <c r="BQ591" s="1" t="s">
        <v>74</v>
      </c>
      <c r="BR591" s="1" t="s">
        <v>74</v>
      </c>
      <c r="BS591" s="1" t="s">
        <v>5710</v>
      </c>
      <c r="BT591" s="1" t="str">
        <f>HYPERLINK("https%3A%2F%2Fwww.webofscience.com%2Fwos%2Fwoscc%2Ffull-record%2FWOS:000274491700002","View Full Record in Web of Science")</f>
        <v>View Full Record in Web of Science</v>
      </c>
    </row>
    <row r="592" ht="12.75" customHeight="1">
      <c r="A592" s="1" t="s">
        <v>72</v>
      </c>
      <c r="B592" s="1" t="s">
        <v>5711</v>
      </c>
      <c r="C592" s="1" t="s">
        <v>74</v>
      </c>
      <c r="D592" s="1" t="s">
        <v>74</v>
      </c>
      <c r="E592" s="1" t="s">
        <v>74</v>
      </c>
      <c r="F592" s="1" t="s">
        <v>5712</v>
      </c>
      <c r="G592" s="1" t="s">
        <v>74</v>
      </c>
      <c r="H592" s="1" t="s">
        <v>74</v>
      </c>
      <c r="I592" s="1" t="s">
        <v>5713</v>
      </c>
      <c r="J592" s="1" t="s">
        <v>2371</v>
      </c>
      <c r="K592" s="1" t="s">
        <v>74</v>
      </c>
      <c r="L592" s="1" t="s">
        <v>74</v>
      </c>
      <c r="M592" s="1" t="s">
        <v>74</v>
      </c>
      <c r="N592" s="1" t="s">
        <v>74</v>
      </c>
      <c r="O592" s="1" t="s">
        <v>74</v>
      </c>
      <c r="P592" s="1" t="s">
        <v>74</v>
      </c>
      <c r="Q592" s="1" t="s">
        <v>74</v>
      </c>
      <c r="R592" s="1" t="s">
        <v>74</v>
      </c>
      <c r="S592" s="1" t="s">
        <v>74</v>
      </c>
      <c r="T592" s="1" t="s">
        <v>74</v>
      </c>
      <c r="U592" s="1" t="s">
        <v>74</v>
      </c>
      <c r="V592" s="1" t="s">
        <v>5714</v>
      </c>
      <c r="W592" s="1" t="s">
        <v>74</v>
      </c>
      <c r="X592" s="1" t="s">
        <v>74</v>
      </c>
      <c r="Y592" s="1" t="s">
        <v>74</v>
      </c>
      <c r="Z592" s="1" t="s">
        <v>74</v>
      </c>
      <c r="AA592" s="1" t="s">
        <v>1341</v>
      </c>
      <c r="AB592" s="1" t="s">
        <v>74</v>
      </c>
      <c r="AC592" s="1" t="s">
        <v>74</v>
      </c>
      <c r="AD592" s="1" t="s">
        <v>74</v>
      </c>
      <c r="AE592" s="1" t="s">
        <v>74</v>
      </c>
      <c r="AF592" s="1" t="s">
        <v>74</v>
      </c>
      <c r="AG592" s="1" t="s">
        <v>74</v>
      </c>
      <c r="AH592" s="1" t="s">
        <v>74</v>
      </c>
      <c r="AI592" s="1" t="s">
        <v>74</v>
      </c>
      <c r="AJ592" s="1" t="s">
        <v>74</v>
      </c>
      <c r="AK592" s="1" t="s">
        <v>74</v>
      </c>
      <c r="AL592" s="1" t="s">
        <v>74</v>
      </c>
      <c r="AM592" s="1" t="s">
        <v>74</v>
      </c>
      <c r="AN592" s="1" t="s">
        <v>74</v>
      </c>
      <c r="AO592" s="1" t="s">
        <v>2372</v>
      </c>
      <c r="AP592" s="1" t="s">
        <v>4363</v>
      </c>
      <c r="AQ592" s="1" t="s">
        <v>74</v>
      </c>
      <c r="AR592" s="1" t="s">
        <v>74</v>
      </c>
      <c r="AS592" s="1" t="s">
        <v>74</v>
      </c>
      <c r="AT592" s="1" t="s">
        <v>5715</v>
      </c>
      <c r="AU592" s="1">
        <v>2009.0</v>
      </c>
      <c r="AV592" s="1">
        <v>70.0</v>
      </c>
      <c r="AW592" s="1">
        <v>8.0</v>
      </c>
      <c r="AX592" s="1" t="s">
        <v>74</v>
      </c>
      <c r="AY592" s="1" t="s">
        <v>74</v>
      </c>
      <c r="AZ592" s="1" t="s">
        <v>411</v>
      </c>
      <c r="BA592" s="1" t="s">
        <v>74</v>
      </c>
      <c r="BB592" s="1">
        <v>2953.0</v>
      </c>
      <c r="BC592" s="1">
        <v>2964.0</v>
      </c>
      <c r="BD592" s="1" t="s">
        <v>74</v>
      </c>
      <c r="BE592" s="1" t="s">
        <v>5716</v>
      </c>
      <c r="BF592" s="2" t="str">
        <f>HYPERLINK("http://dx.doi.org/10.1016/j.na.2008.12.021","http://dx.doi.org/10.1016/j.na.2008.12.021")</f>
        <v>http://dx.doi.org/10.1016/j.na.2008.12.021</v>
      </c>
      <c r="BG592" s="1" t="s">
        <v>74</v>
      </c>
      <c r="BH592" s="1" t="s">
        <v>74</v>
      </c>
      <c r="BI592" s="1" t="s">
        <v>74</v>
      </c>
      <c r="BJ592" s="1" t="s">
        <v>74</v>
      </c>
      <c r="BK592" s="1" t="s">
        <v>74</v>
      </c>
      <c r="BL592" s="1" t="s">
        <v>74</v>
      </c>
      <c r="BM592" s="1" t="s">
        <v>74</v>
      </c>
      <c r="BN592" s="1" t="s">
        <v>74</v>
      </c>
      <c r="BO592" s="1" t="s">
        <v>74</v>
      </c>
      <c r="BP592" s="1" t="s">
        <v>74</v>
      </c>
      <c r="BQ592" s="1" t="s">
        <v>74</v>
      </c>
      <c r="BR592" s="1" t="s">
        <v>74</v>
      </c>
      <c r="BS592" s="1" t="s">
        <v>5717</v>
      </c>
      <c r="BT592" s="1" t="str">
        <f>HYPERLINK("https%3A%2F%2Fwww.webofscience.com%2Fwos%2Fwoscc%2Ffull-record%2FWOS:000265198500013","View Full Record in Web of Science")</f>
        <v>View Full Record in Web of Science</v>
      </c>
    </row>
    <row r="593" ht="12.75" customHeight="1">
      <c r="A593" s="1" t="s">
        <v>72</v>
      </c>
      <c r="B593" s="1" t="s">
        <v>5718</v>
      </c>
      <c r="C593" s="1" t="s">
        <v>74</v>
      </c>
      <c r="D593" s="1" t="s">
        <v>74</v>
      </c>
      <c r="E593" s="1" t="s">
        <v>74</v>
      </c>
      <c r="F593" s="1" t="s">
        <v>5719</v>
      </c>
      <c r="G593" s="1" t="s">
        <v>74</v>
      </c>
      <c r="H593" s="1" t="s">
        <v>74</v>
      </c>
      <c r="I593" s="1" t="s">
        <v>5720</v>
      </c>
      <c r="J593" s="1" t="s">
        <v>5721</v>
      </c>
      <c r="K593" s="1" t="s">
        <v>74</v>
      </c>
      <c r="L593" s="1" t="s">
        <v>74</v>
      </c>
      <c r="M593" s="1" t="s">
        <v>74</v>
      </c>
      <c r="N593" s="1" t="s">
        <v>74</v>
      </c>
      <c r="O593" s="1" t="s">
        <v>74</v>
      </c>
      <c r="P593" s="1" t="s">
        <v>74</v>
      </c>
      <c r="Q593" s="1" t="s">
        <v>74</v>
      </c>
      <c r="R593" s="1" t="s">
        <v>74</v>
      </c>
      <c r="S593" s="1" t="s">
        <v>74</v>
      </c>
      <c r="T593" s="1" t="s">
        <v>74</v>
      </c>
      <c r="U593" s="1" t="s">
        <v>74</v>
      </c>
      <c r="V593" s="1" t="s">
        <v>5722</v>
      </c>
      <c r="W593" s="1" t="s">
        <v>74</v>
      </c>
      <c r="X593" s="1" t="s">
        <v>74</v>
      </c>
      <c r="Y593" s="1" t="s">
        <v>74</v>
      </c>
      <c r="Z593" s="1" t="s">
        <v>74</v>
      </c>
      <c r="AA593" s="1" t="s">
        <v>2302</v>
      </c>
      <c r="AB593" s="1" t="s">
        <v>2303</v>
      </c>
      <c r="AC593" s="1" t="s">
        <v>74</v>
      </c>
      <c r="AD593" s="1" t="s">
        <v>74</v>
      </c>
      <c r="AE593" s="1" t="s">
        <v>74</v>
      </c>
      <c r="AF593" s="1" t="s">
        <v>74</v>
      </c>
      <c r="AG593" s="1" t="s">
        <v>74</v>
      </c>
      <c r="AH593" s="1" t="s">
        <v>74</v>
      </c>
      <c r="AI593" s="1" t="s">
        <v>74</v>
      </c>
      <c r="AJ593" s="1" t="s">
        <v>74</v>
      </c>
      <c r="AK593" s="1" t="s">
        <v>74</v>
      </c>
      <c r="AL593" s="1" t="s">
        <v>74</v>
      </c>
      <c r="AM593" s="1" t="s">
        <v>74</v>
      </c>
      <c r="AN593" s="1" t="s">
        <v>74</v>
      </c>
      <c r="AO593" s="1" t="s">
        <v>5723</v>
      </c>
      <c r="AP593" s="1" t="s">
        <v>5724</v>
      </c>
      <c r="AQ593" s="1" t="s">
        <v>74</v>
      </c>
      <c r="AR593" s="1" t="s">
        <v>74</v>
      </c>
      <c r="AS593" s="1" t="s">
        <v>74</v>
      </c>
      <c r="AT593" s="1" t="s">
        <v>459</v>
      </c>
      <c r="AU593" s="1">
        <v>2008.0</v>
      </c>
      <c r="AV593" s="1">
        <v>56.0</v>
      </c>
      <c r="AW593" s="1">
        <v>5.0</v>
      </c>
      <c r="AX593" s="1" t="s">
        <v>74</v>
      </c>
      <c r="AY593" s="1" t="s">
        <v>74</v>
      </c>
      <c r="AZ593" s="1" t="s">
        <v>74</v>
      </c>
      <c r="BA593" s="1" t="s">
        <v>74</v>
      </c>
      <c r="BB593" s="1">
        <v>1206.0</v>
      </c>
      <c r="BC593" s="1">
        <v>1215.0</v>
      </c>
      <c r="BD593" s="1" t="s">
        <v>74</v>
      </c>
      <c r="BE593" s="1" t="s">
        <v>5725</v>
      </c>
      <c r="BF593" s="2" t="str">
        <f>HYPERLINK("http://dx.doi.org/10.1016/j.camwa.2008.02.022","http://dx.doi.org/10.1016/j.camwa.2008.02.022")</f>
        <v>http://dx.doi.org/10.1016/j.camwa.2008.02.022</v>
      </c>
      <c r="BG593" s="1" t="s">
        <v>74</v>
      </c>
      <c r="BH593" s="1" t="s">
        <v>74</v>
      </c>
      <c r="BI593" s="1" t="s">
        <v>74</v>
      </c>
      <c r="BJ593" s="1" t="s">
        <v>74</v>
      </c>
      <c r="BK593" s="1" t="s">
        <v>74</v>
      </c>
      <c r="BL593" s="1" t="s">
        <v>74</v>
      </c>
      <c r="BM593" s="1" t="s">
        <v>74</v>
      </c>
      <c r="BN593" s="1" t="s">
        <v>74</v>
      </c>
      <c r="BO593" s="1" t="s">
        <v>74</v>
      </c>
      <c r="BP593" s="1" t="s">
        <v>74</v>
      </c>
      <c r="BQ593" s="1" t="s">
        <v>74</v>
      </c>
      <c r="BR593" s="1" t="s">
        <v>74</v>
      </c>
      <c r="BS593" s="1" t="s">
        <v>5726</v>
      </c>
      <c r="BT593" s="1" t="str">
        <f>HYPERLINK("https%3A%2F%2Fwww.webofscience.com%2Fwos%2Fwoscc%2Ffull-record%2FWOS:000258350000006","View Full Record in Web of Science")</f>
        <v>View Full Record in Web of Science</v>
      </c>
    </row>
    <row r="594" ht="12.75" customHeight="1">
      <c r="A594" s="1" t="s">
        <v>72</v>
      </c>
      <c r="B594" s="1" t="s">
        <v>5727</v>
      </c>
      <c r="C594" s="1" t="s">
        <v>74</v>
      </c>
      <c r="D594" s="1" t="s">
        <v>74</v>
      </c>
      <c r="E594" s="1" t="s">
        <v>74</v>
      </c>
      <c r="F594" s="1" t="s">
        <v>5728</v>
      </c>
      <c r="G594" s="1" t="s">
        <v>74</v>
      </c>
      <c r="H594" s="1" t="s">
        <v>74</v>
      </c>
      <c r="I594" s="1" t="s">
        <v>5729</v>
      </c>
      <c r="J594" s="1" t="s">
        <v>777</v>
      </c>
      <c r="K594" s="1" t="s">
        <v>74</v>
      </c>
      <c r="L594" s="1" t="s">
        <v>74</v>
      </c>
      <c r="M594" s="1" t="s">
        <v>74</v>
      </c>
      <c r="N594" s="1" t="s">
        <v>74</v>
      </c>
      <c r="O594" s="1" t="s">
        <v>74</v>
      </c>
      <c r="P594" s="1" t="s">
        <v>74</v>
      </c>
      <c r="Q594" s="1" t="s">
        <v>74</v>
      </c>
      <c r="R594" s="1" t="s">
        <v>74</v>
      </c>
      <c r="S594" s="1" t="s">
        <v>74</v>
      </c>
      <c r="T594" s="1" t="s">
        <v>74</v>
      </c>
      <c r="U594" s="1" t="s">
        <v>74</v>
      </c>
      <c r="V594" s="1" t="s">
        <v>5730</v>
      </c>
      <c r="W594" s="1" t="s">
        <v>74</v>
      </c>
      <c r="X594" s="1" t="s">
        <v>74</v>
      </c>
      <c r="Y594" s="1" t="s">
        <v>74</v>
      </c>
      <c r="Z594" s="1" t="s">
        <v>74</v>
      </c>
      <c r="AA594" s="1" t="s">
        <v>5731</v>
      </c>
      <c r="AB594" s="1" t="s">
        <v>5732</v>
      </c>
      <c r="AC594" s="1" t="s">
        <v>74</v>
      </c>
      <c r="AD594" s="1" t="s">
        <v>74</v>
      </c>
      <c r="AE594" s="1" t="s">
        <v>74</v>
      </c>
      <c r="AF594" s="1" t="s">
        <v>74</v>
      </c>
      <c r="AG594" s="1" t="s">
        <v>74</v>
      </c>
      <c r="AH594" s="1" t="s">
        <v>74</v>
      </c>
      <c r="AI594" s="1" t="s">
        <v>74</v>
      </c>
      <c r="AJ594" s="1" t="s">
        <v>74</v>
      </c>
      <c r="AK594" s="1" t="s">
        <v>74</v>
      </c>
      <c r="AL594" s="1" t="s">
        <v>74</v>
      </c>
      <c r="AM594" s="1" t="s">
        <v>74</v>
      </c>
      <c r="AN594" s="1" t="s">
        <v>74</v>
      </c>
      <c r="AO594" s="1" t="s">
        <v>779</v>
      </c>
      <c r="AP594" s="1" t="s">
        <v>74</v>
      </c>
      <c r="AQ594" s="1" t="s">
        <v>74</v>
      </c>
      <c r="AR594" s="1" t="s">
        <v>74</v>
      </c>
      <c r="AS594" s="1" t="s">
        <v>74</v>
      </c>
      <c r="AT594" s="1" t="s">
        <v>2296</v>
      </c>
      <c r="AU594" s="1">
        <v>2007.0</v>
      </c>
      <c r="AV594" s="1">
        <v>241.0</v>
      </c>
      <c r="AW594" s="1">
        <v>1.0</v>
      </c>
      <c r="AX594" s="1" t="s">
        <v>74</v>
      </c>
      <c r="AY594" s="1" t="s">
        <v>74</v>
      </c>
      <c r="AZ594" s="1" t="s">
        <v>74</v>
      </c>
      <c r="BA594" s="1" t="s">
        <v>74</v>
      </c>
      <c r="BB594" s="1">
        <v>112.0</v>
      </c>
      <c r="BC594" s="1">
        <v>129.0</v>
      </c>
      <c r="BD594" s="1" t="s">
        <v>74</v>
      </c>
      <c r="BE594" s="1" t="s">
        <v>5733</v>
      </c>
      <c r="BF594" s="2" t="str">
        <f>HYPERLINK("http://dx.doi.org/10.1016/j.jde.2007.06.010","http://dx.doi.org/10.1016/j.jde.2007.06.010")</f>
        <v>http://dx.doi.org/10.1016/j.jde.2007.06.010</v>
      </c>
      <c r="BG594" s="1" t="s">
        <v>74</v>
      </c>
      <c r="BH594" s="1" t="s">
        <v>74</v>
      </c>
      <c r="BI594" s="1" t="s">
        <v>74</v>
      </c>
      <c r="BJ594" s="1" t="s">
        <v>74</v>
      </c>
      <c r="BK594" s="1" t="s">
        <v>74</v>
      </c>
      <c r="BL594" s="1" t="s">
        <v>74</v>
      </c>
      <c r="BM594" s="1" t="s">
        <v>74</v>
      </c>
      <c r="BN594" s="1" t="s">
        <v>74</v>
      </c>
      <c r="BO594" s="1" t="s">
        <v>74</v>
      </c>
      <c r="BP594" s="1" t="s">
        <v>74</v>
      </c>
      <c r="BQ594" s="1" t="s">
        <v>74</v>
      </c>
      <c r="BR594" s="1" t="s">
        <v>74</v>
      </c>
      <c r="BS594" s="1" t="s">
        <v>5734</v>
      </c>
      <c r="BT594" s="1" t="str">
        <f>HYPERLINK("https%3A%2F%2Fwww.webofscience.com%2Fwos%2Fwoscc%2Ffull-record%2FWOS:000250232500005","View Full Record in Web of Science")</f>
        <v>View Full Record in Web of Science</v>
      </c>
    </row>
    <row r="595" ht="12.75" customHeight="1">
      <c r="A595" s="1" t="s">
        <v>72</v>
      </c>
      <c r="B595" s="1" t="s">
        <v>5735</v>
      </c>
      <c r="C595" s="1" t="s">
        <v>74</v>
      </c>
      <c r="D595" s="1" t="s">
        <v>74</v>
      </c>
      <c r="E595" s="1" t="s">
        <v>74</v>
      </c>
      <c r="F595" s="1" t="s">
        <v>5736</v>
      </c>
      <c r="G595" s="1" t="s">
        <v>74</v>
      </c>
      <c r="H595" s="1" t="s">
        <v>74</v>
      </c>
      <c r="I595" s="1" t="s">
        <v>5737</v>
      </c>
      <c r="J595" s="1" t="s">
        <v>5738</v>
      </c>
      <c r="K595" s="1" t="s">
        <v>74</v>
      </c>
      <c r="L595" s="1" t="s">
        <v>74</v>
      </c>
      <c r="M595" s="1" t="s">
        <v>74</v>
      </c>
      <c r="N595" s="1" t="s">
        <v>74</v>
      </c>
      <c r="O595" s="1" t="s">
        <v>74</v>
      </c>
      <c r="P595" s="1" t="s">
        <v>74</v>
      </c>
      <c r="Q595" s="1" t="s">
        <v>74</v>
      </c>
      <c r="R595" s="1" t="s">
        <v>74</v>
      </c>
      <c r="S595" s="1" t="s">
        <v>74</v>
      </c>
      <c r="T595" s="1" t="s">
        <v>74</v>
      </c>
      <c r="U595" s="1" t="s">
        <v>74</v>
      </c>
      <c r="V595" s="1" t="s">
        <v>5739</v>
      </c>
      <c r="W595" s="1" t="s">
        <v>74</v>
      </c>
      <c r="X595" s="1" t="s">
        <v>74</v>
      </c>
      <c r="Y595" s="1" t="s">
        <v>74</v>
      </c>
      <c r="Z595" s="1" t="s">
        <v>74</v>
      </c>
      <c r="AA595" s="1" t="s">
        <v>74</v>
      </c>
      <c r="AB595" s="1" t="s">
        <v>74</v>
      </c>
      <c r="AC595" s="1" t="s">
        <v>74</v>
      </c>
      <c r="AD595" s="1" t="s">
        <v>74</v>
      </c>
      <c r="AE595" s="1" t="s">
        <v>74</v>
      </c>
      <c r="AF595" s="1" t="s">
        <v>74</v>
      </c>
      <c r="AG595" s="1" t="s">
        <v>74</v>
      </c>
      <c r="AH595" s="1" t="s">
        <v>74</v>
      </c>
      <c r="AI595" s="1" t="s">
        <v>74</v>
      </c>
      <c r="AJ595" s="1" t="s">
        <v>74</v>
      </c>
      <c r="AK595" s="1" t="s">
        <v>74</v>
      </c>
      <c r="AL595" s="1" t="s">
        <v>74</v>
      </c>
      <c r="AM595" s="1" t="s">
        <v>74</v>
      </c>
      <c r="AN595" s="1" t="s">
        <v>74</v>
      </c>
      <c r="AO595" s="1" t="s">
        <v>5740</v>
      </c>
      <c r="AP595" s="1" t="s">
        <v>74</v>
      </c>
      <c r="AQ595" s="1" t="s">
        <v>74</v>
      </c>
      <c r="AR595" s="1" t="s">
        <v>74</v>
      </c>
      <c r="AS595" s="1" t="s">
        <v>74</v>
      </c>
      <c r="AT595" s="1" t="s">
        <v>459</v>
      </c>
      <c r="AU595" s="1">
        <v>2007.0</v>
      </c>
      <c r="AV595" s="1">
        <v>57.0</v>
      </c>
      <c r="AW595" s="1">
        <v>9.0</v>
      </c>
      <c r="AX595" s="1" t="s">
        <v>74</v>
      </c>
      <c r="AY595" s="1" t="s">
        <v>74</v>
      </c>
      <c r="AZ595" s="1" t="s">
        <v>74</v>
      </c>
      <c r="BA595" s="1" t="s">
        <v>74</v>
      </c>
      <c r="BB595" s="1">
        <v>114.0</v>
      </c>
      <c r="BC595" s="1">
        <v>117.0</v>
      </c>
      <c r="BD595" s="1" t="s">
        <v>74</v>
      </c>
      <c r="BE595" s="1" t="s">
        <v>74</v>
      </c>
      <c r="BF595" s="1" t="s">
        <v>74</v>
      </c>
      <c r="BG595" s="1" t="s">
        <v>74</v>
      </c>
      <c r="BH595" s="1" t="s">
        <v>74</v>
      </c>
      <c r="BI595" s="1" t="s">
        <v>74</v>
      </c>
      <c r="BJ595" s="1" t="s">
        <v>74</v>
      </c>
      <c r="BK595" s="1" t="s">
        <v>74</v>
      </c>
      <c r="BL595" s="1" t="s">
        <v>74</v>
      </c>
      <c r="BM595" s="1" t="s">
        <v>74</v>
      </c>
      <c r="BN595" s="1" t="s">
        <v>74</v>
      </c>
      <c r="BO595" s="1" t="s">
        <v>74</v>
      </c>
      <c r="BP595" s="1" t="s">
        <v>74</v>
      </c>
      <c r="BQ595" s="1" t="s">
        <v>74</v>
      </c>
      <c r="BR595" s="1" t="s">
        <v>74</v>
      </c>
      <c r="BS595" s="1" t="s">
        <v>5741</v>
      </c>
      <c r="BT595" s="1" t="str">
        <f>HYPERLINK("https%3A%2F%2Fwww.webofscience.com%2Fwos%2Fwoscc%2Ffull-record%2FWOS:000249861200017","View Full Record in Web of Science")</f>
        <v>View Full Record in Web of Science</v>
      </c>
    </row>
    <row r="596" ht="12.75" customHeight="1">
      <c r="A596" s="1" t="s">
        <v>72</v>
      </c>
      <c r="B596" s="1" t="s">
        <v>5742</v>
      </c>
      <c r="C596" s="1" t="s">
        <v>74</v>
      </c>
      <c r="D596" s="1" t="s">
        <v>74</v>
      </c>
      <c r="E596" s="1" t="s">
        <v>74</v>
      </c>
      <c r="F596" s="1" t="s">
        <v>5743</v>
      </c>
      <c r="G596" s="1" t="s">
        <v>74</v>
      </c>
      <c r="H596" s="1" t="s">
        <v>74</v>
      </c>
      <c r="I596" s="1" t="s">
        <v>5744</v>
      </c>
      <c r="J596" s="1" t="s">
        <v>5745</v>
      </c>
      <c r="K596" s="1" t="s">
        <v>74</v>
      </c>
      <c r="L596" s="1" t="s">
        <v>74</v>
      </c>
      <c r="M596" s="1" t="s">
        <v>74</v>
      </c>
      <c r="N596" s="1" t="s">
        <v>74</v>
      </c>
      <c r="O596" s="1" t="s">
        <v>74</v>
      </c>
      <c r="P596" s="1" t="s">
        <v>74</v>
      </c>
      <c r="Q596" s="1" t="s">
        <v>74</v>
      </c>
      <c r="R596" s="1" t="s">
        <v>74</v>
      </c>
      <c r="S596" s="1" t="s">
        <v>74</v>
      </c>
      <c r="T596" s="1" t="s">
        <v>74</v>
      </c>
      <c r="U596" s="1" t="s">
        <v>74</v>
      </c>
      <c r="V596" s="1" t="s">
        <v>5746</v>
      </c>
      <c r="W596" s="1" t="s">
        <v>74</v>
      </c>
      <c r="X596" s="1" t="s">
        <v>74</v>
      </c>
      <c r="Y596" s="1" t="s">
        <v>74</v>
      </c>
      <c r="Z596" s="1" t="s">
        <v>74</v>
      </c>
      <c r="AA596" s="1" t="s">
        <v>5747</v>
      </c>
      <c r="AB596" s="1" t="s">
        <v>5748</v>
      </c>
      <c r="AC596" s="1" t="s">
        <v>74</v>
      </c>
      <c r="AD596" s="1" t="s">
        <v>74</v>
      </c>
      <c r="AE596" s="1" t="s">
        <v>74</v>
      </c>
      <c r="AF596" s="1" t="s">
        <v>74</v>
      </c>
      <c r="AG596" s="1" t="s">
        <v>74</v>
      </c>
      <c r="AH596" s="1" t="s">
        <v>74</v>
      </c>
      <c r="AI596" s="1" t="s">
        <v>74</v>
      </c>
      <c r="AJ596" s="1" t="s">
        <v>74</v>
      </c>
      <c r="AK596" s="1" t="s">
        <v>74</v>
      </c>
      <c r="AL596" s="1" t="s">
        <v>74</v>
      </c>
      <c r="AM596" s="1" t="s">
        <v>74</v>
      </c>
      <c r="AN596" s="1" t="s">
        <v>74</v>
      </c>
      <c r="AO596" s="1" t="s">
        <v>5749</v>
      </c>
      <c r="AP596" s="1" t="s">
        <v>74</v>
      </c>
      <c r="AQ596" s="1" t="s">
        <v>74</v>
      </c>
      <c r="AR596" s="1" t="s">
        <v>74</v>
      </c>
      <c r="AS596" s="1" t="s">
        <v>74</v>
      </c>
      <c r="AT596" s="1" t="s">
        <v>3903</v>
      </c>
      <c r="AU596" s="1">
        <v>2007.0</v>
      </c>
      <c r="AV596" s="1">
        <v>241.0</v>
      </c>
      <c r="AW596" s="1" t="s">
        <v>5625</v>
      </c>
      <c r="AX596" s="1" t="s">
        <v>74</v>
      </c>
      <c r="AY596" s="1" t="s">
        <v>74</v>
      </c>
      <c r="AZ596" s="1" t="s">
        <v>74</v>
      </c>
      <c r="BA596" s="1" t="s">
        <v>74</v>
      </c>
      <c r="BB596" s="1">
        <v>111.0</v>
      </c>
      <c r="BC596" s="1">
        <v>116.0</v>
      </c>
      <c r="BD596" s="1" t="s">
        <v>74</v>
      </c>
      <c r="BE596" s="1" t="s">
        <v>5750</v>
      </c>
      <c r="BF596" s="2" t="str">
        <f>HYPERLINK("http://dx.doi.org/10.1016/j.margeo.2007.03.006","http://dx.doi.org/10.1016/j.margeo.2007.03.006")</f>
        <v>http://dx.doi.org/10.1016/j.margeo.2007.03.006</v>
      </c>
      <c r="BG596" s="1" t="s">
        <v>74</v>
      </c>
      <c r="BH596" s="1" t="s">
        <v>74</v>
      </c>
      <c r="BI596" s="1" t="s">
        <v>74</v>
      </c>
      <c r="BJ596" s="1" t="s">
        <v>74</v>
      </c>
      <c r="BK596" s="1" t="s">
        <v>74</v>
      </c>
      <c r="BL596" s="1" t="s">
        <v>74</v>
      </c>
      <c r="BM596" s="1" t="s">
        <v>74</v>
      </c>
      <c r="BN596" s="1" t="s">
        <v>74</v>
      </c>
      <c r="BO596" s="1" t="s">
        <v>74</v>
      </c>
      <c r="BP596" s="1" t="s">
        <v>74</v>
      </c>
      <c r="BQ596" s="1" t="s">
        <v>74</v>
      </c>
      <c r="BR596" s="1" t="s">
        <v>74</v>
      </c>
      <c r="BS596" s="1" t="s">
        <v>5751</v>
      </c>
      <c r="BT596" s="1" t="str">
        <f>HYPERLINK("https%3A%2F%2Fwww.webofscience.com%2Fwos%2Fwoscc%2Ffull-record%2FWOS:000247737200008","View Full Record in Web of Science")</f>
        <v>View Full Record in Web of Science</v>
      </c>
    </row>
    <row r="597" ht="12.75" customHeight="1">
      <c r="A597" s="1" t="s">
        <v>72</v>
      </c>
      <c r="B597" s="1" t="s">
        <v>5752</v>
      </c>
      <c r="C597" s="1" t="s">
        <v>74</v>
      </c>
      <c r="D597" s="1" t="s">
        <v>74</v>
      </c>
      <c r="E597" s="1" t="s">
        <v>74</v>
      </c>
      <c r="F597" s="1" t="s">
        <v>5753</v>
      </c>
      <c r="G597" s="1" t="s">
        <v>74</v>
      </c>
      <c r="H597" s="1" t="s">
        <v>74</v>
      </c>
      <c r="I597" s="1" t="s">
        <v>5754</v>
      </c>
      <c r="J597" s="1" t="s">
        <v>2350</v>
      </c>
      <c r="K597" s="1" t="s">
        <v>74</v>
      </c>
      <c r="L597" s="1" t="s">
        <v>74</v>
      </c>
      <c r="M597" s="1" t="s">
        <v>74</v>
      </c>
      <c r="N597" s="1" t="s">
        <v>74</v>
      </c>
      <c r="O597" s="1" t="s">
        <v>74</v>
      </c>
      <c r="P597" s="1" t="s">
        <v>74</v>
      </c>
      <c r="Q597" s="1" t="s">
        <v>74</v>
      </c>
      <c r="R597" s="1" t="s">
        <v>74</v>
      </c>
      <c r="S597" s="1" t="s">
        <v>74</v>
      </c>
      <c r="T597" s="1" t="s">
        <v>74</v>
      </c>
      <c r="U597" s="1" t="s">
        <v>74</v>
      </c>
      <c r="V597" s="1" t="s">
        <v>5755</v>
      </c>
      <c r="W597" s="1" t="s">
        <v>74</v>
      </c>
      <c r="X597" s="1" t="s">
        <v>74</v>
      </c>
      <c r="Y597" s="1" t="s">
        <v>74</v>
      </c>
      <c r="Z597" s="1" t="s">
        <v>74</v>
      </c>
      <c r="AA597" s="1" t="s">
        <v>5756</v>
      </c>
      <c r="AB597" s="1" t="s">
        <v>5757</v>
      </c>
      <c r="AC597" s="1" t="s">
        <v>74</v>
      </c>
      <c r="AD597" s="1" t="s">
        <v>74</v>
      </c>
      <c r="AE597" s="1" t="s">
        <v>74</v>
      </c>
      <c r="AF597" s="1" t="s">
        <v>74</v>
      </c>
      <c r="AG597" s="1" t="s">
        <v>74</v>
      </c>
      <c r="AH597" s="1" t="s">
        <v>74</v>
      </c>
      <c r="AI597" s="1" t="s">
        <v>74</v>
      </c>
      <c r="AJ597" s="1" t="s">
        <v>74</v>
      </c>
      <c r="AK597" s="1" t="s">
        <v>74</v>
      </c>
      <c r="AL597" s="1" t="s">
        <v>74</v>
      </c>
      <c r="AM597" s="1" t="s">
        <v>74</v>
      </c>
      <c r="AN597" s="1" t="s">
        <v>74</v>
      </c>
      <c r="AO597" s="1" t="s">
        <v>2354</v>
      </c>
      <c r="AP597" s="1" t="s">
        <v>2355</v>
      </c>
      <c r="AQ597" s="1" t="s">
        <v>74</v>
      </c>
      <c r="AR597" s="1" t="s">
        <v>74</v>
      </c>
      <c r="AS597" s="1" t="s">
        <v>74</v>
      </c>
      <c r="AT597" s="1" t="s">
        <v>5758</v>
      </c>
      <c r="AU597" s="1">
        <v>2006.0</v>
      </c>
      <c r="AV597" s="1">
        <v>110.0</v>
      </c>
      <c r="AW597" s="1">
        <v>42.0</v>
      </c>
      <c r="AX597" s="1" t="s">
        <v>74</v>
      </c>
      <c r="AY597" s="1" t="s">
        <v>74</v>
      </c>
      <c r="AZ597" s="1" t="s">
        <v>74</v>
      </c>
      <c r="BA597" s="1" t="s">
        <v>74</v>
      </c>
      <c r="BB597" s="1">
        <v>11870.0</v>
      </c>
      <c r="BC597" s="1">
        <v>11875.0</v>
      </c>
      <c r="BD597" s="1" t="s">
        <v>74</v>
      </c>
      <c r="BE597" s="1" t="s">
        <v>5759</v>
      </c>
      <c r="BF597" s="2" t="str">
        <f>HYPERLINK("http://dx.doi.org/10.1021/jp060647r","http://dx.doi.org/10.1021/jp060647r")</f>
        <v>http://dx.doi.org/10.1021/jp060647r</v>
      </c>
      <c r="BG597" s="1" t="s">
        <v>74</v>
      </c>
      <c r="BH597" s="1" t="s">
        <v>74</v>
      </c>
      <c r="BI597" s="1" t="s">
        <v>74</v>
      </c>
      <c r="BJ597" s="1" t="s">
        <v>74</v>
      </c>
      <c r="BK597" s="1" t="s">
        <v>74</v>
      </c>
      <c r="BL597" s="1" t="s">
        <v>74</v>
      </c>
      <c r="BM597" s="1" t="s">
        <v>74</v>
      </c>
      <c r="BN597" s="1">
        <v>1.7048819E7</v>
      </c>
      <c r="BO597" s="1" t="s">
        <v>74</v>
      </c>
      <c r="BP597" s="1" t="s">
        <v>74</v>
      </c>
      <c r="BQ597" s="1" t="s">
        <v>74</v>
      </c>
      <c r="BR597" s="1" t="s">
        <v>74</v>
      </c>
      <c r="BS597" s="1" t="s">
        <v>5760</v>
      </c>
      <c r="BT597" s="1" t="str">
        <f>HYPERLINK("https%3A%2F%2Fwww.webofscience.com%2Fwos%2Fwoscc%2Ffull-record%2FWOS:000241381700011","View Full Record in Web of Science")</f>
        <v>View Full Record in Web of Science</v>
      </c>
    </row>
    <row r="598" ht="12.75" customHeight="1">
      <c r="A598" s="1" t="s">
        <v>72</v>
      </c>
      <c r="B598" s="1" t="s">
        <v>5761</v>
      </c>
      <c r="C598" s="1" t="s">
        <v>74</v>
      </c>
      <c r="D598" s="1" t="s">
        <v>74</v>
      </c>
      <c r="E598" s="1" t="s">
        <v>74</v>
      </c>
      <c r="F598" s="1" t="s">
        <v>5762</v>
      </c>
      <c r="G598" s="1" t="s">
        <v>74</v>
      </c>
      <c r="H598" s="1" t="s">
        <v>74</v>
      </c>
      <c r="I598" s="1" t="s">
        <v>5763</v>
      </c>
      <c r="J598" s="1" t="s">
        <v>1375</v>
      </c>
      <c r="K598" s="1" t="s">
        <v>74</v>
      </c>
      <c r="L598" s="1" t="s">
        <v>74</v>
      </c>
      <c r="M598" s="1" t="s">
        <v>74</v>
      </c>
      <c r="N598" s="1" t="s">
        <v>74</v>
      </c>
      <c r="O598" s="1" t="s">
        <v>74</v>
      </c>
      <c r="P598" s="1" t="s">
        <v>74</v>
      </c>
      <c r="Q598" s="1" t="s">
        <v>74</v>
      </c>
      <c r="R598" s="1" t="s">
        <v>74</v>
      </c>
      <c r="S598" s="1" t="s">
        <v>74</v>
      </c>
      <c r="T598" s="1" t="s">
        <v>74</v>
      </c>
      <c r="U598" s="1" t="s">
        <v>74</v>
      </c>
      <c r="V598" s="1" t="s">
        <v>5764</v>
      </c>
      <c r="W598" s="1" t="s">
        <v>74</v>
      </c>
      <c r="X598" s="1" t="s">
        <v>74</v>
      </c>
      <c r="Y598" s="1" t="s">
        <v>74</v>
      </c>
      <c r="Z598" s="1" t="s">
        <v>74</v>
      </c>
      <c r="AA598" s="1" t="s">
        <v>5765</v>
      </c>
      <c r="AB598" s="1" t="s">
        <v>74</v>
      </c>
      <c r="AC598" s="1" t="s">
        <v>74</v>
      </c>
      <c r="AD598" s="1" t="s">
        <v>74</v>
      </c>
      <c r="AE598" s="1" t="s">
        <v>74</v>
      </c>
      <c r="AF598" s="1" t="s">
        <v>74</v>
      </c>
      <c r="AG598" s="1" t="s">
        <v>74</v>
      </c>
      <c r="AH598" s="1" t="s">
        <v>74</v>
      </c>
      <c r="AI598" s="1" t="s">
        <v>74</v>
      </c>
      <c r="AJ598" s="1" t="s">
        <v>74</v>
      </c>
      <c r="AK598" s="1" t="s">
        <v>74</v>
      </c>
      <c r="AL598" s="1" t="s">
        <v>74</v>
      </c>
      <c r="AM598" s="1" t="s">
        <v>74</v>
      </c>
      <c r="AN598" s="1" t="s">
        <v>74</v>
      </c>
      <c r="AO598" s="1" t="s">
        <v>1379</v>
      </c>
      <c r="AP598" s="1" t="s">
        <v>74</v>
      </c>
      <c r="AQ598" s="1" t="s">
        <v>74</v>
      </c>
      <c r="AR598" s="1" t="s">
        <v>74</v>
      </c>
      <c r="AS598" s="1" t="s">
        <v>74</v>
      </c>
      <c r="AT598" s="1" t="s">
        <v>74</v>
      </c>
      <c r="AU598" s="1">
        <v>2006.0</v>
      </c>
      <c r="AV598" s="1">
        <v>38.0</v>
      </c>
      <c r="AW598" s="1">
        <v>2.0</v>
      </c>
      <c r="AX598" s="1" t="s">
        <v>74</v>
      </c>
      <c r="AY598" s="1" t="s">
        <v>74</v>
      </c>
      <c r="AZ598" s="1" t="s">
        <v>74</v>
      </c>
      <c r="BA598" s="1" t="s">
        <v>74</v>
      </c>
      <c r="BB598" s="1">
        <v>343.0</v>
      </c>
      <c r="BC598" s="1">
        <v>359.0</v>
      </c>
      <c r="BD598" s="1" t="s">
        <v>74</v>
      </c>
      <c r="BE598" s="1" t="s">
        <v>74</v>
      </c>
      <c r="BF598" s="1" t="s">
        <v>74</v>
      </c>
      <c r="BG598" s="1" t="s">
        <v>74</v>
      </c>
      <c r="BH598" s="1" t="s">
        <v>74</v>
      </c>
      <c r="BI598" s="1" t="s">
        <v>74</v>
      </c>
      <c r="BJ598" s="1" t="s">
        <v>74</v>
      </c>
      <c r="BK598" s="1" t="s">
        <v>74</v>
      </c>
      <c r="BL598" s="1" t="s">
        <v>74</v>
      </c>
      <c r="BM598" s="1" t="s">
        <v>74</v>
      </c>
      <c r="BN598" s="1" t="s">
        <v>74</v>
      </c>
      <c r="BO598" s="1" t="s">
        <v>74</v>
      </c>
      <c r="BP598" s="1" t="s">
        <v>74</v>
      </c>
      <c r="BQ598" s="1" t="s">
        <v>74</v>
      </c>
      <c r="BR598" s="1" t="s">
        <v>74</v>
      </c>
      <c r="BS598" s="1" t="s">
        <v>5766</v>
      </c>
      <c r="BT598" s="1" t="str">
        <f>HYPERLINK("https%3A%2F%2Fwww.webofscience.com%2Fwos%2Fwoscc%2Ffull-record%2FWOS:000238985100008","View Full Record in Web of Science")</f>
        <v>View Full Record in Web of Science</v>
      </c>
    </row>
    <row r="599" ht="12.75" customHeight="1">
      <c r="A599" s="1" t="s">
        <v>72</v>
      </c>
      <c r="B599" s="1" t="s">
        <v>5767</v>
      </c>
      <c r="C599" s="1" t="s">
        <v>74</v>
      </c>
      <c r="D599" s="1" t="s">
        <v>74</v>
      </c>
      <c r="E599" s="1" t="s">
        <v>74</v>
      </c>
      <c r="F599" s="1" t="s">
        <v>5767</v>
      </c>
      <c r="G599" s="1" t="s">
        <v>74</v>
      </c>
      <c r="H599" s="1" t="s">
        <v>74</v>
      </c>
      <c r="I599" s="1" t="s">
        <v>5768</v>
      </c>
      <c r="J599" s="1" t="s">
        <v>5769</v>
      </c>
      <c r="K599" s="1" t="s">
        <v>74</v>
      </c>
      <c r="L599" s="1" t="s">
        <v>74</v>
      </c>
      <c r="M599" s="1" t="s">
        <v>74</v>
      </c>
      <c r="N599" s="1" t="s">
        <v>74</v>
      </c>
      <c r="O599" s="1" t="s">
        <v>74</v>
      </c>
      <c r="P599" s="1" t="s">
        <v>74</v>
      </c>
      <c r="Q599" s="1" t="s">
        <v>74</v>
      </c>
      <c r="R599" s="1" t="s">
        <v>74</v>
      </c>
      <c r="S599" s="1" t="s">
        <v>74</v>
      </c>
      <c r="T599" s="1" t="s">
        <v>74</v>
      </c>
      <c r="U599" s="1" t="s">
        <v>74</v>
      </c>
      <c r="V599" s="1" t="s">
        <v>5770</v>
      </c>
      <c r="W599" s="1" t="s">
        <v>74</v>
      </c>
      <c r="X599" s="1" t="s">
        <v>74</v>
      </c>
      <c r="Y599" s="1" t="s">
        <v>74</v>
      </c>
      <c r="Z599" s="1" t="s">
        <v>74</v>
      </c>
      <c r="AA599" s="1" t="s">
        <v>5771</v>
      </c>
      <c r="AB599" s="1" t="s">
        <v>5772</v>
      </c>
      <c r="AC599" s="1" t="s">
        <v>74</v>
      </c>
      <c r="AD599" s="1" t="s">
        <v>74</v>
      </c>
      <c r="AE599" s="1" t="s">
        <v>74</v>
      </c>
      <c r="AF599" s="1" t="s">
        <v>74</v>
      </c>
      <c r="AG599" s="1" t="s">
        <v>74</v>
      </c>
      <c r="AH599" s="1" t="s">
        <v>74</v>
      </c>
      <c r="AI599" s="1" t="s">
        <v>74</v>
      </c>
      <c r="AJ599" s="1" t="s">
        <v>74</v>
      </c>
      <c r="AK599" s="1" t="s">
        <v>74</v>
      </c>
      <c r="AL599" s="1" t="s">
        <v>74</v>
      </c>
      <c r="AM599" s="1" t="s">
        <v>74</v>
      </c>
      <c r="AN599" s="1" t="s">
        <v>74</v>
      </c>
      <c r="AO599" s="1" t="s">
        <v>5773</v>
      </c>
      <c r="AP599" s="1" t="s">
        <v>74</v>
      </c>
      <c r="AQ599" s="1" t="s">
        <v>74</v>
      </c>
      <c r="AR599" s="1" t="s">
        <v>74</v>
      </c>
      <c r="AS599" s="1" t="s">
        <v>74</v>
      </c>
      <c r="AT599" s="1" t="s">
        <v>360</v>
      </c>
      <c r="AU599" s="1">
        <v>2005.0</v>
      </c>
      <c r="AV599" s="1">
        <v>152.0</v>
      </c>
      <c r="AW599" s="1">
        <v>1.0</v>
      </c>
      <c r="AX599" s="1" t="s">
        <v>74</v>
      </c>
      <c r="AY599" s="1" t="s">
        <v>74</v>
      </c>
      <c r="AZ599" s="1" t="s">
        <v>74</v>
      </c>
      <c r="BA599" s="1" t="s">
        <v>74</v>
      </c>
      <c r="BB599" s="1">
        <v>1.0</v>
      </c>
      <c r="BC599" s="1">
        <v>5.0</v>
      </c>
      <c r="BD599" s="1" t="s">
        <v>74</v>
      </c>
      <c r="BE599" s="1" t="s">
        <v>74</v>
      </c>
      <c r="BF599" s="1" t="s">
        <v>74</v>
      </c>
      <c r="BG599" s="1" t="s">
        <v>74</v>
      </c>
      <c r="BH599" s="1" t="s">
        <v>74</v>
      </c>
      <c r="BI599" s="1" t="s">
        <v>74</v>
      </c>
      <c r="BJ599" s="1" t="s">
        <v>74</v>
      </c>
      <c r="BK599" s="1" t="s">
        <v>74</v>
      </c>
      <c r="BL599" s="1" t="s">
        <v>74</v>
      </c>
      <c r="BM599" s="1" t="s">
        <v>74</v>
      </c>
      <c r="BN599" s="1" t="s">
        <v>74</v>
      </c>
      <c r="BO599" s="1" t="s">
        <v>74</v>
      </c>
      <c r="BP599" s="1" t="s">
        <v>74</v>
      </c>
      <c r="BQ599" s="1" t="s">
        <v>74</v>
      </c>
      <c r="BR599" s="1" t="s">
        <v>74</v>
      </c>
      <c r="BS599" s="1" t="s">
        <v>5774</v>
      </c>
      <c r="BT599" s="1" t="str">
        <f>HYPERLINK("https%3A%2F%2Fwww.webofscience.com%2Fwos%2Fwoscc%2Ffull-record%2FWOS:000227948500001","View Full Record in Web of Science")</f>
        <v>View Full Record in Web of Science</v>
      </c>
    </row>
    <row r="600" ht="12.75" customHeight="1">
      <c r="A600" s="1" t="s">
        <v>72</v>
      </c>
      <c r="B600" s="1" t="s">
        <v>5775</v>
      </c>
      <c r="C600" s="1" t="s">
        <v>74</v>
      </c>
      <c r="D600" s="1" t="s">
        <v>74</v>
      </c>
      <c r="E600" s="1" t="s">
        <v>74</v>
      </c>
      <c r="F600" s="1" t="s">
        <v>5775</v>
      </c>
      <c r="G600" s="1" t="s">
        <v>74</v>
      </c>
      <c r="H600" s="1" t="s">
        <v>74</v>
      </c>
      <c r="I600" s="1" t="s">
        <v>5776</v>
      </c>
      <c r="J600" s="1" t="s">
        <v>5777</v>
      </c>
      <c r="K600" s="1" t="s">
        <v>74</v>
      </c>
      <c r="L600" s="1" t="s">
        <v>74</v>
      </c>
      <c r="M600" s="1" t="s">
        <v>74</v>
      </c>
      <c r="N600" s="1" t="s">
        <v>74</v>
      </c>
      <c r="O600" s="1" t="s">
        <v>74</v>
      </c>
      <c r="P600" s="1" t="s">
        <v>74</v>
      </c>
      <c r="Q600" s="1" t="s">
        <v>74</v>
      </c>
      <c r="R600" s="1" t="s">
        <v>74</v>
      </c>
      <c r="S600" s="1" t="s">
        <v>74</v>
      </c>
      <c r="T600" s="1" t="s">
        <v>74</v>
      </c>
      <c r="U600" s="1" t="s">
        <v>74</v>
      </c>
      <c r="V600" s="1" t="s">
        <v>5778</v>
      </c>
      <c r="W600" s="1" t="s">
        <v>74</v>
      </c>
      <c r="X600" s="1" t="s">
        <v>74</v>
      </c>
      <c r="Y600" s="1" t="s">
        <v>74</v>
      </c>
      <c r="Z600" s="1" t="s">
        <v>74</v>
      </c>
      <c r="AA600" s="1" t="s">
        <v>74</v>
      </c>
      <c r="AB600" s="1" t="s">
        <v>74</v>
      </c>
      <c r="AC600" s="1" t="s">
        <v>74</v>
      </c>
      <c r="AD600" s="1" t="s">
        <v>74</v>
      </c>
      <c r="AE600" s="1" t="s">
        <v>74</v>
      </c>
      <c r="AF600" s="1" t="s">
        <v>74</v>
      </c>
      <c r="AG600" s="1" t="s">
        <v>74</v>
      </c>
      <c r="AH600" s="1" t="s">
        <v>74</v>
      </c>
      <c r="AI600" s="1" t="s">
        <v>74</v>
      </c>
      <c r="AJ600" s="1" t="s">
        <v>74</v>
      </c>
      <c r="AK600" s="1" t="s">
        <v>74</v>
      </c>
      <c r="AL600" s="1" t="s">
        <v>74</v>
      </c>
      <c r="AM600" s="1" t="s">
        <v>74</v>
      </c>
      <c r="AN600" s="1" t="s">
        <v>74</v>
      </c>
      <c r="AO600" s="1" t="s">
        <v>5779</v>
      </c>
      <c r="AP600" s="1" t="s">
        <v>74</v>
      </c>
      <c r="AQ600" s="1" t="s">
        <v>74</v>
      </c>
      <c r="AR600" s="1" t="s">
        <v>74</v>
      </c>
      <c r="AS600" s="1" t="s">
        <v>74</v>
      </c>
      <c r="AT600" s="1" t="s">
        <v>5780</v>
      </c>
      <c r="AU600" s="1">
        <v>2002.0</v>
      </c>
      <c r="AV600" s="1">
        <v>2.0</v>
      </c>
      <c r="AW600" s="1">
        <v>1.0</v>
      </c>
      <c r="AX600" s="1" t="s">
        <v>74</v>
      </c>
      <c r="AY600" s="1" t="s">
        <v>74</v>
      </c>
      <c r="AZ600" s="1" t="s">
        <v>74</v>
      </c>
      <c r="BA600" s="1" t="s">
        <v>74</v>
      </c>
      <c r="BB600" s="1">
        <v>24.0</v>
      </c>
      <c r="BC600" s="1">
        <v>32.0</v>
      </c>
      <c r="BD600" s="1" t="s">
        <v>74</v>
      </c>
      <c r="BE600" s="1" t="s">
        <v>5781</v>
      </c>
      <c r="BF600" s="2" t="str">
        <f>HYPERLINK("http://dx.doi.org/10.1002/1616-5195(20020101)2:1&lt;24::AID-MABI24&gt;3.0.CO;2-6","http://dx.doi.org/10.1002/1616-5195(20020101)2:1&lt;24::AID-MABI24&gt;3.0.CO;2-6")</f>
        <v>http://dx.doi.org/10.1002/1616-5195(20020101)2:1&lt;24::AID-MABI24&gt;3.0.CO;2-6</v>
      </c>
      <c r="BG600" s="1" t="s">
        <v>74</v>
      </c>
      <c r="BH600" s="1" t="s">
        <v>74</v>
      </c>
      <c r="BI600" s="1" t="s">
        <v>74</v>
      </c>
      <c r="BJ600" s="1" t="s">
        <v>74</v>
      </c>
      <c r="BK600" s="1" t="s">
        <v>74</v>
      </c>
      <c r="BL600" s="1" t="s">
        <v>74</v>
      </c>
      <c r="BM600" s="1" t="s">
        <v>74</v>
      </c>
      <c r="BN600" s="1" t="s">
        <v>74</v>
      </c>
      <c r="BO600" s="1" t="s">
        <v>74</v>
      </c>
      <c r="BP600" s="1" t="s">
        <v>74</v>
      </c>
      <c r="BQ600" s="1" t="s">
        <v>74</v>
      </c>
      <c r="BR600" s="1" t="s">
        <v>74</v>
      </c>
      <c r="BS600" s="1" t="s">
        <v>5782</v>
      </c>
      <c r="BT600" s="1" t="str">
        <f>HYPERLINK("https%3A%2F%2Fwww.webofscience.com%2Fwos%2Fwoscc%2Ffull-record%2FWOS:000173936900003","View Full Record in Web of Science")</f>
        <v>View Full Record in Web of Science</v>
      </c>
    </row>
    <row r="601" ht="12.75" customHeight="1">
      <c r="A601" s="1" t="s">
        <v>72</v>
      </c>
      <c r="B601" s="1" t="s">
        <v>5783</v>
      </c>
      <c r="C601" s="1" t="s">
        <v>74</v>
      </c>
      <c r="D601" s="1" t="s">
        <v>74</v>
      </c>
      <c r="E601" s="1" t="s">
        <v>74</v>
      </c>
      <c r="F601" s="1" t="s">
        <v>5783</v>
      </c>
      <c r="G601" s="1" t="s">
        <v>74</v>
      </c>
      <c r="H601" s="1" t="s">
        <v>74</v>
      </c>
      <c r="I601" s="1" t="s">
        <v>5784</v>
      </c>
      <c r="J601" s="1" t="s">
        <v>5785</v>
      </c>
      <c r="K601" s="1" t="s">
        <v>74</v>
      </c>
      <c r="L601" s="1" t="s">
        <v>74</v>
      </c>
      <c r="M601" s="1" t="s">
        <v>74</v>
      </c>
      <c r="N601" s="1" t="s">
        <v>74</v>
      </c>
      <c r="O601" s="1" t="s">
        <v>74</v>
      </c>
      <c r="P601" s="1" t="s">
        <v>74</v>
      </c>
      <c r="Q601" s="1" t="s">
        <v>74</v>
      </c>
      <c r="R601" s="1" t="s">
        <v>74</v>
      </c>
      <c r="S601" s="1" t="s">
        <v>74</v>
      </c>
      <c r="T601" s="1" t="s">
        <v>74</v>
      </c>
      <c r="U601" s="1" t="s">
        <v>74</v>
      </c>
      <c r="V601" s="1" t="s">
        <v>5786</v>
      </c>
      <c r="W601" s="1" t="s">
        <v>74</v>
      </c>
      <c r="X601" s="1" t="s">
        <v>74</v>
      </c>
      <c r="Y601" s="1" t="s">
        <v>74</v>
      </c>
      <c r="Z601" s="1" t="s">
        <v>74</v>
      </c>
      <c r="AA601" s="1" t="s">
        <v>74</v>
      </c>
      <c r="AB601" s="1" t="s">
        <v>74</v>
      </c>
      <c r="AC601" s="1" t="s">
        <v>74</v>
      </c>
      <c r="AD601" s="1" t="s">
        <v>74</v>
      </c>
      <c r="AE601" s="1" t="s">
        <v>74</v>
      </c>
      <c r="AF601" s="1" t="s">
        <v>74</v>
      </c>
      <c r="AG601" s="1" t="s">
        <v>74</v>
      </c>
      <c r="AH601" s="1" t="s">
        <v>74</v>
      </c>
      <c r="AI601" s="1" t="s">
        <v>74</v>
      </c>
      <c r="AJ601" s="1" t="s">
        <v>74</v>
      </c>
      <c r="AK601" s="1" t="s">
        <v>74</v>
      </c>
      <c r="AL601" s="1" t="s">
        <v>74</v>
      </c>
      <c r="AM601" s="1" t="s">
        <v>74</v>
      </c>
      <c r="AN601" s="1" t="s">
        <v>74</v>
      </c>
      <c r="AO601" s="1" t="s">
        <v>5787</v>
      </c>
      <c r="AP601" s="1" t="s">
        <v>5788</v>
      </c>
      <c r="AQ601" s="1" t="s">
        <v>74</v>
      </c>
      <c r="AR601" s="1" t="s">
        <v>74</v>
      </c>
      <c r="AS601" s="1" t="s">
        <v>74</v>
      </c>
      <c r="AT601" s="1" t="s">
        <v>74</v>
      </c>
      <c r="AU601" s="1">
        <v>2001.0</v>
      </c>
      <c r="AV601" s="1">
        <v>34.0</v>
      </c>
      <c r="AW601" s="1">
        <v>1.0</v>
      </c>
      <c r="AX601" s="1" t="s">
        <v>74</v>
      </c>
      <c r="AY601" s="1" t="s">
        <v>74</v>
      </c>
      <c r="AZ601" s="1" t="s">
        <v>74</v>
      </c>
      <c r="BA601" s="1" t="s">
        <v>74</v>
      </c>
      <c r="BB601" s="1">
        <v>17.0</v>
      </c>
      <c r="BC601" s="1">
        <v>31.0</v>
      </c>
      <c r="BD601" s="1" t="s">
        <v>74</v>
      </c>
      <c r="BE601" s="1" t="s">
        <v>5789</v>
      </c>
      <c r="BF601" s="2" t="str">
        <f>HYPERLINK("http://dx.doi.org/10.1080/10715760100300031","http://dx.doi.org/10.1080/10715760100300031")</f>
        <v>http://dx.doi.org/10.1080/10715760100300031</v>
      </c>
      <c r="BG601" s="1" t="s">
        <v>74</v>
      </c>
      <c r="BH601" s="1" t="s">
        <v>74</v>
      </c>
      <c r="BI601" s="1" t="s">
        <v>74</v>
      </c>
      <c r="BJ601" s="1" t="s">
        <v>74</v>
      </c>
      <c r="BK601" s="1" t="s">
        <v>74</v>
      </c>
      <c r="BL601" s="1" t="s">
        <v>74</v>
      </c>
      <c r="BM601" s="1" t="s">
        <v>74</v>
      </c>
      <c r="BN601" s="1">
        <v>1.1234993E7</v>
      </c>
      <c r="BO601" s="1" t="s">
        <v>74</v>
      </c>
      <c r="BP601" s="1" t="s">
        <v>74</v>
      </c>
      <c r="BQ601" s="1" t="s">
        <v>74</v>
      </c>
      <c r="BR601" s="1" t="s">
        <v>74</v>
      </c>
      <c r="BS601" s="1" t="s">
        <v>5790</v>
      </c>
      <c r="BT601" s="1" t="str">
        <f>HYPERLINK("https%3A%2F%2Fwww.webofscience.com%2Fwos%2Fwoscc%2Ffull-record%2FWOS:000167208300003","View Full Record in Web of Science")</f>
        <v>View Full Record in Web of Science</v>
      </c>
    </row>
    <row r="602" ht="12.75" customHeight="1">
      <c r="A602" s="1" t="s">
        <v>72</v>
      </c>
      <c r="B602" s="1" t="s">
        <v>5791</v>
      </c>
      <c r="C602" s="1" t="s">
        <v>74</v>
      </c>
      <c r="D602" s="1" t="s">
        <v>74</v>
      </c>
      <c r="E602" s="1" t="s">
        <v>74</v>
      </c>
      <c r="F602" s="1" t="s">
        <v>5791</v>
      </c>
      <c r="G602" s="1" t="s">
        <v>74</v>
      </c>
      <c r="H602" s="1" t="s">
        <v>74</v>
      </c>
      <c r="I602" s="1" t="s">
        <v>5792</v>
      </c>
      <c r="J602" s="1" t="s">
        <v>5793</v>
      </c>
      <c r="K602" s="1" t="s">
        <v>74</v>
      </c>
      <c r="L602" s="1" t="s">
        <v>74</v>
      </c>
      <c r="M602" s="1" t="s">
        <v>74</v>
      </c>
      <c r="N602" s="1" t="s">
        <v>74</v>
      </c>
      <c r="O602" s="1" t="s">
        <v>74</v>
      </c>
      <c r="P602" s="1" t="s">
        <v>74</v>
      </c>
      <c r="Q602" s="1" t="s">
        <v>74</v>
      </c>
      <c r="R602" s="1" t="s">
        <v>74</v>
      </c>
      <c r="S602" s="1" t="s">
        <v>74</v>
      </c>
      <c r="T602" s="1" t="s">
        <v>74</v>
      </c>
      <c r="U602" s="1" t="s">
        <v>74</v>
      </c>
      <c r="V602" s="1" t="s">
        <v>5794</v>
      </c>
      <c r="W602" s="1" t="s">
        <v>74</v>
      </c>
      <c r="X602" s="1" t="s">
        <v>74</v>
      </c>
      <c r="Y602" s="1" t="s">
        <v>74</v>
      </c>
      <c r="Z602" s="1" t="s">
        <v>74</v>
      </c>
      <c r="AA602" s="1" t="s">
        <v>5795</v>
      </c>
      <c r="AB602" s="1" t="s">
        <v>74</v>
      </c>
      <c r="AC602" s="1" t="s">
        <v>74</v>
      </c>
      <c r="AD602" s="1" t="s">
        <v>74</v>
      </c>
      <c r="AE602" s="1" t="s">
        <v>74</v>
      </c>
      <c r="AF602" s="1" t="s">
        <v>74</v>
      </c>
      <c r="AG602" s="1" t="s">
        <v>74</v>
      </c>
      <c r="AH602" s="1" t="s">
        <v>74</v>
      </c>
      <c r="AI602" s="1" t="s">
        <v>74</v>
      </c>
      <c r="AJ602" s="1" t="s">
        <v>74</v>
      </c>
      <c r="AK602" s="1" t="s">
        <v>74</v>
      </c>
      <c r="AL602" s="1" t="s">
        <v>74</v>
      </c>
      <c r="AM602" s="1" t="s">
        <v>74</v>
      </c>
      <c r="AN602" s="1" t="s">
        <v>74</v>
      </c>
      <c r="AO602" s="1" t="s">
        <v>5796</v>
      </c>
      <c r="AP602" s="1" t="s">
        <v>74</v>
      </c>
      <c r="AQ602" s="1" t="s">
        <v>74</v>
      </c>
      <c r="AR602" s="1" t="s">
        <v>74</v>
      </c>
      <c r="AS602" s="1" t="s">
        <v>74</v>
      </c>
      <c r="AT602" s="1" t="s">
        <v>459</v>
      </c>
      <c r="AU602" s="1">
        <v>1998.0</v>
      </c>
      <c r="AV602" s="1">
        <v>206.0</v>
      </c>
      <c r="AW602" s="1">
        <v>1.0</v>
      </c>
      <c r="AX602" s="1" t="s">
        <v>74</v>
      </c>
      <c r="AY602" s="1" t="s">
        <v>74</v>
      </c>
      <c r="AZ602" s="1" t="s">
        <v>74</v>
      </c>
      <c r="BA602" s="1" t="s">
        <v>74</v>
      </c>
      <c r="BB602" s="1">
        <v>146.0</v>
      </c>
      <c r="BC602" s="1">
        <v>153.0</v>
      </c>
      <c r="BD602" s="1" t="s">
        <v>74</v>
      </c>
      <c r="BE602" s="1" t="s">
        <v>5797</v>
      </c>
      <c r="BF602" s="2" t="str">
        <f>HYPERLINK("http://dx.doi.org/10.1007/s004250050385","http://dx.doi.org/10.1007/s004250050385")</f>
        <v>http://dx.doi.org/10.1007/s004250050385</v>
      </c>
      <c r="BG602" s="1" t="s">
        <v>74</v>
      </c>
      <c r="BH602" s="1" t="s">
        <v>74</v>
      </c>
      <c r="BI602" s="1" t="s">
        <v>74</v>
      </c>
      <c r="BJ602" s="1" t="s">
        <v>74</v>
      </c>
      <c r="BK602" s="1" t="s">
        <v>74</v>
      </c>
      <c r="BL602" s="1" t="s">
        <v>74</v>
      </c>
      <c r="BM602" s="1" t="s">
        <v>74</v>
      </c>
      <c r="BN602" s="1" t="s">
        <v>74</v>
      </c>
      <c r="BO602" s="1" t="s">
        <v>74</v>
      </c>
      <c r="BP602" s="1" t="s">
        <v>74</v>
      </c>
      <c r="BQ602" s="1" t="s">
        <v>74</v>
      </c>
      <c r="BR602" s="1" t="s">
        <v>74</v>
      </c>
      <c r="BS602" s="1" t="s">
        <v>5798</v>
      </c>
      <c r="BT602" s="1" t="str">
        <f>HYPERLINK("https%3A%2F%2Fwww.webofscience.com%2Fwos%2Fwoscc%2Ffull-record%2FWOS:000075123900019","View Full Record in Web of Science")</f>
        <v>View Full Record in Web of Science</v>
      </c>
    </row>
    <row r="603" ht="12.75" customHeight="1">
      <c r="A603" s="1" t="s">
        <v>72</v>
      </c>
      <c r="B603" s="1" t="s">
        <v>5799</v>
      </c>
      <c r="C603" s="1" t="s">
        <v>74</v>
      </c>
      <c r="D603" s="1" t="s">
        <v>74</v>
      </c>
      <c r="E603" s="1" t="s">
        <v>74</v>
      </c>
      <c r="F603" s="1" t="s">
        <v>5799</v>
      </c>
      <c r="G603" s="1" t="s">
        <v>74</v>
      </c>
      <c r="H603" s="1" t="s">
        <v>74</v>
      </c>
      <c r="I603" s="1" t="s">
        <v>5800</v>
      </c>
      <c r="J603" s="1" t="s">
        <v>5801</v>
      </c>
      <c r="K603" s="1" t="s">
        <v>74</v>
      </c>
      <c r="L603" s="1" t="s">
        <v>74</v>
      </c>
      <c r="M603" s="1" t="s">
        <v>74</v>
      </c>
      <c r="N603" s="1" t="s">
        <v>74</v>
      </c>
      <c r="O603" s="1" t="s">
        <v>74</v>
      </c>
      <c r="P603" s="1" t="s">
        <v>74</v>
      </c>
      <c r="Q603" s="1" t="s">
        <v>74</v>
      </c>
      <c r="R603" s="1" t="s">
        <v>74</v>
      </c>
      <c r="S603" s="1" t="s">
        <v>74</v>
      </c>
      <c r="T603" s="1" t="s">
        <v>74</v>
      </c>
      <c r="U603" s="1" t="s">
        <v>74</v>
      </c>
      <c r="V603" s="1" t="s">
        <v>5802</v>
      </c>
      <c r="W603" s="1" t="s">
        <v>74</v>
      </c>
      <c r="X603" s="1" t="s">
        <v>74</v>
      </c>
      <c r="Y603" s="1" t="s">
        <v>74</v>
      </c>
      <c r="Z603" s="1" t="s">
        <v>74</v>
      </c>
      <c r="AA603" s="1" t="s">
        <v>5803</v>
      </c>
      <c r="AB603" s="1" t="s">
        <v>5804</v>
      </c>
      <c r="AC603" s="1" t="s">
        <v>74</v>
      </c>
      <c r="AD603" s="1" t="s">
        <v>74</v>
      </c>
      <c r="AE603" s="1" t="s">
        <v>74</v>
      </c>
      <c r="AF603" s="1" t="s">
        <v>74</v>
      </c>
      <c r="AG603" s="1" t="s">
        <v>74</v>
      </c>
      <c r="AH603" s="1" t="s">
        <v>74</v>
      </c>
      <c r="AI603" s="1" t="s">
        <v>74</v>
      </c>
      <c r="AJ603" s="1" t="s">
        <v>74</v>
      </c>
      <c r="AK603" s="1" t="s">
        <v>74</v>
      </c>
      <c r="AL603" s="1" t="s">
        <v>74</v>
      </c>
      <c r="AM603" s="1" t="s">
        <v>74</v>
      </c>
      <c r="AN603" s="1" t="s">
        <v>74</v>
      </c>
      <c r="AO603" s="1" t="s">
        <v>5805</v>
      </c>
      <c r="AP603" s="1" t="s">
        <v>5806</v>
      </c>
      <c r="AQ603" s="1" t="s">
        <v>74</v>
      </c>
      <c r="AR603" s="1" t="s">
        <v>74</v>
      </c>
      <c r="AS603" s="1" t="s">
        <v>74</v>
      </c>
      <c r="AT603" s="1" t="s">
        <v>123</v>
      </c>
      <c r="AU603" s="1">
        <v>1994.0</v>
      </c>
      <c r="AV603" s="1">
        <v>26.0</v>
      </c>
      <c r="AW603" s="1">
        <v>4.0</v>
      </c>
      <c r="AX603" s="1" t="s">
        <v>74</v>
      </c>
      <c r="AY603" s="1" t="s">
        <v>74</v>
      </c>
      <c r="AZ603" s="1" t="s">
        <v>74</v>
      </c>
      <c r="BA603" s="1" t="s">
        <v>74</v>
      </c>
      <c r="BB603" s="1">
        <v>364.0</v>
      </c>
      <c r="BC603" s="1">
        <v>368.0</v>
      </c>
      <c r="BD603" s="1" t="s">
        <v>74</v>
      </c>
      <c r="BE603" s="1" t="s">
        <v>5807</v>
      </c>
      <c r="BF603" s="2" t="str">
        <f>HYPERLINK("http://dx.doi.org/10.1007/BF00310502","http://dx.doi.org/10.1007/BF00310502")</f>
        <v>http://dx.doi.org/10.1007/BF00310502</v>
      </c>
      <c r="BG603" s="1" t="s">
        <v>74</v>
      </c>
      <c r="BH603" s="1" t="s">
        <v>74</v>
      </c>
      <c r="BI603" s="1" t="s">
        <v>74</v>
      </c>
      <c r="BJ603" s="1" t="s">
        <v>74</v>
      </c>
      <c r="BK603" s="1" t="s">
        <v>74</v>
      </c>
      <c r="BL603" s="1" t="s">
        <v>74</v>
      </c>
      <c r="BM603" s="1" t="s">
        <v>74</v>
      </c>
      <c r="BN603" s="1">
        <v>7882432.0</v>
      </c>
      <c r="BO603" s="1" t="s">
        <v>74</v>
      </c>
      <c r="BP603" s="1" t="s">
        <v>74</v>
      </c>
      <c r="BQ603" s="1" t="s">
        <v>74</v>
      </c>
      <c r="BR603" s="1" t="s">
        <v>74</v>
      </c>
      <c r="BS603" s="1" t="s">
        <v>5808</v>
      </c>
      <c r="BT603" s="1" t="str">
        <f>HYPERLINK("https%3A%2F%2Fwww.webofscience.com%2Fwos%2Fwoscc%2Ffull-record%2FWOS:A1994PJ45100012","View Full Record in Web of Science")</f>
        <v>View Full Record in Web of Science</v>
      </c>
    </row>
    <row r="604" ht="12.75" customHeight="1">
      <c r="A604" s="1" t="s">
        <v>72</v>
      </c>
      <c r="B604" s="1" t="s">
        <v>5809</v>
      </c>
      <c r="C604" s="1" t="s">
        <v>74</v>
      </c>
      <c r="D604" s="1" t="s">
        <v>74</v>
      </c>
      <c r="E604" s="1" t="s">
        <v>74</v>
      </c>
      <c r="F604" s="1" t="s">
        <v>5809</v>
      </c>
      <c r="G604" s="1" t="s">
        <v>74</v>
      </c>
      <c r="H604" s="1" t="s">
        <v>74</v>
      </c>
      <c r="I604" s="1" t="s">
        <v>5810</v>
      </c>
      <c r="J604" s="1" t="s">
        <v>1651</v>
      </c>
      <c r="K604" s="1" t="s">
        <v>74</v>
      </c>
      <c r="L604" s="1" t="s">
        <v>74</v>
      </c>
      <c r="M604" s="1" t="s">
        <v>74</v>
      </c>
      <c r="N604" s="1" t="s">
        <v>74</v>
      </c>
      <c r="O604" s="1" t="s">
        <v>74</v>
      </c>
      <c r="P604" s="1" t="s">
        <v>74</v>
      </c>
      <c r="Q604" s="1" t="s">
        <v>74</v>
      </c>
      <c r="R604" s="1" t="s">
        <v>74</v>
      </c>
      <c r="S604" s="1" t="s">
        <v>74</v>
      </c>
      <c r="T604" s="1" t="s">
        <v>74</v>
      </c>
      <c r="U604" s="1" t="s">
        <v>74</v>
      </c>
      <c r="V604" s="1" t="s">
        <v>5811</v>
      </c>
      <c r="W604" s="1" t="s">
        <v>74</v>
      </c>
      <c r="X604" s="1" t="s">
        <v>74</v>
      </c>
      <c r="Y604" s="1" t="s">
        <v>74</v>
      </c>
      <c r="Z604" s="1" t="s">
        <v>74</v>
      </c>
      <c r="AA604" s="1" t="s">
        <v>5812</v>
      </c>
      <c r="AB604" s="1" t="s">
        <v>74</v>
      </c>
      <c r="AC604" s="1" t="s">
        <v>74</v>
      </c>
      <c r="AD604" s="1" t="s">
        <v>74</v>
      </c>
      <c r="AE604" s="1" t="s">
        <v>74</v>
      </c>
      <c r="AF604" s="1" t="s">
        <v>74</v>
      </c>
      <c r="AG604" s="1" t="s">
        <v>74</v>
      </c>
      <c r="AH604" s="1" t="s">
        <v>74</v>
      </c>
      <c r="AI604" s="1" t="s">
        <v>74</v>
      </c>
      <c r="AJ604" s="1" t="s">
        <v>74</v>
      </c>
      <c r="AK604" s="1" t="s">
        <v>74</v>
      </c>
      <c r="AL604" s="1" t="s">
        <v>74</v>
      </c>
      <c r="AM604" s="1" t="s">
        <v>74</v>
      </c>
      <c r="AN604" s="1" t="s">
        <v>74</v>
      </c>
      <c r="AO604" s="1" t="s">
        <v>1653</v>
      </c>
      <c r="AP604" s="1" t="s">
        <v>74</v>
      </c>
      <c r="AQ604" s="1" t="s">
        <v>74</v>
      </c>
      <c r="AR604" s="1" t="s">
        <v>74</v>
      </c>
      <c r="AS604" s="1" t="s">
        <v>74</v>
      </c>
      <c r="AT604" s="1" t="s">
        <v>459</v>
      </c>
      <c r="AU604" s="1">
        <v>1993.0</v>
      </c>
      <c r="AV604" s="1">
        <v>38.0</v>
      </c>
      <c r="AW604" s="1">
        <v>3.0</v>
      </c>
      <c r="AX604" s="1" t="s">
        <v>74</v>
      </c>
      <c r="AY604" s="1" t="s">
        <v>74</v>
      </c>
      <c r="AZ604" s="1" t="s">
        <v>74</v>
      </c>
      <c r="BA604" s="1" t="s">
        <v>74</v>
      </c>
      <c r="BB604" s="1">
        <v>191.0</v>
      </c>
      <c r="BC604" s="1">
        <v>199.0</v>
      </c>
      <c r="BD604" s="1" t="s">
        <v>74</v>
      </c>
      <c r="BE604" s="1" t="s">
        <v>74</v>
      </c>
      <c r="BF604" s="1" t="s">
        <v>74</v>
      </c>
      <c r="BG604" s="1" t="s">
        <v>74</v>
      </c>
      <c r="BH604" s="1" t="s">
        <v>74</v>
      </c>
      <c r="BI604" s="1" t="s">
        <v>74</v>
      </c>
      <c r="BJ604" s="1" t="s">
        <v>74</v>
      </c>
      <c r="BK604" s="1" t="s">
        <v>74</v>
      </c>
      <c r="BL604" s="1" t="s">
        <v>74</v>
      </c>
      <c r="BM604" s="1" t="s">
        <v>74</v>
      </c>
      <c r="BN604" s="1" t="s">
        <v>74</v>
      </c>
      <c r="BO604" s="1" t="s">
        <v>74</v>
      </c>
      <c r="BP604" s="1" t="s">
        <v>74</v>
      </c>
      <c r="BQ604" s="1" t="s">
        <v>74</v>
      </c>
      <c r="BR604" s="1" t="s">
        <v>74</v>
      </c>
      <c r="BS604" s="1" t="s">
        <v>5813</v>
      </c>
      <c r="BT604" s="1" t="str">
        <f>HYPERLINK("https%3A%2F%2Fwww.webofscience.com%2Fwos%2Fwoscc%2Ffull-record%2FWOS:A1993MA21200007","View Full Record in Web of Science")</f>
        <v>View Full Record in Web of Science</v>
      </c>
    </row>
    <row r="605" ht="12.75" customHeight="1">
      <c r="A605" s="1" t="s">
        <v>72</v>
      </c>
      <c r="B605" s="1" t="s">
        <v>5814</v>
      </c>
      <c r="C605" s="1" t="s">
        <v>74</v>
      </c>
      <c r="D605" s="1" t="s">
        <v>74</v>
      </c>
      <c r="E605" s="1" t="s">
        <v>74</v>
      </c>
      <c r="F605" s="1" t="s">
        <v>5814</v>
      </c>
      <c r="G605" s="1" t="s">
        <v>74</v>
      </c>
      <c r="H605" s="1" t="s">
        <v>74</v>
      </c>
      <c r="I605" s="1" t="s">
        <v>5815</v>
      </c>
      <c r="J605" s="1" t="s">
        <v>345</v>
      </c>
      <c r="K605" s="1" t="s">
        <v>74</v>
      </c>
      <c r="L605" s="1" t="s">
        <v>74</v>
      </c>
      <c r="M605" s="1" t="s">
        <v>74</v>
      </c>
      <c r="N605" s="1" t="s">
        <v>74</v>
      </c>
      <c r="O605" s="1" t="s">
        <v>74</v>
      </c>
      <c r="P605" s="1" t="s">
        <v>74</v>
      </c>
      <c r="Q605" s="1" t="s">
        <v>74</v>
      </c>
      <c r="R605" s="1" t="s">
        <v>74</v>
      </c>
      <c r="S605" s="1" t="s">
        <v>74</v>
      </c>
      <c r="T605" s="1" t="s">
        <v>74</v>
      </c>
      <c r="U605" s="1" t="s">
        <v>74</v>
      </c>
      <c r="V605" s="1" t="s">
        <v>5816</v>
      </c>
      <c r="W605" s="1" t="s">
        <v>74</v>
      </c>
      <c r="X605" s="1" t="s">
        <v>74</v>
      </c>
      <c r="Y605" s="1" t="s">
        <v>74</v>
      </c>
      <c r="Z605" s="1" t="s">
        <v>74</v>
      </c>
      <c r="AA605" s="1" t="s">
        <v>74</v>
      </c>
      <c r="AB605" s="1" t="s">
        <v>74</v>
      </c>
      <c r="AC605" s="1" t="s">
        <v>74</v>
      </c>
      <c r="AD605" s="1" t="s">
        <v>74</v>
      </c>
      <c r="AE605" s="1" t="s">
        <v>74</v>
      </c>
      <c r="AF605" s="1" t="s">
        <v>74</v>
      </c>
      <c r="AG605" s="1" t="s">
        <v>74</v>
      </c>
      <c r="AH605" s="1" t="s">
        <v>74</v>
      </c>
      <c r="AI605" s="1" t="s">
        <v>74</v>
      </c>
      <c r="AJ605" s="1" t="s">
        <v>74</v>
      </c>
      <c r="AK605" s="1" t="s">
        <v>74</v>
      </c>
      <c r="AL605" s="1" t="s">
        <v>74</v>
      </c>
      <c r="AM605" s="1" t="s">
        <v>74</v>
      </c>
      <c r="AN605" s="1" t="s">
        <v>74</v>
      </c>
      <c r="AO605" s="1" t="s">
        <v>349</v>
      </c>
      <c r="AP605" s="1" t="s">
        <v>74</v>
      </c>
      <c r="AQ605" s="1" t="s">
        <v>74</v>
      </c>
      <c r="AR605" s="1" t="s">
        <v>74</v>
      </c>
      <c r="AS605" s="1" t="s">
        <v>74</v>
      </c>
      <c r="AT605" s="1" t="s">
        <v>123</v>
      </c>
      <c r="AU605" s="1">
        <v>1991.0</v>
      </c>
      <c r="AV605" s="1">
        <v>11.0</v>
      </c>
      <c r="AW605" s="1">
        <v>1.0</v>
      </c>
      <c r="AX605" s="1" t="s">
        <v>74</v>
      </c>
      <c r="AY605" s="1" t="s">
        <v>74</v>
      </c>
      <c r="AZ605" s="1" t="s">
        <v>74</v>
      </c>
      <c r="BA605" s="1" t="s">
        <v>74</v>
      </c>
      <c r="BB605" s="1">
        <v>57.0</v>
      </c>
      <c r="BC605" s="1">
        <v>68.0</v>
      </c>
      <c r="BD605" s="1" t="s">
        <v>74</v>
      </c>
      <c r="BE605" s="1" t="s">
        <v>5817</v>
      </c>
      <c r="BF605" s="2" t="str">
        <f>HYPERLINK("http://dx.doi.org/10.1016/1011-1344(91)80268-M","http://dx.doi.org/10.1016/1011-1344(91)80268-M")</f>
        <v>http://dx.doi.org/10.1016/1011-1344(91)80268-M</v>
      </c>
      <c r="BG605" s="1" t="s">
        <v>74</v>
      </c>
      <c r="BH605" s="1" t="s">
        <v>74</v>
      </c>
      <c r="BI605" s="1" t="s">
        <v>74</v>
      </c>
      <c r="BJ605" s="1" t="s">
        <v>74</v>
      </c>
      <c r="BK605" s="1" t="s">
        <v>74</v>
      </c>
      <c r="BL605" s="1" t="s">
        <v>74</v>
      </c>
      <c r="BM605" s="1" t="s">
        <v>74</v>
      </c>
      <c r="BN605" s="1">
        <v>1791494.0</v>
      </c>
      <c r="BO605" s="1" t="s">
        <v>74</v>
      </c>
      <c r="BP605" s="1" t="s">
        <v>74</v>
      </c>
      <c r="BQ605" s="1" t="s">
        <v>74</v>
      </c>
      <c r="BR605" s="1" t="s">
        <v>74</v>
      </c>
      <c r="BS605" s="1" t="s">
        <v>5818</v>
      </c>
      <c r="BT605" s="1" t="str">
        <f>HYPERLINK("https%3A%2F%2Fwww.webofscience.com%2Fwos%2Fwoscc%2Ffull-record%2FWOS:A1991GH23600005","View Full Record in Web of Science")</f>
        <v>View Full Record in Web of Science</v>
      </c>
    </row>
    <row r="606" ht="12.75" customHeight="1">
      <c r="A606" s="1" t="s">
        <v>72</v>
      </c>
      <c r="B606" s="1" t="s">
        <v>5819</v>
      </c>
      <c r="C606" s="1" t="s">
        <v>74</v>
      </c>
      <c r="D606" s="1" t="s">
        <v>74</v>
      </c>
      <c r="E606" s="1" t="s">
        <v>74</v>
      </c>
      <c r="F606" s="1" t="s">
        <v>5819</v>
      </c>
      <c r="G606" s="1" t="s">
        <v>74</v>
      </c>
      <c r="H606" s="1" t="s">
        <v>74</v>
      </c>
      <c r="I606" s="1" t="s">
        <v>5820</v>
      </c>
      <c r="J606" s="1" t="s">
        <v>856</v>
      </c>
      <c r="K606" s="1" t="s">
        <v>74</v>
      </c>
      <c r="L606" s="1" t="s">
        <v>74</v>
      </c>
      <c r="M606" s="1" t="s">
        <v>74</v>
      </c>
      <c r="N606" s="1" t="s">
        <v>74</v>
      </c>
      <c r="O606" s="1" t="s">
        <v>74</v>
      </c>
      <c r="P606" s="1" t="s">
        <v>74</v>
      </c>
      <c r="Q606" s="1" t="s">
        <v>74</v>
      </c>
      <c r="R606" s="1" t="s">
        <v>74</v>
      </c>
      <c r="S606" s="1" t="s">
        <v>74</v>
      </c>
      <c r="T606" s="1" t="s">
        <v>74</v>
      </c>
      <c r="U606" s="1" t="s">
        <v>74</v>
      </c>
      <c r="V606" s="1" t="s">
        <v>74</v>
      </c>
      <c r="W606" s="1" t="s">
        <v>74</v>
      </c>
      <c r="X606" s="1" t="s">
        <v>74</v>
      </c>
      <c r="Y606" s="1" t="s">
        <v>74</v>
      </c>
      <c r="Z606" s="1" t="s">
        <v>74</v>
      </c>
      <c r="AA606" s="1" t="s">
        <v>5821</v>
      </c>
      <c r="AB606" s="1" t="s">
        <v>5822</v>
      </c>
      <c r="AC606" s="1" t="s">
        <v>74</v>
      </c>
      <c r="AD606" s="1" t="s">
        <v>74</v>
      </c>
      <c r="AE606" s="1" t="s">
        <v>74</v>
      </c>
      <c r="AF606" s="1" t="s">
        <v>74</v>
      </c>
      <c r="AG606" s="1" t="s">
        <v>74</v>
      </c>
      <c r="AH606" s="1" t="s">
        <v>74</v>
      </c>
      <c r="AI606" s="1" t="s">
        <v>74</v>
      </c>
      <c r="AJ606" s="1" t="s">
        <v>74</v>
      </c>
      <c r="AK606" s="1" t="s">
        <v>74</v>
      </c>
      <c r="AL606" s="1" t="s">
        <v>74</v>
      </c>
      <c r="AM606" s="1" t="s">
        <v>74</v>
      </c>
      <c r="AN606" s="1" t="s">
        <v>74</v>
      </c>
      <c r="AO606" s="1" t="s">
        <v>860</v>
      </c>
      <c r="AP606" s="1" t="s">
        <v>74</v>
      </c>
      <c r="AQ606" s="1" t="s">
        <v>74</v>
      </c>
      <c r="AR606" s="1" t="s">
        <v>74</v>
      </c>
      <c r="AS606" s="1" t="s">
        <v>74</v>
      </c>
      <c r="AT606" s="1" t="s">
        <v>4438</v>
      </c>
      <c r="AU606" s="1">
        <v>1990.0</v>
      </c>
      <c r="AV606" s="1">
        <v>135.0</v>
      </c>
      <c r="AW606" s="1">
        <v>1.0</v>
      </c>
      <c r="AX606" s="1" t="s">
        <v>74</v>
      </c>
      <c r="AY606" s="1" t="s">
        <v>74</v>
      </c>
      <c r="AZ606" s="1" t="s">
        <v>74</v>
      </c>
      <c r="BA606" s="1" t="s">
        <v>74</v>
      </c>
      <c r="BB606" s="1">
        <v>238.0</v>
      </c>
      <c r="BC606" s="1">
        <v>245.0</v>
      </c>
      <c r="BD606" s="1" t="s">
        <v>74</v>
      </c>
      <c r="BE606" s="1" t="s">
        <v>5823</v>
      </c>
      <c r="BF606" s="2" t="str">
        <f>HYPERLINK("http://dx.doi.org/10.1016/0021-9797(90)90304-7","http://dx.doi.org/10.1016/0021-9797(90)90304-7")</f>
        <v>http://dx.doi.org/10.1016/0021-9797(90)90304-7</v>
      </c>
      <c r="BG606" s="1" t="s">
        <v>74</v>
      </c>
      <c r="BH606" s="1" t="s">
        <v>74</v>
      </c>
      <c r="BI606" s="1" t="s">
        <v>74</v>
      </c>
      <c r="BJ606" s="1" t="s">
        <v>74</v>
      </c>
      <c r="BK606" s="1" t="s">
        <v>74</v>
      </c>
      <c r="BL606" s="1" t="s">
        <v>74</v>
      </c>
      <c r="BM606" s="1" t="s">
        <v>74</v>
      </c>
      <c r="BN606" s="1" t="s">
        <v>74</v>
      </c>
      <c r="BO606" s="1" t="s">
        <v>74</v>
      </c>
      <c r="BP606" s="1" t="s">
        <v>74</v>
      </c>
      <c r="BQ606" s="1" t="s">
        <v>74</v>
      </c>
      <c r="BR606" s="1" t="s">
        <v>74</v>
      </c>
      <c r="BS606" s="1" t="s">
        <v>5824</v>
      </c>
      <c r="BT606" s="1" t="str">
        <f>HYPERLINK("https%3A%2F%2Fwww.webofscience.com%2Fwos%2Fwoscc%2Ffull-record%2FWOS:A1990CP32900023","View Full Record in Web of Science")</f>
        <v>View Full Record in Web of Science</v>
      </c>
    </row>
    <row r="607" ht="12.75" customHeight="1">
      <c r="A607" s="1" t="s">
        <v>72</v>
      </c>
      <c r="B607" s="1" t="s">
        <v>5825</v>
      </c>
      <c r="C607" s="1" t="s">
        <v>74</v>
      </c>
      <c r="D607" s="1" t="s">
        <v>74</v>
      </c>
      <c r="E607" s="1" t="s">
        <v>74</v>
      </c>
      <c r="F607" s="1" t="s">
        <v>5825</v>
      </c>
      <c r="G607" s="1" t="s">
        <v>74</v>
      </c>
      <c r="H607" s="1" t="s">
        <v>74</v>
      </c>
      <c r="I607" s="1" t="s">
        <v>5826</v>
      </c>
      <c r="J607" s="1" t="s">
        <v>1461</v>
      </c>
      <c r="K607" s="1" t="s">
        <v>74</v>
      </c>
      <c r="L607" s="1" t="s">
        <v>74</v>
      </c>
      <c r="M607" s="1" t="s">
        <v>74</v>
      </c>
      <c r="N607" s="1" t="s">
        <v>74</v>
      </c>
      <c r="O607" s="1" t="s">
        <v>74</v>
      </c>
      <c r="P607" s="1" t="s">
        <v>74</v>
      </c>
      <c r="Q607" s="1" t="s">
        <v>74</v>
      </c>
      <c r="R607" s="1" t="s">
        <v>74</v>
      </c>
      <c r="S607" s="1" t="s">
        <v>74</v>
      </c>
      <c r="T607" s="1" t="s">
        <v>74</v>
      </c>
      <c r="U607" s="1" t="s">
        <v>74</v>
      </c>
      <c r="V607" s="1" t="s">
        <v>5827</v>
      </c>
      <c r="W607" s="1" t="s">
        <v>74</v>
      </c>
      <c r="X607" s="1" t="s">
        <v>74</v>
      </c>
      <c r="Y607" s="1" t="s">
        <v>74</v>
      </c>
      <c r="Z607" s="1" t="s">
        <v>74</v>
      </c>
      <c r="AA607" s="1" t="s">
        <v>825</v>
      </c>
      <c r="AB607" s="1" t="s">
        <v>74</v>
      </c>
      <c r="AC607" s="1" t="s">
        <v>74</v>
      </c>
      <c r="AD607" s="1" t="s">
        <v>74</v>
      </c>
      <c r="AE607" s="1" t="s">
        <v>74</v>
      </c>
      <c r="AF607" s="1" t="s">
        <v>74</v>
      </c>
      <c r="AG607" s="1" t="s">
        <v>74</v>
      </c>
      <c r="AH607" s="1" t="s">
        <v>74</v>
      </c>
      <c r="AI607" s="1" t="s">
        <v>74</v>
      </c>
      <c r="AJ607" s="1" t="s">
        <v>74</v>
      </c>
      <c r="AK607" s="1" t="s">
        <v>74</v>
      </c>
      <c r="AL607" s="1" t="s">
        <v>74</v>
      </c>
      <c r="AM607" s="1" t="s">
        <v>74</v>
      </c>
      <c r="AN607" s="1" t="s">
        <v>74</v>
      </c>
      <c r="AO607" s="1" t="s">
        <v>1465</v>
      </c>
      <c r="AP607" s="1" t="s">
        <v>4397</v>
      </c>
      <c r="AQ607" s="1" t="s">
        <v>74</v>
      </c>
      <c r="AR607" s="1" t="s">
        <v>74</v>
      </c>
      <c r="AS607" s="1" t="s">
        <v>74</v>
      </c>
      <c r="AT607" s="1" t="s">
        <v>169</v>
      </c>
      <c r="AU607" s="1">
        <v>1990.0</v>
      </c>
      <c r="AV607" s="1">
        <v>51.0</v>
      </c>
      <c r="AW607" s="1">
        <v>1.0</v>
      </c>
      <c r="AX607" s="1" t="s">
        <v>74</v>
      </c>
      <c r="AY607" s="1" t="s">
        <v>74</v>
      </c>
      <c r="AZ607" s="1" t="s">
        <v>74</v>
      </c>
      <c r="BA607" s="1" t="s">
        <v>74</v>
      </c>
      <c r="BB607" s="1">
        <v>53.0</v>
      </c>
      <c r="BC607" s="1">
        <v>58.0</v>
      </c>
      <c r="BD607" s="1" t="s">
        <v>74</v>
      </c>
      <c r="BE607" s="1" t="s">
        <v>5828</v>
      </c>
      <c r="BF607" s="2" t="str">
        <f>HYPERLINK("http://dx.doi.org/10.1111/j.1751-1097.1990.tb01683.x","http://dx.doi.org/10.1111/j.1751-1097.1990.tb01683.x")</f>
        <v>http://dx.doi.org/10.1111/j.1751-1097.1990.tb01683.x</v>
      </c>
      <c r="BG607" s="1" t="s">
        <v>74</v>
      </c>
      <c r="BH607" s="1" t="s">
        <v>74</v>
      </c>
      <c r="BI607" s="1" t="s">
        <v>74</v>
      </c>
      <c r="BJ607" s="1" t="s">
        <v>74</v>
      </c>
      <c r="BK607" s="1" t="s">
        <v>74</v>
      </c>
      <c r="BL607" s="1" t="s">
        <v>74</v>
      </c>
      <c r="BM607" s="1" t="s">
        <v>74</v>
      </c>
      <c r="BN607" s="1" t="s">
        <v>74</v>
      </c>
      <c r="BO607" s="1" t="s">
        <v>74</v>
      </c>
      <c r="BP607" s="1" t="s">
        <v>74</v>
      </c>
      <c r="BQ607" s="1" t="s">
        <v>74</v>
      </c>
      <c r="BR607" s="1" t="s">
        <v>74</v>
      </c>
      <c r="BS607" s="1" t="s">
        <v>5829</v>
      </c>
      <c r="BT607" s="1" t="str">
        <f>HYPERLINK("https%3A%2F%2Fwww.webofscience.com%2Fwos%2Fwoscc%2Ffull-record%2FWOS:A1990CJ61600007","View Full Record in Web of Science")</f>
        <v>View Full Record in Web of Science</v>
      </c>
    </row>
    <row r="608" ht="12.75" customHeight="1">
      <c r="A608" s="1" t="s">
        <v>72</v>
      </c>
      <c r="B608" s="1" t="s">
        <v>5830</v>
      </c>
      <c r="C608" s="1" t="s">
        <v>74</v>
      </c>
      <c r="D608" s="1" t="s">
        <v>74</v>
      </c>
      <c r="E608" s="1" t="s">
        <v>74</v>
      </c>
      <c r="F608" s="1" t="s">
        <v>5830</v>
      </c>
      <c r="G608" s="1" t="s">
        <v>74</v>
      </c>
      <c r="H608" s="1" t="s">
        <v>74</v>
      </c>
      <c r="I608" s="1" t="s">
        <v>5831</v>
      </c>
      <c r="J608" s="1" t="s">
        <v>622</v>
      </c>
      <c r="K608" s="1" t="s">
        <v>74</v>
      </c>
      <c r="L608" s="1" t="s">
        <v>74</v>
      </c>
      <c r="M608" s="1" t="s">
        <v>74</v>
      </c>
      <c r="N608" s="1" t="s">
        <v>74</v>
      </c>
      <c r="O608" s="1" t="s">
        <v>74</v>
      </c>
      <c r="P608" s="1" t="s">
        <v>74</v>
      </c>
      <c r="Q608" s="1" t="s">
        <v>74</v>
      </c>
      <c r="R608" s="1" t="s">
        <v>74</v>
      </c>
      <c r="S608" s="1" t="s">
        <v>74</v>
      </c>
      <c r="T608" s="1" t="s">
        <v>74</v>
      </c>
      <c r="U608" s="1" t="s">
        <v>74</v>
      </c>
      <c r="V608" s="1" t="s">
        <v>74</v>
      </c>
      <c r="W608" s="1" t="s">
        <v>74</v>
      </c>
      <c r="X608" s="1" t="s">
        <v>74</v>
      </c>
      <c r="Y608" s="1" t="s">
        <v>74</v>
      </c>
      <c r="Z608" s="1" t="s">
        <v>74</v>
      </c>
      <c r="AA608" s="1" t="s">
        <v>825</v>
      </c>
      <c r="AB608" s="1" t="s">
        <v>74</v>
      </c>
      <c r="AC608" s="1" t="s">
        <v>74</v>
      </c>
      <c r="AD608" s="1" t="s">
        <v>74</v>
      </c>
      <c r="AE608" s="1" t="s">
        <v>74</v>
      </c>
      <c r="AF608" s="1" t="s">
        <v>74</v>
      </c>
      <c r="AG608" s="1" t="s">
        <v>74</v>
      </c>
      <c r="AH608" s="1" t="s">
        <v>74</v>
      </c>
      <c r="AI608" s="1" t="s">
        <v>74</v>
      </c>
      <c r="AJ608" s="1" t="s">
        <v>74</v>
      </c>
      <c r="AK608" s="1" t="s">
        <v>74</v>
      </c>
      <c r="AL608" s="1" t="s">
        <v>74</v>
      </c>
      <c r="AM608" s="1" t="s">
        <v>74</v>
      </c>
      <c r="AN608" s="1" t="s">
        <v>74</v>
      </c>
      <c r="AO608" s="1" t="s">
        <v>626</v>
      </c>
      <c r="AP608" s="1" t="s">
        <v>74</v>
      </c>
      <c r="AQ608" s="1" t="s">
        <v>74</v>
      </c>
      <c r="AR608" s="1" t="s">
        <v>74</v>
      </c>
      <c r="AS608" s="1" t="s">
        <v>74</v>
      </c>
      <c r="AT608" s="1" t="s">
        <v>852</v>
      </c>
      <c r="AU608" s="1">
        <v>1989.0</v>
      </c>
      <c r="AV608" s="1">
        <v>5.0</v>
      </c>
      <c r="AW608" s="1">
        <v>3.0</v>
      </c>
      <c r="AX608" s="1" t="s">
        <v>74</v>
      </c>
      <c r="AY608" s="1" t="s">
        <v>74</v>
      </c>
      <c r="AZ608" s="1" t="s">
        <v>74</v>
      </c>
      <c r="BA608" s="1" t="s">
        <v>74</v>
      </c>
      <c r="BB608" s="1">
        <v>805.0</v>
      </c>
      <c r="BC608" s="1">
        <v>808.0</v>
      </c>
      <c r="BD608" s="1" t="s">
        <v>74</v>
      </c>
      <c r="BE608" s="1" t="s">
        <v>5832</v>
      </c>
      <c r="BF608" s="2" t="str">
        <f>HYPERLINK("http://dx.doi.org/10.1021/la00087a038","http://dx.doi.org/10.1021/la00087a038")</f>
        <v>http://dx.doi.org/10.1021/la00087a038</v>
      </c>
      <c r="BG608" s="1" t="s">
        <v>74</v>
      </c>
      <c r="BH608" s="1" t="s">
        <v>74</v>
      </c>
      <c r="BI608" s="1" t="s">
        <v>74</v>
      </c>
      <c r="BJ608" s="1" t="s">
        <v>74</v>
      </c>
      <c r="BK608" s="1" t="s">
        <v>74</v>
      </c>
      <c r="BL608" s="1" t="s">
        <v>74</v>
      </c>
      <c r="BM608" s="1" t="s">
        <v>74</v>
      </c>
      <c r="BN608" s="1" t="s">
        <v>74</v>
      </c>
      <c r="BO608" s="1" t="s">
        <v>74</v>
      </c>
      <c r="BP608" s="1" t="s">
        <v>74</v>
      </c>
      <c r="BQ608" s="1" t="s">
        <v>74</v>
      </c>
      <c r="BR608" s="1" t="s">
        <v>74</v>
      </c>
      <c r="BS608" s="1" t="s">
        <v>5833</v>
      </c>
      <c r="BT608" s="1" t="str">
        <f>HYPERLINK("https%3A%2F%2Fwww.webofscience.com%2Fwos%2Fwoscc%2Ffull-record%2FWOS:A1989U745300039","View Full Record in Web of Science")</f>
        <v>View Full Record in Web of Science</v>
      </c>
    </row>
    <row r="609" ht="12.75" customHeight="1">
      <c r="A609" s="1" t="s">
        <v>72</v>
      </c>
      <c r="B609" s="1" t="s">
        <v>5834</v>
      </c>
      <c r="C609" s="1" t="s">
        <v>74</v>
      </c>
      <c r="D609" s="1" t="s">
        <v>74</v>
      </c>
      <c r="E609" s="1" t="s">
        <v>74</v>
      </c>
      <c r="F609" s="1" t="s">
        <v>5834</v>
      </c>
      <c r="G609" s="1" t="s">
        <v>74</v>
      </c>
      <c r="H609" s="1" t="s">
        <v>74</v>
      </c>
      <c r="I609" s="1" t="s">
        <v>5835</v>
      </c>
      <c r="J609" s="1" t="s">
        <v>1526</v>
      </c>
      <c r="K609" s="1" t="s">
        <v>74</v>
      </c>
      <c r="L609" s="1" t="s">
        <v>74</v>
      </c>
      <c r="M609" s="1" t="s">
        <v>74</v>
      </c>
      <c r="N609" s="1" t="s">
        <v>74</v>
      </c>
      <c r="O609" s="1" t="s">
        <v>74</v>
      </c>
      <c r="P609" s="1" t="s">
        <v>74</v>
      </c>
      <c r="Q609" s="1" t="s">
        <v>74</v>
      </c>
      <c r="R609" s="1" t="s">
        <v>74</v>
      </c>
      <c r="S609" s="1" t="s">
        <v>74</v>
      </c>
      <c r="T609" s="1" t="s">
        <v>74</v>
      </c>
      <c r="U609" s="1" t="s">
        <v>74</v>
      </c>
      <c r="V609" s="1" t="s">
        <v>74</v>
      </c>
      <c r="W609" s="1" t="s">
        <v>74</v>
      </c>
      <c r="X609" s="1" t="s">
        <v>74</v>
      </c>
      <c r="Y609" s="1" t="s">
        <v>74</v>
      </c>
      <c r="Z609" s="1" t="s">
        <v>74</v>
      </c>
      <c r="AA609" s="1" t="s">
        <v>5836</v>
      </c>
      <c r="AB609" s="1" t="s">
        <v>74</v>
      </c>
      <c r="AC609" s="1" t="s">
        <v>74</v>
      </c>
      <c r="AD609" s="1" t="s">
        <v>74</v>
      </c>
      <c r="AE609" s="1" t="s">
        <v>74</v>
      </c>
      <c r="AF609" s="1" t="s">
        <v>74</v>
      </c>
      <c r="AG609" s="1" t="s">
        <v>74</v>
      </c>
      <c r="AH609" s="1" t="s">
        <v>74</v>
      </c>
      <c r="AI609" s="1" t="s">
        <v>74</v>
      </c>
      <c r="AJ609" s="1" t="s">
        <v>74</v>
      </c>
      <c r="AK609" s="1" t="s">
        <v>74</v>
      </c>
      <c r="AL609" s="1" t="s">
        <v>74</v>
      </c>
      <c r="AM609" s="1" t="s">
        <v>74</v>
      </c>
      <c r="AN609" s="1" t="s">
        <v>74</v>
      </c>
      <c r="AO609" s="1" t="s">
        <v>1529</v>
      </c>
      <c r="AP609" s="1" t="s">
        <v>74</v>
      </c>
      <c r="AQ609" s="1" t="s">
        <v>74</v>
      </c>
      <c r="AR609" s="1" t="s">
        <v>74</v>
      </c>
      <c r="AS609" s="1" t="s">
        <v>74</v>
      </c>
      <c r="AT609" s="1" t="s">
        <v>88</v>
      </c>
      <c r="AU609" s="1">
        <v>1989.0</v>
      </c>
      <c r="AV609" s="1">
        <v>21.0</v>
      </c>
      <c r="AW609" s="1">
        <v>4.0</v>
      </c>
      <c r="AX609" s="1" t="s">
        <v>74</v>
      </c>
      <c r="AY609" s="1" t="s">
        <v>74</v>
      </c>
      <c r="AZ609" s="1" t="s">
        <v>74</v>
      </c>
      <c r="BA609" s="1" t="s">
        <v>74</v>
      </c>
      <c r="BB609" s="1">
        <v>245.0</v>
      </c>
      <c r="BC609" s="1">
        <v>250.0</v>
      </c>
      <c r="BD609" s="1" t="s">
        <v>74</v>
      </c>
      <c r="BE609" s="1" t="s">
        <v>5837</v>
      </c>
      <c r="BF609" s="2" t="str">
        <f>HYPERLINK("http://dx.doi.org/10.1002/kin.550210404","http://dx.doi.org/10.1002/kin.550210404")</f>
        <v>http://dx.doi.org/10.1002/kin.550210404</v>
      </c>
      <c r="BG609" s="1" t="s">
        <v>74</v>
      </c>
      <c r="BH609" s="1" t="s">
        <v>74</v>
      </c>
      <c r="BI609" s="1" t="s">
        <v>74</v>
      </c>
      <c r="BJ609" s="1" t="s">
        <v>74</v>
      </c>
      <c r="BK609" s="1" t="s">
        <v>74</v>
      </c>
      <c r="BL609" s="1" t="s">
        <v>74</v>
      </c>
      <c r="BM609" s="1" t="s">
        <v>74</v>
      </c>
      <c r="BN609" s="1" t="s">
        <v>74</v>
      </c>
      <c r="BO609" s="1" t="s">
        <v>74</v>
      </c>
      <c r="BP609" s="1" t="s">
        <v>74</v>
      </c>
      <c r="BQ609" s="1" t="s">
        <v>74</v>
      </c>
      <c r="BR609" s="1" t="s">
        <v>74</v>
      </c>
      <c r="BS609" s="1" t="s">
        <v>5838</v>
      </c>
      <c r="BT609" s="1" t="str">
        <f>HYPERLINK("https%3A%2F%2Fwww.webofscience.com%2Fwos%2Fwoscc%2Ffull-record%2FWOS:A1989T696300003","View Full Record in Web of Science")</f>
        <v>View Full Record in Web of Science</v>
      </c>
    </row>
    <row r="610" ht="12.75" customHeight="1">
      <c r="A610" s="1" t="s">
        <v>72</v>
      </c>
      <c r="B610" s="1" t="s">
        <v>5839</v>
      </c>
      <c r="C610" s="1" t="s">
        <v>74</v>
      </c>
      <c r="D610" s="1" t="s">
        <v>74</v>
      </c>
      <c r="E610" s="1" t="s">
        <v>74</v>
      </c>
      <c r="F610" s="1" t="s">
        <v>5839</v>
      </c>
      <c r="G610" s="1" t="s">
        <v>74</v>
      </c>
      <c r="H610" s="1" t="s">
        <v>74</v>
      </c>
      <c r="I610" s="1" t="s">
        <v>5840</v>
      </c>
      <c r="J610" s="1" t="s">
        <v>5261</v>
      </c>
      <c r="K610" s="1" t="s">
        <v>74</v>
      </c>
      <c r="L610" s="1" t="s">
        <v>74</v>
      </c>
      <c r="M610" s="1" t="s">
        <v>74</v>
      </c>
      <c r="N610" s="1" t="s">
        <v>74</v>
      </c>
      <c r="O610" s="1" t="s">
        <v>74</v>
      </c>
      <c r="P610" s="1" t="s">
        <v>74</v>
      </c>
      <c r="Q610" s="1" t="s">
        <v>74</v>
      </c>
      <c r="R610" s="1" t="s">
        <v>74</v>
      </c>
      <c r="S610" s="1" t="s">
        <v>74</v>
      </c>
      <c r="T610" s="1" t="s">
        <v>74</v>
      </c>
      <c r="U610" s="1" t="s">
        <v>74</v>
      </c>
      <c r="V610" s="1" t="s">
        <v>74</v>
      </c>
      <c r="W610" s="1" t="s">
        <v>74</v>
      </c>
      <c r="X610" s="1" t="s">
        <v>74</v>
      </c>
      <c r="Y610" s="1" t="s">
        <v>74</v>
      </c>
      <c r="Z610" s="1" t="s">
        <v>74</v>
      </c>
      <c r="AA610" s="1" t="s">
        <v>74</v>
      </c>
      <c r="AB610" s="1" t="s">
        <v>74</v>
      </c>
      <c r="AC610" s="1" t="s">
        <v>74</v>
      </c>
      <c r="AD610" s="1" t="s">
        <v>74</v>
      </c>
      <c r="AE610" s="1" t="s">
        <v>74</v>
      </c>
      <c r="AF610" s="1" t="s">
        <v>74</v>
      </c>
      <c r="AG610" s="1" t="s">
        <v>74</v>
      </c>
      <c r="AH610" s="1" t="s">
        <v>74</v>
      </c>
      <c r="AI610" s="1" t="s">
        <v>74</v>
      </c>
      <c r="AJ610" s="1" t="s">
        <v>74</v>
      </c>
      <c r="AK610" s="1" t="s">
        <v>74</v>
      </c>
      <c r="AL610" s="1" t="s">
        <v>74</v>
      </c>
      <c r="AM610" s="1" t="s">
        <v>74</v>
      </c>
      <c r="AN610" s="1" t="s">
        <v>74</v>
      </c>
      <c r="AO610" s="1" t="s">
        <v>5264</v>
      </c>
      <c r="AP610" s="1" t="s">
        <v>74</v>
      </c>
      <c r="AQ610" s="1" t="s">
        <v>74</v>
      </c>
      <c r="AR610" s="1" t="s">
        <v>74</v>
      </c>
      <c r="AS610" s="1" t="s">
        <v>74</v>
      </c>
      <c r="AT610" s="1" t="s">
        <v>169</v>
      </c>
      <c r="AU610" s="1">
        <v>1987.0</v>
      </c>
      <c r="AV610" s="1">
        <v>15.0</v>
      </c>
      <c r="AW610" s="1">
        <v>1.0</v>
      </c>
      <c r="AX610" s="1" t="s">
        <v>74</v>
      </c>
      <c r="AY610" s="1" t="s">
        <v>74</v>
      </c>
      <c r="AZ610" s="1" t="s">
        <v>74</v>
      </c>
      <c r="BA610" s="1" t="s">
        <v>74</v>
      </c>
      <c r="BB610" s="1">
        <v>87.0</v>
      </c>
      <c r="BC610" s="1">
        <v>91.0</v>
      </c>
      <c r="BD610" s="1" t="s">
        <v>74</v>
      </c>
      <c r="BE610" s="1" t="s">
        <v>5841</v>
      </c>
      <c r="BF610" s="2" t="str">
        <f>HYPERLINK("http://dx.doi.org/10.1007/BF01442647","http://dx.doi.org/10.1007/BF01442647")</f>
        <v>http://dx.doi.org/10.1007/BF01442647</v>
      </c>
      <c r="BG610" s="1" t="s">
        <v>74</v>
      </c>
      <c r="BH610" s="1" t="s">
        <v>74</v>
      </c>
      <c r="BI610" s="1" t="s">
        <v>74</v>
      </c>
      <c r="BJ610" s="1" t="s">
        <v>74</v>
      </c>
      <c r="BK610" s="1" t="s">
        <v>74</v>
      </c>
      <c r="BL610" s="1" t="s">
        <v>74</v>
      </c>
      <c r="BM610" s="1" t="s">
        <v>74</v>
      </c>
      <c r="BN610" s="1" t="s">
        <v>74</v>
      </c>
      <c r="BO610" s="1" t="s">
        <v>74</v>
      </c>
      <c r="BP610" s="1" t="s">
        <v>74</v>
      </c>
      <c r="BQ610" s="1" t="s">
        <v>74</v>
      </c>
      <c r="BR610" s="1" t="s">
        <v>74</v>
      </c>
      <c r="BS610" s="1" t="s">
        <v>5842</v>
      </c>
      <c r="BT610" s="1" t="str">
        <f>HYPERLINK("https%3A%2F%2Fwww.webofscience.com%2Fwos%2Fwoscc%2Ffull-record%2FWOS:A1987F677300004","View Full Record in Web of Science")</f>
        <v>View Full Record in Web of Science</v>
      </c>
    </row>
    <row r="611" ht="12.75" customHeight="1">
      <c r="A611" s="1" t="s">
        <v>72</v>
      </c>
      <c r="B611" s="1" t="s">
        <v>5843</v>
      </c>
      <c r="C611" s="1" t="s">
        <v>74</v>
      </c>
      <c r="D611" s="1" t="s">
        <v>74</v>
      </c>
      <c r="E611" s="1" t="s">
        <v>74</v>
      </c>
      <c r="F611" s="1" t="s">
        <v>5843</v>
      </c>
      <c r="G611" s="1" t="s">
        <v>74</v>
      </c>
      <c r="H611" s="1" t="s">
        <v>74</v>
      </c>
      <c r="I611" s="1" t="s">
        <v>5844</v>
      </c>
      <c r="J611" s="1" t="s">
        <v>5845</v>
      </c>
      <c r="K611" s="1" t="s">
        <v>74</v>
      </c>
      <c r="L611" s="1" t="s">
        <v>74</v>
      </c>
      <c r="M611" s="1" t="s">
        <v>74</v>
      </c>
      <c r="N611" s="1" t="s">
        <v>74</v>
      </c>
      <c r="O611" s="1" t="s">
        <v>74</v>
      </c>
      <c r="P611" s="1" t="s">
        <v>74</v>
      </c>
      <c r="Q611" s="1" t="s">
        <v>74</v>
      </c>
      <c r="R611" s="1" t="s">
        <v>74</v>
      </c>
      <c r="S611" s="1" t="s">
        <v>74</v>
      </c>
      <c r="T611" s="1" t="s">
        <v>74</v>
      </c>
      <c r="U611" s="1" t="s">
        <v>74</v>
      </c>
      <c r="V611" s="1" t="s">
        <v>74</v>
      </c>
      <c r="W611" s="1" t="s">
        <v>74</v>
      </c>
      <c r="X611" s="1" t="s">
        <v>74</v>
      </c>
      <c r="Y611" s="1" t="s">
        <v>74</v>
      </c>
      <c r="Z611" s="1" t="s">
        <v>74</v>
      </c>
      <c r="AA611" s="1" t="s">
        <v>74</v>
      </c>
      <c r="AB611" s="1" t="s">
        <v>74</v>
      </c>
      <c r="AC611" s="1" t="s">
        <v>74</v>
      </c>
      <c r="AD611" s="1" t="s">
        <v>74</v>
      </c>
      <c r="AE611" s="1" t="s">
        <v>74</v>
      </c>
      <c r="AF611" s="1" t="s">
        <v>74</v>
      </c>
      <c r="AG611" s="1" t="s">
        <v>74</v>
      </c>
      <c r="AH611" s="1" t="s">
        <v>74</v>
      </c>
      <c r="AI611" s="1" t="s">
        <v>74</v>
      </c>
      <c r="AJ611" s="1" t="s">
        <v>74</v>
      </c>
      <c r="AK611" s="1" t="s">
        <v>74</v>
      </c>
      <c r="AL611" s="1" t="s">
        <v>74</v>
      </c>
      <c r="AM611" s="1" t="s">
        <v>74</v>
      </c>
      <c r="AN611" s="1" t="s">
        <v>74</v>
      </c>
      <c r="AO611" s="1" t="s">
        <v>5846</v>
      </c>
      <c r="AP611" s="1" t="s">
        <v>74</v>
      </c>
      <c r="AQ611" s="1" t="s">
        <v>74</v>
      </c>
      <c r="AR611" s="1" t="s">
        <v>74</v>
      </c>
      <c r="AS611" s="1" t="s">
        <v>74</v>
      </c>
      <c r="AT611" s="1" t="s">
        <v>459</v>
      </c>
      <c r="AU611" s="1">
        <v>1986.0</v>
      </c>
      <c r="AV611" s="1" t="s">
        <v>74</v>
      </c>
      <c r="AW611" s="1">
        <v>9.0</v>
      </c>
      <c r="AX611" s="1" t="s">
        <v>74</v>
      </c>
      <c r="AY611" s="1" t="s">
        <v>74</v>
      </c>
      <c r="AZ611" s="1" t="s">
        <v>74</v>
      </c>
      <c r="BA611" s="1" t="s">
        <v>74</v>
      </c>
      <c r="BB611" s="1">
        <v>760.0</v>
      </c>
      <c r="BC611" s="1">
        <v>761.0</v>
      </c>
      <c r="BD611" s="1" t="s">
        <v>74</v>
      </c>
      <c r="BE611" s="1" t="s">
        <v>74</v>
      </c>
      <c r="BF611" s="1" t="s">
        <v>74</v>
      </c>
      <c r="BG611" s="1" t="s">
        <v>74</v>
      </c>
      <c r="BH611" s="1" t="s">
        <v>74</v>
      </c>
      <c r="BI611" s="1" t="s">
        <v>74</v>
      </c>
      <c r="BJ611" s="1" t="s">
        <v>74</v>
      </c>
      <c r="BK611" s="1" t="s">
        <v>74</v>
      </c>
      <c r="BL611" s="1" t="s">
        <v>74</v>
      </c>
      <c r="BM611" s="1" t="s">
        <v>74</v>
      </c>
      <c r="BN611" s="1" t="s">
        <v>74</v>
      </c>
      <c r="BO611" s="1" t="s">
        <v>74</v>
      </c>
      <c r="BP611" s="1" t="s">
        <v>74</v>
      </c>
      <c r="BQ611" s="1" t="s">
        <v>74</v>
      </c>
      <c r="BR611" s="1" t="s">
        <v>74</v>
      </c>
      <c r="BS611" s="1" t="s">
        <v>5847</v>
      </c>
      <c r="BT611" s="1" t="str">
        <f>HYPERLINK("https%3A%2F%2Fwww.webofscience.com%2Fwos%2Fwoscc%2Ffull-record%2FWOS:A1986D928500016","View Full Record in Web of Science")</f>
        <v>View Full Record in Web of Science</v>
      </c>
    </row>
    <row r="612" ht="12.75" customHeight="1">
      <c r="A612" s="1" t="s">
        <v>72</v>
      </c>
      <c r="B612" s="1" t="s">
        <v>5848</v>
      </c>
      <c r="C612" s="1" t="s">
        <v>74</v>
      </c>
      <c r="D612" s="1" t="s">
        <v>74</v>
      </c>
      <c r="E612" s="1" t="s">
        <v>74</v>
      </c>
      <c r="F612" s="1" t="s">
        <v>5848</v>
      </c>
      <c r="G612" s="1" t="s">
        <v>74</v>
      </c>
      <c r="H612" s="1" t="s">
        <v>74</v>
      </c>
      <c r="I612" s="1" t="s">
        <v>5849</v>
      </c>
      <c r="J612" s="1" t="s">
        <v>5850</v>
      </c>
      <c r="K612" s="1" t="s">
        <v>74</v>
      </c>
      <c r="L612" s="1" t="s">
        <v>74</v>
      </c>
      <c r="M612" s="1" t="s">
        <v>74</v>
      </c>
      <c r="N612" s="1" t="s">
        <v>74</v>
      </c>
      <c r="O612" s="1" t="s">
        <v>74</v>
      </c>
      <c r="P612" s="1" t="s">
        <v>74</v>
      </c>
      <c r="Q612" s="1" t="s">
        <v>74</v>
      </c>
      <c r="R612" s="1" t="s">
        <v>74</v>
      </c>
      <c r="S612" s="1" t="s">
        <v>74</v>
      </c>
      <c r="T612" s="1" t="s">
        <v>74</v>
      </c>
      <c r="U612" s="1" t="s">
        <v>74</v>
      </c>
      <c r="V612" s="1" t="s">
        <v>74</v>
      </c>
      <c r="W612" s="1" t="s">
        <v>74</v>
      </c>
      <c r="X612" s="1" t="s">
        <v>74</v>
      </c>
      <c r="Y612" s="1" t="s">
        <v>74</v>
      </c>
      <c r="Z612" s="1" t="s">
        <v>74</v>
      </c>
      <c r="AA612" s="1" t="s">
        <v>74</v>
      </c>
      <c r="AB612" s="1" t="s">
        <v>74</v>
      </c>
      <c r="AC612" s="1" t="s">
        <v>74</v>
      </c>
      <c r="AD612" s="1" t="s">
        <v>74</v>
      </c>
      <c r="AE612" s="1" t="s">
        <v>74</v>
      </c>
      <c r="AF612" s="1" t="s">
        <v>74</v>
      </c>
      <c r="AG612" s="1" t="s">
        <v>74</v>
      </c>
      <c r="AH612" s="1" t="s">
        <v>74</v>
      </c>
      <c r="AI612" s="1" t="s">
        <v>74</v>
      </c>
      <c r="AJ612" s="1" t="s">
        <v>74</v>
      </c>
      <c r="AK612" s="1" t="s">
        <v>74</v>
      </c>
      <c r="AL612" s="1" t="s">
        <v>74</v>
      </c>
      <c r="AM612" s="1" t="s">
        <v>74</v>
      </c>
      <c r="AN612" s="1" t="s">
        <v>74</v>
      </c>
      <c r="AO612" s="1" t="s">
        <v>5851</v>
      </c>
      <c r="AP612" s="1" t="s">
        <v>74</v>
      </c>
      <c r="AQ612" s="1" t="s">
        <v>74</v>
      </c>
      <c r="AR612" s="1" t="s">
        <v>74</v>
      </c>
      <c r="AS612" s="1" t="s">
        <v>74</v>
      </c>
      <c r="AT612" s="1" t="s">
        <v>74</v>
      </c>
      <c r="AU612" s="1">
        <v>1985.0</v>
      </c>
      <c r="AV612" s="1">
        <v>186.0</v>
      </c>
      <c r="AW612" s="1">
        <v>6.0</v>
      </c>
      <c r="AX612" s="1" t="s">
        <v>74</v>
      </c>
      <c r="AY612" s="1" t="s">
        <v>74</v>
      </c>
      <c r="AZ612" s="1" t="s">
        <v>74</v>
      </c>
      <c r="BA612" s="1" t="s">
        <v>74</v>
      </c>
      <c r="BB612" s="1">
        <v>1289.0</v>
      </c>
      <c r="BC612" s="1">
        <v>1296.0</v>
      </c>
      <c r="BD612" s="1" t="s">
        <v>74</v>
      </c>
      <c r="BE612" s="1" t="s">
        <v>74</v>
      </c>
      <c r="BF612" s="1" t="s">
        <v>74</v>
      </c>
      <c r="BG612" s="1" t="s">
        <v>74</v>
      </c>
      <c r="BH612" s="1" t="s">
        <v>74</v>
      </c>
      <c r="BI612" s="1" t="s">
        <v>74</v>
      </c>
      <c r="BJ612" s="1" t="s">
        <v>74</v>
      </c>
      <c r="BK612" s="1" t="s">
        <v>74</v>
      </c>
      <c r="BL612" s="1" t="s">
        <v>74</v>
      </c>
      <c r="BM612" s="1" t="s">
        <v>74</v>
      </c>
      <c r="BN612" s="1" t="s">
        <v>74</v>
      </c>
      <c r="BO612" s="1" t="s">
        <v>74</v>
      </c>
      <c r="BP612" s="1" t="s">
        <v>74</v>
      </c>
      <c r="BQ612" s="1" t="s">
        <v>74</v>
      </c>
      <c r="BR612" s="1" t="s">
        <v>74</v>
      </c>
      <c r="BS612" s="1" t="s">
        <v>5852</v>
      </c>
      <c r="BT612" s="1" t="str">
        <f>HYPERLINK("https%3A%2F%2Fwww.webofscience.com%2Fwos%2Fwoscc%2Ffull-record%2FWOS:A1985AMG9200018","View Full Record in Web of Science")</f>
        <v>View Full Record in Web of Science</v>
      </c>
    </row>
    <row r="613" ht="12.75" customHeight="1">
      <c r="A613" s="1" t="s">
        <v>72</v>
      </c>
      <c r="B613" s="1" t="s">
        <v>5853</v>
      </c>
      <c r="C613" s="1" t="s">
        <v>74</v>
      </c>
      <c r="D613" s="1" t="s">
        <v>74</v>
      </c>
      <c r="E613" s="1" t="s">
        <v>74</v>
      </c>
      <c r="F613" s="1" t="s">
        <v>5853</v>
      </c>
      <c r="G613" s="1" t="s">
        <v>74</v>
      </c>
      <c r="H613" s="1" t="s">
        <v>74</v>
      </c>
      <c r="I613" s="1" t="s">
        <v>5854</v>
      </c>
      <c r="J613" s="1" t="s">
        <v>3843</v>
      </c>
      <c r="K613" s="1" t="s">
        <v>74</v>
      </c>
      <c r="L613" s="1" t="s">
        <v>74</v>
      </c>
      <c r="M613" s="1" t="s">
        <v>74</v>
      </c>
      <c r="N613" s="1" t="s">
        <v>74</v>
      </c>
      <c r="O613" s="1" t="s">
        <v>74</v>
      </c>
      <c r="P613" s="1" t="s">
        <v>74</v>
      </c>
      <c r="Q613" s="1" t="s">
        <v>74</v>
      </c>
      <c r="R613" s="1" t="s">
        <v>74</v>
      </c>
      <c r="S613" s="1" t="s">
        <v>74</v>
      </c>
      <c r="T613" s="1" t="s">
        <v>74</v>
      </c>
      <c r="U613" s="1" t="s">
        <v>74</v>
      </c>
      <c r="V613" s="1" t="s">
        <v>74</v>
      </c>
      <c r="W613" s="1" t="s">
        <v>74</v>
      </c>
      <c r="X613" s="1" t="s">
        <v>74</v>
      </c>
      <c r="Y613" s="1" t="s">
        <v>74</v>
      </c>
      <c r="Z613" s="1" t="s">
        <v>74</v>
      </c>
      <c r="AA613" s="1" t="s">
        <v>74</v>
      </c>
      <c r="AB613" s="1" t="s">
        <v>74</v>
      </c>
      <c r="AC613" s="1" t="s">
        <v>74</v>
      </c>
      <c r="AD613" s="1" t="s">
        <v>74</v>
      </c>
      <c r="AE613" s="1" t="s">
        <v>74</v>
      </c>
      <c r="AF613" s="1" t="s">
        <v>74</v>
      </c>
      <c r="AG613" s="1" t="s">
        <v>74</v>
      </c>
      <c r="AH613" s="1" t="s">
        <v>74</v>
      </c>
      <c r="AI613" s="1" t="s">
        <v>74</v>
      </c>
      <c r="AJ613" s="1" t="s">
        <v>74</v>
      </c>
      <c r="AK613" s="1" t="s">
        <v>74</v>
      </c>
      <c r="AL613" s="1" t="s">
        <v>74</v>
      </c>
      <c r="AM613" s="1" t="s">
        <v>74</v>
      </c>
      <c r="AN613" s="1" t="s">
        <v>74</v>
      </c>
      <c r="AO613" s="1" t="s">
        <v>3844</v>
      </c>
      <c r="AP613" s="1" t="s">
        <v>74</v>
      </c>
      <c r="AQ613" s="1" t="s">
        <v>74</v>
      </c>
      <c r="AR613" s="1" t="s">
        <v>74</v>
      </c>
      <c r="AS613" s="1" t="s">
        <v>74</v>
      </c>
      <c r="AT613" s="1" t="s">
        <v>74</v>
      </c>
      <c r="AU613" s="1">
        <v>1983.0</v>
      </c>
      <c r="AV613" s="1">
        <v>21.0</v>
      </c>
      <c r="AW613" s="1">
        <v>11.0</v>
      </c>
      <c r="AX613" s="1" t="s">
        <v>74</v>
      </c>
      <c r="AY613" s="1" t="s">
        <v>74</v>
      </c>
      <c r="AZ613" s="1" t="s">
        <v>74</v>
      </c>
      <c r="BA613" s="1" t="s">
        <v>74</v>
      </c>
      <c r="BB613" s="1">
        <v>897.0</v>
      </c>
      <c r="BC613" s="1">
        <v>899.0</v>
      </c>
      <c r="BD613" s="1" t="s">
        <v>74</v>
      </c>
      <c r="BE613" s="1" t="s">
        <v>5855</v>
      </c>
      <c r="BF613" s="2" t="str">
        <f>HYPERLINK("http://dx.doi.org/10.1002/pol.1983.130211106","http://dx.doi.org/10.1002/pol.1983.130211106")</f>
        <v>http://dx.doi.org/10.1002/pol.1983.130211106</v>
      </c>
      <c r="BG613" s="1" t="s">
        <v>74</v>
      </c>
      <c r="BH613" s="1" t="s">
        <v>74</v>
      </c>
      <c r="BI613" s="1" t="s">
        <v>74</v>
      </c>
      <c r="BJ613" s="1" t="s">
        <v>74</v>
      </c>
      <c r="BK613" s="1" t="s">
        <v>74</v>
      </c>
      <c r="BL613" s="1" t="s">
        <v>74</v>
      </c>
      <c r="BM613" s="1" t="s">
        <v>74</v>
      </c>
      <c r="BN613" s="1" t="s">
        <v>74</v>
      </c>
      <c r="BO613" s="1" t="s">
        <v>74</v>
      </c>
      <c r="BP613" s="1" t="s">
        <v>74</v>
      </c>
      <c r="BQ613" s="1" t="s">
        <v>74</v>
      </c>
      <c r="BR613" s="1" t="s">
        <v>74</v>
      </c>
      <c r="BS613" s="1" t="s">
        <v>5856</v>
      </c>
      <c r="BT613" s="1" t="str">
        <f>HYPERLINK("https%3A%2F%2Fwww.webofscience.com%2Fwos%2Fwoscc%2Ffull-record%2FWOS:A1983RQ80000006","View Full Record in Web of Science")</f>
        <v>View Full Record in Web of Science</v>
      </c>
    </row>
    <row r="614" ht="12.75" customHeight="1">
      <c r="A614" s="1" t="s">
        <v>72</v>
      </c>
      <c r="B614" s="1" t="s">
        <v>5857</v>
      </c>
      <c r="C614" s="1" t="s">
        <v>74</v>
      </c>
      <c r="D614" s="1" t="s">
        <v>74</v>
      </c>
      <c r="E614" s="1" t="s">
        <v>74</v>
      </c>
      <c r="F614" s="1" t="s">
        <v>5858</v>
      </c>
      <c r="G614" s="1" t="s">
        <v>74</v>
      </c>
      <c r="H614" s="1" t="s">
        <v>74</v>
      </c>
      <c r="I614" s="1" t="s">
        <v>5859</v>
      </c>
      <c r="J614" s="1" t="s">
        <v>4140</v>
      </c>
      <c r="K614" s="1" t="s">
        <v>74</v>
      </c>
      <c r="L614" s="1" t="s">
        <v>74</v>
      </c>
      <c r="M614" s="1" t="s">
        <v>74</v>
      </c>
      <c r="N614" s="1" t="s">
        <v>74</v>
      </c>
      <c r="O614" s="1" t="s">
        <v>74</v>
      </c>
      <c r="P614" s="1" t="s">
        <v>74</v>
      </c>
      <c r="Q614" s="1" t="s">
        <v>74</v>
      </c>
      <c r="R614" s="1" t="s">
        <v>74</v>
      </c>
      <c r="S614" s="1" t="s">
        <v>74</v>
      </c>
      <c r="T614" s="1" t="s">
        <v>74</v>
      </c>
      <c r="U614" s="1" t="s">
        <v>74</v>
      </c>
      <c r="V614" s="1" t="s">
        <v>5860</v>
      </c>
      <c r="W614" s="1" t="s">
        <v>74</v>
      </c>
      <c r="X614" s="1" t="s">
        <v>74</v>
      </c>
      <c r="Y614" s="1" t="s">
        <v>74</v>
      </c>
      <c r="Z614" s="1" t="s">
        <v>74</v>
      </c>
      <c r="AA614" s="1" t="s">
        <v>5861</v>
      </c>
      <c r="AB614" s="1" t="s">
        <v>74</v>
      </c>
      <c r="AC614" s="1" t="s">
        <v>74</v>
      </c>
      <c r="AD614" s="1" t="s">
        <v>74</v>
      </c>
      <c r="AE614" s="1" t="s">
        <v>74</v>
      </c>
      <c r="AF614" s="1" t="s">
        <v>74</v>
      </c>
      <c r="AG614" s="1" t="s">
        <v>74</v>
      </c>
      <c r="AH614" s="1" t="s">
        <v>74</v>
      </c>
      <c r="AI614" s="1" t="s">
        <v>74</v>
      </c>
      <c r="AJ614" s="1" t="s">
        <v>74</v>
      </c>
      <c r="AK614" s="1" t="s">
        <v>74</v>
      </c>
      <c r="AL614" s="1" t="s">
        <v>74</v>
      </c>
      <c r="AM614" s="1" t="s">
        <v>74</v>
      </c>
      <c r="AN614" s="1" t="s">
        <v>74</v>
      </c>
      <c r="AO614" s="1" t="s">
        <v>4144</v>
      </c>
      <c r="AP614" s="1" t="s">
        <v>74</v>
      </c>
      <c r="AQ614" s="1" t="s">
        <v>74</v>
      </c>
      <c r="AR614" s="1" t="s">
        <v>74</v>
      </c>
      <c r="AS614" s="1" t="s">
        <v>74</v>
      </c>
      <c r="AT614" s="1" t="s">
        <v>5862</v>
      </c>
      <c r="AU614" s="1">
        <v>2025.0</v>
      </c>
      <c r="AV614" s="1">
        <v>16.0</v>
      </c>
      <c r="AW614" s="1" t="s">
        <v>74</v>
      </c>
      <c r="AX614" s="1" t="s">
        <v>74</v>
      </c>
      <c r="AY614" s="1" t="s">
        <v>74</v>
      </c>
      <c r="AZ614" s="1" t="s">
        <v>74</v>
      </c>
      <c r="BA614" s="1" t="s">
        <v>74</v>
      </c>
      <c r="BB614" s="1" t="s">
        <v>74</v>
      </c>
      <c r="BC614" s="1" t="s">
        <v>74</v>
      </c>
      <c r="BD614" s="1">
        <v>1549767.0</v>
      </c>
      <c r="BE614" s="1" t="s">
        <v>5863</v>
      </c>
      <c r="BF614" s="2" t="str">
        <f>HYPERLINK("http://dx.doi.org/10.3389/fpsyg.2025.1549767","http://dx.doi.org/10.3389/fpsyg.2025.1549767")</f>
        <v>http://dx.doi.org/10.3389/fpsyg.2025.1549767</v>
      </c>
      <c r="BG614" s="1" t="s">
        <v>74</v>
      </c>
      <c r="BH614" s="1" t="s">
        <v>74</v>
      </c>
      <c r="BI614" s="1" t="s">
        <v>74</v>
      </c>
      <c r="BJ614" s="1" t="s">
        <v>74</v>
      </c>
      <c r="BK614" s="1" t="s">
        <v>74</v>
      </c>
      <c r="BL614" s="1" t="s">
        <v>74</v>
      </c>
      <c r="BM614" s="1" t="s">
        <v>74</v>
      </c>
      <c r="BN614" s="1">
        <v>4.0171079E7</v>
      </c>
      <c r="BO614" s="1" t="s">
        <v>74</v>
      </c>
      <c r="BP614" s="1" t="s">
        <v>74</v>
      </c>
      <c r="BQ614" s="1" t="s">
        <v>74</v>
      </c>
      <c r="BR614" s="1" t="s">
        <v>74</v>
      </c>
      <c r="BS614" s="1" t="s">
        <v>5864</v>
      </c>
      <c r="BT614" s="1" t="str">
        <f>HYPERLINK("https%3A%2F%2Fwww.webofscience.com%2Fwos%2Fwoscc%2Ffull-record%2FWOS:001457285700001","View Full Record in Web of Science")</f>
        <v>View Full Record in Web of Science</v>
      </c>
    </row>
    <row r="615" ht="12.75" customHeight="1">
      <c r="A615" s="1" t="s">
        <v>72</v>
      </c>
      <c r="B615" s="1" t="s">
        <v>5865</v>
      </c>
      <c r="C615" s="1" t="s">
        <v>74</v>
      </c>
      <c r="D615" s="1" t="s">
        <v>74</v>
      </c>
      <c r="E615" s="1" t="s">
        <v>74</v>
      </c>
      <c r="F615" s="1" t="s">
        <v>5866</v>
      </c>
      <c r="G615" s="1" t="s">
        <v>74</v>
      </c>
      <c r="H615" s="1" t="s">
        <v>74</v>
      </c>
      <c r="I615" s="1" t="s">
        <v>5867</v>
      </c>
      <c r="J615" s="1" t="s">
        <v>5868</v>
      </c>
      <c r="K615" s="1" t="s">
        <v>74</v>
      </c>
      <c r="L615" s="1" t="s">
        <v>74</v>
      </c>
      <c r="M615" s="1" t="s">
        <v>74</v>
      </c>
      <c r="N615" s="1" t="s">
        <v>74</v>
      </c>
      <c r="O615" s="1" t="s">
        <v>74</v>
      </c>
      <c r="P615" s="1" t="s">
        <v>74</v>
      </c>
      <c r="Q615" s="1" t="s">
        <v>74</v>
      </c>
      <c r="R615" s="1" t="s">
        <v>74</v>
      </c>
      <c r="S615" s="1" t="s">
        <v>74</v>
      </c>
      <c r="T615" s="1" t="s">
        <v>74</v>
      </c>
      <c r="U615" s="1" t="s">
        <v>74</v>
      </c>
      <c r="V615" s="1" t="s">
        <v>5869</v>
      </c>
      <c r="W615" s="1" t="s">
        <v>74</v>
      </c>
      <c r="X615" s="1" t="s">
        <v>74</v>
      </c>
      <c r="Y615" s="1" t="s">
        <v>74</v>
      </c>
      <c r="Z615" s="1" t="s">
        <v>74</v>
      </c>
      <c r="AA615" s="1" t="s">
        <v>5870</v>
      </c>
      <c r="AB615" s="1" t="s">
        <v>5871</v>
      </c>
      <c r="AC615" s="1" t="s">
        <v>74</v>
      </c>
      <c r="AD615" s="1" t="s">
        <v>74</v>
      </c>
      <c r="AE615" s="1" t="s">
        <v>74</v>
      </c>
      <c r="AF615" s="1" t="s">
        <v>74</v>
      </c>
      <c r="AG615" s="1" t="s">
        <v>74</v>
      </c>
      <c r="AH615" s="1" t="s">
        <v>74</v>
      </c>
      <c r="AI615" s="1" t="s">
        <v>74</v>
      </c>
      <c r="AJ615" s="1" t="s">
        <v>74</v>
      </c>
      <c r="AK615" s="1" t="s">
        <v>74</v>
      </c>
      <c r="AL615" s="1" t="s">
        <v>74</v>
      </c>
      <c r="AM615" s="1" t="s">
        <v>74</v>
      </c>
      <c r="AN615" s="1" t="s">
        <v>74</v>
      </c>
      <c r="AO615" s="1" t="s">
        <v>5872</v>
      </c>
      <c r="AP615" s="1" t="s">
        <v>5873</v>
      </c>
      <c r="AQ615" s="1" t="s">
        <v>74</v>
      </c>
      <c r="AR615" s="1" t="s">
        <v>74</v>
      </c>
      <c r="AS615" s="1" t="s">
        <v>74</v>
      </c>
      <c r="AT615" s="1" t="s">
        <v>215</v>
      </c>
      <c r="AU615" s="1">
        <v>2025.0</v>
      </c>
      <c r="AV615" s="1">
        <v>162.0</v>
      </c>
      <c r="AW615" s="1" t="s">
        <v>74</v>
      </c>
      <c r="AX615" s="1" t="s">
        <v>74</v>
      </c>
      <c r="AY615" s="1" t="s">
        <v>74</v>
      </c>
      <c r="AZ615" s="1" t="s">
        <v>74</v>
      </c>
      <c r="BA615" s="1" t="s">
        <v>74</v>
      </c>
      <c r="BB615" s="1" t="s">
        <v>74</v>
      </c>
      <c r="BC615" s="1" t="s">
        <v>74</v>
      </c>
      <c r="BD615" s="1">
        <v>111352.0</v>
      </c>
      <c r="BE615" s="1" t="s">
        <v>5874</v>
      </c>
      <c r="BF615" s="2" t="str">
        <f>HYPERLINK("http://dx.doi.org/10.1016/j.patcog.2025.111352","http://dx.doi.org/10.1016/j.patcog.2025.111352")</f>
        <v>http://dx.doi.org/10.1016/j.patcog.2025.111352</v>
      </c>
      <c r="BG615" s="1" t="s">
        <v>74</v>
      </c>
      <c r="BH615" s="1" t="s">
        <v>5875</v>
      </c>
      <c r="BI615" s="1" t="s">
        <v>74</v>
      </c>
      <c r="BJ615" s="1" t="s">
        <v>74</v>
      </c>
      <c r="BK615" s="1" t="s">
        <v>74</v>
      </c>
      <c r="BL615" s="1" t="s">
        <v>74</v>
      </c>
      <c r="BM615" s="1" t="s">
        <v>74</v>
      </c>
      <c r="BN615" s="1" t="s">
        <v>74</v>
      </c>
      <c r="BO615" s="1" t="s">
        <v>74</v>
      </c>
      <c r="BP615" s="1" t="s">
        <v>74</v>
      </c>
      <c r="BQ615" s="1" t="s">
        <v>74</v>
      </c>
      <c r="BR615" s="1" t="s">
        <v>74</v>
      </c>
      <c r="BS615" s="1" t="s">
        <v>5876</v>
      </c>
      <c r="BT615" s="1" t="str">
        <f>HYPERLINK("https%3A%2F%2Fwww.webofscience.com%2Fwos%2Fwoscc%2Ffull-record%2FWOS:001409912700001","View Full Record in Web of Science")</f>
        <v>View Full Record in Web of Science</v>
      </c>
    </row>
    <row r="616" ht="12.75" customHeight="1">
      <c r="A616" s="1" t="s">
        <v>72</v>
      </c>
      <c r="B616" s="1" t="s">
        <v>5877</v>
      </c>
      <c r="C616" s="1" t="s">
        <v>74</v>
      </c>
      <c r="D616" s="1" t="s">
        <v>74</v>
      </c>
      <c r="E616" s="1" t="s">
        <v>74</v>
      </c>
      <c r="F616" s="1" t="s">
        <v>5878</v>
      </c>
      <c r="G616" s="1" t="s">
        <v>74</v>
      </c>
      <c r="H616" s="1" t="s">
        <v>74</v>
      </c>
      <c r="I616" s="1" t="s">
        <v>5879</v>
      </c>
      <c r="J616" s="1" t="s">
        <v>2167</v>
      </c>
      <c r="K616" s="1" t="s">
        <v>74</v>
      </c>
      <c r="L616" s="1" t="s">
        <v>74</v>
      </c>
      <c r="M616" s="1" t="s">
        <v>74</v>
      </c>
      <c r="N616" s="1" t="s">
        <v>74</v>
      </c>
      <c r="O616" s="1" t="s">
        <v>74</v>
      </c>
      <c r="P616" s="1" t="s">
        <v>74</v>
      </c>
      <c r="Q616" s="1" t="s">
        <v>74</v>
      </c>
      <c r="R616" s="1" t="s">
        <v>74</v>
      </c>
      <c r="S616" s="1" t="s">
        <v>74</v>
      </c>
      <c r="T616" s="1" t="s">
        <v>74</v>
      </c>
      <c r="U616" s="1" t="s">
        <v>74</v>
      </c>
      <c r="V616" s="1" t="s">
        <v>5880</v>
      </c>
      <c r="W616" s="1" t="s">
        <v>74</v>
      </c>
      <c r="X616" s="1" t="s">
        <v>74</v>
      </c>
      <c r="Y616" s="1" t="s">
        <v>74</v>
      </c>
      <c r="Z616" s="1" t="s">
        <v>74</v>
      </c>
      <c r="AA616" s="1" t="s">
        <v>5881</v>
      </c>
      <c r="AB616" s="1" t="s">
        <v>74</v>
      </c>
      <c r="AC616" s="1" t="s">
        <v>74</v>
      </c>
      <c r="AD616" s="1" t="s">
        <v>74</v>
      </c>
      <c r="AE616" s="1" t="s">
        <v>74</v>
      </c>
      <c r="AF616" s="1" t="s">
        <v>74</v>
      </c>
      <c r="AG616" s="1" t="s">
        <v>74</v>
      </c>
      <c r="AH616" s="1" t="s">
        <v>74</v>
      </c>
      <c r="AI616" s="1" t="s">
        <v>74</v>
      </c>
      <c r="AJ616" s="1" t="s">
        <v>74</v>
      </c>
      <c r="AK616" s="1" t="s">
        <v>74</v>
      </c>
      <c r="AL616" s="1" t="s">
        <v>74</v>
      </c>
      <c r="AM616" s="1" t="s">
        <v>74</v>
      </c>
      <c r="AN616" s="1" t="s">
        <v>74</v>
      </c>
      <c r="AO616" s="1" t="s">
        <v>2170</v>
      </c>
      <c r="AP616" s="1" t="s">
        <v>2171</v>
      </c>
      <c r="AQ616" s="1" t="s">
        <v>74</v>
      </c>
      <c r="AR616" s="1" t="s">
        <v>74</v>
      </c>
      <c r="AS616" s="1" t="s">
        <v>74</v>
      </c>
      <c r="AT616" s="1" t="s">
        <v>5882</v>
      </c>
      <c r="AU616" s="1">
        <v>2025.0</v>
      </c>
      <c r="AV616" s="1">
        <v>51.0</v>
      </c>
      <c r="AW616" s="1">
        <v>1.0</v>
      </c>
      <c r="AX616" s="1" t="s">
        <v>74</v>
      </c>
      <c r="AY616" s="1" t="s">
        <v>74</v>
      </c>
      <c r="AZ616" s="1" t="s">
        <v>74</v>
      </c>
      <c r="BA616" s="1" t="s">
        <v>74</v>
      </c>
      <c r="BB616" s="1" t="s">
        <v>74</v>
      </c>
      <c r="BC616" s="1" t="s">
        <v>74</v>
      </c>
      <c r="BD616" s="1" t="s">
        <v>5883</v>
      </c>
      <c r="BE616" s="1" t="s">
        <v>5884</v>
      </c>
      <c r="BF616" s="2" t="str">
        <f>HYPERLINK("http://dx.doi.org/10.15448/1980-864X.2025.1.44698","http://dx.doi.org/10.15448/1980-864X.2025.1.44698")</f>
        <v>http://dx.doi.org/10.15448/1980-864X.2025.1.44698</v>
      </c>
      <c r="BG616" s="1" t="s">
        <v>74</v>
      </c>
      <c r="BH616" s="1" t="s">
        <v>74</v>
      </c>
      <c r="BI616" s="1" t="s">
        <v>74</v>
      </c>
      <c r="BJ616" s="1" t="s">
        <v>74</v>
      </c>
      <c r="BK616" s="1" t="s">
        <v>74</v>
      </c>
      <c r="BL616" s="1" t="s">
        <v>74</v>
      </c>
      <c r="BM616" s="1" t="s">
        <v>74</v>
      </c>
      <c r="BN616" s="1" t="s">
        <v>74</v>
      </c>
      <c r="BO616" s="1" t="s">
        <v>74</v>
      </c>
      <c r="BP616" s="1" t="s">
        <v>74</v>
      </c>
      <c r="BQ616" s="1" t="s">
        <v>74</v>
      </c>
      <c r="BR616" s="1" t="s">
        <v>74</v>
      </c>
      <c r="BS616" s="1" t="s">
        <v>5885</v>
      </c>
      <c r="BT616" s="1" t="str">
        <f>HYPERLINK("https%3A%2F%2Fwww.webofscience.com%2Fwos%2Fwoscc%2Ffull-record%2FWOS:001426672600002","View Full Record in Web of Science")</f>
        <v>View Full Record in Web of Science</v>
      </c>
    </row>
    <row r="617" ht="12.75" customHeight="1">
      <c r="A617" s="1" t="s">
        <v>72</v>
      </c>
      <c r="B617" s="1" t="s">
        <v>5886</v>
      </c>
      <c r="C617" s="1" t="s">
        <v>74</v>
      </c>
      <c r="D617" s="1" t="s">
        <v>74</v>
      </c>
      <c r="E617" s="1" t="s">
        <v>74</v>
      </c>
      <c r="F617" s="1" t="s">
        <v>5887</v>
      </c>
      <c r="G617" s="1" t="s">
        <v>74</v>
      </c>
      <c r="H617" s="1" t="s">
        <v>74</v>
      </c>
      <c r="I617" s="1" t="s">
        <v>5888</v>
      </c>
      <c r="J617" s="1" t="s">
        <v>5889</v>
      </c>
      <c r="K617" s="1" t="s">
        <v>74</v>
      </c>
      <c r="L617" s="1" t="s">
        <v>74</v>
      </c>
      <c r="M617" s="1" t="s">
        <v>74</v>
      </c>
      <c r="N617" s="1" t="s">
        <v>74</v>
      </c>
      <c r="O617" s="1" t="s">
        <v>74</v>
      </c>
      <c r="P617" s="1" t="s">
        <v>74</v>
      </c>
      <c r="Q617" s="1" t="s">
        <v>74</v>
      </c>
      <c r="R617" s="1" t="s">
        <v>74</v>
      </c>
      <c r="S617" s="1" t="s">
        <v>74</v>
      </c>
      <c r="T617" s="1" t="s">
        <v>74</v>
      </c>
      <c r="U617" s="1" t="s">
        <v>74</v>
      </c>
      <c r="V617" s="1" t="s">
        <v>5890</v>
      </c>
      <c r="W617" s="1" t="s">
        <v>74</v>
      </c>
      <c r="X617" s="1" t="s">
        <v>74</v>
      </c>
      <c r="Y617" s="1" t="s">
        <v>74</v>
      </c>
      <c r="Z617" s="1" t="s">
        <v>74</v>
      </c>
      <c r="AA617" s="1" t="s">
        <v>74</v>
      </c>
      <c r="AB617" s="1" t="s">
        <v>74</v>
      </c>
      <c r="AC617" s="1" t="s">
        <v>74</v>
      </c>
      <c r="AD617" s="1" t="s">
        <v>74</v>
      </c>
      <c r="AE617" s="1" t="s">
        <v>74</v>
      </c>
      <c r="AF617" s="1" t="s">
        <v>74</v>
      </c>
      <c r="AG617" s="1" t="s">
        <v>74</v>
      </c>
      <c r="AH617" s="1" t="s">
        <v>74</v>
      </c>
      <c r="AI617" s="1" t="s">
        <v>74</v>
      </c>
      <c r="AJ617" s="1" t="s">
        <v>74</v>
      </c>
      <c r="AK617" s="1" t="s">
        <v>74</v>
      </c>
      <c r="AL617" s="1" t="s">
        <v>74</v>
      </c>
      <c r="AM617" s="1" t="s">
        <v>74</v>
      </c>
      <c r="AN617" s="1" t="s">
        <v>74</v>
      </c>
      <c r="AO617" s="1" t="s">
        <v>5891</v>
      </c>
      <c r="AP617" s="1" t="s">
        <v>74</v>
      </c>
      <c r="AQ617" s="1" t="s">
        <v>74</v>
      </c>
      <c r="AR617" s="1" t="s">
        <v>74</v>
      </c>
      <c r="AS617" s="1" t="s">
        <v>74</v>
      </c>
      <c r="AT617" s="1" t="s">
        <v>74</v>
      </c>
      <c r="AU617" s="1">
        <v>2025.0</v>
      </c>
      <c r="AV617" s="1">
        <v>13.0</v>
      </c>
      <c r="AW617" s="1" t="s">
        <v>74</v>
      </c>
      <c r="AX617" s="1" t="s">
        <v>74</v>
      </c>
      <c r="AY617" s="1" t="s">
        <v>74</v>
      </c>
      <c r="AZ617" s="1" t="s">
        <v>74</v>
      </c>
      <c r="BA617" s="1" t="s">
        <v>74</v>
      </c>
      <c r="BB617" s="1" t="s">
        <v>74</v>
      </c>
      <c r="BC617" s="1" t="s">
        <v>74</v>
      </c>
      <c r="BD617" s="1">
        <v>9152.0</v>
      </c>
      <c r="BE617" s="1" t="s">
        <v>5892</v>
      </c>
      <c r="BF617" s="2" t="str">
        <f>HYPERLINK("http://dx.doi.org/10.17645/pag.9152","http://dx.doi.org/10.17645/pag.9152")</f>
        <v>http://dx.doi.org/10.17645/pag.9152</v>
      </c>
      <c r="BG617" s="1" t="s">
        <v>74</v>
      </c>
      <c r="BH617" s="1" t="s">
        <v>74</v>
      </c>
      <c r="BI617" s="1" t="s">
        <v>74</v>
      </c>
      <c r="BJ617" s="1" t="s">
        <v>74</v>
      </c>
      <c r="BK617" s="1" t="s">
        <v>74</v>
      </c>
      <c r="BL617" s="1" t="s">
        <v>74</v>
      </c>
      <c r="BM617" s="1" t="s">
        <v>74</v>
      </c>
      <c r="BN617" s="1" t="s">
        <v>74</v>
      </c>
      <c r="BO617" s="1" t="s">
        <v>74</v>
      </c>
      <c r="BP617" s="1" t="s">
        <v>74</v>
      </c>
      <c r="BQ617" s="1" t="s">
        <v>74</v>
      </c>
      <c r="BR617" s="1" t="s">
        <v>74</v>
      </c>
      <c r="BS617" s="1" t="s">
        <v>5893</v>
      </c>
      <c r="BT617" s="1" t="str">
        <f>HYPERLINK("https%3A%2F%2Fwww.webofscience.com%2Fwos%2Fwoscc%2Ffull-record%2FWOS:001461785700013","View Full Record in Web of Science")</f>
        <v>View Full Record in Web of Science</v>
      </c>
    </row>
    <row r="618" ht="12.75" customHeight="1">
      <c r="A618" s="1" t="s">
        <v>72</v>
      </c>
      <c r="B618" s="1" t="s">
        <v>5894</v>
      </c>
      <c r="C618" s="1" t="s">
        <v>74</v>
      </c>
      <c r="D618" s="1" t="s">
        <v>74</v>
      </c>
      <c r="E618" s="1" t="s">
        <v>74</v>
      </c>
      <c r="F618" s="1" t="s">
        <v>5895</v>
      </c>
      <c r="G618" s="1" t="s">
        <v>74</v>
      </c>
      <c r="H618" s="1" t="s">
        <v>74</v>
      </c>
      <c r="I618" s="1" t="s">
        <v>5896</v>
      </c>
      <c r="J618" s="1" t="s">
        <v>5897</v>
      </c>
      <c r="K618" s="1" t="s">
        <v>74</v>
      </c>
      <c r="L618" s="1" t="s">
        <v>74</v>
      </c>
      <c r="M618" s="1" t="s">
        <v>74</v>
      </c>
      <c r="N618" s="1" t="s">
        <v>74</v>
      </c>
      <c r="O618" s="1" t="s">
        <v>74</v>
      </c>
      <c r="P618" s="1" t="s">
        <v>74</v>
      </c>
      <c r="Q618" s="1" t="s">
        <v>74</v>
      </c>
      <c r="R618" s="1" t="s">
        <v>74</v>
      </c>
      <c r="S618" s="1" t="s">
        <v>74</v>
      </c>
      <c r="T618" s="1" t="s">
        <v>74</v>
      </c>
      <c r="U618" s="1" t="s">
        <v>74</v>
      </c>
      <c r="V618" s="1" t="s">
        <v>5898</v>
      </c>
      <c r="W618" s="1" t="s">
        <v>74</v>
      </c>
      <c r="X618" s="1" t="s">
        <v>74</v>
      </c>
      <c r="Y618" s="1" t="s">
        <v>74</v>
      </c>
      <c r="Z618" s="1" t="s">
        <v>74</v>
      </c>
      <c r="AA618" s="1" t="s">
        <v>74</v>
      </c>
      <c r="AB618" s="1" t="s">
        <v>74</v>
      </c>
      <c r="AC618" s="1" t="s">
        <v>74</v>
      </c>
      <c r="AD618" s="1" t="s">
        <v>74</v>
      </c>
      <c r="AE618" s="1" t="s">
        <v>74</v>
      </c>
      <c r="AF618" s="1" t="s">
        <v>74</v>
      </c>
      <c r="AG618" s="1" t="s">
        <v>74</v>
      </c>
      <c r="AH618" s="1" t="s">
        <v>74</v>
      </c>
      <c r="AI618" s="1" t="s">
        <v>74</v>
      </c>
      <c r="AJ618" s="1" t="s">
        <v>74</v>
      </c>
      <c r="AK618" s="1" t="s">
        <v>74</v>
      </c>
      <c r="AL618" s="1" t="s">
        <v>74</v>
      </c>
      <c r="AM618" s="1" t="s">
        <v>74</v>
      </c>
      <c r="AN618" s="1" t="s">
        <v>74</v>
      </c>
      <c r="AO618" s="1" t="s">
        <v>5899</v>
      </c>
      <c r="AP618" s="1" t="s">
        <v>5900</v>
      </c>
      <c r="AQ618" s="1" t="s">
        <v>74</v>
      </c>
      <c r="AR618" s="1" t="s">
        <v>74</v>
      </c>
      <c r="AS618" s="1" t="s">
        <v>74</v>
      </c>
      <c r="AT618" s="1" t="s">
        <v>1334</v>
      </c>
      <c r="AU618" s="1">
        <v>2024.0</v>
      </c>
      <c r="AV618" s="1">
        <v>48.0</v>
      </c>
      <c r="AW618" s="1">
        <v>3.0</v>
      </c>
      <c r="AX618" s="1" t="s">
        <v>74</v>
      </c>
      <c r="AY618" s="1" t="s">
        <v>74</v>
      </c>
      <c r="AZ618" s="1" t="s">
        <v>74</v>
      </c>
      <c r="BA618" s="1" t="s">
        <v>74</v>
      </c>
      <c r="BB618" s="1" t="s">
        <v>74</v>
      </c>
      <c r="BC618" s="1" t="s">
        <v>74</v>
      </c>
      <c r="BD618" s="1">
        <v>61921.0</v>
      </c>
      <c r="BE618" s="1" t="s">
        <v>5901</v>
      </c>
      <c r="BF618" s="2" t="str">
        <f>HYPERLINK("http://dx.doi.org/10.15517/rk.v48i3.61921","http://dx.doi.org/10.15517/rk.v48i3.61921")</f>
        <v>http://dx.doi.org/10.15517/rk.v48i3.61921</v>
      </c>
      <c r="BG618" s="1" t="s">
        <v>74</v>
      </c>
      <c r="BH618" s="1" t="s">
        <v>74</v>
      </c>
      <c r="BI618" s="1" t="s">
        <v>74</v>
      </c>
      <c r="BJ618" s="1" t="s">
        <v>74</v>
      </c>
      <c r="BK618" s="1" t="s">
        <v>74</v>
      </c>
      <c r="BL618" s="1" t="s">
        <v>74</v>
      </c>
      <c r="BM618" s="1" t="s">
        <v>74</v>
      </c>
      <c r="BN618" s="1" t="s">
        <v>74</v>
      </c>
      <c r="BO618" s="1" t="s">
        <v>74</v>
      </c>
      <c r="BP618" s="1" t="s">
        <v>74</v>
      </c>
      <c r="BQ618" s="1" t="s">
        <v>74</v>
      </c>
      <c r="BR618" s="1" t="s">
        <v>74</v>
      </c>
      <c r="BS618" s="1" t="s">
        <v>5902</v>
      </c>
      <c r="BT618" s="1" t="str">
        <f>HYPERLINK("https%3A%2F%2Fwww.webofscience.com%2Fwos%2Fwoscc%2Ffull-record%2FWOS:001328956200001","View Full Record in Web of Science")</f>
        <v>View Full Record in Web of Science</v>
      </c>
    </row>
    <row r="619" ht="12.75" customHeight="1">
      <c r="A619" s="1" t="s">
        <v>72</v>
      </c>
      <c r="B619" s="1" t="s">
        <v>5903</v>
      </c>
      <c r="C619" s="1" t="s">
        <v>74</v>
      </c>
      <c r="D619" s="1" t="s">
        <v>74</v>
      </c>
      <c r="E619" s="1" t="s">
        <v>74</v>
      </c>
      <c r="F619" s="1" t="s">
        <v>5904</v>
      </c>
      <c r="G619" s="1" t="s">
        <v>74</v>
      </c>
      <c r="H619" s="1" t="s">
        <v>74</v>
      </c>
      <c r="I619" s="1" t="s">
        <v>5905</v>
      </c>
      <c r="J619" s="1" t="s">
        <v>5906</v>
      </c>
      <c r="K619" s="1" t="s">
        <v>74</v>
      </c>
      <c r="L619" s="1" t="s">
        <v>74</v>
      </c>
      <c r="M619" s="1" t="s">
        <v>74</v>
      </c>
      <c r="N619" s="1" t="s">
        <v>74</v>
      </c>
      <c r="O619" s="1" t="s">
        <v>74</v>
      </c>
      <c r="P619" s="1" t="s">
        <v>74</v>
      </c>
      <c r="Q619" s="1" t="s">
        <v>74</v>
      </c>
      <c r="R619" s="1" t="s">
        <v>74</v>
      </c>
      <c r="S619" s="1" t="s">
        <v>74</v>
      </c>
      <c r="T619" s="1" t="s">
        <v>74</v>
      </c>
      <c r="U619" s="1" t="s">
        <v>74</v>
      </c>
      <c r="V619" s="1" t="s">
        <v>5907</v>
      </c>
      <c r="W619" s="1" t="s">
        <v>74</v>
      </c>
      <c r="X619" s="1" t="s">
        <v>74</v>
      </c>
      <c r="Y619" s="1" t="s">
        <v>74</v>
      </c>
      <c r="Z619" s="1" t="s">
        <v>74</v>
      </c>
      <c r="AA619" s="1" t="s">
        <v>5908</v>
      </c>
      <c r="AB619" s="1" t="s">
        <v>5909</v>
      </c>
      <c r="AC619" s="1" t="s">
        <v>74</v>
      </c>
      <c r="AD619" s="1" t="s">
        <v>74</v>
      </c>
      <c r="AE619" s="1" t="s">
        <v>74</v>
      </c>
      <c r="AF619" s="1" t="s">
        <v>74</v>
      </c>
      <c r="AG619" s="1" t="s">
        <v>74</v>
      </c>
      <c r="AH619" s="1" t="s">
        <v>74</v>
      </c>
      <c r="AI619" s="1" t="s">
        <v>74</v>
      </c>
      <c r="AJ619" s="1" t="s">
        <v>74</v>
      </c>
      <c r="AK619" s="1" t="s">
        <v>74</v>
      </c>
      <c r="AL619" s="1" t="s">
        <v>74</v>
      </c>
      <c r="AM619" s="1" t="s">
        <v>74</v>
      </c>
      <c r="AN619" s="1" t="s">
        <v>74</v>
      </c>
      <c r="AO619" s="1" t="s">
        <v>5910</v>
      </c>
      <c r="AP619" s="1" t="s">
        <v>5911</v>
      </c>
      <c r="AQ619" s="1" t="s">
        <v>74</v>
      </c>
      <c r="AR619" s="1" t="s">
        <v>74</v>
      </c>
      <c r="AS619" s="1" t="s">
        <v>74</v>
      </c>
      <c r="AT619" s="1" t="s">
        <v>88</v>
      </c>
      <c r="AU619" s="1">
        <v>2024.0</v>
      </c>
      <c r="AV619" s="1">
        <v>152.0</v>
      </c>
      <c r="AW619" s="1" t="s">
        <v>74</v>
      </c>
      <c r="AX619" s="1" t="s">
        <v>74</v>
      </c>
      <c r="AY619" s="1" t="s">
        <v>74</v>
      </c>
      <c r="AZ619" s="1" t="s">
        <v>74</v>
      </c>
      <c r="BA619" s="1" t="s">
        <v>74</v>
      </c>
      <c r="BB619" s="1" t="s">
        <v>74</v>
      </c>
      <c r="BC619" s="1" t="s">
        <v>74</v>
      </c>
      <c r="BD619" s="1">
        <v>106423.0</v>
      </c>
      <c r="BE619" s="1" t="s">
        <v>5912</v>
      </c>
      <c r="BF619" s="2" t="str">
        <f>HYPERLINK("http://dx.doi.org/10.1016/j.jmbbm.2024.106423","http://dx.doi.org/10.1016/j.jmbbm.2024.106423")</f>
        <v>http://dx.doi.org/10.1016/j.jmbbm.2024.106423</v>
      </c>
      <c r="BG619" s="1" t="s">
        <v>74</v>
      </c>
      <c r="BH619" s="1" t="s">
        <v>1750</v>
      </c>
      <c r="BI619" s="1" t="s">
        <v>74</v>
      </c>
      <c r="BJ619" s="1" t="s">
        <v>74</v>
      </c>
      <c r="BK619" s="1" t="s">
        <v>74</v>
      </c>
      <c r="BL619" s="1" t="s">
        <v>74</v>
      </c>
      <c r="BM619" s="1" t="s">
        <v>74</v>
      </c>
      <c r="BN619" s="1">
        <v>3.8290393E7</v>
      </c>
      <c r="BO619" s="1" t="s">
        <v>74</v>
      </c>
      <c r="BP619" s="1" t="s">
        <v>74</v>
      </c>
      <c r="BQ619" s="1" t="s">
        <v>74</v>
      </c>
      <c r="BR619" s="1" t="s">
        <v>74</v>
      </c>
      <c r="BS619" s="1" t="s">
        <v>5913</v>
      </c>
      <c r="BT619" s="1" t="str">
        <f>HYPERLINK("https%3A%2F%2Fwww.webofscience.com%2Fwos%2Fwoscc%2Ffull-record%2FWOS:001172893300001","View Full Record in Web of Science")</f>
        <v>View Full Record in Web of Science</v>
      </c>
    </row>
    <row r="620" ht="12.75" customHeight="1">
      <c r="A620" s="1" t="s">
        <v>72</v>
      </c>
      <c r="B620" s="1" t="s">
        <v>5914</v>
      </c>
      <c r="C620" s="1" t="s">
        <v>74</v>
      </c>
      <c r="D620" s="1" t="s">
        <v>74</v>
      </c>
      <c r="E620" s="1" t="s">
        <v>74</v>
      </c>
      <c r="F620" s="1" t="s">
        <v>5915</v>
      </c>
      <c r="G620" s="1" t="s">
        <v>74</v>
      </c>
      <c r="H620" s="1" t="s">
        <v>74</v>
      </c>
      <c r="I620" s="1" t="s">
        <v>5916</v>
      </c>
      <c r="J620" s="1" t="s">
        <v>5721</v>
      </c>
      <c r="K620" s="1" t="s">
        <v>74</v>
      </c>
      <c r="L620" s="1" t="s">
        <v>74</v>
      </c>
      <c r="M620" s="1" t="s">
        <v>74</v>
      </c>
      <c r="N620" s="1" t="s">
        <v>74</v>
      </c>
      <c r="O620" s="1" t="s">
        <v>74</v>
      </c>
      <c r="P620" s="1" t="s">
        <v>74</v>
      </c>
      <c r="Q620" s="1" t="s">
        <v>74</v>
      </c>
      <c r="R620" s="1" t="s">
        <v>74</v>
      </c>
      <c r="S620" s="1" t="s">
        <v>74</v>
      </c>
      <c r="T620" s="1" t="s">
        <v>74</v>
      </c>
      <c r="U620" s="1" t="s">
        <v>74</v>
      </c>
      <c r="V620" s="1" t="s">
        <v>5917</v>
      </c>
      <c r="W620" s="1" t="s">
        <v>74</v>
      </c>
      <c r="X620" s="1" t="s">
        <v>74</v>
      </c>
      <c r="Y620" s="1" t="s">
        <v>74</v>
      </c>
      <c r="Z620" s="1" t="s">
        <v>74</v>
      </c>
      <c r="AA620" s="1" t="s">
        <v>5918</v>
      </c>
      <c r="AB620" s="1" t="s">
        <v>5919</v>
      </c>
      <c r="AC620" s="1" t="s">
        <v>74</v>
      </c>
      <c r="AD620" s="1" t="s">
        <v>74</v>
      </c>
      <c r="AE620" s="1" t="s">
        <v>74</v>
      </c>
      <c r="AF620" s="1" t="s">
        <v>74</v>
      </c>
      <c r="AG620" s="1" t="s">
        <v>74</v>
      </c>
      <c r="AH620" s="1" t="s">
        <v>74</v>
      </c>
      <c r="AI620" s="1" t="s">
        <v>74</v>
      </c>
      <c r="AJ620" s="1" t="s">
        <v>74</v>
      </c>
      <c r="AK620" s="1" t="s">
        <v>74</v>
      </c>
      <c r="AL620" s="1" t="s">
        <v>74</v>
      </c>
      <c r="AM620" s="1" t="s">
        <v>74</v>
      </c>
      <c r="AN620" s="1" t="s">
        <v>74</v>
      </c>
      <c r="AO620" s="1" t="s">
        <v>5723</v>
      </c>
      <c r="AP620" s="1" t="s">
        <v>5724</v>
      </c>
      <c r="AQ620" s="1" t="s">
        <v>74</v>
      </c>
      <c r="AR620" s="1" t="s">
        <v>74</v>
      </c>
      <c r="AS620" s="1" t="s">
        <v>74</v>
      </c>
      <c r="AT620" s="1" t="s">
        <v>5920</v>
      </c>
      <c r="AU620" s="1">
        <v>2024.0</v>
      </c>
      <c r="AV620" s="1">
        <v>156.0</v>
      </c>
      <c r="AW620" s="1" t="s">
        <v>74</v>
      </c>
      <c r="AX620" s="1" t="s">
        <v>74</v>
      </c>
      <c r="AY620" s="1" t="s">
        <v>74</v>
      </c>
      <c r="AZ620" s="1" t="s">
        <v>74</v>
      </c>
      <c r="BA620" s="1" t="s">
        <v>74</v>
      </c>
      <c r="BB620" s="1">
        <v>157.0</v>
      </c>
      <c r="BC620" s="1">
        <v>166.0</v>
      </c>
      <c r="BD620" s="1" t="s">
        <v>74</v>
      </c>
      <c r="BE620" s="1" t="s">
        <v>5921</v>
      </c>
      <c r="BF620" s="2" t="str">
        <f>HYPERLINK("http://dx.doi.org/10.1016/j.camwa.2023.12.036","http://dx.doi.org/10.1016/j.camwa.2023.12.036")</f>
        <v>http://dx.doi.org/10.1016/j.camwa.2023.12.036</v>
      </c>
      <c r="BG620" s="1" t="s">
        <v>74</v>
      </c>
      <c r="BH620" s="1" t="s">
        <v>1750</v>
      </c>
      <c r="BI620" s="1" t="s">
        <v>74</v>
      </c>
      <c r="BJ620" s="1" t="s">
        <v>74</v>
      </c>
      <c r="BK620" s="1" t="s">
        <v>74</v>
      </c>
      <c r="BL620" s="1" t="s">
        <v>74</v>
      </c>
      <c r="BM620" s="1" t="s">
        <v>74</v>
      </c>
      <c r="BN620" s="1" t="s">
        <v>74</v>
      </c>
      <c r="BO620" s="1" t="s">
        <v>74</v>
      </c>
      <c r="BP620" s="1" t="s">
        <v>74</v>
      </c>
      <c r="BQ620" s="1" t="s">
        <v>74</v>
      </c>
      <c r="BR620" s="1" t="s">
        <v>74</v>
      </c>
      <c r="BS620" s="1" t="s">
        <v>5922</v>
      </c>
      <c r="BT620" s="1" t="str">
        <f>HYPERLINK("https%3A%2F%2Fwww.webofscience.com%2Fwos%2Fwoscc%2Ffull-record%2FWOS:001163383000001","View Full Record in Web of Science")</f>
        <v>View Full Record in Web of Science</v>
      </c>
    </row>
    <row r="621" ht="12.75" customHeight="1">
      <c r="A621" s="1" t="s">
        <v>72</v>
      </c>
      <c r="B621" s="1" t="s">
        <v>5923</v>
      </c>
      <c r="C621" s="1" t="s">
        <v>74</v>
      </c>
      <c r="D621" s="1" t="s">
        <v>74</v>
      </c>
      <c r="E621" s="1" t="s">
        <v>74</v>
      </c>
      <c r="F621" s="1" t="s">
        <v>5924</v>
      </c>
      <c r="G621" s="1" t="s">
        <v>74</v>
      </c>
      <c r="H621" s="1" t="s">
        <v>74</v>
      </c>
      <c r="I621" s="1" t="s">
        <v>5925</v>
      </c>
      <c r="J621" s="1" t="s">
        <v>5926</v>
      </c>
      <c r="K621" s="1" t="s">
        <v>74</v>
      </c>
      <c r="L621" s="1" t="s">
        <v>74</v>
      </c>
      <c r="M621" s="1" t="s">
        <v>74</v>
      </c>
      <c r="N621" s="1" t="s">
        <v>74</v>
      </c>
      <c r="O621" s="1" t="s">
        <v>74</v>
      </c>
      <c r="P621" s="1" t="s">
        <v>74</v>
      </c>
      <c r="Q621" s="1" t="s">
        <v>74</v>
      </c>
      <c r="R621" s="1" t="s">
        <v>74</v>
      </c>
      <c r="S621" s="1" t="s">
        <v>74</v>
      </c>
      <c r="T621" s="1" t="s">
        <v>74</v>
      </c>
      <c r="U621" s="1" t="s">
        <v>74</v>
      </c>
      <c r="V621" s="1" t="s">
        <v>5927</v>
      </c>
      <c r="W621" s="1" t="s">
        <v>74</v>
      </c>
      <c r="X621" s="1" t="s">
        <v>74</v>
      </c>
      <c r="Y621" s="1" t="s">
        <v>74</v>
      </c>
      <c r="Z621" s="1" t="s">
        <v>74</v>
      </c>
      <c r="AA621" s="1" t="s">
        <v>74</v>
      </c>
      <c r="AB621" s="1" t="s">
        <v>74</v>
      </c>
      <c r="AC621" s="1" t="s">
        <v>74</v>
      </c>
      <c r="AD621" s="1" t="s">
        <v>74</v>
      </c>
      <c r="AE621" s="1" t="s">
        <v>74</v>
      </c>
      <c r="AF621" s="1" t="s">
        <v>74</v>
      </c>
      <c r="AG621" s="1" t="s">
        <v>74</v>
      </c>
      <c r="AH621" s="1" t="s">
        <v>74</v>
      </c>
      <c r="AI621" s="1" t="s">
        <v>74</v>
      </c>
      <c r="AJ621" s="1" t="s">
        <v>74</v>
      </c>
      <c r="AK621" s="1" t="s">
        <v>74</v>
      </c>
      <c r="AL621" s="1" t="s">
        <v>74</v>
      </c>
      <c r="AM621" s="1" t="s">
        <v>74</v>
      </c>
      <c r="AN621" s="1" t="s">
        <v>74</v>
      </c>
      <c r="AO621" s="1" t="s">
        <v>74</v>
      </c>
      <c r="AP621" s="1" t="s">
        <v>5928</v>
      </c>
      <c r="AQ621" s="1" t="s">
        <v>74</v>
      </c>
      <c r="AR621" s="1" t="s">
        <v>74</v>
      </c>
      <c r="AS621" s="1" t="s">
        <v>74</v>
      </c>
      <c r="AT621" s="1" t="s">
        <v>310</v>
      </c>
      <c r="AU621" s="1">
        <v>2023.0</v>
      </c>
      <c r="AV621" s="1">
        <v>13.0</v>
      </c>
      <c r="AW621" s="1">
        <v>7.0</v>
      </c>
      <c r="AX621" s="1" t="s">
        <v>74</v>
      </c>
      <c r="AY621" s="1" t="s">
        <v>74</v>
      </c>
      <c r="AZ621" s="1" t="s">
        <v>74</v>
      </c>
      <c r="BA621" s="1" t="s">
        <v>74</v>
      </c>
      <c r="BB621" s="1" t="s">
        <v>74</v>
      </c>
      <c r="BC621" s="1" t="s">
        <v>74</v>
      </c>
      <c r="BD621" s="1">
        <v>710.0</v>
      </c>
      <c r="BE621" s="1" t="s">
        <v>5929</v>
      </c>
      <c r="BF621" s="2" t="str">
        <f>HYPERLINK("http://dx.doi.org/10.3390/educsci13070710","http://dx.doi.org/10.3390/educsci13070710")</f>
        <v>http://dx.doi.org/10.3390/educsci13070710</v>
      </c>
      <c r="BG621" s="1" t="s">
        <v>74</v>
      </c>
      <c r="BH621" s="1" t="s">
        <v>74</v>
      </c>
      <c r="BI621" s="1" t="s">
        <v>74</v>
      </c>
      <c r="BJ621" s="1" t="s">
        <v>74</v>
      </c>
      <c r="BK621" s="1" t="s">
        <v>74</v>
      </c>
      <c r="BL621" s="1" t="s">
        <v>74</v>
      </c>
      <c r="BM621" s="1" t="s">
        <v>74</v>
      </c>
      <c r="BN621" s="1" t="s">
        <v>74</v>
      </c>
      <c r="BO621" s="1" t="s">
        <v>74</v>
      </c>
      <c r="BP621" s="1" t="s">
        <v>74</v>
      </c>
      <c r="BQ621" s="1" t="s">
        <v>74</v>
      </c>
      <c r="BR621" s="1" t="s">
        <v>74</v>
      </c>
      <c r="BS621" s="1" t="s">
        <v>5930</v>
      </c>
      <c r="BT621" s="1" t="str">
        <f>HYPERLINK("https%3A%2F%2Fwww.webofscience.com%2Fwos%2Fwoscc%2Ffull-record%2FWOS:001035153200001","View Full Record in Web of Science")</f>
        <v>View Full Record in Web of Science</v>
      </c>
    </row>
    <row r="622" ht="12.75" customHeight="1">
      <c r="A622" s="1" t="s">
        <v>72</v>
      </c>
      <c r="B622" s="1" t="s">
        <v>5931</v>
      </c>
      <c r="C622" s="1" t="s">
        <v>74</v>
      </c>
      <c r="D622" s="1" t="s">
        <v>74</v>
      </c>
      <c r="E622" s="1" t="s">
        <v>74</v>
      </c>
      <c r="F622" s="1" t="s">
        <v>5932</v>
      </c>
      <c r="G622" s="1" t="s">
        <v>74</v>
      </c>
      <c r="H622" s="1" t="s">
        <v>74</v>
      </c>
      <c r="I622" s="1" t="s">
        <v>5933</v>
      </c>
      <c r="J622" s="1" t="s">
        <v>5934</v>
      </c>
      <c r="K622" s="1" t="s">
        <v>74</v>
      </c>
      <c r="L622" s="1" t="s">
        <v>74</v>
      </c>
      <c r="M622" s="1" t="s">
        <v>74</v>
      </c>
      <c r="N622" s="1" t="s">
        <v>74</v>
      </c>
      <c r="O622" s="1" t="s">
        <v>74</v>
      </c>
      <c r="P622" s="1" t="s">
        <v>74</v>
      </c>
      <c r="Q622" s="1" t="s">
        <v>74</v>
      </c>
      <c r="R622" s="1" t="s">
        <v>74</v>
      </c>
      <c r="S622" s="1" t="s">
        <v>74</v>
      </c>
      <c r="T622" s="1" t="s">
        <v>74</v>
      </c>
      <c r="U622" s="1" t="s">
        <v>74</v>
      </c>
      <c r="V622" s="1" t="s">
        <v>5935</v>
      </c>
      <c r="W622" s="1" t="s">
        <v>74</v>
      </c>
      <c r="X622" s="1" t="s">
        <v>74</v>
      </c>
      <c r="Y622" s="1" t="s">
        <v>74</v>
      </c>
      <c r="Z622" s="1" t="s">
        <v>74</v>
      </c>
      <c r="AA622" s="1" t="s">
        <v>74</v>
      </c>
      <c r="AB622" s="1" t="s">
        <v>5936</v>
      </c>
      <c r="AC622" s="1" t="s">
        <v>74</v>
      </c>
      <c r="AD622" s="1" t="s">
        <v>74</v>
      </c>
      <c r="AE622" s="1" t="s">
        <v>74</v>
      </c>
      <c r="AF622" s="1" t="s">
        <v>74</v>
      </c>
      <c r="AG622" s="1" t="s">
        <v>74</v>
      </c>
      <c r="AH622" s="1" t="s">
        <v>74</v>
      </c>
      <c r="AI622" s="1" t="s">
        <v>74</v>
      </c>
      <c r="AJ622" s="1" t="s">
        <v>74</v>
      </c>
      <c r="AK622" s="1" t="s">
        <v>74</v>
      </c>
      <c r="AL622" s="1" t="s">
        <v>74</v>
      </c>
      <c r="AM622" s="1" t="s">
        <v>74</v>
      </c>
      <c r="AN622" s="1" t="s">
        <v>74</v>
      </c>
      <c r="AO622" s="1" t="s">
        <v>5937</v>
      </c>
      <c r="AP622" s="1" t="s">
        <v>5938</v>
      </c>
      <c r="AQ622" s="1" t="s">
        <v>74</v>
      </c>
      <c r="AR622" s="1" t="s">
        <v>74</v>
      </c>
      <c r="AS622" s="1" t="s">
        <v>74</v>
      </c>
      <c r="AT622" s="1" t="s">
        <v>650</v>
      </c>
      <c r="AU622" s="1">
        <v>2023.0</v>
      </c>
      <c r="AV622" s="1">
        <v>51.0</v>
      </c>
      <c r="AW622" s="1">
        <v>1.0</v>
      </c>
      <c r="AX622" s="1" t="s">
        <v>74</v>
      </c>
      <c r="AY622" s="1" t="s">
        <v>74</v>
      </c>
      <c r="AZ622" s="1" t="s">
        <v>74</v>
      </c>
      <c r="BA622" s="1" t="s">
        <v>74</v>
      </c>
      <c r="BB622" s="1">
        <v>71.0</v>
      </c>
      <c r="BC622" s="1">
        <v>82.0</v>
      </c>
      <c r="BD622" s="1" t="s">
        <v>74</v>
      </c>
      <c r="BE622" s="1" t="s">
        <v>5939</v>
      </c>
      <c r="BF622" s="2" t="str">
        <f>HYPERLINK("http://dx.doi.org/10.1007/s11293-023-09762-z","http://dx.doi.org/10.1007/s11293-023-09762-z")</f>
        <v>http://dx.doi.org/10.1007/s11293-023-09762-z</v>
      </c>
      <c r="BG622" s="1" t="s">
        <v>74</v>
      </c>
      <c r="BH622" s="1" t="s">
        <v>3257</v>
      </c>
      <c r="BI622" s="1" t="s">
        <v>74</v>
      </c>
      <c r="BJ622" s="1" t="s">
        <v>74</v>
      </c>
      <c r="BK622" s="1" t="s">
        <v>74</v>
      </c>
      <c r="BL622" s="1" t="s">
        <v>74</v>
      </c>
      <c r="BM622" s="1" t="s">
        <v>74</v>
      </c>
      <c r="BN622" s="1" t="s">
        <v>74</v>
      </c>
      <c r="BO622" s="1" t="s">
        <v>74</v>
      </c>
      <c r="BP622" s="1" t="s">
        <v>74</v>
      </c>
      <c r="BQ622" s="1" t="s">
        <v>74</v>
      </c>
      <c r="BR622" s="1" t="s">
        <v>74</v>
      </c>
      <c r="BS622" s="1" t="s">
        <v>5940</v>
      </c>
      <c r="BT622" s="1" t="str">
        <f>HYPERLINK("https%3A%2F%2Fwww.webofscience.com%2Fwos%2Fwoscc%2Ffull-record%2FWOS:000945981600001","View Full Record in Web of Science")</f>
        <v>View Full Record in Web of Science</v>
      </c>
    </row>
    <row r="623" ht="12.75" customHeight="1">
      <c r="A623" s="1" t="s">
        <v>72</v>
      </c>
      <c r="B623" s="1" t="s">
        <v>5941</v>
      </c>
      <c r="C623" s="1" t="s">
        <v>74</v>
      </c>
      <c r="D623" s="1" t="s">
        <v>74</v>
      </c>
      <c r="E623" s="1" t="s">
        <v>74</v>
      </c>
      <c r="F623" s="1" t="s">
        <v>5942</v>
      </c>
      <c r="G623" s="1" t="s">
        <v>74</v>
      </c>
      <c r="H623" s="1" t="s">
        <v>74</v>
      </c>
      <c r="I623" s="1" t="s">
        <v>5943</v>
      </c>
      <c r="J623" s="1" t="s">
        <v>5944</v>
      </c>
      <c r="K623" s="1" t="s">
        <v>74</v>
      </c>
      <c r="L623" s="1" t="s">
        <v>74</v>
      </c>
      <c r="M623" s="1" t="s">
        <v>74</v>
      </c>
      <c r="N623" s="1" t="s">
        <v>74</v>
      </c>
      <c r="O623" s="1" t="s">
        <v>74</v>
      </c>
      <c r="P623" s="1" t="s">
        <v>74</v>
      </c>
      <c r="Q623" s="1" t="s">
        <v>74</v>
      </c>
      <c r="R623" s="1" t="s">
        <v>74</v>
      </c>
      <c r="S623" s="1" t="s">
        <v>74</v>
      </c>
      <c r="T623" s="1" t="s">
        <v>74</v>
      </c>
      <c r="U623" s="1" t="s">
        <v>74</v>
      </c>
      <c r="V623" s="1" t="s">
        <v>5945</v>
      </c>
      <c r="W623" s="1" t="s">
        <v>74</v>
      </c>
      <c r="X623" s="1" t="s">
        <v>74</v>
      </c>
      <c r="Y623" s="1" t="s">
        <v>74</v>
      </c>
      <c r="Z623" s="1" t="s">
        <v>74</v>
      </c>
      <c r="AA623" s="1" t="s">
        <v>5946</v>
      </c>
      <c r="AB623" s="1" t="s">
        <v>5947</v>
      </c>
      <c r="AC623" s="1" t="s">
        <v>74</v>
      </c>
      <c r="AD623" s="1" t="s">
        <v>74</v>
      </c>
      <c r="AE623" s="1" t="s">
        <v>74</v>
      </c>
      <c r="AF623" s="1" t="s">
        <v>74</v>
      </c>
      <c r="AG623" s="1" t="s">
        <v>74</v>
      </c>
      <c r="AH623" s="1" t="s">
        <v>74</v>
      </c>
      <c r="AI623" s="1" t="s">
        <v>74</v>
      </c>
      <c r="AJ623" s="1" t="s">
        <v>74</v>
      </c>
      <c r="AK623" s="1" t="s">
        <v>74</v>
      </c>
      <c r="AL623" s="1" t="s">
        <v>74</v>
      </c>
      <c r="AM623" s="1" t="s">
        <v>74</v>
      </c>
      <c r="AN623" s="1" t="s">
        <v>74</v>
      </c>
      <c r="AO623" s="1" t="s">
        <v>5948</v>
      </c>
      <c r="AP623" s="1" t="s">
        <v>5949</v>
      </c>
      <c r="AQ623" s="1" t="s">
        <v>74</v>
      </c>
      <c r="AR623" s="1" t="s">
        <v>74</v>
      </c>
      <c r="AS623" s="1" t="s">
        <v>74</v>
      </c>
      <c r="AT623" s="1" t="s">
        <v>88</v>
      </c>
      <c r="AU623" s="1">
        <v>2023.0</v>
      </c>
      <c r="AV623" s="1">
        <v>227.0</v>
      </c>
      <c r="AW623" s="1">
        <v>4.0</v>
      </c>
      <c r="AX623" s="1" t="s">
        <v>74</v>
      </c>
      <c r="AY623" s="1" t="s">
        <v>74</v>
      </c>
      <c r="AZ623" s="1" t="s">
        <v>74</v>
      </c>
      <c r="BA623" s="1" t="s">
        <v>74</v>
      </c>
      <c r="BB623" s="1" t="s">
        <v>74</v>
      </c>
      <c r="BC623" s="1" t="s">
        <v>74</v>
      </c>
      <c r="BD623" s="1">
        <v>107259.0</v>
      </c>
      <c r="BE623" s="1" t="s">
        <v>5950</v>
      </c>
      <c r="BF623" s="2" t="str">
        <f>HYPERLINK("http://dx.doi.org/10.1016/j.jpaa.2022.107259","http://dx.doi.org/10.1016/j.jpaa.2022.107259")</f>
        <v>http://dx.doi.org/10.1016/j.jpaa.2022.107259</v>
      </c>
      <c r="BG623" s="1" t="s">
        <v>74</v>
      </c>
      <c r="BH623" s="1" t="s">
        <v>5951</v>
      </c>
      <c r="BI623" s="1" t="s">
        <v>74</v>
      </c>
      <c r="BJ623" s="1" t="s">
        <v>74</v>
      </c>
      <c r="BK623" s="1" t="s">
        <v>74</v>
      </c>
      <c r="BL623" s="1" t="s">
        <v>74</v>
      </c>
      <c r="BM623" s="1" t="s">
        <v>74</v>
      </c>
      <c r="BN623" s="1" t="s">
        <v>74</v>
      </c>
      <c r="BO623" s="1" t="s">
        <v>74</v>
      </c>
      <c r="BP623" s="1" t="s">
        <v>74</v>
      </c>
      <c r="BQ623" s="1" t="s">
        <v>74</v>
      </c>
      <c r="BR623" s="1" t="s">
        <v>74</v>
      </c>
      <c r="BS623" s="1" t="s">
        <v>5952</v>
      </c>
      <c r="BT623" s="1" t="str">
        <f>HYPERLINK("https%3A%2F%2Fwww.webofscience.com%2Fwos%2Fwoscc%2Ffull-record%2FWOS:000892539300008","View Full Record in Web of Science")</f>
        <v>View Full Record in Web of Science</v>
      </c>
    </row>
    <row r="624" ht="12.75" customHeight="1">
      <c r="A624" s="1" t="s">
        <v>72</v>
      </c>
      <c r="B624" s="1" t="s">
        <v>5953</v>
      </c>
      <c r="C624" s="1" t="s">
        <v>74</v>
      </c>
      <c r="D624" s="1" t="s">
        <v>74</v>
      </c>
      <c r="E624" s="1" t="s">
        <v>74</v>
      </c>
      <c r="F624" s="1" t="s">
        <v>5954</v>
      </c>
      <c r="G624" s="1" t="s">
        <v>74</v>
      </c>
      <c r="H624" s="1" t="s">
        <v>74</v>
      </c>
      <c r="I624" s="1" t="s">
        <v>5955</v>
      </c>
      <c r="J624" s="1" t="s">
        <v>5956</v>
      </c>
      <c r="K624" s="1" t="s">
        <v>74</v>
      </c>
      <c r="L624" s="1" t="s">
        <v>74</v>
      </c>
      <c r="M624" s="1" t="s">
        <v>74</v>
      </c>
      <c r="N624" s="1" t="s">
        <v>74</v>
      </c>
      <c r="O624" s="1" t="s">
        <v>74</v>
      </c>
      <c r="P624" s="1" t="s">
        <v>74</v>
      </c>
      <c r="Q624" s="1" t="s">
        <v>74</v>
      </c>
      <c r="R624" s="1" t="s">
        <v>74</v>
      </c>
      <c r="S624" s="1" t="s">
        <v>74</v>
      </c>
      <c r="T624" s="1" t="s">
        <v>74</v>
      </c>
      <c r="U624" s="1" t="s">
        <v>74</v>
      </c>
      <c r="V624" s="1" t="s">
        <v>5957</v>
      </c>
      <c r="W624" s="1" t="s">
        <v>74</v>
      </c>
      <c r="X624" s="1" t="s">
        <v>74</v>
      </c>
      <c r="Y624" s="1" t="s">
        <v>74</v>
      </c>
      <c r="Z624" s="1" t="s">
        <v>74</v>
      </c>
      <c r="AA624" s="1" t="s">
        <v>5958</v>
      </c>
      <c r="AB624" s="1" t="s">
        <v>5959</v>
      </c>
      <c r="AC624" s="1" t="s">
        <v>74</v>
      </c>
      <c r="AD624" s="1" t="s">
        <v>74</v>
      </c>
      <c r="AE624" s="1" t="s">
        <v>74</v>
      </c>
      <c r="AF624" s="1" t="s">
        <v>74</v>
      </c>
      <c r="AG624" s="1" t="s">
        <v>74</v>
      </c>
      <c r="AH624" s="1" t="s">
        <v>74</v>
      </c>
      <c r="AI624" s="1" t="s">
        <v>74</v>
      </c>
      <c r="AJ624" s="1" t="s">
        <v>74</v>
      </c>
      <c r="AK624" s="1" t="s">
        <v>74</v>
      </c>
      <c r="AL624" s="1" t="s">
        <v>74</v>
      </c>
      <c r="AM624" s="1" t="s">
        <v>74</v>
      </c>
      <c r="AN624" s="1" t="s">
        <v>74</v>
      </c>
      <c r="AO624" s="1" t="s">
        <v>5960</v>
      </c>
      <c r="AP624" s="1" t="s">
        <v>74</v>
      </c>
      <c r="AQ624" s="1" t="s">
        <v>74</v>
      </c>
      <c r="AR624" s="1" t="s">
        <v>74</v>
      </c>
      <c r="AS624" s="1" t="s">
        <v>74</v>
      </c>
      <c r="AT624" s="1" t="s">
        <v>5961</v>
      </c>
      <c r="AU624" s="1">
        <v>2022.0</v>
      </c>
      <c r="AV624" s="1" t="s">
        <v>74</v>
      </c>
      <c r="AW624" s="1">
        <v>8.0</v>
      </c>
      <c r="AX624" s="1" t="s">
        <v>74</v>
      </c>
      <c r="AY624" s="1" t="s">
        <v>74</v>
      </c>
      <c r="AZ624" s="1" t="s">
        <v>74</v>
      </c>
      <c r="BA624" s="1" t="s">
        <v>74</v>
      </c>
      <c r="BB624" s="1" t="s">
        <v>74</v>
      </c>
      <c r="BC624" s="1" t="s">
        <v>74</v>
      </c>
      <c r="BD624" s="1">
        <v>74.0</v>
      </c>
      <c r="BE624" s="1" t="s">
        <v>5962</v>
      </c>
      <c r="BF624" s="2" t="str">
        <f>HYPERLINK("http://dx.doi.org/10.1007/JHEP08(2022)074","http://dx.doi.org/10.1007/JHEP08(2022)074")</f>
        <v>http://dx.doi.org/10.1007/JHEP08(2022)074</v>
      </c>
      <c r="BG624" s="1" t="s">
        <v>74</v>
      </c>
      <c r="BH624" s="1" t="s">
        <v>74</v>
      </c>
      <c r="BI624" s="1" t="s">
        <v>74</v>
      </c>
      <c r="BJ624" s="1" t="s">
        <v>74</v>
      </c>
      <c r="BK624" s="1" t="s">
        <v>74</v>
      </c>
      <c r="BL624" s="1" t="s">
        <v>74</v>
      </c>
      <c r="BM624" s="1" t="s">
        <v>74</v>
      </c>
      <c r="BN624" s="1" t="s">
        <v>74</v>
      </c>
      <c r="BO624" s="1" t="s">
        <v>74</v>
      </c>
      <c r="BP624" s="1" t="s">
        <v>74</v>
      </c>
      <c r="BQ624" s="1" t="s">
        <v>74</v>
      </c>
      <c r="BR624" s="1" t="s">
        <v>74</v>
      </c>
      <c r="BS624" s="1" t="s">
        <v>5963</v>
      </c>
      <c r="BT624" s="1" t="str">
        <f>HYPERLINK("https%3A%2F%2Fwww.webofscience.com%2Fwos%2Fwoscc%2Ffull-record%2FWOS:000836610800009","View Full Record in Web of Science")</f>
        <v>View Full Record in Web of Science</v>
      </c>
    </row>
    <row r="625" ht="12.75" customHeight="1">
      <c r="A625" s="1" t="s">
        <v>72</v>
      </c>
      <c r="B625" s="1" t="s">
        <v>5964</v>
      </c>
      <c r="C625" s="1" t="s">
        <v>74</v>
      </c>
      <c r="D625" s="1" t="s">
        <v>74</v>
      </c>
      <c r="E625" s="1" t="s">
        <v>74</v>
      </c>
      <c r="F625" s="1" t="s">
        <v>5965</v>
      </c>
      <c r="G625" s="1" t="s">
        <v>74</v>
      </c>
      <c r="H625" s="1" t="s">
        <v>74</v>
      </c>
      <c r="I625" s="1" t="s">
        <v>5966</v>
      </c>
      <c r="J625" s="1" t="s">
        <v>5967</v>
      </c>
      <c r="K625" s="1" t="s">
        <v>74</v>
      </c>
      <c r="L625" s="1" t="s">
        <v>74</v>
      </c>
      <c r="M625" s="1" t="s">
        <v>74</v>
      </c>
      <c r="N625" s="1" t="s">
        <v>74</v>
      </c>
      <c r="O625" s="1" t="s">
        <v>74</v>
      </c>
      <c r="P625" s="1" t="s">
        <v>74</v>
      </c>
      <c r="Q625" s="1" t="s">
        <v>74</v>
      </c>
      <c r="R625" s="1" t="s">
        <v>74</v>
      </c>
      <c r="S625" s="1" t="s">
        <v>74</v>
      </c>
      <c r="T625" s="1" t="s">
        <v>74</v>
      </c>
      <c r="U625" s="1" t="s">
        <v>74</v>
      </c>
      <c r="V625" s="1" t="s">
        <v>5968</v>
      </c>
      <c r="W625" s="1" t="s">
        <v>74</v>
      </c>
      <c r="X625" s="1" t="s">
        <v>74</v>
      </c>
      <c r="Y625" s="1" t="s">
        <v>74</v>
      </c>
      <c r="Z625" s="1" t="s">
        <v>74</v>
      </c>
      <c r="AA625" s="1" t="s">
        <v>5969</v>
      </c>
      <c r="AB625" s="1" t="s">
        <v>5970</v>
      </c>
      <c r="AC625" s="1" t="s">
        <v>74</v>
      </c>
      <c r="AD625" s="1" t="s">
        <v>74</v>
      </c>
      <c r="AE625" s="1" t="s">
        <v>74</v>
      </c>
      <c r="AF625" s="1" t="s">
        <v>74</v>
      </c>
      <c r="AG625" s="1" t="s">
        <v>74</v>
      </c>
      <c r="AH625" s="1" t="s">
        <v>74</v>
      </c>
      <c r="AI625" s="1" t="s">
        <v>74</v>
      </c>
      <c r="AJ625" s="1" t="s">
        <v>74</v>
      </c>
      <c r="AK625" s="1" t="s">
        <v>74</v>
      </c>
      <c r="AL625" s="1" t="s">
        <v>74</v>
      </c>
      <c r="AM625" s="1" t="s">
        <v>74</v>
      </c>
      <c r="AN625" s="1" t="s">
        <v>74</v>
      </c>
      <c r="AO625" s="1" t="s">
        <v>74</v>
      </c>
      <c r="AP625" s="1" t="s">
        <v>5971</v>
      </c>
      <c r="AQ625" s="1" t="s">
        <v>74</v>
      </c>
      <c r="AR625" s="1" t="s">
        <v>74</v>
      </c>
      <c r="AS625" s="1" t="s">
        <v>74</v>
      </c>
      <c r="AT625" s="1" t="s">
        <v>215</v>
      </c>
      <c r="AU625" s="1">
        <v>2022.0</v>
      </c>
      <c r="AV625" s="1">
        <v>15.0</v>
      </c>
      <c r="AW625" s="1">
        <v>11.0</v>
      </c>
      <c r="AX625" s="1" t="s">
        <v>74</v>
      </c>
      <c r="AY625" s="1" t="s">
        <v>74</v>
      </c>
      <c r="AZ625" s="1" t="s">
        <v>74</v>
      </c>
      <c r="BA625" s="1" t="s">
        <v>74</v>
      </c>
      <c r="BB625" s="1" t="s">
        <v>74</v>
      </c>
      <c r="BC625" s="1" t="s">
        <v>74</v>
      </c>
      <c r="BD625" s="1">
        <v>3748.0</v>
      </c>
      <c r="BE625" s="1" t="s">
        <v>5972</v>
      </c>
      <c r="BF625" s="2" t="str">
        <f>HYPERLINK("http://dx.doi.org/10.3390/ma15113748","http://dx.doi.org/10.3390/ma15113748")</f>
        <v>http://dx.doi.org/10.3390/ma15113748</v>
      </c>
      <c r="BG625" s="1" t="s">
        <v>74</v>
      </c>
      <c r="BH625" s="1" t="s">
        <v>74</v>
      </c>
      <c r="BI625" s="1" t="s">
        <v>74</v>
      </c>
      <c r="BJ625" s="1" t="s">
        <v>74</v>
      </c>
      <c r="BK625" s="1" t="s">
        <v>74</v>
      </c>
      <c r="BL625" s="1" t="s">
        <v>74</v>
      </c>
      <c r="BM625" s="1" t="s">
        <v>74</v>
      </c>
      <c r="BN625" s="1">
        <v>3.568305E7</v>
      </c>
      <c r="BO625" s="1" t="s">
        <v>74</v>
      </c>
      <c r="BP625" s="1" t="s">
        <v>74</v>
      </c>
      <c r="BQ625" s="1" t="s">
        <v>74</v>
      </c>
      <c r="BR625" s="1" t="s">
        <v>74</v>
      </c>
      <c r="BS625" s="1" t="s">
        <v>5973</v>
      </c>
      <c r="BT625" s="1" t="str">
        <f>HYPERLINK("https%3A%2F%2Fwww.webofscience.com%2Fwos%2Fwoscc%2Ffull-record%2FWOS:000808719600001","View Full Record in Web of Science")</f>
        <v>View Full Record in Web of Science</v>
      </c>
    </row>
    <row r="626" ht="12.75" customHeight="1">
      <c r="A626" s="1" t="s">
        <v>72</v>
      </c>
      <c r="B626" s="1" t="s">
        <v>5974</v>
      </c>
      <c r="C626" s="1" t="s">
        <v>74</v>
      </c>
      <c r="D626" s="1" t="s">
        <v>74</v>
      </c>
      <c r="E626" s="1" t="s">
        <v>74</v>
      </c>
      <c r="F626" s="1" t="s">
        <v>5975</v>
      </c>
      <c r="G626" s="1" t="s">
        <v>74</v>
      </c>
      <c r="H626" s="1" t="s">
        <v>74</v>
      </c>
      <c r="I626" s="1" t="s">
        <v>5976</v>
      </c>
      <c r="J626" s="1" t="s">
        <v>1709</v>
      </c>
      <c r="K626" s="1" t="s">
        <v>74</v>
      </c>
      <c r="L626" s="1" t="s">
        <v>74</v>
      </c>
      <c r="M626" s="1" t="s">
        <v>74</v>
      </c>
      <c r="N626" s="1" t="s">
        <v>74</v>
      </c>
      <c r="O626" s="1" t="s">
        <v>74</v>
      </c>
      <c r="P626" s="1" t="s">
        <v>74</v>
      </c>
      <c r="Q626" s="1" t="s">
        <v>74</v>
      </c>
      <c r="R626" s="1" t="s">
        <v>74</v>
      </c>
      <c r="S626" s="1" t="s">
        <v>74</v>
      </c>
      <c r="T626" s="1" t="s">
        <v>74</v>
      </c>
      <c r="U626" s="1" t="s">
        <v>74</v>
      </c>
      <c r="V626" s="1" t="s">
        <v>5977</v>
      </c>
      <c r="W626" s="1" t="s">
        <v>74</v>
      </c>
      <c r="X626" s="1" t="s">
        <v>74</v>
      </c>
      <c r="Y626" s="1" t="s">
        <v>74</v>
      </c>
      <c r="Z626" s="1" t="s">
        <v>74</v>
      </c>
      <c r="AA626" s="1" t="s">
        <v>74</v>
      </c>
      <c r="AB626" s="1" t="s">
        <v>5978</v>
      </c>
      <c r="AC626" s="1" t="s">
        <v>74</v>
      </c>
      <c r="AD626" s="1" t="s">
        <v>74</v>
      </c>
      <c r="AE626" s="1" t="s">
        <v>74</v>
      </c>
      <c r="AF626" s="1" t="s">
        <v>74</v>
      </c>
      <c r="AG626" s="1" t="s">
        <v>74</v>
      </c>
      <c r="AH626" s="1" t="s">
        <v>74</v>
      </c>
      <c r="AI626" s="1" t="s">
        <v>74</v>
      </c>
      <c r="AJ626" s="1" t="s">
        <v>74</v>
      </c>
      <c r="AK626" s="1" t="s">
        <v>74</v>
      </c>
      <c r="AL626" s="1" t="s">
        <v>74</v>
      </c>
      <c r="AM626" s="1" t="s">
        <v>74</v>
      </c>
      <c r="AN626" s="1" t="s">
        <v>74</v>
      </c>
      <c r="AO626" s="1" t="s">
        <v>74</v>
      </c>
      <c r="AP626" s="1" t="s">
        <v>1712</v>
      </c>
      <c r="AQ626" s="1" t="s">
        <v>74</v>
      </c>
      <c r="AR626" s="1" t="s">
        <v>74</v>
      </c>
      <c r="AS626" s="1" t="s">
        <v>74</v>
      </c>
      <c r="AT626" s="1" t="s">
        <v>650</v>
      </c>
      <c r="AU626" s="1">
        <v>2022.0</v>
      </c>
      <c r="AV626" s="1">
        <v>10.0</v>
      </c>
      <c r="AW626" s="1">
        <v>5.0</v>
      </c>
      <c r="AX626" s="1" t="s">
        <v>74</v>
      </c>
      <c r="AY626" s="1" t="s">
        <v>74</v>
      </c>
      <c r="AZ626" s="1" t="s">
        <v>74</v>
      </c>
      <c r="BA626" s="1" t="s">
        <v>74</v>
      </c>
      <c r="BB626" s="1" t="s">
        <v>74</v>
      </c>
      <c r="BC626" s="1" t="s">
        <v>74</v>
      </c>
      <c r="BD626" s="1">
        <v>718.0</v>
      </c>
      <c r="BE626" s="1" t="s">
        <v>5979</v>
      </c>
      <c r="BF626" s="2" t="str">
        <f>HYPERLINK("http://dx.doi.org/10.3390/math10050718","http://dx.doi.org/10.3390/math10050718")</f>
        <v>http://dx.doi.org/10.3390/math10050718</v>
      </c>
      <c r="BG626" s="1" t="s">
        <v>74</v>
      </c>
      <c r="BH626" s="1" t="s">
        <v>74</v>
      </c>
      <c r="BI626" s="1" t="s">
        <v>74</v>
      </c>
      <c r="BJ626" s="1" t="s">
        <v>74</v>
      </c>
      <c r="BK626" s="1" t="s">
        <v>74</v>
      </c>
      <c r="BL626" s="1" t="s">
        <v>74</v>
      </c>
      <c r="BM626" s="1" t="s">
        <v>74</v>
      </c>
      <c r="BN626" s="1" t="s">
        <v>74</v>
      </c>
      <c r="BO626" s="1" t="s">
        <v>74</v>
      </c>
      <c r="BP626" s="1" t="s">
        <v>74</v>
      </c>
      <c r="BQ626" s="1" t="s">
        <v>74</v>
      </c>
      <c r="BR626" s="1" t="s">
        <v>74</v>
      </c>
      <c r="BS626" s="1" t="s">
        <v>5980</v>
      </c>
      <c r="BT626" s="1" t="str">
        <f>HYPERLINK("https%3A%2F%2Fwww.webofscience.com%2Fwos%2Fwoscc%2Ffull-record%2FWOS:000773637700001","View Full Record in Web of Science")</f>
        <v>View Full Record in Web of Science</v>
      </c>
    </row>
    <row r="627" ht="12.75" customHeight="1">
      <c r="A627" s="1" t="s">
        <v>251</v>
      </c>
      <c r="B627" s="1" t="s">
        <v>5981</v>
      </c>
      <c r="C627" s="1" t="s">
        <v>74</v>
      </c>
      <c r="D627" s="1" t="s">
        <v>5982</v>
      </c>
      <c r="E627" s="1" t="s">
        <v>74</v>
      </c>
      <c r="F627" s="1" t="s">
        <v>5983</v>
      </c>
      <c r="G627" s="1" t="s">
        <v>74</v>
      </c>
      <c r="H627" s="1" t="s">
        <v>74</v>
      </c>
      <c r="I627" s="1" t="s">
        <v>5984</v>
      </c>
      <c r="J627" s="1" t="s">
        <v>5985</v>
      </c>
      <c r="K627" s="1" t="s">
        <v>467</v>
      </c>
      <c r="L627" s="1" t="s">
        <v>74</v>
      </c>
      <c r="M627" s="1" t="s">
        <v>74</v>
      </c>
      <c r="N627" s="1" t="s">
        <v>74</v>
      </c>
      <c r="O627" s="1" t="s">
        <v>5986</v>
      </c>
      <c r="P627" s="1" t="s">
        <v>5987</v>
      </c>
      <c r="Q627" s="1" t="s">
        <v>5988</v>
      </c>
      <c r="R627" s="1" t="s">
        <v>74</v>
      </c>
      <c r="S627" s="1" t="s">
        <v>74</v>
      </c>
      <c r="T627" s="1" t="s">
        <v>74</v>
      </c>
      <c r="U627" s="1" t="s">
        <v>74</v>
      </c>
      <c r="V627" s="1" t="s">
        <v>5989</v>
      </c>
      <c r="W627" s="1" t="s">
        <v>74</v>
      </c>
      <c r="X627" s="1" t="s">
        <v>74</v>
      </c>
      <c r="Y627" s="1" t="s">
        <v>74</v>
      </c>
      <c r="Z627" s="1" t="s">
        <v>74</v>
      </c>
      <c r="AA627" s="1" t="s">
        <v>5990</v>
      </c>
      <c r="AB627" s="1" t="s">
        <v>4159</v>
      </c>
      <c r="AC627" s="1" t="s">
        <v>74</v>
      </c>
      <c r="AD627" s="1" t="s">
        <v>74</v>
      </c>
      <c r="AE627" s="1" t="s">
        <v>74</v>
      </c>
      <c r="AF627" s="1" t="s">
        <v>74</v>
      </c>
      <c r="AG627" s="1" t="s">
        <v>74</v>
      </c>
      <c r="AH627" s="1" t="s">
        <v>74</v>
      </c>
      <c r="AI627" s="1" t="s">
        <v>74</v>
      </c>
      <c r="AJ627" s="1" t="s">
        <v>74</v>
      </c>
      <c r="AK627" s="1" t="s">
        <v>74</v>
      </c>
      <c r="AL627" s="1" t="s">
        <v>74</v>
      </c>
      <c r="AM627" s="1" t="s">
        <v>74</v>
      </c>
      <c r="AN627" s="1" t="s">
        <v>74</v>
      </c>
      <c r="AO627" s="1" t="s">
        <v>475</v>
      </c>
      <c r="AP627" s="1" t="s">
        <v>74</v>
      </c>
      <c r="AQ627" s="1" t="s">
        <v>74</v>
      </c>
      <c r="AR627" s="1" t="s">
        <v>74</v>
      </c>
      <c r="AS627" s="1" t="s">
        <v>74</v>
      </c>
      <c r="AT627" s="1" t="s">
        <v>74</v>
      </c>
      <c r="AU627" s="1">
        <v>2022.0</v>
      </c>
      <c r="AV627" s="1">
        <v>199.0</v>
      </c>
      <c r="AW627" s="1" t="s">
        <v>74</v>
      </c>
      <c r="AX627" s="1" t="s">
        <v>74</v>
      </c>
      <c r="AY627" s="1" t="s">
        <v>74</v>
      </c>
      <c r="AZ627" s="1" t="s">
        <v>74</v>
      </c>
      <c r="BA627" s="1" t="s">
        <v>74</v>
      </c>
      <c r="BB627" s="1">
        <v>1409.0</v>
      </c>
      <c r="BC627" s="1">
        <v>1415.0</v>
      </c>
      <c r="BD627" s="1" t="s">
        <v>74</v>
      </c>
      <c r="BE627" s="1" t="s">
        <v>5991</v>
      </c>
      <c r="BF627" s="2" t="str">
        <f>HYPERLINK("http://dx.doi.org/10.1016/j.procs.2022.01.178","http://dx.doi.org/10.1016/j.procs.2022.01.178")</f>
        <v>http://dx.doi.org/10.1016/j.procs.2022.01.178</v>
      </c>
      <c r="BG627" s="1" t="s">
        <v>74</v>
      </c>
      <c r="BH627" s="1" t="s">
        <v>3284</v>
      </c>
      <c r="BI627" s="1" t="s">
        <v>74</v>
      </c>
      <c r="BJ627" s="1" t="s">
        <v>74</v>
      </c>
      <c r="BK627" s="1" t="s">
        <v>74</v>
      </c>
      <c r="BL627" s="1" t="s">
        <v>74</v>
      </c>
      <c r="BM627" s="1" t="s">
        <v>74</v>
      </c>
      <c r="BN627" s="1" t="s">
        <v>74</v>
      </c>
      <c r="BO627" s="1" t="s">
        <v>74</v>
      </c>
      <c r="BP627" s="1" t="s">
        <v>74</v>
      </c>
      <c r="BQ627" s="1" t="s">
        <v>74</v>
      </c>
      <c r="BR627" s="1" t="s">
        <v>74</v>
      </c>
      <c r="BS627" s="1" t="s">
        <v>5992</v>
      </c>
      <c r="BT627" s="1" t="str">
        <f>HYPERLINK("https%3A%2F%2Fwww.webofscience.com%2Fwos%2Fwoscc%2Ffull-record%2FWOS:000765802100181","View Full Record in Web of Science")</f>
        <v>View Full Record in Web of Science</v>
      </c>
    </row>
    <row r="628" ht="12.75" customHeight="1">
      <c r="A628" s="1" t="s">
        <v>72</v>
      </c>
      <c r="B628" s="1" t="s">
        <v>5993</v>
      </c>
      <c r="C628" s="1" t="s">
        <v>74</v>
      </c>
      <c r="D628" s="1" t="s">
        <v>74</v>
      </c>
      <c r="E628" s="1" t="s">
        <v>74</v>
      </c>
      <c r="F628" s="1" t="s">
        <v>5994</v>
      </c>
      <c r="G628" s="1" t="s">
        <v>74</v>
      </c>
      <c r="H628" s="1" t="s">
        <v>74</v>
      </c>
      <c r="I628" s="1" t="s">
        <v>5995</v>
      </c>
      <c r="J628" s="1" t="s">
        <v>5996</v>
      </c>
      <c r="K628" s="1" t="s">
        <v>74</v>
      </c>
      <c r="L628" s="1" t="s">
        <v>74</v>
      </c>
      <c r="M628" s="1" t="s">
        <v>74</v>
      </c>
      <c r="N628" s="1" t="s">
        <v>74</v>
      </c>
      <c r="O628" s="1" t="s">
        <v>74</v>
      </c>
      <c r="P628" s="1" t="s">
        <v>74</v>
      </c>
      <c r="Q628" s="1" t="s">
        <v>74</v>
      </c>
      <c r="R628" s="1" t="s">
        <v>74</v>
      </c>
      <c r="S628" s="1" t="s">
        <v>74</v>
      </c>
      <c r="T628" s="1" t="s">
        <v>74</v>
      </c>
      <c r="U628" s="1" t="s">
        <v>74</v>
      </c>
      <c r="V628" s="1" t="s">
        <v>5997</v>
      </c>
      <c r="W628" s="1" t="s">
        <v>74</v>
      </c>
      <c r="X628" s="1" t="s">
        <v>74</v>
      </c>
      <c r="Y628" s="1" t="s">
        <v>74</v>
      </c>
      <c r="Z628" s="1" t="s">
        <v>74</v>
      </c>
      <c r="AA628" s="1" t="s">
        <v>5998</v>
      </c>
      <c r="AB628" s="1" t="s">
        <v>5999</v>
      </c>
      <c r="AC628" s="1" t="s">
        <v>74</v>
      </c>
      <c r="AD628" s="1" t="s">
        <v>74</v>
      </c>
      <c r="AE628" s="1" t="s">
        <v>74</v>
      </c>
      <c r="AF628" s="1" t="s">
        <v>74</v>
      </c>
      <c r="AG628" s="1" t="s">
        <v>74</v>
      </c>
      <c r="AH628" s="1" t="s">
        <v>74</v>
      </c>
      <c r="AI628" s="1" t="s">
        <v>74</v>
      </c>
      <c r="AJ628" s="1" t="s">
        <v>74</v>
      </c>
      <c r="AK628" s="1" t="s">
        <v>74</v>
      </c>
      <c r="AL628" s="1" t="s">
        <v>74</v>
      </c>
      <c r="AM628" s="1" t="s">
        <v>74</v>
      </c>
      <c r="AN628" s="1" t="s">
        <v>74</v>
      </c>
      <c r="AO628" s="1" t="s">
        <v>6000</v>
      </c>
      <c r="AP628" s="1" t="s">
        <v>74</v>
      </c>
      <c r="AQ628" s="1" t="s">
        <v>74</v>
      </c>
      <c r="AR628" s="1" t="s">
        <v>74</v>
      </c>
      <c r="AS628" s="1" t="s">
        <v>74</v>
      </c>
      <c r="AT628" s="1" t="s">
        <v>74</v>
      </c>
      <c r="AU628" s="1">
        <v>2022.0</v>
      </c>
      <c r="AV628" s="1">
        <v>15.0</v>
      </c>
      <c r="AW628" s="1" t="s">
        <v>74</v>
      </c>
      <c r="AX628" s="1" t="s">
        <v>74</v>
      </c>
      <c r="AY628" s="1" t="s">
        <v>74</v>
      </c>
      <c r="AZ628" s="1" t="s">
        <v>74</v>
      </c>
      <c r="BA628" s="1" t="s">
        <v>74</v>
      </c>
      <c r="BB628" s="1" t="s">
        <v>74</v>
      </c>
      <c r="BC628" s="1" t="s">
        <v>74</v>
      </c>
      <c r="BD628" s="1" t="s">
        <v>6001</v>
      </c>
      <c r="BE628" s="1" t="s">
        <v>6002</v>
      </c>
      <c r="BF628" s="2" t="str">
        <f>HYPERLINK("http://dx.doi.org/10.35699/1983-3652.2022.37275","http://dx.doi.org/10.35699/1983-3652.2022.37275")</f>
        <v>http://dx.doi.org/10.35699/1983-3652.2022.37275</v>
      </c>
      <c r="BG628" s="1" t="s">
        <v>74</v>
      </c>
      <c r="BH628" s="1" t="s">
        <v>74</v>
      </c>
      <c r="BI628" s="1" t="s">
        <v>74</v>
      </c>
      <c r="BJ628" s="1" t="s">
        <v>74</v>
      </c>
      <c r="BK628" s="1" t="s">
        <v>74</v>
      </c>
      <c r="BL628" s="1" t="s">
        <v>74</v>
      </c>
      <c r="BM628" s="1" t="s">
        <v>74</v>
      </c>
      <c r="BN628" s="1" t="s">
        <v>74</v>
      </c>
      <c r="BO628" s="1" t="s">
        <v>74</v>
      </c>
      <c r="BP628" s="1" t="s">
        <v>74</v>
      </c>
      <c r="BQ628" s="1" t="s">
        <v>74</v>
      </c>
      <c r="BR628" s="1" t="s">
        <v>74</v>
      </c>
      <c r="BS628" s="1" t="s">
        <v>6003</v>
      </c>
      <c r="BT628" s="1" t="str">
        <f>HYPERLINK("https%3A%2F%2Fwww.webofscience.com%2Fwos%2Fwoscc%2Ffull-record%2FWOS:000766750200001","View Full Record in Web of Science")</f>
        <v>View Full Record in Web of Science</v>
      </c>
    </row>
    <row r="629" ht="12.75" customHeight="1">
      <c r="A629" s="1" t="s">
        <v>72</v>
      </c>
      <c r="B629" s="1" t="s">
        <v>6004</v>
      </c>
      <c r="C629" s="1" t="s">
        <v>74</v>
      </c>
      <c r="D629" s="1" t="s">
        <v>74</v>
      </c>
      <c r="E629" s="1" t="s">
        <v>74</v>
      </c>
      <c r="F629" s="1" t="s">
        <v>6005</v>
      </c>
      <c r="G629" s="1" t="s">
        <v>74</v>
      </c>
      <c r="H629" s="1" t="s">
        <v>74</v>
      </c>
      <c r="I629" s="1" t="s">
        <v>6006</v>
      </c>
      <c r="J629" s="1" t="s">
        <v>6007</v>
      </c>
      <c r="K629" s="1" t="s">
        <v>74</v>
      </c>
      <c r="L629" s="1" t="s">
        <v>74</v>
      </c>
      <c r="M629" s="1" t="s">
        <v>74</v>
      </c>
      <c r="N629" s="1" t="s">
        <v>74</v>
      </c>
      <c r="O629" s="1" t="s">
        <v>74</v>
      </c>
      <c r="P629" s="1" t="s">
        <v>74</v>
      </c>
      <c r="Q629" s="1" t="s">
        <v>74</v>
      </c>
      <c r="R629" s="1" t="s">
        <v>74</v>
      </c>
      <c r="S629" s="1" t="s">
        <v>74</v>
      </c>
      <c r="T629" s="1" t="s">
        <v>74</v>
      </c>
      <c r="U629" s="1" t="s">
        <v>74</v>
      </c>
      <c r="V629" s="1" t="s">
        <v>6008</v>
      </c>
      <c r="W629" s="1" t="s">
        <v>74</v>
      </c>
      <c r="X629" s="1" t="s">
        <v>74</v>
      </c>
      <c r="Y629" s="1" t="s">
        <v>74</v>
      </c>
      <c r="Z629" s="1" t="s">
        <v>74</v>
      </c>
      <c r="AA629" s="1" t="s">
        <v>6009</v>
      </c>
      <c r="AB629" s="1" t="s">
        <v>6010</v>
      </c>
      <c r="AC629" s="1" t="s">
        <v>74</v>
      </c>
      <c r="AD629" s="1" t="s">
        <v>74</v>
      </c>
      <c r="AE629" s="1" t="s">
        <v>74</v>
      </c>
      <c r="AF629" s="1" t="s">
        <v>74</v>
      </c>
      <c r="AG629" s="1" t="s">
        <v>74</v>
      </c>
      <c r="AH629" s="1" t="s">
        <v>74</v>
      </c>
      <c r="AI629" s="1" t="s">
        <v>74</v>
      </c>
      <c r="AJ629" s="1" t="s">
        <v>74</v>
      </c>
      <c r="AK629" s="1" t="s">
        <v>74</v>
      </c>
      <c r="AL629" s="1" t="s">
        <v>74</v>
      </c>
      <c r="AM629" s="1" t="s">
        <v>74</v>
      </c>
      <c r="AN629" s="1" t="s">
        <v>74</v>
      </c>
      <c r="AO629" s="1" t="s">
        <v>6011</v>
      </c>
      <c r="AP629" s="1" t="s">
        <v>6012</v>
      </c>
      <c r="AQ629" s="1" t="s">
        <v>74</v>
      </c>
      <c r="AR629" s="1" t="s">
        <v>74</v>
      </c>
      <c r="AS629" s="1" t="s">
        <v>74</v>
      </c>
      <c r="AT629" s="1" t="s">
        <v>74</v>
      </c>
      <c r="AU629" s="1">
        <v>2022.0</v>
      </c>
      <c r="AV629" s="1" t="s">
        <v>74</v>
      </c>
      <c r="AW629" s="1">
        <v>52.0</v>
      </c>
      <c r="AX629" s="1" t="s">
        <v>74</v>
      </c>
      <c r="AY629" s="1" t="s">
        <v>74</v>
      </c>
      <c r="AZ629" s="1" t="s">
        <v>74</v>
      </c>
      <c r="BA629" s="1" t="s">
        <v>74</v>
      </c>
      <c r="BB629" s="1">
        <v>204.0</v>
      </c>
      <c r="BC629" s="1">
        <v>225.0</v>
      </c>
      <c r="BD629" s="1" t="s">
        <v>74</v>
      </c>
      <c r="BE629" s="1" t="s">
        <v>6013</v>
      </c>
      <c r="BF629" s="2" t="str">
        <f>HYPERLINK("http://dx.doi.org/10.7764/cdi.52.37535","http://dx.doi.org/10.7764/cdi.52.37535")</f>
        <v>http://dx.doi.org/10.7764/cdi.52.37535</v>
      </c>
      <c r="BG629" s="1" t="s">
        <v>74</v>
      </c>
      <c r="BH629" s="1" t="s">
        <v>74</v>
      </c>
      <c r="BI629" s="1" t="s">
        <v>74</v>
      </c>
      <c r="BJ629" s="1" t="s">
        <v>74</v>
      </c>
      <c r="BK629" s="1" t="s">
        <v>74</v>
      </c>
      <c r="BL629" s="1" t="s">
        <v>74</v>
      </c>
      <c r="BM629" s="1" t="s">
        <v>74</v>
      </c>
      <c r="BN629" s="1" t="s">
        <v>74</v>
      </c>
      <c r="BO629" s="1" t="s">
        <v>74</v>
      </c>
      <c r="BP629" s="1" t="s">
        <v>74</v>
      </c>
      <c r="BQ629" s="1" t="s">
        <v>74</v>
      </c>
      <c r="BR629" s="1" t="s">
        <v>74</v>
      </c>
      <c r="BS629" s="1" t="s">
        <v>6014</v>
      </c>
      <c r="BT629" s="1" t="str">
        <f>HYPERLINK("https%3A%2F%2Fwww.webofscience.com%2Fwos%2Fwoscc%2Ffull-record%2FWOS:000804187900011","View Full Record in Web of Science")</f>
        <v>View Full Record in Web of Science</v>
      </c>
    </row>
    <row r="630" ht="12.75" customHeight="1">
      <c r="A630" s="1" t="s">
        <v>72</v>
      </c>
      <c r="B630" s="1" t="s">
        <v>6015</v>
      </c>
      <c r="C630" s="1" t="s">
        <v>74</v>
      </c>
      <c r="D630" s="1" t="s">
        <v>74</v>
      </c>
      <c r="E630" s="1" t="s">
        <v>74</v>
      </c>
      <c r="F630" s="1" t="s">
        <v>6016</v>
      </c>
      <c r="G630" s="1" t="s">
        <v>74</v>
      </c>
      <c r="H630" s="1" t="s">
        <v>74</v>
      </c>
      <c r="I630" s="1" t="s">
        <v>6017</v>
      </c>
      <c r="J630" s="1" t="s">
        <v>2464</v>
      </c>
      <c r="K630" s="1" t="s">
        <v>74</v>
      </c>
      <c r="L630" s="1" t="s">
        <v>74</v>
      </c>
      <c r="M630" s="1" t="s">
        <v>74</v>
      </c>
      <c r="N630" s="1" t="s">
        <v>74</v>
      </c>
      <c r="O630" s="1" t="s">
        <v>74</v>
      </c>
      <c r="P630" s="1" t="s">
        <v>74</v>
      </c>
      <c r="Q630" s="1" t="s">
        <v>74</v>
      </c>
      <c r="R630" s="1" t="s">
        <v>74</v>
      </c>
      <c r="S630" s="1" t="s">
        <v>74</v>
      </c>
      <c r="T630" s="1" t="s">
        <v>74</v>
      </c>
      <c r="U630" s="1" t="s">
        <v>74</v>
      </c>
      <c r="V630" s="1" t="s">
        <v>6018</v>
      </c>
      <c r="W630" s="1" t="s">
        <v>74</v>
      </c>
      <c r="X630" s="1" t="s">
        <v>74</v>
      </c>
      <c r="Y630" s="1" t="s">
        <v>74</v>
      </c>
      <c r="Z630" s="1" t="s">
        <v>74</v>
      </c>
      <c r="AA630" s="1" t="s">
        <v>6019</v>
      </c>
      <c r="AB630" s="1" t="s">
        <v>6020</v>
      </c>
      <c r="AC630" s="1" t="s">
        <v>74</v>
      </c>
      <c r="AD630" s="1" t="s">
        <v>74</v>
      </c>
      <c r="AE630" s="1" t="s">
        <v>74</v>
      </c>
      <c r="AF630" s="1" t="s">
        <v>74</v>
      </c>
      <c r="AG630" s="1" t="s">
        <v>74</v>
      </c>
      <c r="AH630" s="1" t="s">
        <v>74</v>
      </c>
      <c r="AI630" s="1" t="s">
        <v>74</v>
      </c>
      <c r="AJ630" s="1" t="s">
        <v>74</v>
      </c>
      <c r="AK630" s="1" t="s">
        <v>74</v>
      </c>
      <c r="AL630" s="1" t="s">
        <v>74</v>
      </c>
      <c r="AM630" s="1" t="s">
        <v>74</v>
      </c>
      <c r="AN630" s="1" t="s">
        <v>74</v>
      </c>
      <c r="AO630" s="1" t="s">
        <v>74</v>
      </c>
      <c r="AP630" s="1" t="s">
        <v>2468</v>
      </c>
      <c r="AQ630" s="1" t="s">
        <v>74</v>
      </c>
      <c r="AR630" s="1" t="s">
        <v>74</v>
      </c>
      <c r="AS630" s="1" t="s">
        <v>74</v>
      </c>
      <c r="AT630" s="1" t="s">
        <v>169</v>
      </c>
      <c r="AU630" s="1">
        <v>2022.0</v>
      </c>
      <c r="AV630" s="1">
        <v>14.0</v>
      </c>
      <c r="AW630" s="1">
        <v>1.0</v>
      </c>
      <c r="AX630" s="1" t="s">
        <v>74</v>
      </c>
      <c r="AY630" s="1" t="s">
        <v>74</v>
      </c>
      <c r="AZ630" s="1" t="s">
        <v>74</v>
      </c>
      <c r="BA630" s="1" t="s">
        <v>74</v>
      </c>
      <c r="BB630" s="1" t="s">
        <v>74</v>
      </c>
      <c r="BC630" s="1" t="s">
        <v>74</v>
      </c>
      <c r="BD630" s="1">
        <v>95.0</v>
      </c>
      <c r="BE630" s="1" t="s">
        <v>6021</v>
      </c>
      <c r="BF630" s="2" t="str">
        <f>HYPERLINK("http://dx.doi.org/10.3390/w14010095","http://dx.doi.org/10.3390/w14010095")</f>
        <v>http://dx.doi.org/10.3390/w14010095</v>
      </c>
      <c r="BG630" s="1" t="s">
        <v>74</v>
      </c>
      <c r="BH630" s="1" t="s">
        <v>74</v>
      </c>
      <c r="BI630" s="1" t="s">
        <v>74</v>
      </c>
      <c r="BJ630" s="1" t="s">
        <v>74</v>
      </c>
      <c r="BK630" s="1" t="s">
        <v>74</v>
      </c>
      <c r="BL630" s="1" t="s">
        <v>74</v>
      </c>
      <c r="BM630" s="1" t="s">
        <v>74</v>
      </c>
      <c r="BN630" s="1" t="s">
        <v>74</v>
      </c>
      <c r="BO630" s="1" t="s">
        <v>74</v>
      </c>
      <c r="BP630" s="1" t="s">
        <v>74</v>
      </c>
      <c r="BQ630" s="1" t="s">
        <v>74</v>
      </c>
      <c r="BR630" s="1" t="s">
        <v>74</v>
      </c>
      <c r="BS630" s="1" t="s">
        <v>6022</v>
      </c>
      <c r="BT630" s="1" t="str">
        <f>HYPERLINK("https%3A%2F%2Fwww.webofscience.com%2Fwos%2Fwoscc%2Ffull-record%2FWOS:000758862600001","View Full Record in Web of Science")</f>
        <v>View Full Record in Web of Science</v>
      </c>
    </row>
    <row r="631" ht="12.75" customHeight="1">
      <c r="A631" s="1" t="s">
        <v>72</v>
      </c>
      <c r="B631" s="1" t="s">
        <v>6023</v>
      </c>
      <c r="C631" s="1" t="s">
        <v>74</v>
      </c>
      <c r="D631" s="1" t="s">
        <v>74</v>
      </c>
      <c r="E631" s="1" t="s">
        <v>74</v>
      </c>
      <c r="F631" s="1" t="s">
        <v>6024</v>
      </c>
      <c r="G631" s="1" t="s">
        <v>74</v>
      </c>
      <c r="H631" s="1" t="s">
        <v>74</v>
      </c>
      <c r="I631" s="1" t="s">
        <v>6025</v>
      </c>
      <c r="J631" s="1" t="s">
        <v>3995</v>
      </c>
      <c r="K631" s="1" t="s">
        <v>74</v>
      </c>
      <c r="L631" s="1" t="s">
        <v>74</v>
      </c>
      <c r="M631" s="1" t="s">
        <v>74</v>
      </c>
      <c r="N631" s="1" t="s">
        <v>74</v>
      </c>
      <c r="O631" s="1" t="s">
        <v>74</v>
      </c>
      <c r="P631" s="1" t="s">
        <v>74</v>
      </c>
      <c r="Q631" s="1" t="s">
        <v>74</v>
      </c>
      <c r="R631" s="1" t="s">
        <v>74</v>
      </c>
      <c r="S631" s="1" t="s">
        <v>74</v>
      </c>
      <c r="T631" s="1" t="s">
        <v>74</v>
      </c>
      <c r="U631" s="1" t="s">
        <v>74</v>
      </c>
      <c r="V631" s="1" t="s">
        <v>6026</v>
      </c>
      <c r="W631" s="1" t="s">
        <v>74</v>
      </c>
      <c r="X631" s="1" t="s">
        <v>74</v>
      </c>
      <c r="Y631" s="1" t="s">
        <v>74</v>
      </c>
      <c r="Z631" s="1" t="s">
        <v>74</v>
      </c>
      <c r="AA631" s="1" t="s">
        <v>74</v>
      </c>
      <c r="AB631" s="1" t="s">
        <v>74</v>
      </c>
      <c r="AC631" s="1" t="s">
        <v>74</v>
      </c>
      <c r="AD631" s="1" t="s">
        <v>74</v>
      </c>
      <c r="AE631" s="1" t="s">
        <v>74</v>
      </c>
      <c r="AF631" s="1" t="s">
        <v>74</v>
      </c>
      <c r="AG631" s="1" t="s">
        <v>74</v>
      </c>
      <c r="AH631" s="1" t="s">
        <v>74</v>
      </c>
      <c r="AI631" s="1" t="s">
        <v>74</v>
      </c>
      <c r="AJ631" s="1" t="s">
        <v>74</v>
      </c>
      <c r="AK631" s="1" t="s">
        <v>74</v>
      </c>
      <c r="AL631" s="1" t="s">
        <v>74</v>
      </c>
      <c r="AM631" s="1" t="s">
        <v>74</v>
      </c>
      <c r="AN631" s="1" t="s">
        <v>74</v>
      </c>
      <c r="AO631" s="1" t="s">
        <v>3997</v>
      </c>
      <c r="AP631" s="1" t="s">
        <v>3998</v>
      </c>
      <c r="AQ631" s="1" t="s">
        <v>74</v>
      </c>
      <c r="AR631" s="1" t="s">
        <v>74</v>
      </c>
      <c r="AS631" s="1" t="s">
        <v>74</v>
      </c>
      <c r="AT631" s="1" t="s">
        <v>459</v>
      </c>
      <c r="AU631" s="1">
        <v>2021.0</v>
      </c>
      <c r="AV631" s="1">
        <v>143.0</v>
      </c>
      <c r="AW631" s="1">
        <v>9.0</v>
      </c>
      <c r="AX631" s="1" t="s">
        <v>74</v>
      </c>
      <c r="AY631" s="1" t="s">
        <v>74</v>
      </c>
      <c r="AZ631" s="1" t="s">
        <v>74</v>
      </c>
      <c r="BA631" s="1" t="s">
        <v>74</v>
      </c>
      <c r="BB631" s="1" t="s">
        <v>74</v>
      </c>
      <c r="BC631" s="1" t="s">
        <v>74</v>
      </c>
      <c r="BD631" s="1">
        <v>91504.0</v>
      </c>
      <c r="BE631" s="1" t="s">
        <v>6027</v>
      </c>
      <c r="BF631" s="2" t="str">
        <f>HYPERLINK("http://dx.doi.org/10.1115/1.4050513","http://dx.doi.org/10.1115/1.4050513")</f>
        <v>http://dx.doi.org/10.1115/1.4050513</v>
      </c>
      <c r="BG631" s="1" t="s">
        <v>74</v>
      </c>
      <c r="BH631" s="1" t="s">
        <v>74</v>
      </c>
      <c r="BI631" s="1" t="s">
        <v>74</v>
      </c>
      <c r="BJ631" s="1" t="s">
        <v>74</v>
      </c>
      <c r="BK631" s="1" t="s">
        <v>74</v>
      </c>
      <c r="BL631" s="1" t="s">
        <v>74</v>
      </c>
      <c r="BM631" s="1" t="s">
        <v>74</v>
      </c>
      <c r="BN631" s="1" t="s">
        <v>74</v>
      </c>
      <c r="BO631" s="1" t="s">
        <v>74</v>
      </c>
      <c r="BP631" s="1" t="s">
        <v>74</v>
      </c>
      <c r="BQ631" s="1" t="s">
        <v>74</v>
      </c>
      <c r="BR631" s="1" t="s">
        <v>74</v>
      </c>
      <c r="BS631" s="1" t="s">
        <v>6028</v>
      </c>
      <c r="BT631" s="1" t="str">
        <f>HYPERLINK("https%3A%2F%2Fwww.webofscience.com%2Fwos%2Fwoscc%2Ffull-record%2FWOS:000683485900014","View Full Record in Web of Science")</f>
        <v>View Full Record in Web of Science</v>
      </c>
    </row>
    <row r="632" ht="12.75" customHeight="1">
      <c r="A632" s="1" t="s">
        <v>72</v>
      </c>
      <c r="B632" s="1" t="s">
        <v>6029</v>
      </c>
      <c r="C632" s="1" t="s">
        <v>74</v>
      </c>
      <c r="D632" s="1" t="s">
        <v>74</v>
      </c>
      <c r="E632" s="1" t="s">
        <v>74</v>
      </c>
      <c r="F632" s="1" t="s">
        <v>6030</v>
      </c>
      <c r="G632" s="1" t="s">
        <v>74</v>
      </c>
      <c r="H632" s="1" t="s">
        <v>74</v>
      </c>
      <c r="I632" s="1" t="s">
        <v>6031</v>
      </c>
      <c r="J632" s="1" t="s">
        <v>6032</v>
      </c>
      <c r="K632" s="1" t="s">
        <v>74</v>
      </c>
      <c r="L632" s="1" t="s">
        <v>74</v>
      </c>
      <c r="M632" s="1" t="s">
        <v>74</v>
      </c>
      <c r="N632" s="1" t="s">
        <v>74</v>
      </c>
      <c r="O632" s="1" t="s">
        <v>74</v>
      </c>
      <c r="P632" s="1" t="s">
        <v>74</v>
      </c>
      <c r="Q632" s="1" t="s">
        <v>74</v>
      </c>
      <c r="R632" s="1" t="s">
        <v>74</v>
      </c>
      <c r="S632" s="1" t="s">
        <v>74</v>
      </c>
      <c r="T632" s="1" t="s">
        <v>74</v>
      </c>
      <c r="U632" s="1" t="s">
        <v>74</v>
      </c>
      <c r="V632" s="1" t="s">
        <v>6033</v>
      </c>
      <c r="W632" s="1" t="s">
        <v>74</v>
      </c>
      <c r="X632" s="1" t="s">
        <v>74</v>
      </c>
      <c r="Y632" s="1" t="s">
        <v>74</v>
      </c>
      <c r="Z632" s="1" t="s">
        <v>74</v>
      </c>
      <c r="AA632" s="1" t="s">
        <v>6034</v>
      </c>
      <c r="AB632" s="1" t="s">
        <v>6035</v>
      </c>
      <c r="AC632" s="1" t="s">
        <v>74</v>
      </c>
      <c r="AD632" s="1" t="s">
        <v>74</v>
      </c>
      <c r="AE632" s="1" t="s">
        <v>74</v>
      </c>
      <c r="AF632" s="1" t="s">
        <v>74</v>
      </c>
      <c r="AG632" s="1" t="s">
        <v>74</v>
      </c>
      <c r="AH632" s="1" t="s">
        <v>74</v>
      </c>
      <c r="AI632" s="1" t="s">
        <v>74</v>
      </c>
      <c r="AJ632" s="1" t="s">
        <v>74</v>
      </c>
      <c r="AK632" s="1" t="s">
        <v>74</v>
      </c>
      <c r="AL632" s="1" t="s">
        <v>74</v>
      </c>
      <c r="AM632" s="1" t="s">
        <v>74</v>
      </c>
      <c r="AN632" s="1" t="s">
        <v>74</v>
      </c>
      <c r="AO632" s="1" t="s">
        <v>6036</v>
      </c>
      <c r="AP632" s="1" t="s">
        <v>6037</v>
      </c>
      <c r="AQ632" s="1" t="s">
        <v>74</v>
      </c>
      <c r="AR632" s="1" t="s">
        <v>74</v>
      </c>
      <c r="AS632" s="1" t="s">
        <v>74</v>
      </c>
      <c r="AT632" s="1" t="s">
        <v>2282</v>
      </c>
      <c r="AU632" s="1">
        <v>2022.0</v>
      </c>
      <c r="AV632" s="1">
        <v>367.0</v>
      </c>
      <c r="AW632" s="1" t="s">
        <v>74</v>
      </c>
      <c r="AX632" s="1" t="s">
        <v>74</v>
      </c>
      <c r="AY632" s="1" t="s">
        <v>74</v>
      </c>
      <c r="AZ632" s="1" t="s">
        <v>74</v>
      </c>
      <c r="BA632" s="1" t="s">
        <v>74</v>
      </c>
      <c r="BB632" s="1" t="s">
        <v>74</v>
      </c>
      <c r="BC632" s="1" t="s">
        <v>74</v>
      </c>
      <c r="BD632" s="1">
        <v>130676.0</v>
      </c>
      <c r="BE632" s="1" t="s">
        <v>6038</v>
      </c>
      <c r="BF632" s="2" t="str">
        <f>HYPERLINK("http://dx.doi.org/10.1016/j.foodchem.2021.130676","http://dx.doi.org/10.1016/j.foodchem.2021.130676")</f>
        <v>http://dx.doi.org/10.1016/j.foodchem.2021.130676</v>
      </c>
      <c r="BG632" s="1" t="s">
        <v>74</v>
      </c>
      <c r="BH632" s="1" t="s">
        <v>205</v>
      </c>
      <c r="BI632" s="1" t="s">
        <v>74</v>
      </c>
      <c r="BJ632" s="1" t="s">
        <v>74</v>
      </c>
      <c r="BK632" s="1" t="s">
        <v>74</v>
      </c>
      <c r="BL632" s="1" t="s">
        <v>74</v>
      </c>
      <c r="BM632" s="1" t="s">
        <v>74</v>
      </c>
      <c r="BN632" s="1">
        <v>3.436525E7</v>
      </c>
      <c r="BO632" s="1" t="s">
        <v>74</v>
      </c>
      <c r="BP632" s="1" t="s">
        <v>74</v>
      </c>
      <c r="BQ632" s="1" t="s">
        <v>74</v>
      </c>
      <c r="BR632" s="1" t="s">
        <v>74</v>
      </c>
      <c r="BS632" s="1" t="s">
        <v>6039</v>
      </c>
      <c r="BT632" s="1" t="str">
        <f>HYPERLINK("https%3A%2F%2Fwww.webofscience.com%2Fwos%2Fwoscc%2Ffull-record%2FWOS:000697379800004","View Full Record in Web of Science")</f>
        <v>View Full Record in Web of Science</v>
      </c>
    </row>
    <row r="633" ht="12.75" customHeight="1">
      <c r="A633" s="1" t="s">
        <v>72</v>
      </c>
      <c r="B633" s="1" t="s">
        <v>6040</v>
      </c>
      <c r="C633" s="1" t="s">
        <v>74</v>
      </c>
      <c r="D633" s="1" t="s">
        <v>74</v>
      </c>
      <c r="E633" s="1" t="s">
        <v>74</v>
      </c>
      <c r="F633" s="1" t="s">
        <v>6041</v>
      </c>
      <c r="G633" s="1" t="s">
        <v>74</v>
      </c>
      <c r="H633" s="1" t="s">
        <v>74</v>
      </c>
      <c r="I633" s="1" t="s">
        <v>6042</v>
      </c>
      <c r="J633" s="1" t="s">
        <v>6043</v>
      </c>
      <c r="K633" s="1" t="s">
        <v>74</v>
      </c>
      <c r="L633" s="1" t="s">
        <v>74</v>
      </c>
      <c r="M633" s="1" t="s">
        <v>74</v>
      </c>
      <c r="N633" s="1" t="s">
        <v>74</v>
      </c>
      <c r="O633" s="1" t="s">
        <v>74</v>
      </c>
      <c r="P633" s="1" t="s">
        <v>74</v>
      </c>
      <c r="Q633" s="1" t="s">
        <v>74</v>
      </c>
      <c r="R633" s="1" t="s">
        <v>74</v>
      </c>
      <c r="S633" s="1" t="s">
        <v>74</v>
      </c>
      <c r="T633" s="1" t="s">
        <v>74</v>
      </c>
      <c r="U633" s="1" t="s">
        <v>74</v>
      </c>
      <c r="V633" s="1" t="s">
        <v>6044</v>
      </c>
      <c r="W633" s="1" t="s">
        <v>74</v>
      </c>
      <c r="X633" s="1" t="s">
        <v>74</v>
      </c>
      <c r="Y633" s="1" t="s">
        <v>74</v>
      </c>
      <c r="Z633" s="1" t="s">
        <v>74</v>
      </c>
      <c r="AA633" s="1" t="s">
        <v>6045</v>
      </c>
      <c r="AB633" s="1" t="s">
        <v>6046</v>
      </c>
      <c r="AC633" s="1" t="s">
        <v>74</v>
      </c>
      <c r="AD633" s="1" t="s">
        <v>74</v>
      </c>
      <c r="AE633" s="1" t="s">
        <v>74</v>
      </c>
      <c r="AF633" s="1" t="s">
        <v>74</v>
      </c>
      <c r="AG633" s="1" t="s">
        <v>74</v>
      </c>
      <c r="AH633" s="1" t="s">
        <v>74</v>
      </c>
      <c r="AI633" s="1" t="s">
        <v>74</v>
      </c>
      <c r="AJ633" s="1" t="s">
        <v>74</v>
      </c>
      <c r="AK633" s="1" t="s">
        <v>74</v>
      </c>
      <c r="AL633" s="1" t="s">
        <v>74</v>
      </c>
      <c r="AM633" s="1" t="s">
        <v>74</v>
      </c>
      <c r="AN633" s="1" t="s">
        <v>74</v>
      </c>
      <c r="AO633" s="1" t="s">
        <v>6047</v>
      </c>
      <c r="AP633" s="1" t="s">
        <v>6048</v>
      </c>
      <c r="AQ633" s="1" t="s">
        <v>74</v>
      </c>
      <c r="AR633" s="1" t="s">
        <v>74</v>
      </c>
      <c r="AS633" s="1" t="s">
        <v>74</v>
      </c>
      <c r="AT633" s="1" t="s">
        <v>6049</v>
      </c>
      <c r="AU633" s="1">
        <v>2021.0</v>
      </c>
      <c r="AV633" s="1">
        <v>2021.0</v>
      </c>
      <c r="AW633" s="1" t="s">
        <v>74</v>
      </c>
      <c r="AX633" s="1" t="s">
        <v>74</v>
      </c>
      <c r="AY633" s="1" t="s">
        <v>74</v>
      </c>
      <c r="AZ633" s="1" t="s">
        <v>74</v>
      </c>
      <c r="BA633" s="1" t="s">
        <v>74</v>
      </c>
      <c r="BB633" s="1" t="s">
        <v>74</v>
      </c>
      <c r="BC633" s="1" t="s">
        <v>74</v>
      </c>
      <c r="BD633" s="1">
        <v>6632623.0</v>
      </c>
      <c r="BE633" s="1" t="s">
        <v>6050</v>
      </c>
      <c r="BF633" s="2" t="str">
        <f>HYPERLINK("http://dx.doi.org/10.1155/2021/6632623","http://dx.doi.org/10.1155/2021/6632623")</f>
        <v>http://dx.doi.org/10.1155/2021/6632623</v>
      </c>
      <c r="BG633" s="1" t="s">
        <v>74</v>
      </c>
      <c r="BH633" s="1" t="s">
        <v>74</v>
      </c>
      <c r="BI633" s="1" t="s">
        <v>74</v>
      </c>
      <c r="BJ633" s="1" t="s">
        <v>74</v>
      </c>
      <c r="BK633" s="1" t="s">
        <v>74</v>
      </c>
      <c r="BL633" s="1" t="s">
        <v>74</v>
      </c>
      <c r="BM633" s="1" t="s">
        <v>74</v>
      </c>
      <c r="BN633" s="1">
        <v>3.4104202E7</v>
      </c>
      <c r="BO633" s="1" t="s">
        <v>74</v>
      </c>
      <c r="BP633" s="1" t="s">
        <v>74</v>
      </c>
      <c r="BQ633" s="1" t="s">
        <v>74</v>
      </c>
      <c r="BR633" s="1" t="s">
        <v>74</v>
      </c>
      <c r="BS633" s="1" t="s">
        <v>6051</v>
      </c>
      <c r="BT633" s="1" t="str">
        <f>HYPERLINK("https%3A%2F%2Fwww.webofscience.com%2Fwos%2Fwoscc%2Ffull-record%2FWOS:000669021800003","View Full Record in Web of Science")</f>
        <v>View Full Record in Web of Science</v>
      </c>
    </row>
    <row r="634" ht="12.75" customHeight="1">
      <c r="A634" s="1" t="s">
        <v>72</v>
      </c>
      <c r="B634" s="1" t="s">
        <v>6052</v>
      </c>
      <c r="C634" s="1" t="s">
        <v>74</v>
      </c>
      <c r="D634" s="1" t="s">
        <v>74</v>
      </c>
      <c r="E634" s="1" t="s">
        <v>74</v>
      </c>
      <c r="F634" s="1" t="s">
        <v>6053</v>
      </c>
      <c r="G634" s="1" t="s">
        <v>74</v>
      </c>
      <c r="H634" s="1" t="s">
        <v>74</v>
      </c>
      <c r="I634" s="1" t="s">
        <v>6054</v>
      </c>
      <c r="J634" s="1" t="s">
        <v>6055</v>
      </c>
      <c r="K634" s="1" t="s">
        <v>74</v>
      </c>
      <c r="L634" s="1" t="s">
        <v>74</v>
      </c>
      <c r="M634" s="1" t="s">
        <v>74</v>
      </c>
      <c r="N634" s="1" t="s">
        <v>74</v>
      </c>
      <c r="O634" s="1" t="s">
        <v>74</v>
      </c>
      <c r="P634" s="1" t="s">
        <v>74</v>
      </c>
      <c r="Q634" s="1" t="s">
        <v>74</v>
      </c>
      <c r="R634" s="1" t="s">
        <v>74</v>
      </c>
      <c r="S634" s="1" t="s">
        <v>74</v>
      </c>
      <c r="T634" s="1" t="s">
        <v>74</v>
      </c>
      <c r="U634" s="1" t="s">
        <v>74</v>
      </c>
      <c r="V634" s="1" t="s">
        <v>6056</v>
      </c>
      <c r="W634" s="1" t="s">
        <v>74</v>
      </c>
      <c r="X634" s="1" t="s">
        <v>74</v>
      </c>
      <c r="Y634" s="1" t="s">
        <v>74</v>
      </c>
      <c r="Z634" s="1" t="s">
        <v>74</v>
      </c>
      <c r="AA634" s="1" t="s">
        <v>4776</v>
      </c>
      <c r="AB634" s="1" t="s">
        <v>6057</v>
      </c>
      <c r="AC634" s="1" t="s">
        <v>74</v>
      </c>
      <c r="AD634" s="1" t="s">
        <v>74</v>
      </c>
      <c r="AE634" s="1" t="s">
        <v>74</v>
      </c>
      <c r="AF634" s="1" t="s">
        <v>74</v>
      </c>
      <c r="AG634" s="1" t="s">
        <v>74</v>
      </c>
      <c r="AH634" s="1" t="s">
        <v>74</v>
      </c>
      <c r="AI634" s="1" t="s">
        <v>74</v>
      </c>
      <c r="AJ634" s="1" t="s">
        <v>74</v>
      </c>
      <c r="AK634" s="1" t="s">
        <v>74</v>
      </c>
      <c r="AL634" s="1" t="s">
        <v>74</v>
      </c>
      <c r="AM634" s="1" t="s">
        <v>74</v>
      </c>
      <c r="AN634" s="1" t="s">
        <v>74</v>
      </c>
      <c r="AO634" s="1" t="s">
        <v>6058</v>
      </c>
      <c r="AP634" s="1" t="s">
        <v>6059</v>
      </c>
      <c r="AQ634" s="1" t="s">
        <v>74</v>
      </c>
      <c r="AR634" s="1" t="s">
        <v>74</v>
      </c>
      <c r="AS634" s="1" t="s">
        <v>74</v>
      </c>
      <c r="AT634" s="1" t="s">
        <v>360</v>
      </c>
      <c r="AU634" s="1">
        <v>2021.0</v>
      </c>
      <c r="AV634" s="1">
        <v>37.0</v>
      </c>
      <c r="AW634" s="1" t="s">
        <v>74</v>
      </c>
      <c r="AX634" s="1" t="s">
        <v>74</v>
      </c>
      <c r="AY634" s="1" t="s">
        <v>74</v>
      </c>
      <c r="AZ634" s="1" t="s">
        <v>74</v>
      </c>
      <c r="BA634" s="1" t="s">
        <v>74</v>
      </c>
      <c r="BB634" s="1">
        <v>160.0</v>
      </c>
      <c r="BC634" s="1">
        <v>170.0</v>
      </c>
      <c r="BD634" s="1" t="s">
        <v>74</v>
      </c>
      <c r="BE634" s="1" t="s">
        <v>6060</v>
      </c>
      <c r="BF634" s="2" t="str">
        <f>HYPERLINK("http://dx.doi.org/10.1016/j.cofs.2020.10.013","http://dx.doi.org/10.1016/j.cofs.2020.10.013")</f>
        <v>http://dx.doi.org/10.1016/j.cofs.2020.10.013</v>
      </c>
      <c r="BG634" s="1" t="s">
        <v>74</v>
      </c>
      <c r="BH634" s="1" t="s">
        <v>74</v>
      </c>
      <c r="BI634" s="1" t="s">
        <v>74</v>
      </c>
      <c r="BJ634" s="1" t="s">
        <v>74</v>
      </c>
      <c r="BK634" s="1" t="s">
        <v>74</v>
      </c>
      <c r="BL634" s="1" t="s">
        <v>74</v>
      </c>
      <c r="BM634" s="1" t="s">
        <v>74</v>
      </c>
      <c r="BN634" s="1" t="s">
        <v>74</v>
      </c>
      <c r="BO634" s="1" t="s">
        <v>74</v>
      </c>
      <c r="BP634" s="1" t="s">
        <v>74</v>
      </c>
      <c r="BQ634" s="1" t="s">
        <v>74</v>
      </c>
      <c r="BR634" s="1" t="s">
        <v>74</v>
      </c>
      <c r="BS634" s="1" t="s">
        <v>6061</v>
      </c>
      <c r="BT634" s="1" t="str">
        <f>HYPERLINK("https%3A%2F%2Fwww.webofscience.com%2Fwos%2Fwoscc%2Ffull-record%2FWOS:000635066000023","View Full Record in Web of Science")</f>
        <v>View Full Record in Web of Science</v>
      </c>
    </row>
    <row r="635" ht="12.75" customHeight="1">
      <c r="A635" s="1" t="s">
        <v>72</v>
      </c>
      <c r="B635" s="1" t="s">
        <v>6062</v>
      </c>
      <c r="C635" s="1" t="s">
        <v>74</v>
      </c>
      <c r="D635" s="1" t="s">
        <v>74</v>
      </c>
      <c r="E635" s="1" t="s">
        <v>74</v>
      </c>
      <c r="F635" s="1" t="s">
        <v>6063</v>
      </c>
      <c r="G635" s="1" t="s">
        <v>74</v>
      </c>
      <c r="H635" s="1" t="s">
        <v>74</v>
      </c>
      <c r="I635" s="1" t="s">
        <v>6064</v>
      </c>
      <c r="J635" s="1" t="s">
        <v>197</v>
      </c>
      <c r="K635" s="1" t="s">
        <v>74</v>
      </c>
      <c r="L635" s="1" t="s">
        <v>74</v>
      </c>
      <c r="M635" s="1" t="s">
        <v>74</v>
      </c>
      <c r="N635" s="1" t="s">
        <v>74</v>
      </c>
      <c r="O635" s="1" t="s">
        <v>74</v>
      </c>
      <c r="P635" s="1" t="s">
        <v>74</v>
      </c>
      <c r="Q635" s="1" t="s">
        <v>74</v>
      </c>
      <c r="R635" s="1" t="s">
        <v>74</v>
      </c>
      <c r="S635" s="1" t="s">
        <v>74</v>
      </c>
      <c r="T635" s="1" t="s">
        <v>74</v>
      </c>
      <c r="U635" s="1" t="s">
        <v>74</v>
      </c>
      <c r="V635" s="1" t="s">
        <v>6065</v>
      </c>
      <c r="W635" s="1" t="s">
        <v>74</v>
      </c>
      <c r="X635" s="1" t="s">
        <v>74</v>
      </c>
      <c r="Y635" s="1" t="s">
        <v>74</v>
      </c>
      <c r="Z635" s="1" t="s">
        <v>74</v>
      </c>
      <c r="AA635" s="1" t="s">
        <v>1285</v>
      </c>
      <c r="AB635" s="1" t="s">
        <v>6066</v>
      </c>
      <c r="AC635" s="1" t="s">
        <v>74</v>
      </c>
      <c r="AD635" s="1" t="s">
        <v>74</v>
      </c>
      <c r="AE635" s="1" t="s">
        <v>74</v>
      </c>
      <c r="AF635" s="1" t="s">
        <v>74</v>
      </c>
      <c r="AG635" s="1" t="s">
        <v>74</v>
      </c>
      <c r="AH635" s="1" t="s">
        <v>74</v>
      </c>
      <c r="AI635" s="1" t="s">
        <v>74</v>
      </c>
      <c r="AJ635" s="1" t="s">
        <v>74</v>
      </c>
      <c r="AK635" s="1" t="s">
        <v>74</v>
      </c>
      <c r="AL635" s="1" t="s">
        <v>74</v>
      </c>
      <c r="AM635" s="1" t="s">
        <v>74</v>
      </c>
      <c r="AN635" s="1" t="s">
        <v>74</v>
      </c>
      <c r="AO635" s="1" t="s">
        <v>201</v>
      </c>
      <c r="AP635" s="1" t="s">
        <v>202</v>
      </c>
      <c r="AQ635" s="1" t="s">
        <v>74</v>
      </c>
      <c r="AR635" s="1" t="s">
        <v>74</v>
      </c>
      <c r="AS635" s="1" t="s">
        <v>74</v>
      </c>
      <c r="AT635" s="1" t="s">
        <v>3135</v>
      </c>
      <c r="AU635" s="1">
        <v>2021.0</v>
      </c>
      <c r="AV635" s="1">
        <v>761.0</v>
      </c>
      <c r="AW635" s="1" t="s">
        <v>74</v>
      </c>
      <c r="AX635" s="1" t="s">
        <v>74</v>
      </c>
      <c r="AY635" s="1" t="s">
        <v>74</v>
      </c>
      <c r="AZ635" s="1" t="s">
        <v>74</v>
      </c>
      <c r="BA635" s="1" t="s">
        <v>74</v>
      </c>
      <c r="BB635" s="1" t="s">
        <v>74</v>
      </c>
      <c r="BC635" s="1" t="s">
        <v>74</v>
      </c>
      <c r="BD635" s="1">
        <v>143204.0</v>
      </c>
      <c r="BE635" s="1" t="s">
        <v>6067</v>
      </c>
      <c r="BF635" s="2" t="str">
        <f>HYPERLINK("http://dx.doi.org/10.1016/j.scitotenv.2020.143204","http://dx.doi.org/10.1016/j.scitotenv.2020.143204")</f>
        <v>http://dx.doi.org/10.1016/j.scitotenv.2020.143204</v>
      </c>
      <c r="BG635" s="1" t="s">
        <v>74</v>
      </c>
      <c r="BH635" s="1" t="s">
        <v>4026</v>
      </c>
      <c r="BI635" s="1" t="s">
        <v>74</v>
      </c>
      <c r="BJ635" s="1" t="s">
        <v>74</v>
      </c>
      <c r="BK635" s="1" t="s">
        <v>74</v>
      </c>
      <c r="BL635" s="1" t="s">
        <v>74</v>
      </c>
      <c r="BM635" s="1" t="s">
        <v>74</v>
      </c>
      <c r="BN635" s="1">
        <v>3.3162125E7</v>
      </c>
      <c r="BO635" s="1" t="s">
        <v>74</v>
      </c>
      <c r="BP635" s="1" t="s">
        <v>74</v>
      </c>
      <c r="BQ635" s="1" t="s">
        <v>74</v>
      </c>
      <c r="BR635" s="1" t="s">
        <v>74</v>
      </c>
      <c r="BS635" s="1" t="s">
        <v>6068</v>
      </c>
      <c r="BT635" s="1" t="str">
        <f>HYPERLINK("https%3A%2F%2Fwww.webofscience.com%2Fwos%2Fwoscc%2Ffull-record%2FWOS:000607780900020","View Full Record in Web of Science")</f>
        <v>View Full Record in Web of Science</v>
      </c>
    </row>
    <row r="636" ht="12.75" customHeight="1">
      <c r="A636" s="1" t="s">
        <v>251</v>
      </c>
      <c r="B636" s="1" t="s">
        <v>6069</v>
      </c>
      <c r="C636" s="1" t="s">
        <v>74</v>
      </c>
      <c r="D636" s="1" t="s">
        <v>74</v>
      </c>
      <c r="E636" s="1" t="s">
        <v>253</v>
      </c>
      <c r="F636" s="1" t="s">
        <v>6070</v>
      </c>
      <c r="G636" s="1" t="s">
        <v>74</v>
      </c>
      <c r="H636" s="1" t="s">
        <v>74</v>
      </c>
      <c r="I636" s="1" t="s">
        <v>6071</v>
      </c>
      <c r="J636" s="1" t="s">
        <v>6072</v>
      </c>
      <c r="K636" s="1" t="s">
        <v>74</v>
      </c>
      <c r="L636" s="1" t="s">
        <v>74</v>
      </c>
      <c r="M636" s="1" t="s">
        <v>74</v>
      </c>
      <c r="N636" s="1" t="s">
        <v>74</v>
      </c>
      <c r="O636" s="1" t="s">
        <v>6073</v>
      </c>
      <c r="P636" s="1" t="s">
        <v>6074</v>
      </c>
      <c r="Q636" s="1" t="s">
        <v>259</v>
      </c>
      <c r="R636" s="1" t="s">
        <v>6075</v>
      </c>
      <c r="S636" s="1" t="s">
        <v>74</v>
      </c>
      <c r="T636" s="1" t="s">
        <v>74</v>
      </c>
      <c r="U636" s="1" t="s">
        <v>74</v>
      </c>
      <c r="V636" s="1" t="s">
        <v>6076</v>
      </c>
      <c r="W636" s="1" t="s">
        <v>74</v>
      </c>
      <c r="X636" s="1" t="s">
        <v>74</v>
      </c>
      <c r="Y636" s="1" t="s">
        <v>74</v>
      </c>
      <c r="Z636" s="1" t="s">
        <v>74</v>
      </c>
      <c r="AA636" s="1" t="s">
        <v>6077</v>
      </c>
      <c r="AB636" s="1" t="s">
        <v>6078</v>
      </c>
      <c r="AC636" s="1" t="s">
        <v>74</v>
      </c>
      <c r="AD636" s="1" t="s">
        <v>74</v>
      </c>
      <c r="AE636" s="1" t="s">
        <v>74</v>
      </c>
      <c r="AF636" s="1" t="s">
        <v>74</v>
      </c>
      <c r="AG636" s="1" t="s">
        <v>74</v>
      </c>
      <c r="AH636" s="1" t="s">
        <v>74</v>
      </c>
      <c r="AI636" s="1" t="s">
        <v>74</v>
      </c>
      <c r="AJ636" s="1" t="s">
        <v>74</v>
      </c>
      <c r="AK636" s="1" t="s">
        <v>74</v>
      </c>
      <c r="AL636" s="1" t="s">
        <v>74</v>
      </c>
      <c r="AM636" s="1" t="s">
        <v>74</v>
      </c>
      <c r="AN636" s="1" t="s">
        <v>74</v>
      </c>
      <c r="AO636" s="1" t="s">
        <v>74</v>
      </c>
      <c r="AP636" s="1" t="s">
        <v>74</v>
      </c>
      <c r="AQ636" s="1" t="s">
        <v>6079</v>
      </c>
      <c r="AR636" s="1" t="s">
        <v>74</v>
      </c>
      <c r="AS636" s="1" t="s">
        <v>74</v>
      </c>
      <c r="AT636" s="1" t="s">
        <v>74</v>
      </c>
      <c r="AU636" s="1">
        <v>2021.0</v>
      </c>
      <c r="AV636" s="1" t="s">
        <v>74</v>
      </c>
      <c r="AW636" s="1" t="s">
        <v>74</v>
      </c>
      <c r="AX636" s="1" t="s">
        <v>74</v>
      </c>
      <c r="AY636" s="1" t="s">
        <v>74</v>
      </c>
      <c r="AZ636" s="1" t="s">
        <v>74</v>
      </c>
      <c r="BA636" s="1" t="s">
        <v>74</v>
      </c>
      <c r="BB636" s="1" t="s">
        <v>74</v>
      </c>
      <c r="BC636" s="1" t="s">
        <v>74</v>
      </c>
      <c r="BD636" s="1" t="s">
        <v>74</v>
      </c>
      <c r="BE636" s="1" t="s">
        <v>6080</v>
      </c>
      <c r="BF636" s="2" t="str">
        <f>HYPERLINK("http://dx.doi.org/10.1109/PowerTech46648.2021.9494789","http://dx.doi.org/10.1109/PowerTech46648.2021.9494789")</f>
        <v>http://dx.doi.org/10.1109/PowerTech46648.2021.9494789</v>
      </c>
      <c r="BG636" s="1" t="s">
        <v>74</v>
      </c>
      <c r="BH636" s="1" t="s">
        <v>74</v>
      </c>
      <c r="BI636" s="1" t="s">
        <v>74</v>
      </c>
      <c r="BJ636" s="1" t="s">
        <v>74</v>
      </c>
      <c r="BK636" s="1" t="s">
        <v>74</v>
      </c>
      <c r="BL636" s="1" t="s">
        <v>74</v>
      </c>
      <c r="BM636" s="1" t="s">
        <v>74</v>
      </c>
      <c r="BN636" s="1" t="s">
        <v>74</v>
      </c>
      <c r="BO636" s="1" t="s">
        <v>74</v>
      </c>
      <c r="BP636" s="1" t="s">
        <v>74</v>
      </c>
      <c r="BQ636" s="1" t="s">
        <v>74</v>
      </c>
      <c r="BR636" s="1" t="s">
        <v>74</v>
      </c>
      <c r="BS636" s="1" t="s">
        <v>6081</v>
      </c>
      <c r="BT636" s="1" t="str">
        <f>HYPERLINK("https%3A%2F%2Fwww.webofscience.com%2Fwos%2Fwoscc%2Ffull-record%2FWOS:000848778000041","View Full Record in Web of Science")</f>
        <v>View Full Record in Web of Science</v>
      </c>
    </row>
    <row r="637" ht="12.75" customHeight="1">
      <c r="A637" s="1" t="s">
        <v>72</v>
      </c>
      <c r="B637" s="1" t="s">
        <v>6082</v>
      </c>
      <c r="C637" s="1" t="s">
        <v>74</v>
      </c>
      <c r="D637" s="1" t="s">
        <v>74</v>
      </c>
      <c r="E637" s="1" t="s">
        <v>74</v>
      </c>
      <c r="F637" s="1" t="s">
        <v>6083</v>
      </c>
      <c r="G637" s="1" t="s">
        <v>74</v>
      </c>
      <c r="H637" s="1" t="s">
        <v>74</v>
      </c>
      <c r="I637" s="1" t="s">
        <v>6084</v>
      </c>
      <c r="J637" s="1" t="s">
        <v>2478</v>
      </c>
      <c r="K637" s="1" t="s">
        <v>74</v>
      </c>
      <c r="L637" s="1" t="s">
        <v>74</v>
      </c>
      <c r="M637" s="1" t="s">
        <v>74</v>
      </c>
      <c r="N637" s="1" t="s">
        <v>74</v>
      </c>
      <c r="O637" s="1" t="s">
        <v>74</v>
      </c>
      <c r="P637" s="1" t="s">
        <v>74</v>
      </c>
      <c r="Q637" s="1" t="s">
        <v>74</v>
      </c>
      <c r="R637" s="1" t="s">
        <v>74</v>
      </c>
      <c r="S637" s="1" t="s">
        <v>74</v>
      </c>
      <c r="T637" s="1" t="s">
        <v>74</v>
      </c>
      <c r="U637" s="1" t="s">
        <v>74</v>
      </c>
      <c r="V637" s="1" t="s">
        <v>6085</v>
      </c>
      <c r="W637" s="1" t="s">
        <v>74</v>
      </c>
      <c r="X637" s="1" t="s">
        <v>74</v>
      </c>
      <c r="Y637" s="1" t="s">
        <v>74</v>
      </c>
      <c r="Z637" s="1" t="s">
        <v>74</v>
      </c>
      <c r="AA637" s="1" t="s">
        <v>6086</v>
      </c>
      <c r="AB637" s="1" t="s">
        <v>6087</v>
      </c>
      <c r="AC637" s="1" t="s">
        <v>74</v>
      </c>
      <c r="AD637" s="1" t="s">
        <v>74</v>
      </c>
      <c r="AE637" s="1" t="s">
        <v>74</v>
      </c>
      <c r="AF637" s="1" t="s">
        <v>74</v>
      </c>
      <c r="AG637" s="1" t="s">
        <v>74</v>
      </c>
      <c r="AH637" s="1" t="s">
        <v>74</v>
      </c>
      <c r="AI637" s="1" t="s">
        <v>74</v>
      </c>
      <c r="AJ637" s="1" t="s">
        <v>74</v>
      </c>
      <c r="AK637" s="1" t="s">
        <v>74</v>
      </c>
      <c r="AL637" s="1" t="s">
        <v>74</v>
      </c>
      <c r="AM637" s="1" t="s">
        <v>74</v>
      </c>
      <c r="AN637" s="1" t="s">
        <v>74</v>
      </c>
      <c r="AO637" s="1" t="s">
        <v>2482</v>
      </c>
      <c r="AP637" s="1" t="s">
        <v>2483</v>
      </c>
      <c r="AQ637" s="1" t="s">
        <v>74</v>
      </c>
      <c r="AR637" s="1" t="s">
        <v>74</v>
      </c>
      <c r="AS637" s="1" t="s">
        <v>74</v>
      </c>
      <c r="AT637" s="1" t="s">
        <v>74</v>
      </c>
      <c r="AU637" s="1">
        <v>2021.0</v>
      </c>
      <c r="AV637" s="1">
        <v>45.0</v>
      </c>
      <c r="AW637" s="1" t="s">
        <v>74</v>
      </c>
      <c r="AX637" s="1" t="s">
        <v>74</v>
      </c>
      <c r="AY637" s="1" t="s">
        <v>74</v>
      </c>
      <c r="AZ637" s="1" t="s">
        <v>74</v>
      </c>
      <c r="BA637" s="1" t="s">
        <v>74</v>
      </c>
      <c r="BB637" s="1" t="s">
        <v>74</v>
      </c>
      <c r="BC637" s="1" t="s">
        <v>74</v>
      </c>
      <c r="BD637" s="1" t="s">
        <v>6088</v>
      </c>
      <c r="BE637" s="1" t="s">
        <v>6089</v>
      </c>
      <c r="BF637" s="2" t="str">
        <f>HYPERLINK("http://dx.doi.org/10.26633/RPSP.2021.140","http://dx.doi.org/10.26633/RPSP.2021.140")</f>
        <v>http://dx.doi.org/10.26633/RPSP.2021.140</v>
      </c>
      <c r="BG637" s="1" t="s">
        <v>74</v>
      </c>
      <c r="BH637" s="1" t="s">
        <v>74</v>
      </c>
      <c r="BI637" s="1" t="s">
        <v>74</v>
      </c>
      <c r="BJ637" s="1" t="s">
        <v>74</v>
      </c>
      <c r="BK637" s="1" t="s">
        <v>74</v>
      </c>
      <c r="BL637" s="1" t="s">
        <v>74</v>
      </c>
      <c r="BM637" s="1" t="s">
        <v>74</v>
      </c>
      <c r="BN637" s="1" t="s">
        <v>74</v>
      </c>
      <c r="BO637" s="1" t="s">
        <v>74</v>
      </c>
      <c r="BP637" s="1" t="s">
        <v>74</v>
      </c>
      <c r="BQ637" s="1" t="s">
        <v>74</v>
      </c>
      <c r="BR637" s="1" t="s">
        <v>74</v>
      </c>
      <c r="BS637" s="1" t="s">
        <v>6090</v>
      </c>
      <c r="BT637" s="1" t="str">
        <f>HYPERLINK("https%3A%2F%2Fwww.webofscience.com%2Fwos%2Fwoscc%2Ffull-record%2FWOS:000729811900001","View Full Record in Web of Science")</f>
        <v>View Full Record in Web of Science</v>
      </c>
    </row>
    <row r="638" ht="12.75" customHeight="1">
      <c r="A638" s="1" t="s">
        <v>72</v>
      </c>
      <c r="B638" s="1" t="s">
        <v>6091</v>
      </c>
      <c r="C638" s="1" t="s">
        <v>74</v>
      </c>
      <c r="D638" s="1" t="s">
        <v>74</v>
      </c>
      <c r="E638" s="1" t="s">
        <v>74</v>
      </c>
      <c r="F638" s="1" t="s">
        <v>6092</v>
      </c>
      <c r="G638" s="1" t="s">
        <v>74</v>
      </c>
      <c r="H638" s="1" t="s">
        <v>74</v>
      </c>
      <c r="I638" s="1" t="s">
        <v>6093</v>
      </c>
      <c r="J638" s="1" t="s">
        <v>197</v>
      </c>
      <c r="K638" s="1" t="s">
        <v>74</v>
      </c>
      <c r="L638" s="1" t="s">
        <v>74</v>
      </c>
      <c r="M638" s="1" t="s">
        <v>74</v>
      </c>
      <c r="N638" s="1" t="s">
        <v>74</v>
      </c>
      <c r="O638" s="1" t="s">
        <v>74</v>
      </c>
      <c r="P638" s="1" t="s">
        <v>74</v>
      </c>
      <c r="Q638" s="1" t="s">
        <v>74</v>
      </c>
      <c r="R638" s="1" t="s">
        <v>74</v>
      </c>
      <c r="S638" s="1" t="s">
        <v>74</v>
      </c>
      <c r="T638" s="1" t="s">
        <v>74</v>
      </c>
      <c r="U638" s="1" t="s">
        <v>74</v>
      </c>
      <c r="V638" s="1" t="s">
        <v>6094</v>
      </c>
      <c r="W638" s="1" t="s">
        <v>74</v>
      </c>
      <c r="X638" s="1" t="s">
        <v>74</v>
      </c>
      <c r="Y638" s="1" t="s">
        <v>74</v>
      </c>
      <c r="Z638" s="1" t="s">
        <v>74</v>
      </c>
      <c r="AA638" s="1" t="s">
        <v>6095</v>
      </c>
      <c r="AB638" s="1" t="s">
        <v>6096</v>
      </c>
      <c r="AC638" s="1" t="s">
        <v>74</v>
      </c>
      <c r="AD638" s="1" t="s">
        <v>74</v>
      </c>
      <c r="AE638" s="1" t="s">
        <v>74</v>
      </c>
      <c r="AF638" s="1" t="s">
        <v>74</v>
      </c>
      <c r="AG638" s="1" t="s">
        <v>74</v>
      </c>
      <c r="AH638" s="1" t="s">
        <v>74</v>
      </c>
      <c r="AI638" s="1" t="s">
        <v>74</v>
      </c>
      <c r="AJ638" s="1" t="s">
        <v>74</v>
      </c>
      <c r="AK638" s="1" t="s">
        <v>74</v>
      </c>
      <c r="AL638" s="1" t="s">
        <v>74</v>
      </c>
      <c r="AM638" s="1" t="s">
        <v>74</v>
      </c>
      <c r="AN638" s="1" t="s">
        <v>74</v>
      </c>
      <c r="AO638" s="1" t="s">
        <v>201</v>
      </c>
      <c r="AP638" s="1" t="s">
        <v>202</v>
      </c>
      <c r="AQ638" s="1" t="s">
        <v>74</v>
      </c>
      <c r="AR638" s="1" t="s">
        <v>74</v>
      </c>
      <c r="AS638" s="1" t="s">
        <v>74</v>
      </c>
      <c r="AT638" s="1" t="s">
        <v>6097</v>
      </c>
      <c r="AU638" s="1">
        <v>2020.0</v>
      </c>
      <c r="AV638" s="1">
        <v>738.0</v>
      </c>
      <c r="AW638" s="1" t="s">
        <v>74</v>
      </c>
      <c r="AX638" s="1" t="s">
        <v>74</v>
      </c>
      <c r="AY638" s="1" t="s">
        <v>74</v>
      </c>
      <c r="AZ638" s="1" t="s">
        <v>74</v>
      </c>
      <c r="BA638" s="1" t="s">
        <v>74</v>
      </c>
      <c r="BB638" s="1" t="s">
        <v>74</v>
      </c>
      <c r="BC638" s="1" t="s">
        <v>74</v>
      </c>
      <c r="BD638" s="1">
        <v>139589.0</v>
      </c>
      <c r="BE638" s="1" t="s">
        <v>6098</v>
      </c>
      <c r="BF638" s="2" t="str">
        <f>HYPERLINK("http://dx.doi.org/10.1016/j.scitotenv.2020.139589","http://dx.doi.org/10.1016/j.scitotenv.2020.139589")</f>
        <v>http://dx.doi.org/10.1016/j.scitotenv.2020.139589</v>
      </c>
      <c r="BG638" s="1" t="s">
        <v>74</v>
      </c>
      <c r="BH638" s="1" t="s">
        <v>74</v>
      </c>
      <c r="BI638" s="1" t="s">
        <v>74</v>
      </c>
      <c r="BJ638" s="1" t="s">
        <v>74</v>
      </c>
      <c r="BK638" s="1" t="s">
        <v>74</v>
      </c>
      <c r="BL638" s="1" t="s">
        <v>74</v>
      </c>
      <c r="BM638" s="1" t="s">
        <v>74</v>
      </c>
      <c r="BN638" s="1">
        <v>3.2531583E7</v>
      </c>
      <c r="BO638" s="1" t="s">
        <v>74</v>
      </c>
      <c r="BP638" s="1" t="s">
        <v>74</v>
      </c>
      <c r="BQ638" s="1" t="s">
        <v>74</v>
      </c>
      <c r="BR638" s="1" t="s">
        <v>74</v>
      </c>
      <c r="BS638" s="1" t="s">
        <v>6099</v>
      </c>
      <c r="BT638" s="1" t="str">
        <f>HYPERLINK("https%3A%2F%2Fwww.webofscience.com%2Fwos%2Fwoscc%2Ffull-record%2FWOS:000568707900006","View Full Record in Web of Science")</f>
        <v>View Full Record in Web of Science</v>
      </c>
    </row>
    <row r="639" ht="12.75" customHeight="1">
      <c r="A639" s="1" t="s">
        <v>72</v>
      </c>
      <c r="B639" s="1" t="s">
        <v>6100</v>
      </c>
      <c r="C639" s="1" t="s">
        <v>74</v>
      </c>
      <c r="D639" s="1" t="s">
        <v>74</v>
      </c>
      <c r="E639" s="1" t="s">
        <v>74</v>
      </c>
      <c r="F639" s="1" t="s">
        <v>6101</v>
      </c>
      <c r="G639" s="1" t="s">
        <v>74</v>
      </c>
      <c r="H639" s="1" t="s">
        <v>74</v>
      </c>
      <c r="I639" s="1" t="s">
        <v>6102</v>
      </c>
      <c r="J639" s="1" t="s">
        <v>6103</v>
      </c>
      <c r="K639" s="1" t="s">
        <v>74</v>
      </c>
      <c r="L639" s="1" t="s">
        <v>74</v>
      </c>
      <c r="M639" s="1" t="s">
        <v>74</v>
      </c>
      <c r="N639" s="1" t="s">
        <v>74</v>
      </c>
      <c r="O639" s="1" t="s">
        <v>74</v>
      </c>
      <c r="P639" s="1" t="s">
        <v>74</v>
      </c>
      <c r="Q639" s="1" t="s">
        <v>74</v>
      </c>
      <c r="R639" s="1" t="s">
        <v>74</v>
      </c>
      <c r="S639" s="1" t="s">
        <v>74</v>
      </c>
      <c r="T639" s="1" t="s">
        <v>74</v>
      </c>
      <c r="U639" s="1" t="s">
        <v>74</v>
      </c>
      <c r="V639" s="1" t="s">
        <v>6104</v>
      </c>
      <c r="W639" s="1" t="s">
        <v>74</v>
      </c>
      <c r="X639" s="1" t="s">
        <v>74</v>
      </c>
      <c r="Y639" s="1" t="s">
        <v>74</v>
      </c>
      <c r="Z639" s="1" t="s">
        <v>74</v>
      </c>
      <c r="AA639" s="1" t="s">
        <v>6105</v>
      </c>
      <c r="AB639" s="1" t="s">
        <v>74</v>
      </c>
      <c r="AC639" s="1" t="s">
        <v>74</v>
      </c>
      <c r="AD639" s="1" t="s">
        <v>74</v>
      </c>
      <c r="AE639" s="1" t="s">
        <v>74</v>
      </c>
      <c r="AF639" s="1" t="s">
        <v>74</v>
      </c>
      <c r="AG639" s="1" t="s">
        <v>74</v>
      </c>
      <c r="AH639" s="1" t="s">
        <v>74</v>
      </c>
      <c r="AI639" s="1" t="s">
        <v>74</v>
      </c>
      <c r="AJ639" s="1" t="s">
        <v>74</v>
      </c>
      <c r="AK639" s="1" t="s">
        <v>74</v>
      </c>
      <c r="AL639" s="1" t="s">
        <v>74</v>
      </c>
      <c r="AM639" s="1" t="s">
        <v>74</v>
      </c>
      <c r="AN639" s="1" t="s">
        <v>74</v>
      </c>
      <c r="AO639" s="1" t="s">
        <v>6106</v>
      </c>
      <c r="AP639" s="1" t="s">
        <v>6107</v>
      </c>
      <c r="AQ639" s="1" t="s">
        <v>74</v>
      </c>
      <c r="AR639" s="1" t="s">
        <v>74</v>
      </c>
      <c r="AS639" s="1" t="s">
        <v>74</v>
      </c>
      <c r="AT639" s="1" t="s">
        <v>320</v>
      </c>
      <c r="AU639" s="1">
        <v>2020.0</v>
      </c>
      <c r="AV639" s="1">
        <v>9.0</v>
      </c>
      <c r="AW639" s="1">
        <v>2.0</v>
      </c>
      <c r="AX639" s="1" t="s">
        <v>74</v>
      </c>
      <c r="AY639" s="1" t="s">
        <v>74</v>
      </c>
      <c r="AZ639" s="1" t="s">
        <v>74</v>
      </c>
      <c r="BA639" s="1" t="s">
        <v>74</v>
      </c>
      <c r="BB639" s="1">
        <v>151.0</v>
      </c>
      <c r="BC639" s="1">
        <v>169.0</v>
      </c>
      <c r="BD639" s="1" t="s">
        <v>74</v>
      </c>
      <c r="BE639" s="1" t="s">
        <v>6108</v>
      </c>
      <c r="BF639" s="2" t="str">
        <f>HYPERLINK("http://dx.doi.org/10.22370/rgp.2020.9.2.2920","http://dx.doi.org/10.22370/rgp.2020.9.2.2920")</f>
        <v>http://dx.doi.org/10.22370/rgp.2020.9.2.2920</v>
      </c>
      <c r="BG639" s="1" t="s">
        <v>74</v>
      </c>
      <c r="BH639" s="1" t="s">
        <v>74</v>
      </c>
      <c r="BI639" s="1" t="s">
        <v>74</v>
      </c>
      <c r="BJ639" s="1" t="s">
        <v>74</v>
      </c>
      <c r="BK639" s="1" t="s">
        <v>74</v>
      </c>
      <c r="BL639" s="1" t="s">
        <v>74</v>
      </c>
      <c r="BM639" s="1" t="s">
        <v>74</v>
      </c>
      <c r="BN639" s="1" t="s">
        <v>74</v>
      </c>
      <c r="BO639" s="1" t="s">
        <v>74</v>
      </c>
      <c r="BP639" s="1" t="s">
        <v>74</v>
      </c>
      <c r="BQ639" s="1" t="s">
        <v>74</v>
      </c>
      <c r="BR639" s="1" t="s">
        <v>74</v>
      </c>
      <c r="BS639" s="1" t="s">
        <v>6109</v>
      </c>
      <c r="BT639" s="1" t="str">
        <f>HYPERLINK("https%3A%2F%2Fwww.webofscience.com%2Fwos%2Fwoscc%2Ffull-record%2FWOS:000687823700001","View Full Record in Web of Science")</f>
        <v>View Full Record in Web of Science</v>
      </c>
    </row>
    <row r="640" ht="12.75" customHeight="1">
      <c r="A640" s="1" t="s">
        <v>72</v>
      </c>
      <c r="B640" s="1" t="s">
        <v>6110</v>
      </c>
      <c r="C640" s="1" t="s">
        <v>74</v>
      </c>
      <c r="D640" s="1" t="s">
        <v>74</v>
      </c>
      <c r="E640" s="1" t="s">
        <v>74</v>
      </c>
      <c r="F640" s="1" t="s">
        <v>6111</v>
      </c>
      <c r="G640" s="1" t="s">
        <v>74</v>
      </c>
      <c r="H640" s="1" t="s">
        <v>74</v>
      </c>
      <c r="I640" s="1" t="s">
        <v>6112</v>
      </c>
      <c r="J640" s="1" t="s">
        <v>4814</v>
      </c>
      <c r="K640" s="1" t="s">
        <v>74</v>
      </c>
      <c r="L640" s="1" t="s">
        <v>74</v>
      </c>
      <c r="M640" s="1" t="s">
        <v>74</v>
      </c>
      <c r="N640" s="1" t="s">
        <v>74</v>
      </c>
      <c r="O640" s="1" t="s">
        <v>74</v>
      </c>
      <c r="P640" s="1" t="s">
        <v>74</v>
      </c>
      <c r="Q640" s="1" t="s">
        <v>74</v>
      </c>
      <c r="R640" s="1" t="s">
        <v>74</v>
      </c>
      <c r="S640" s="1" t="s">
        <v>74</v>
      </c>
      <c r="T640" s="1" t="s">
        <v>74</v>
      </c>
      <c r="U640" s="1" t="s">
        <v>74</v>
      </c>
      <c r="V640" s="1" t="s">
        <v>6113</v>
      </c>
      <c r="W640" s="1" t="s">
        <v>74</v>
      </c>
      <c r="X640" s="1" t="s">
        <v>74</v>
      </c>
      <c r="Y640" s="1" t="s">
        <v>74</v>
      </c>
      <c r="Z640" s="1" t="s">
        <v>74</v>
      </c>
      <c r="AA640" s="1" t="s">
        <v>6114</v>
      </c>
      <c r="AB640" s="1" t="s">
        <v>6115</v>
      </c>
      <c r="AC640" s="1" t="s">
        <v>74</v>
      </c>
      <c r="AD640" s="1" t="s">
        <v>74</v>
      </c>
      <c r="AE640" s="1" t="s">
        <v>74</v>
      </c>
      <c r="AF640" s="1" t="s">
        <v>74</v>
      </c>
      <c r="AG640" s="1" t="s">
        <v>74</v>
      </c>
      <c r="AH640" s="1" t="s">
        <v>74</v>
      </c>
      <c r="AI640" s="1" t="s">
        <v>74</v>
      </c>
      <c r="AJ640" s="1" t="s">
        <v>74</v>
      </c>
      <c r="AK640" s="1" t="s">
        <v>74</v>
      </c>
      <c r="AL640" s="1" t="s">
        <v>74</v>
      </c>
      <c r="AM640" s="1" t="s">
        <v>74</v>
      </c>
      <c r="AN640" s="1" t="s">
        <v>74</v>
      </c>
      <c r="AO640" s="1" t="s">
        <v>74</v>
      </c>
      <c r="AP640" s="1" t="s">
        <v>4818</v>
      </c>
      <c r="AQ640" s="1" t="s">
        <v>74</v>
      </c>
      <c r="AR640" s="1" t="s">
        <v>74</v>
      </c>
      <c r="AS640" s="1" t="s">
        <v>74</v>
      </c>
      <c r="AT640" s="1" t="s">
        <v>6116</v>
      </c>
      <c r="AU640" s="1">
        <v>2020.0</v>
      </c>
      <c r="AV640" s="1">
        <v>10.0</v>
      </c>
      <c r="AW640" s="1">
        <v>37.0</v>
      </c>
      <c r="AX640" s="1" t="s">
        <v>74</v>
      </c>
      <c r="AY640" s="1" t="s">
        <v>74</v>
      </c>
      <c r="AZ640" s="1" t="s">
        <v>74</v>
      </c>
      <c r="BA640" s="1" t="s">
        <v>74</v>
      </c>
      <c r="BB640" s="1">
        <v>21963.0</v>
      </c>
      <c r="BC640" s="1">
        <v>21973.0</v>
      </c>
      <c r="BD640" s="1" t="s">
        <v>74</v>
      </c>
      <c r="BE640" s="1" t="s">
        <v>6117</v>
      </c>
      <c r="BF640" s="2" t="str">
        <f>HYPERLINK("http://dx.doi.org/10.1039/d0ra04092d","http://dx.doi.org/10.1039/d0ra04092d")</f>
        <v>http://dx.doi.org/10.1039/d0ra04092d</v>
      </c>
      <c r="BG640" s="1" t="s">
        <v>74</v>
      </c>
      <c r="BH640" s="1" t="s">
        <v>74</v>
      </c>
      <c r="BI640" s="1" t="s">
        <v>74</v>
      </c>
      <c r="BJ640" s="1" t="s">
        <v>74</v>
      </c>
      <c r="BK640" s="1" t="s">
        <v>74</v>
      </c>
      <c r="BL640" s="1" t="s">
        <v>74</v>
      </c>
      <c r="BM640" s="1" t="s">
        <v>74</v>
      </c>
      <c r="BN640" s="1">
        <v>3.5516608E7</v>
      </c>
      <c r="BO640" s="1" t="s">
        <v>74</v>
      </c>
      <c r="BP640" s="1" t="s">
        <v>74</v>
      </c>
      <c r="BQ640" s="1" t="s">
        <v>74</v>
      </c>
      <c r="BR640" s="1" t="s">
        <v>74</v>
      </c>
      <c r="BS640" s="1" t="s">
        <v>6118</v>
      </c>
      <c r="BT640" s="1" t="str">
        <f>HYPERLINK("https%3A%2F%2Fwww.webofscience.com%2Fwos%2Fwoscc%2Ffull-record%2FWOS:000542724200029","View Full Record in Web of Science")</f>
        <v>View Full Record in Web of Science</v>
      </c>
    </row>
    <row r="641" ht="12.75" customHeight="1">
      <c r="A641" s="1" t="s">
        <v>72</v>
      </c>
      <c r="B641" s="1" t="s">
        <v>6119</v>
      </c>
      <c r="C641" s="1" t="s">
        <v>74</v>
      </c>
      <c r="D641" s="1" t="s">
        <v>74</v>
      </c>
      <c r="E641" s="1" t="s">
        <v>74</v>
      </c>
      <c r="F641" s="1" t="s">
        <v>6120</v>
      </c>
      <c r="G641" s="1" t="s">
        <v>74</v>
      </c>
      <c r="H641" s="1" t="s">
        <v>74</v>
      </c>
      <c r="I641" s="1" t="s">
        <v>6121</v>
      </c>
      <c r="J641" s="1" t="s">
        <v>6122</v>
      </c>
      <c r="K641" s="1" t="s">
        <v>74</v>
      </c>
      <c r="L641" s="1" t="s">
        <v>74</v>
      </c>
      <c r="M641" s="1" t="s">
        <v>74</v>
      </c>
      <c r="N641" s="1" t="s">
        <v>74</v>
      </c>
      <c r="O641" s="1" t="s">
        <v>74</v>
      </c>
      <c r="P641" s="1" t="s">
        <v>74</v>
      </c>
      <c r="Q641" s="1" t="s">
        <v>74</v>
      </c>
      <c r="R641" s="1" t="s">
        <v>74</v>
      </c>
      <c r="S641" s="1" t="s">
        <v>74</v>
      </c>
      <c r="T641" s="1" t="s">
        <v>74</v>
      </c>
      <c r="U641" s="1" t="s">
        <v>74</v>
      </c>
      <c r="V641" s="1" t="s">
        <v>6123</v>
      </c>
      <c r="W641" s="1" t="s">
        <v>74</v>
      </c>
      <c r="X641" s="1" t="s">
        <v>74</v>
      </c>
      <c r="Y641" s="1" t="s">
        <v>74</v>
      </c>
      <c r="Z641" s="1" t="s">
        <v>74</v>
      </c>
      <c r="AA641" s="1" t="s">
        <v>6124</v>
      </c>
      <c r="AB641" s="1" t="s">
        <v>6125</v>
      </c>
      <c r="AC641" s="1" t="s">
        <v>74</v>
      </c>
      <c r="AD641" s="1" t="s">
        <v>74</v>
      </c>
      <c r="AE641" s="1" t="s">
        <v>74</v>
      </c>
      <c r="AF641" s="1" t="s">
        <v>74</v>
      </c>
      <c r="AG641" s="1" t="s">
        <v>74</v>
      </c>
      <c r="AH641" s="1" t="s">
        <v>74</v>
      </c>
      <c r="AI641" s="1" t="s">
        <v>74</v>
      </c>
      <c r="AJ641" s="1" t="s">
        <v>74</v>
      </c>
      <c r="AK641" s="1" t="s">
        <v>74</v>
      </c>
      <c r="AL641" s="1" t="s">
        <v>74</v>
      </c>
      <c r="AM641" s="1" t="s">
        <v>74</v>
      </c>
      <c r="AN641" s="1" t="s">
        <v>74</v>
      </c>
      <c r="AO641" s="1" t="s">
        <v>6126</v>
      </c>
      <c r="AP641" s="1" t="s">
        <v>6127</v>
      </c>
      <c r="AQ641" s="1" t="s">
        <v>74</v>
      </c>
      <c r="AR641" s="1" t="s">
        <v>74</v>
      </c>
      <c r="AS641" s="1" t="s">
        <v>74</v>
      </c>
      <c r="AT641" s="1" t="s">
        <v>650</v>
      </c>
      <c r="AU641" s="1">
        <v>2020.0</v>
      </c>
      <c r="AV641" s="1">
        <v>47.0</v>
      </c>
      <c r="AW641" s="1">
        <v>1.0</v>
      </c>
      <c r="AX641" s="1" t="s">
        <v>74</v>
      </c>
      <c r="AY641" s="1" t="s">
        <v>74</v>
      </c>
      <c r="AZ641" s="1" t="s">
        <v>411</v>
      </c>
      <c r="BA641" s="1" t="s">
        <v>74</v>
      </c>
      <c r="BB641" s="1">
        <v>39.0</v>
      </c>
      <c r="BC641" s="1">
        <v>45.0</v>
      </c>
      <c r="BD641" s="1" t="s">
        <v>6128</v>
      </c>
      <c r="BE641" s="1" t="s">
        <v>6129</v>
      </c>
      <c r="BF641" s="2" t="str">
        <f>HYPERLINK("http://dx.doi.org/10.1017/S037689291900033X","http://dx.doi.org/10.1017/S037689291900033X")</f>
        <v>http://dx.doi.org/10.1017/S037689291900033X</v>
      </c>
      <c r="BG641" s="1" t="s">
        <v>74</v>
      </c>
      <c r="BH641" s="1" t="s">
        <v>74</v>
      </c>
      <c r="BI641" s="1" t="s">
        <v>74</v>
      </c>
      <c r="BJ641" s="1" t="s">
        <v>74</v>
      </c>
      <c r="BK641" s="1" t="s">
        <v>74</v>
      </c>
      <c r="BL641" s="1" t="s">
        <v>74</v>
      </c>
      <c r="BM641" s="1" t="s">
        <v>74</v>
      </c>
      <c r="BN641" s="1" t="s">
        <v>74</v>
      </c>
      <c r="BO641" s="1" t="s">
        <v>74</v>
      </c>
      <c r="BP641" s="1" t="s">
        <v>74</v>
      </c>
      <c r="BQ641" s="1" t="s">
        <v>74</v>
      </c>
      <c r="BR641" s="1" t="s">
        <v>74</v>
      </c>
      <c r="BS641" s="1" t="s">
        <v>6130</v>
      </c>
      <c r="BT641" s="1" t="str">
        <f>HYPERLINK("https%3A%2F%2Fwww.webofscience.com%2Fwos%2Fwoscc%2Ffull-record%2FWOS:000512608100006","View Full Record in Web of Science")</f>
        <v>View Full Record in Web of Science</v>
      </c>
    </row>
    <row r="642" ht="12.75" customHeight="1">
      <c r="A642" s="1" t="s">
        <v>72</v>
      </c>
      <c r="B642" s="1" t="s">
        <v>6131</v>
      </c>
      <c r="C642" s="1" t="s">
        <v>74</v>
      </c>
      <c r="D642" s="1" t="s">
        <v>74</v>
      </c>
      <c r="E642" s="1" t="s">
        <v>74</v>
      </c>
      <c r="F642" s="1" t="s">
        <v>6132</v>
      </c>
      <c r="G642" s="1" t="s">
        <v>74</v>
      </c>
      <c r="H642" s="1" t="s">
        <v>74</v>
      </c>
      <c r="I642" s="1" t="s">
        <v>6133</v>
      </c>
      <c r="J642" s="1" t="s">
        <v>3269</v>
      </c>
      <c r="K642" s="1" t="s">
        <v>74</v>
      </c>
      <c r="L642" s="1" t="s">
        <v>74</v>
      </c>
      <c r="M642" s="1" t="s">
        <v>74</v>
      </c>
      <c r="N642" s="1" t="s">
        <v>74</v>
      </c>
      <c r="O642" s="1" t="s">
        <v>74</v>
      </c>
      <c r="P642" s="1" t="s">
        <v>74</v>
      </c>
      <c r="Q642" s="1" t="s">
        <v>74</v>
      </c>
      <c r="R642" s="1" t="s">
        <v>74</v>
      </c>
      <c r="S642" s="1" t="s">
        <v>74</v>
      </c>
      <c r="T642" s="1" t="s">
        <v>74</v>
      </c>
      <c r="U642" s="1" t="s">
        <v>74</v>
      </c>
      <c r="V642" s="1" t="s">
        <v>6134</v>
      </c>
      <c r="W642" s="1" t="s">
        <v>74</v>
      </c>
      <c r="X642" s="1" t="s">
        <v>74</v>
      </c>
      <c r="Y642" s="1" t="s">
        <v>74</v>
      </c>
      <c r="Z642" s="1" t="s">
        <v>74</v>
      </c>
      <c r="AA642" s="1" t="s">
        <v>6135</v>
      </c>
      <c r="AB642" s="1" t="s">
        <v>6136</v>
      </c>
      <c r="AC642" s="1" t="s">
        <v>74</v>
      </c>
      <c r="AD642" s="1" t="s">
        <v>74</v>
      </c>
      <c r="AE642" s="1" t="s">
        <v>74</v>
      </c>
      <c r="AF642" s="1" t="s">
        <v>74</v>
      </c>
      <c r="AG642" s="1" t="s">
        <v>74</v>
      </c>
      <c r="AH642" s="1" t="s">
        <v>74</v>
      </c>
      <c r="AI642" s="1" t="s">
        <v>74</v>
      </c>
      <c r="AJ642" s="1" t="s">
        <v>74</v>
      </c>
      <c r="AK642" s="1" t="s">
        <v>74</v>
      </c>
      <c r="AL642" s="1" t="s">
        <v>74</v>
      </c>
      <c r="AM642" s="1" t="s">
        <v>74</v>
      </c>
      <c r="AN642" s="1" t="s">
        <v>74</v>
      </c>
      <c r="AO642" s="1" t="s">
        <v>3273</v>
      </c>
      <c r="AP642" s="1" t="s">
        <v>3274</v>
      </c>
      <c r="AQ642" s="1" t="s">
        <v>74</v>
      </c>
      <c r="AR642" s="1" t="s">
        <v>74</v>
      </c>
      <c r="AS642" s="1" t="s">
        <v>74</v>
      </c>
      <c r="AT642" s="1" t="s">
        <v>2282</v>
      </c>
      <c r="AU642" s="1">
        <v>2020.0</v>
      </c>
      <c r="AV642" s="1">
        <v>1094.0</v>
      </c>
      <c r="AW642" s="1" t="s">
        <v>74</v>
      </c>
      <c r="AX642" s="1" t="s">
        <v>74</v>
      </c>
      <c r="AY642" s="1" t="s">
        <v>74</v>
      </c>
      <c r="AZ642" s="1" t="s">
        <v>74</v>
      </c>
      <c r="BA642" s="1" t="s">
        <v>74</v>
      </c>
      <c r="BB642" s="1">
        <v>47.0</v>
      </c>
      <c r="BC642" s="1">
        <v>56.0</v>
      </c>
      <c r="BD642" s="1" t="s">
        <v>74</v>
      </c>
      <c r="BE642" s="1" t="s">
        <v>6137</v>
      </c>
      <c r="BF642" s="2" t="str">
        <f>HYPERLINK("http://dx.doi.org/10.1016/j.aca.2019.10.021","http://dx.doi.org/10.1016/j.aca.2019.10.021")</f>
        <v>http://dx.doi.org/10.1016/j.aca.2019.10.021</v>
      </c>
      <c r="BG642" s="1" t="s">
        <v>74</v>
      </c>
      <c r="BH642" s="1" t="s">
        <v>74</v>
      </c>
      <c r="BI642" s="1" t="s">
        <v>74</v>
      </c>
      <c r="BJ642" s="1" t="s">
        <v>74</v>
      </c>
      <c r="BK642" s="1" t="s">
        <v>74</v>
      </c>
      <c r="BL642" s="1" t="s">
        <v>74</v>
      </c>
      <c r="BM642" s="1" t="s">
        <v>74</v>
      </c>
      <c r="BN642" s="1">
        <v>3.1761047E7</v>
      </c>
      <c r="BO642" s="1" t="s">
        <v>74</v>
      </c>
      <c r="BP642" s="1" t="s">
        <v>74</v>
      </c>
      <c r="BQ642" s="1" t="s">
        <v>74</v>
      </c>
      <c r="BR642" s="1" t="s">
        <v>74</v>
      </c>
      <c r="BS642" s="1" t="s">
        <v>6138</v>
      </c>
      <c r="BT642" s="1" t="str">
        <f>HYPERLINK("https%3A%2F%2Fwww.webofscience.com%2Fwos%2Fwoscc%2Ffull-record%2FWOS:000497995900006","View Full Record in Web of Science")</f>
        <v>View Full Record in Web of Science</v>
      </c>
    </row>
    <row r="643" ht="12.75" customHeight="1">
      <c r="A643" s="1" t="s">
        <v>72</v>
      </c>
      <c r="B643" s="1" t="s">
        <v>6139</v>
      </c>
      <c r="C643" s="1" t="s">
        <v>74</v>
      </c>
      <c r="D643" s="1" t="s">
        <v>74</v>
      </c>
      <c r="E643" s="1" t="s">
        <v>74</v>
      </c>
      <c r="F643" s="1" t="s">
        <v>6140</v>
      </c>
      <c r="G643" s="1" t="s">
        <v>74</v>
      </c>
      <c r="H643" s="1" t="s">
        <v>74</v>
      </c>
      <c r="I643" s="1" t="s">
        <v>6141</v>
      </c>
      <c r="J643" s="1" t="s">
        <v>6142</v>
      </c>
      <c r="K643" s="1" t="s">
        <v>74</v>
      </c>
      <c r="L643" s="1" t="s">
        <v>74</v>
      </c>
      <c r="M643" s="1" t="s">
        <v>74</v>
      </c>
      <c r="N643" s="1" t="s">
        <v>74</v>
      </c>
      <c r="O643" s="1" t="s">
        <v>74</v>
      </c>
      <c r="P643" s="1" t="s">
        <v>74</v>
      </c>
      <c r="Q643" s="1" t="s">
        <v>74</v>
      </c>
      <c r="R643" s="1" t="s">
        <v>74</v>
      </c>
      <c r="S643" s="1" t="s">
        <v>74</v>
      </c>
      <c r="T643" s="1" t="s">
        <v>74</v>
      </c>
      <c r="U643" s="1" t="s">
        <v>74</v>
      </c>
      <c r="V643" s="1" t="s">
        <v>6143</v>
      </c>
      <c r="W643" s="1" t="s">
        <v>74</v>
      </c>
      <c r="X643" s="1" t="s">
        <v>74</v>
      </c>
      <c r="Y643" s="1" t="s">
        <v>74</v>
      </c>
      <c r="Z643" s="1" t="s">
        <v>74</v>
      </c>
      <c r="AA643" s="1" t="s">
        <v>6144</v>
      </c>
      <c r="AB643" s="1" t="s">
        <v>6145</v>
      </c>
      <c r="AC643" s="1" t="s">
        <v>74</v>
      </c>
      <c r="AD643" s="1" t="s">
        <v>74</v>
      </c>
      <c r="AE643" s="1" t="s">
        <v>74</v>
      </c>
      <c r="AF643" s="1" t="s">
        <v>74</v>
      </c>
      <c r="AG643" s="1" t="s">
        <v>74</v>
      </c>
      <c r="AH643" s="1" t="s">
        <v>74</v>
      </c>
      <c r="AI643" s="1" t="s">
        <v>74</v>
      </c>
      <c r="AJ643" s="1" t="s">
        <v>74</v>
      </c>
      <c r="AK643" s="1" t="s">
        <v>74</v>
      </c>
      <c r="AL643" s="1" t="s">
        <v>74</v>
      </c>
      <c r="AM643" s="1" t="s">
        <v>74</v>
      </c>
      <c r="AN643" s="1" t="s">
        <v>74</v>
      </c>
      <c r="AO643" s="1" t="s">
        <v>74</v>
      </c>
      <c r="AP643" s="1" t="s">
        <v>6146</v>
      </c>
      <c r="AQ643" s="1" t="s">
        <v>74</v>
      </c>
      <c r="AR643" s="1" t="s">
        <v>74</v>
      </c>
      <c r="AS643" s="1" t="s">
        <v>74</v>
      </c>
      <c r="AT643" s="1" t="s">
        <v>169</v>
      </c>
      <c r="AU643" s="1">
        <v>2020.0</v>
      </c>
      <c r="AV643" s="1">
        <v>10.0</v>
      </c>
      <c r="AW643" s="1">
        <v>1.0</v>
      </c>
      <c r="AX643" s="1" t="s">
        <v>74</v>
      </c>
      <c r="AY643" s="1" t="s">
        <v>74</v>
      </c>
      <c r="AZ643" s="1" t="s">
        <v>74</v>
      </c>
      <c r="BA643" s="1" t="s">
        <v>74</v>
      </c>
      <c r="BB643" s="1" t="s">
        <v>74</v>
      </c>
      <c r="BC643" s="1" t="s">
        <v>74</v>
      </c>
      <c r="BD643" s="1">
        <v>15.0</v>
      </c>
      <c r="BE643" s="1" t="s">
        <v>6147</v>
      </c>
      <c r="BF643" s="2" t="str">
        <f>HYPERLINK("http://dx.doi.org/10.3390/buildings10010015","http://dx.doi.org/10.3390/buildings10010015")</f>
        <v>http://dx.doi.org/10.3390/buildings10010015</v>
      </c>
      <c r="BG643" s="1" t="s">
        <v>74</v>
      </c>
      <c r="BH643" s="1" t="s">
        <v>74</v>
      </c>
      <c r="BI643" s="1" t="s">
        <v>74</v>
      </c>
      <c r="BJ643" s="1" t="s">
        <v>74</v>
      </c>
      <c r="BK643" s="1" t="s">
        <v>74</v>
      </c>
      <c r="BL643" s="1" t="s">
        <v>74</v>
      </c>
      <c r="BM643" s="1" t="s">
        <v>74</v>
      </c>
      <c r="BN643" s="1" t="s">
        <v>74</v>
      </c>
      <c r="BO643" s="1" t="s">
        <v>74</v>
      </c>
      <c r="BP643" s="1" t="s">
        <v>74</v>
      </c>
      <c r="BQ643" s="1" t="s">
        <v>74</v>
      </c>
      <c r="BR643" s="1" t="s">
        <v>74</v>
      </c>
      <c r="BS643" s="1" t="s">
        <v>6148</v>
      </c>
      <c r="BT643" s="1" t="str">
        <f>HYPERLINK("https%3A%2F%2Fwww.webofscience.com%2Fwos%2Fwoscc%2Ffull-record%2FWOS:000514573400005","View Full Record in Web of Science")</f>
        <v>View Full Record in Web of Science</v>
      </c>
    </row>
    <row r="644" ht="12.75" customHeight="1">
      <c r="A644" s="1" t="s">
        <v>251</v>
      </c>
      <c r="B644" s="1" t="s">
        <v>6149</v>
      </c>
      <c r="C644" s="1" t="s">
        <v>74</v>
      </c>
      <c r="D644" s="1" t="s">
        <v>74</v>
      </c>
      <c r="E644" s="1" t="s">
        <v>253</v>
      </c>
      <c r="F644" s="1" t="s">
        <v>6150</v>
      </c>
      <c r="G644" s="1" t="s">
        <v>74</v>
      </c>
      <c r="H644" s="1" t="s">
        <v>74</v>
      </c>
      <c r="I644" s="1" t="s">
        <v>6151</v>
      </c>
      <c r="J644" s="1" t="s">
        <v>376</v>
      </c>
      <c r="K644" s="1" t="s">
        <v>74</v>
      </c>
      <c r="L644" s="1" t="s">
        <v>74</v>
      </c>
      <c r="M644" s="1" t="s">
        <v>74</v>
      </c>
      <c r="N644" s="1" t="s">
        <v>74</v>
      </c>
      <c r="O644" s="1" t="s">
        <v>377</v>
      </c>
      <c r="P644" s="1" t="s">
        <v>378</v>
      </c>
      <c r="Q644" s="1" t="s">
        <v>379</v>
      </c>
      <c r="R644" s="1" t="s">
        <v>380</v>
      </c>
      <c r="S644" s="1" t="s">
        <v>74</v>
      </c>
      <c r="T644" s="1" t="s">
        <v>74</v>
      </c>
      <c r="U644" s="1" t="s">
        <v>74</v>
      </c>
      <c r="V644" s="1" t="s">
        <v>6152</v>
      </c>
      <c r="W644" s="1" t="s">
        <v>74</v>
      </c>
      <c r="X644" s="1" t="s">
        <v>74</v>
      </c>
      <c r="Y644" s="1" t="s">
        <v>74</v>
      </c>
      <c r="Z644" s="1" t="s">
        <v>74</v>
      </c>
      <c r="AA644" s="1" t="s">
        <v>923</v>
      </c>
      <c r="AB644" s="1" t="s">
        <v>6153</v>
      </c>
      <c r="AC644" s="1" t="s">
        <v>74</v>
      </c>
      <c r="AD644" s="1" t="s">
        <v>74</v>
      </c>
      <c r="AE644" s="1" t="s">
        <v>74</v>
      </c>
      <c r="AF644" s="1" t="s">
        <v>74</v>
      </c>
      <c r="AG644" s="1" t="s">
        <v>74</v>
      </c>
      <c r="AH644" s="1" t="s">
        <v>74</v>
      </c>
      <c r="AI644" s="1" t="s">
        <v>74</v>
      </c>
      <c r="AJ644" s="1" t="s">
        <v>74</v>
      </c>
      <c r="AK644" s="1" t="s">
        <v>74</v>
      </c>
      <c r="AL644" s="1" t="s">
        <v>74</v>
      </c>
      <c r="AM644" s="1" t="s">
        <v>74</v>
      </c>
      <c r="AN644" s="1" t="s">
        <v>74</v>
      </c>
      <c r="AO644" s="1" t="s">
        <v>74</v>
      </c>
      <c r="AP644" s="1" t="s">
        <v>74</v>
      </c>
      <c r="AQ644" s="1" t="s">
        <v>383</v>
      </c>
      <c r="AR644" s="1" t="s">
        <v>74</v>
      </c>
      <c r="AS644" s="1" t="s">
        <v>74</v>
      </c>
      <c r="AT644" s="1" t="s">
        <v>74</v>
      </c>
      <c r="AU644" s="1">
        <v>2019.0</v>
      </c>
      <c r="AV644" s="1" t="s">
        <v>74</v>
      </c>
      <c r="AW644" s="1" t="s">
        <v>74</v>
      </c>
      <c r="AX644" s="1" t="s">
        <v>74</v>
      </c>
      <c r="AY644" s="1" t="s">
        <v>74</v>
      </c>
      <c r="AZ644" s="1" t="s">
        <v>74</v>
      </c>
      <c r="BA644" s="1" t="s">
        <v>74</v>
      </c>
      <c r="BB644" s="1" t="s">
        <v>74</v>
      </c>
      <c r="BC644" s="1" t="s">
        <v>74</v>
      </c>
      <c r="BD644" s="1" t="s">
        <v>74</v>
      </c>
      <c r="BE644" s="1" t="s">
        <v>6154</v>
      </c>
      <c r="BF644" s="2" t="str">
        <f>HYPERLINK("http://dx.doi.org/10.1109/chilecon47746.2019.8987467","http://dx.doi.org/10.1109/chilecon47746.2019.8987467")</f>
        <v>http://dx.doi.org/10.1109/chilecon47746.2019.8987467</v>
      </c>
      <c r="BG644" s="1" t="s">
        <v>74</v>
      </c>
      <c r="BH644" s="1" t="s">
        <v>74</v>
      </c>
      <c r="BI644" s="1" t="s">
        <v>74</v>
      </c>
      <c r="BJ644" s="1" t="s">
        <v>74</v>
      </c>
      <c r="BK644" s="1" t="s">
        <v>74</v>
      </c>
      <c r="BL644" s="1" t="s">
        <v>74</v>
      </c>
      <c r="BM644" s="1" t="s">
        <v>74</v>
      </c>
      <c r="BN644" s="1" t="s">
        <v>74</v>
      </c>
      <c r="BO644" s="1" t="s">
        <v>74</v>
      </c>
      <c r="BP644" s="1" t="s">
        <v>74</v>
      </c>
      <c r="BQ644" s="1" t="s">
        <v>74</v>
      </c>
      <c r="BR644" s="1" t="s">
        <v>74</v>
      </c>
      <c r="BS644" s="1" t="s">
        <v>6155</v>
      </c>
      <c r="BT644" s="1" t="str">
        <f>HYPERLINK("https%3A%2F%2Fwww.webofscience.com%2Fwos%2Fwoscc%2Ffull-record%2FWOS:000542919100017","View Full Record in Web of Science")</f>
        <v>View Full Record in Web of Science</v>
      </c>
    </row>
    <row r="645" ht="12.75" customHeight="1">
      <c r="A645" s="1" t="s">
        <v>72</v>
      </c>
      <c r="B645" s="1" t="s">
        <v>6156</v>
      </c>
      <c r="C645" s="1" t="s">
        <v>74</v>
      </c>
      <c r="D645" s="1" t="s">
        <v>74</v>
      </c>
      <c r="E645" s="1" t="s">
        <v>74</v>
      </c>
      <c r="F645" s="1" t="s">
        <v>6157</v>
      </c>
      <c r="G645" s="1" t="s">
        <v>74</v>
      </c>
      <c r="H645" s="1" t="s">
        <v>74</v>
      </c>
      <c r="I645" s="1" t="s">
        <v>6158</v>
      </c>
      <c r="J645" s="1" t="s">
        <v>6159</v>
      </c>
      <c r="K645" s="1" t="s">
        <v>74</v>
      </c>
      <c r="L645" s="1" t="s">
        <v>74</v>
      </c>
      <c r="M645" s="1" t="s">
        <v>74</v>
      </c>
      <c r="N645" s="1" t="s">
        <v>74</v>
      </c>
      <c r="O645" s="1" t="s">
        <v>74</v>
      </c>
      <c r="P645" s="1" t="s">
        <v>74</v>
      </c>
      <c r="Q645" s="1" t="s">
        <v>74</v>
      </c>
      <c r="R645" s="1" t="s">
        <v>74</v>
      </c>
      <c r="S645" s="1" t="s">
        <v>74</v>
      </c>
      <c r="T645" s="1" t="s">
        <v>74</v>
      </c>
      <c r="U645" s="1" t="s">
        <v>74</v>
      </c>
      <c r="V645" s="1" t="s">
        <v>6160</v>
      </c>
      <c r="W645" s="1" t="s">
        <v>74</v>
      </c>
      <c r="X645" s="1" t="s">
        <v>74</v>
      </c>
      <c r="Y645" s="1" t="s">
        <v>74</v>
      </c>
      <c r="Z645" s="1" t="s">
        <v>74</v>
      </c>
      <c r="AA645" s="1" t="s">
        <v>74</v>
      </c>
      <c r="AB645" s="1" t="s">
        <v>74</v>
      </c>
      <c r="AC645" s="1" t="s">
        <v>74</v>
      </c>
      <c r="AD645" s="1" t="s">
        <v>74</v>
      </c>
      <c r="AE645" s="1" t="s">
        <v>74</v>
      </c>
      <c r="AF645" s="1" t="s">
        <v>74</v>
      </c>
      <c r="AG645" s="1" t="s">
        <v>74</v>
      </c>
      <c r="AH645" s="1" t="s">
        <v>74</v>
      </c>
      <c r="AI645" s="1" t="s">
        <v>74</v>
      </c>
      <c r="AJ645" s="1" t="s">
        <v>74</v>
      </c>
      <c r="AK645" s="1" t="s">
        <v>74</v>
      </c>
      <c r="AL645" s="1" t="s">
        <v>74</v>
      </c>
      <c r="AM645" s="1" t="s">
        <v>74</v>
      </c>
      <c r="AN645" s="1" t="s">
        <v>74</v>
      </c>
      <c r="AO645" s="1" t="s">
        <v>6161</v>
      </c>
      <c r="AP645" s="1" t="s">
        <v>6162</v>
      </c>
      <c r="AQ645" s="1" t="s">
        <v>74</v>
      </c>
      <c r="AR645" s="1" t="s">
        <v>74</v>
      </c>
      <c r="AS645" s="1" t="s">
        <v>74</v>
      </c>
      <c r="AT645" s="1" t="s">
        <v>74</v>
      </c>
      <c r="AU645" s="1">
        <v>2019.0</v>
      </c>
      <c r="AV645" s="1">
        <v>76.0</v>
      </c>
      <c r="AW645" s="1" t="s">
        <v>74</v>
      </c>
      <c r="AX645" s="1" t="s">
        <v>74</v>
      </c>
      <c r="AY645" s="1" t="s">
        <v>74</v>
      </c>
      <c r="AZ645" s="1" t="s">
        <v>74</v>
      </c>
      <c r="BA645" s="1" t="s">
        <v>74</v>
      </c>
      <c r="BB645" s="1">
        <v>127.0</v>
      </c>
      <c r="BC645" s="1">
        <v>148.0</v>
      </c>
      <c r="BD645" s="1" t="s">
        <v>74</v>
      </c>
      <c r="BE645" s="1" t="s">
        <v>74</v>
      </c>
      <c r="BF645" s="1" t="s">
        <v>74</v>
      </c>
      <c r="BG645" s="1" t="s">
        <v>74</v>
      </c>
      <c r="BH645" s="1" t="s">
        <v>74</v>
      </c>
      <c r="BI645" s="1" t="s">
        <v>74</v>
      </c>
      <c r="BJ645" s="1" t="s">
        <v>74</v>
      </c>
      <c r="BK645" s="1" t="s">
        <v>74</v>
      </c>
      <c r="BL645" s="1" t="s">
        <v>74</v>
      </c>
      <c r="BM645" s="1" t="s">
        <v>74</v>
      </c>
      <c r="BN645" s="1" t="s">
        <v>74</v>
      </c>
      <c r="BO645" s="1" t="s">
        <v>74</v>
      </c>
      <c r="BP645" s="1" t="s">
        <v>74</v>
      </c>
      <c r="BQ645" s="1" t="s">
        <v>74</v>
      </c>
      <c r="BR645" s="1" t="s">
        <v>74</v>
      </c>
      <c r="BS645" s="1" t="s">
        <v>6163</v>
      </c>
      <c r="BT645" s="1" t="str">
        <f>HYPERLINK("https%3A%2F%2Fwww.webofscience.com%2Fwos%2Fwoscc%2Ffull-record%2FWOS:000594488700009","View Full Record in Web of Science")</f>
        <v>View Full Record in Web of Science</v>
      </c>
    </row>
    <row r="646" ht="12.75" customHeight="1">
      <c r="A646" s="1" t="s">
        <v>72</v>
      </c>
      <c r="B646" s="1" t="s">
        <v>6164</v>
      </c>
      <c r="C646" s="1" t="s">
        <v>74</v>
      </c>
      <c r="D646" s="1" t="s">
        <v>74</v>
      </c>
      <c r="E646" s="1" t="s">
        <v>74</v>
      </c>
      <c r="F646" s="1" t="s">
        <v>6165</v>
      </c>
      <c r="G646" s="1" t="s">
        <v>74</v>
      </c>
      <c r="H646" s="1" t="s">
        <v>74</v>
      </c>
      <c r="I646" s="1" t="s">
        <v>6166</v>
      </c>
      <c r="J646" s="1" t="s">
        <v>6167</v>
      </c>
      <c r="K646" s="1" t="s">
        <v>74</v>
      </c>
      <c r="L646" s="1" t="s">
        <v>74</v>
      </c>
      <c r="M646" s="1" t="s">
        <v>74</v>
      </c>
      <c r="N646" s="1" t="s">
        <v>74</v>
      </c>
      <c r="O646" s="1" t="s">
        <v>74</v>
      </c>
      <c r="P646" s="1" t="s">
        <v>74</v>
      </c>
      <c r="Q646" s="1" t="s">
        <v>74</v>
      </c>
      <c r="R646" s="1" t="s">
        <v>74</v>
      </c>
      <c r="S646" s="1" t="s">
        <v>74</v>
      </c>
      <c r="T646" s="1" t="s">
        <v>74</v>
      </c>
      <c r="U646" s="1" t="s">
        <v>74</v>
      </c>
      <c r="V646" s="1" t="s">
        <v>6168</v>
      </c>
      <c r="W646" s="1" t="s">
        <v>74</v>
      </c>
      <c r="X646" s="1" t="s">
        <v>74</v>
      </c>
      <c r="Y646" s="1" t="s">
        <v>74</v>
      </c>
      <c r="Z646" s="1" t="s">
        <v>74</v>
      </c>
      <c r="AA646" s="1" t="s">
        <v>6169</v>
      </c>
      <c r="AB646" s="1" t="s">
        <v>6170</v>
      </c>
      <c r="AC646" s="1" t="s">
        <v>74</v>
      </c>
      <c r="AD646" s="1" t="s">
        <v>74</v>
      </c>
      <c r="AE646" s="1" t="s">
        <v>74</v>
      </c>
      <c r="AF646" s="1" t="s">
        <v>74</v>
      </c>
      <c r="AG646" s="1" t="s">
        <v>74</v>
      </c>
      <c r="AH646" s="1" t="s">
        <v>74</v>
      </c>
      <c r="AI646" s="1" t="s">
        <v>74</v>
      </c>
      <c r="AJ646" s="1" t="s">
        <v>74</v>
      </c>
      <c r="AK646" s="1" t="s">
        <v>74</v>
      </c>
      <c r="AL646" s="1" t="s">
        <v>74</v>
      </c>
      <c r="AM646" s="1" t="s">
        <v>74</v>
      </c>
      <c r="AN646" s="1" t="s">
        <v>74</v>
      </c>
      <c r="AO646" s="1" t="s">
        <v>6171</v>
      </c>
      <c r="AP646" s="1" t="s">
        <v>6172</v>
      </c>
      <c r="AQ646" s="1" t="s">
        <v>74</v>
      </c>
      <c r="AR646" s="1" t="s">
        <v>74</v>
      </c>
      <c r="AS646" s="1" t="s">
        <v>74</v>
      </c>
      <c r="AT646" s="1" t="s">
        <v>1049</v>
      </c>
      <c r="AU646" s="1">
        <v>2018.0</v>
      </c>
      <c r="AV646" s="1">
        <v>181.0</v>
      </c>
      <c r="AW646" s="1" t="s">
        <v>74</v>
      </c>
      <c r="AX646" s="1" t="s">
        <v>74</v>
      </c>
      <c r="AY646" s="1" t="s">
        <v>74</v>
      </c>
      <c r="AZ646" s="1" t="s">
        <v>74</v>
      </c>
      <c r="BA646" s="1" t="s">
        <v>74</v>
      </c>
      <c r="BB646" s="1">
        <v>215.0</v>
      </c>
      <c r="BC646" s="1">
        <v>220.0</v>
      </c>
      <c r="BD646" s="1" t="s">
        <v>74</v>
      </c>
      <c r="BE646" s="1" t="s">
        <v>6173</v>
      </c>
      <c r="BF646" s="2" t="str">
        <f>HYPERLINK("http://dx.doi.org/10.1016/j.hydromet.2018.10.004","http://dx.doi.org/10.1016/j.hydromet.2018.10.004")</f>
        <v>http://dx.doi.org/10.1016/j.hydromet.2018.10.004</v>
      </c>
      <c r="BG646" s="1" t="s">
        <v>74</v>
      </c>
      <c r="BH646" s="1" t="s">
        <v>74</v>
      </c>
      <c r="BI646" s="1" t="s">
        <v>74</v>
      </c>
      <c r="BJ646" s="1" t="s">
        <v>74</v>
      </c>
      <c r="BK646" s="1" t="s">
        <v>74</v>
      </c>
      <c r="BL646" s="1" t="s">
        <v>74</v>
      </c>
      <c r="BM646" s="1" t="s">
        <v>74</v>
      </c>
      <c r="BN646" s="1" t="s">
        <v>74</v>
      </c>
      <c r="BO646" s="1" t="s">
        <v>74</v>
      </c>
      <c r="BP646" s="1" t="s">
        <v>74</v>
      </c>
      <c r="BQ646" s="1" t="s">
        <v>74</v>
      </c>
      <c r="BR646" s="1" t="s">
        <v>74</v>
      </c>
      <c r="BS646" s="1" t="s">
        <v>6174</v>
      </c>
      <c r="BT646" s="1" t="str">
        <f>HYPERLINK("https%3A%2F%2Fwww.webofscience.com%2Fwos%2Fwoscc%2Ffull-record%2FWOS:000449893400027","View Full Record in Web of Science")</f>
        <v>View Full Record in Web of Science</v>
      </c>
    </row>
    <row r="647" ht="12.75" customHeight="1">
      <c r="A647" s="1" t="s">
        <v>72</v>
      </c>
      <c r="B647" s="1" t="s">
        <v>6175</v>
      </c>
      <c r="C647" s="1" t="s">
        <v>74</v>
      </c>
      <c r="D647" s="1" t="s">
        <v>74</v>
      </c>
      <c r="E647" s="1" t="s">
        <v>74</v>
      </c>
      <c r="F647" s="1" t="s">
        <v>6176</v>
      </c>
      <c r="G647" s="1" t="s">
        <v>74</v>
      </c>
      <c r="H647" s="1" t="s">
        <v>74</v>
      </c>
      <c r="I647" s="1" t="s">
        <v>6177</v>
      </c>
      <c r="J647" s="1" t="s">
        <v>6178</v>
      </c>
      <c r="K647" s="1" t="s">
        <v>74</v>
      </c>
      <c r="L647" s="1" t="s">
        <v>74</v>
      </c>
      <c r="M647" s="1" t="s">
        <v>74</v>
      </c>
      <c r="N647" s="1" t="s">
        <v>74</v>
      </c>
      <c r="O647" s="1" t="s">
        <v>6179</v>
      </c>
      <c r="P647" s="1" t="s">
        <v>6180</v>
      </c>
      <c r="Q647" s="1" t="s">
        <v>6181</v>
      </c>
      <c r="R647" s="1" t="s">
        <v>6182</v>
      </c>
      <c r="S647" s="1" t="s">
        <v>74</v>
      </c>
      <c r="T647" s="1" t="s">
        <v>74</v>
      </c>
      <c r="U647" s="1" t="s">
        <v>74</v>
      </c>
      <c r="V647" s="1" t="s">
        <v>6183</v>
      </c>
      <c r="W647" s="1" t="s">
        <v>74</v>
      </c>
      <c r="X647" s="1" t="s">
        <v>74</v>
      </c>
      <c r="Y647" s="1" t="s">
        <v>74</v>
      </c>
      <c r="Z647" s="1" t="s">
        <v>74</v>
      </c>
      <c r="AA647" s="1" t="s">
        <v>6184</v>
      </c>
      <c r="AB647" s="1" t="s">
        <v>6185</v>
      </c>
      <c r="AC647" s="1" t="s">
        <v>74</v>
      </c>
      <c r="AD647" s="1" t="s">
        <v>74</v>
      </c>
      <c r="AE647" s="1" t="s">
        <v>74</v>
      </c>
      <c r="AF647" s="1" t="s">
        <v>74</v>
      </c>
      <c r="AG647" s="1" t="s">
        <v>74</v>
      </c>
      <c r="AH647" s="1" t="s">
        <v>74</v>
      </c>
      <c r="AI647" s="1" t="s">
        <v>74</v>
      </c>
      <c r="AJ647" s="1" t="s">
        <v>74</v>
      </c>
      <c r="AK647" s="1" t="s">
        <v>74</v>
      </c>
      <c r="AL647" s="1" t="s">
        <v>74</v>
      </c>
      <c r="AM647" s="1" t="s">
        <v>74</v>
      </c>
      <c r="AN647" s="1" t="s">
        <v>74</v>
      </c>
      <c r="AO647" s="1" t="s">
        <v>6186</v>
      </c>
      <c r="AP647" s="1" t="s">
        <v>6187</v>
      </c>
      <c r="AQ647" s="1" t="s">
        <v>74</v>
      </c>
      <c r="AR647" s="1" t="s">
        <v>74</v>
      </c>
      <c r="AS647" s="1" t="s">
        <v>74</v>
      </c>
      <c r="AT647" s="1" t="s">
        <v>2060</v>
      </c>
      <c r="AU647" s="1">
        <v>2018.0</v>
      </c>
      <c r="AV647" s="1">
        <v>151.0</v>
      </c>
      <c r="AW647" s="1" t="s">
        <v>74</v>
      </c>
      <c r="AX647" s="1" t="s">
        <v>74</v>
      </c>
      <c r="AY647" s="1" t="s">
        <v>74</v>
      </c>
      <c r="AZ647" s="1" t="s">
        <v>411</v>
      </c>
      <c r="BA647" s="1" t="s">
        <v>74</v>
      </c>
      <c r="BB647" s="1">
        <v>45.0</v>
      </c>
      <c r="BC647" s="1">
        <v>56.0</v>
      </c>
      <c r="BD647" s="1" t="s">
        <v>74</v>
      </c>
      <c r="BE647" s="1" t="s">
        <v>6188</v>
      </c>
      <c r="BF647" s="2" t="str">
        <f>HYPERLINK("http://dx.doi.org/10.1016/j.ijsolstr.2017.04.013","http://dx.doi.org/10.1016/j.ijsolstr.2017.04.013")</f>
        <v>http://dx.doi.org/10.1016/j.ijsolstr.2017.04.013</v>
      </c>
      <c r="BG647" s="1" t="s">
        <v>74</v>
      </c>
      <c r="BH647" s="1" t="s">
        <v>74</v>
      </c>
      <c r="BI647" s="1" t="s">
        <v>74</v>
      </c>
      <c r="BJ647" s="1" t="s">
        <v>74</v>
      </c>
      <c r="BK647" s="1" t="s">
        <v>74</v>
      </c>
      <c r="BL647" s="1" t="s">
        <v>74</v>
      </c>
      <c r="BM647" s="1" t="s">
        <v>74</v>
      </c>
      <c r="BN647" s="1" t="s">
        <v>74</v>
      </c>
      <c r="BO647" s="1" t="s">
        <v>74</v>
      </c>
      <c r="BP647" s="1" t="s">
        <v>74</v>
      </c>
      <c r="BQ647" s="1" t="s">
        <v>74</v>
      </c>
      <c r="BR647" s="1" t="s">
        <v>74</v>
      </c>
      <c r="BS647" s="1" t="s">
        <v>6189</v>
      </c>
      <c r="BT647" s="1" t="str">
        <f>HYPERLINK("https%3A%2F%2Fwww.webofscience.com%2Fwos%2Fwoscc%2Ffull-record%2FWOS:000447577700005","View Full Record in Web of Science")</f>
        <v>View Full Record in Web of Science</v>
      </c>
    </row>
    <row r="648" ht="12.75" customHeight="1">
      <c r="A648" s="1" t="s">
        <v>72</v>
      </c>
      <c r="B648" s="1" t="s">
        <v>6190</v>
      </c>
      <c r="C648" s="1" t="s">
        <v>74</v>
      </c>
      <c r="D648" s="1" t="s">
        <v>74</v>
      </c>
      <c r="E648" s="1" t="s">
        <v>74</v>
      </c>
      <c r="F648" s="1" t="s">
        <v>6191</v>
      </c>
      <c r="G648" s="1" t="s">
        <v>74</v>
      </c>
      <c r="H648" s="1" t="s">
        <v>74</v>
      </c>
      <c r="I648" s="1" t="s">
        <v>6192</v>
      </c>
      <c r="J648" s="1" t="s">
        <v>5441</v>
      </c>
      <c r="K648" s="1" t="s">
        <v>74</v>
      </c>
      <c r="L648" s="1" t="s">
        <v>74</v>
      </c>
      <c r="M648" s="1" t="s">
        <v>74</v>
      </c>
      <c r="N648" s="1" t="s">
        <v>74</v>
      </c>
      <c r="O648" s="1" t="s">
        <v>74</v>
      </c>
      <c r="P648" s="1" t="s">
        <v>74</v>
      </c>
      <c r="Q648" s="1" t="s">
        <v>74</v>
      </c>
      <c r="R648" s="1" t="s">
        <v>74</v>
      </c>
      <c r="S648" s="1" t="s">
        <v>74</v>
      </c>
      <c r="T648" s="1" t="s">
        <v>74</v>
      </c>
      <c r="U648" s="1" t="s">
        <v>74</v>
      </c>
      <c r="V648" s="1" t="s">
        <v>6193</v>
      </c>
      <c r="W648" s="1" t="s">
        <v>74</v>
      </c>
      <c r="X648" s="1" t="s">
        <v>74</v>
      </c>
      <c r="Y648" s="1" t="s">
        <v>74</v>
      </c>
      <c r="Z648" s="1" t="s">
        <v>74</v>
      </c>
      <c r="AA648" s="1" t="s">
        <v>6194</v>
      </c>
      <c r="AB648" s="1" t="s">
        <v>6195</v>
      </c>
      <c r="AC648" s="1" t="s">
        <v>74</v>
      </c>
      <c r="AD648" s="1" t="s">
        <v>74</v>
      </c>
      <c r="AE648" s="1" t="s">
        <v>74</v>
      </c>
      <c r="AF648" s="1" t="s">
        <v>74</v>
      </c>
      <c r="AG648" s="1" t="s">
        <v>74</v>
      </c>
      <c r="AH648" s="1" t="s">
        <v>74</v>
      </c>
      <c r="AI648" s="1" t="s">
        <v>74</v>
      </c>
      <c r="AJ648" s="1" t="s">
        <v>74</v>
      </c>
      <c r="AK648" s="1" t="s">
        <v>74</v>
      </c>
      <c r="AL648" s="1" t="s">
        <v>74</v>
      </c>
      <c r="AM648" s="1" t="s">
        <v>74</v>
      </c>
      <c r="AN648" s="1" t="s">
        <v>74</v>
      </c>
      <c r="AO648" s="1" t="s">
        <v>5445</v>
      </c>
      <c r="AP648" s="1" t="s">
        <v>5446</v>
      </c>
      <c r="AQ648" s="1" t="s">
        <v>74</v>
      </c>
      <c r="AR648" s="1" t="s">
        <v>74</v>
      </c>
      <c r="AS648" s="1" t="s">
        <v>74</v>
      </c>
      <c r="AT648" s="1" t="s">
        <v>4508</v>
      </c>
      <c r="AU648" s="1">
        <v>2018.0</v>
      </c>
      <c r="AV648" s="1">
        <v>51.0</v>
      </c>
      <c r="AW648" s="1" t="s">
        <v>74</v>
      </c>
      <c r="AX648" s="1" t="s">
        <v>74</v>
      </c>
      <c r="AY648" s="1" t="s">
        <v>74</v>
      </c>
      <c r="AZ648" s="1" t="s">
        <v>74</v>
      </c>
      <c r="BA648" s="1" t="s">
        <v>74</v>
      </c>
      <c r="BB648" s="1" t="s">
        <v>74</v>
      </c>
      <c r="BC648" s="1" t="s">
        <v>74</v>
      </c>
      <c r="BD648" s="1">
        <v>29.0</v>
      </c>
      <c r="BE648" s="1" t="s">
        <v>6196</v>
      </c>
      <c r="BF648" s="2" t="str">
        <f>HYPERLINK("http://dx.doi.org/10.1186/s40659-018-0178-3","http://dx.doi.org/10.1186/s40659-018-0178-3")</f>
        <v>http://dx.doi.org/10.1186/s40659-018-0178-3</v>
      </c>
      <c r="BG648" s="1" t="s">
        <v>74</v>
      </c>
      <c r="BH648" s="1" t="s">
        <v>74</v>
      </c>
      <c r="BI648" s="1" t="s">
        <v>74</v>
      </c>
      <c r="BJ648" s="1" t="s">
        <v>74</v>
      </c>
      <c r="BK648" s="1" t="s">
        <v>74</v>
      </c>
      <c r="BL648" s="1" t="s">
        <v>74</v>
      </c>
      <c r="BM648" s="1" t="s">
        <v>74</v>
      </c>
      <c r="BN648" s="1">
        <v>3.0165896E7</v>
      </c>
      <c r="BO648" s="1" t="s">
        <v>74</v>
      </c>
      <c r="BP648" s="1" t="s">
        <v>74</v>
      </c>
      <c r="BQ648" s="1" t="s">
        <v>74</v>
      </c>
      <c r="BR648" s="1" t="s">
        <v>74</v>
      </c>
      <c r="BS648" s="1" t="s">
        <v>6197</v>
      </c>
      <c r="BT648" s="1" t="str">
        <f>HYPERLINK("https%3A%2F%2Fwww.webofscience.com%2Fwos%2Fwoscc%2Ffull-record%2FWOS:000443121000001","View Full Record in Web of Science")</f>
        <v>View Full Record in Web of Science</v>
      </c>
    </row>
    <row r="649" ht="12.75" customHeight="1">
      <c r="A649" s="1" t="s">
        <v>72</v>
      </c>
      <c r="B649" s="1" t="s">
        <v>6198</v>
      </c>
      <c r="C649" s="1" t="s">
        <v>74</v>
      </c>
      <c r="D649" s="1" t="s">
        <v>74</v>
      </c>
      <c r="E649" s="1" t="s">
        <v>74</v>
      </c>
      <c r="F649" s="1" t="s">
        <v>6199</v>
      </c>
      <c r="G649" s="1" t="s">
        <v>74</v>
      </c>
      <c r="H649" s="1" t="s">
        <v>74</v>
      </c>
      <c r="I649" s="1" t="s">
        <v>6200</v>
      </c>
      <c r="J649" s="1" t="s">
        <v>1239</v>
      </c>
      <c r="K649" s="1" t="s">
        <v>74</v>
      </c>
      <c r="L649" s="1" t="s">
        <v>74</v>
      </c>
      <c r="M649" s="1" t="s">
        <v>74</v>
      </c>
      <c r="N649" s="1" t="s">
        <v>74</v>
      </c>
      <c r="O649" s="1" t="s">
        <v>74</v>
      </c>
      <c r="P649" s="1" t="s">
        <v>74</v>
      </c>
      <c r="Q649" s="1" t="s">
        <v>74</v>
      </c>
      <c r="R649" s="1" t="s">
        <v>74</v>
      </c>
      <c r="S649" s="1" t="s">
        <v>74</v>
      </c>
      <c r="T649" s="1" t="s">
        <v>74</v>
      </c>
      <c r="U649" s="1" t="s">
        <v>74</v>
      </c>
      <c r="V649" s="1" t="s">
        <v>6201</v>
      </c>
      <c r="W649" s="1" t="s">
        <v>74</v>
      </c>
      <c r="X649" s="1" t="s">
        <v>74</v>
      </c>
      <c r="Y649" s="1" t="s">
        <v>74</v>
      </c>
      <c r="Z649" s="1" t="s">
        <v>74</v>
      </c>
      <c r="AA649" s="1" t="s">
        <v>1241</v>
      </c>
      <c r="AB649" s="1" t="s">
        <v>6202</v>
      </c>
      <c r="AC649" s="1" t="s">
        <v>74</v>
      </c>
      <c r="AD649" s="1" t="s">
        <v>74</v>
      </c>
      <c r="AE649" s="1" t="s">
        <v>74</v>
      </c>
      <c r="AF649" s="1" t="s">
        <v>74</v>
      </c>
      <c r="AG649" s="1" t="s">
        <v>74</v>
      </c>
      <c r="AH649" s="1" t="s">
        <v>74</v>
      </c>
      <c r="AI649" s="1" t="s">
        <v>74</v>
      </c>
      <c r="AJ649" s="1" t="s">
        <v>74</v>
      </c>
      <c r="AK649" s="1" t="s">
        <v>74</v>
      </c>
      <c r="AL649" s="1" t="s">
        <v>74</v>
      </c>
      <c r="AM649" s="1" t="s">
        <v>74</v>
      </c>
      <c r="AN649" s="1" t="s">
        <v>74</v>
      </c>
      <c r="AO649" s="1" t="s">
        <v>74</v>
      </c>
      <c r="AP649" s="1" t="s">
        <v>1243</v>
      </c>
      <c r="AQ649" s="1" t="s">
        <v>74</v>
      </c>
      <c r="AR649" s="1" t="s">
        <v>74</v>
      </c>
      <c r="AS649" s="1" t="s">
        <v>74</v>
      </c>
      <c r="AT649" s="1" t="s">
        <v>180</v>
      </c>
      <c r="AU649" s="1">
        <v>2018.0</v>
      </c>
      <c r="AV649" s="1">
        <v>10.0</v>
      </c>
      <c r="AW649" s="1">
        <v>5.0</v>
      </c>
      <c r="AX649" s="1" t="s">
        <v>74</v>
      </c>
      <c r="AY649" s="1" t="s">
        <v>74</v>
      </c>
      <c r="AZ649" s="1" t="s">
        <v>74</v>
      </c>
      <c r="BA649" s="1" t="s">
        <v>74</v>
      </c>
      <c r="BB649" s="1" t="s">
        <v>74</v>
      </c>
      <c r="BC649" s="1" t="s">
        <v>74</v>
      </c>
      <c r="BD649" s="1">
        <v>1683.0</v>
      </c>
      <c r="BE649" s="1" t="s">
        <v>6203</v>
      </c>
      <c r="BF649" s="2" t="str">
        <f>HYPERLINK("http://dx.doi.org/10.3390/su10051683","http://dx.doi.org/10.3390/su10051683")</f>
        <v>http://dx.doi.org/10.3390/su10051683</v>
      </c>
      <c r="BG649" s="1" t="s">
        <v>74</v>
      </c>
      <c r="BH649" s="1" t="s">
        <v>74</v>
      </c>
      <c r="BI649" s="1" t="s">
        <v>74</v>
      </c>
      <c r="BJ649" s="1" t="s">
        <v>74</v>
      </c>
      <c r="BK649" s="1" t="s">
        <v>74</v>
      </c>
      <c r="BL649" s="1" t="s">
        <v>74</v>
      </c>
      <c r="BM649" s="1" t="s">
        <v>74</v>
      </c>
      <c r="BN649" s="1" t="s">
        <v>74</v>
      </c>
      <c r="BO649" s="1" t="s">
        <v>74</v>
      </c>
      <c r="BP649" s="1" t="s">
        <v>74</v>
      </c>
      <c r="BQ649" s="1" t="s">
        <v>74</v>
      </c>
      <c r="BR649" s="1" t="s">
        <v>74</v>
      </c>
      <c r="BS649" s="1" t="s">
        <v>6204</v>
      </c>
      <c r="BT649" s="1" t="str">
        <f>HYPERLINK("https%3A%2F%2Fwww.webofscience.com%2Fwos%2Fwoscc%2Ffull-record%2FWOS:000435587100379","View Full Record in Web of Science")</f>
        <v>View Full Record in Web of Science</v>
      </c>
    </row>
    <row r="650" ht="12.75" customHeight="1">
      <c r="A650" s="1" t="s">
        <v>242</v>
      </c>
      <c r="B650" s="1" t="s">
        <v>6205</v>
      </c>
      <c r="C650" s="1" t="s">
        <v>74</v>
      </c>
      <c r="D650" s="1" t="s">
        <v>2798</v>
      </c>
      <c r="E650" s="1" t="s">
        <v>74</v>
      </c>
      <c r="F650" s="1" t="s">
        <v>6206</v>
      </c>
      <c r="G650" s="1" t="s">
        <v>74</v>
      </c>
      <c r="H650" s="1" t="s">
        <v>74</v>
      </c>
      <c r="I650" s="1" t="s">
        <v>6207</v>
      </c>
      <c r="J650" s="1" t="s">
        <v>2801</v>
      </c>
      <c r="K650" s="1" t="s">
        <v>74</v>
      </c>
      <c r="L650" s="1" t="s">
        <v>74</v>
      </c>
      <c r="M650" s="1" t="s">
        <v>74</v>
      </c>
      <c r="N650" s="1" t="s">
        <v>74</v>
      </c>
      <c r="O650" s="1" t="s">
        <v>74</v>
      </c>
      <c r="P650" s="1" t="s">
        <v>74</v>
      </c>
      <c r="Q650" s="1" t="s">
        <v>74</v>
      </c>
      <c r="R650" s="1" t="s">
        <v>74</v>
      </c>
      <c r="S650" s="1" t="s">
        <v>74</v>
      </c>
      <c r="T650" s="1" t="s">
        <v>74</v>
      </c>
      <c r="U650" s="1" t="s">
        <v>74</v>
      </c>
      <c r="V650" s="1" t="s">
        <v>74</v>
      </c>
      <c r="W650" s="1" t="s">
        <v>74</v>
      </c>
      <c r="X650" s="1" t="s">
        <v>74</v>
      </c>
      <c r="Y650" s="1" t="s">
        <v>74</v>
      </c>
      <c r="Z650" s="1" t="s">
        <v>74</v>
      </c>
      <c r="AA650" s="1" t="s">
        <v>6208</v>
      </c>
      <c r="AB650" s="1" t="s">
        <v>74</v>
      </c>
      <c r="AC650" s="1" t="s">
        <v>74</v>
      </c>
      <c r="AD650" s="1" t="s">
        <v>74</v>
      </c>
      <c r="AE650" s="1" t="s">
        <v>74</v>
      </c>
      <c r="AF650" s="1" t="s">
        <v>74</v>
      </c>
      <c r="AG650" s="1" t="s">
        <v>74</v>
      </c>
      <c r="AH650" s="1" t="s">
        <v>74</v>
      </c>
      <c r="AI650" s="1" t="s">
        <v>74</v>
      </c>
      <c r="AJ650" s="1" t="s">
        <v>74</v>
      </c>
      <c r="AK650" s="1" t="s">
        <v>74</v>
      </c>
      <c r="AL650" s="1" t="s">
        <v>74</v>
      </c>
      <c r="AM650" s="1" t="s">
        <v>74</v>
      </c>
      <c r="AN650" s="1" t="s">
        <v>74</v>
      </c>
      <c r="AO650" s="1" t="s">
        <v>74</v>
      </c>
      <c r="AP650" s="1" t="s">
        <v>74</v>
      </c>
      <c r="AQ650" s="1" t="s">
        <v>2802</v>
      </c>
      <c r="AR650" s="1" t="s">
        <v>74</v>
      </c>
      <c r="AS650" s="1" t="s">
        <v>74</v>
      </c>
      <c r="AT650" s="1" t="s">
        <v>74</v>
      </c>
      <c r="AU650" s="1">
        <v>2018.0</v>
      </c>
      <c r="AV650" s="1" t="s">
        <v>74</v>
      </c>
      <c r="AW650" s="1" t="s">
        <v>74</v>
      </c>
      <c r="AX650" s="1" t="s">
        <v>74</v>
      </c>
      <c r="AY650" s="1" t="s">
        <v>74</v>
      </c>
      <c r="AZ650" s="1" t="s">
        <v>74</v>
      </c>
      <c r="BA650" s="1" t="s">
        <v>74</v>
      </c>
      <c r="BB650" s="1">
        <v>261.0</v>
      </c>
      <c r="BC650" s="1">
        <v>291.0</v>
      </c>
      <c r="BD650" s="1" t="s">
        <v>74</v>
      </c>
      <c r="BE650" s="1" t="s">
        <v>74</v>
      </c>
      <c r="BF650" s="1" t="s">
        <v>74</v>
      </c>
      <c r="BG650" s="1" t="s">
        <v>2803</v>
      </c>
      <c r="BH650" s="1" t="s">
        <v>74</v>
      </c>
      <c r="BI650" s="1" t="s">
        <v>74</v>
      </c>
      <c r="BJ650" s="1" t="s">
        <v>74</v>
      </c>
      <c r="BK650" s="1" t="s">
        <v>74</v>
      </c>
      <c r="BL650" s="1" t="s">
        <v>74</v>
      </c>
      <c r="BM650" s="1" t="s">
        <v>74</v>
      </c>
      <c r="BN650" s="1" t="s">
        <v>74</v>
      </c>
      <c r="BO650" s="1" t="s">
        <v>74</v>
      </c>
      <c r="BP650" s="1" t="s">
        <v>74</v>
      </c>
      <c r="BQ650" s="1" t="s">
        <v>74</v>
      </c>
      <c r="BR650" s="1" t="s">
        <v>74</v>
      </c>
      <c r="BS650" s="1" t="s">
        <v>6209</v>
      </c>
      <c r="BT650" s="1" t="str">
        <f>HYPERLINK("https%3A%2F%2Fwww.webofscience.com%2Fwos%2Fwoscc%2Ffull-record%2FWOS:000440942900010","View Full Record in Web of Science")</f>
        <v>View Full Record in Web of Science</v>
      </c>
    </row>
    <row r="651" ht="12.75" customHeight="1">
      <c r="A651" s="1" t="s">
        <v>72</v>
      </c>
      <c r="B651" s="1" t="s">
        <v>6210</v>
      </c>
      <c r="C651" s="1" t="s">
        <v>74</v>
      </c>
      <c r="D651" s="1" t="s">
        <v>74</v>
      </c>
      <c r="E651" s="1" t="s">
        <v>74</v>
      </c>
      <c r="F651" s="1" t="s">
        <v>6211</v>
      </c>
      <c r="G651" s="1" t="s">
        <v>74</v>
      </c>
      <c r="H651" s="1" t="s">
        <v>74</v>
      </c>
      <c r="I651" s="1" t="s">
        <v>6212</v>
      </c>
      <c r="J651" s="1" t="s">
        <v>4230</v>
      </c>
      <c r="K651" s="1" t="s">
        <v>74</v>
      </c>
      <c r="L651" s="1" t="s">
        <v>74</v>
      </c>
      <c r="M651" s="1" t="s">
        <v>74</v>
      </c>
      <c r="N651" s="1" t="s">
        <v>74</v>
      </c>
      <c r="O651" s="1" t="s">
        <v>74</v>
      </c>
      <c r="P651" s="1" t="s">
        <v>74</v>
      </c>
      <c r="Q651" s="1" t="s">
        <v>74</v>
      </c>
      <c r="R651" s="1" t="s">
        <v>74</v>
      </c>
      <c r="S651" s="1" t="s">
        <v>74</v>
      </c>
      <c r="T651" s="1" t="s">
        <v>74</v>
      </c>
      <c r="U651" s="1" t="s">
        <v>74</v>
      </c>
      <c r="V651" s="1" t="s">
        <v>6213</v>
      </c>
      <c r="W651" s="1" t="s">
        <v>74</v>
      </c>
      <c r="X651" s="1" t="s">
        <v>74</v>
      </c>
      <c r="Y651" s="1" t="s">
        <v>74</v>
      </c>
      <c r="Z651" s="1" t="s">
        <v>74</v>
      </c>
      <c r="AA651" s="1" t="s">
        <v>6214</v>
      </c>
      <c r="AB651" s="1" t="s">
        <v>6215</v>
      </c>
      <c r="AC651" s="1" t="s">
        <v>74</v>
      </c>
      <c r="AD651" s="1" t="s">
        <v>74</v>
      </c>
      <c r="AE651" s="1" t="s">
        <v>74</v>
      </c>
      <c r="AF651" s="1" t="s">
        <v>74</v>
      </c>
      <c r="AG651" s="1" t="s">
        <v>74</v>
      </c>
      <c r="AH651" s="1" t="s">
        <v>74</v>
      </c>
      <c r="AI651" s="1" t="s">
        <v>74</v>
      </c>
      <c r="AJ651" s="1" t="s">
        <v>74</v>
      </c>
      <c r="AK651" s="1" t="s">
        <v>74</v>
      </c>
      <c r="AL651" s="1" t="s">
        <v>74</v>
      </c>
      <c r="AM651" s="1" t="s">
        <v>74</v>
      </c>
      <c r="AN651" s="1" t="s">
        <v>74</v>
      </c>
      <c r="AO651" s="1" t="s">
        <v>4234</v>
      </c>
      <c r="AP651" s="1" t="s">
        <v>4235</v>
      </c>
      <c r="AQ651" s="1" t="s">
        <v>74</v>
      </c>
      <c r="AR651" s="1" t="s">
        <v>74</v>
      </c>
      <c r="AS651" s="1" t="s">
        <v>74</v>
      </c>
      <c r="AT651" s="1" t="s">
        <v>169</v>
      </c>
      <c r="AU651" s="1">
        <v>2018.0</v>
      </c>
      <c r="AV651" s="1">
        <v>30.0</v>
      </c>
      <c r="AW651" s="1">
        <v>1.0</v>
      </c>
      <c r="AX651" s="1" t="s">
        <v>74</v>
      </c>
      <c r="AY651" s="1" t="s">
        <v>74</v>
      </c>
      <c r="AZ651" s="1" t="s">
        <v>74</v>
      </c>
      <c r="BA651" s="1" t="s">
        <v>74</v>
      </c>
      <c r="BB651" s="1">
        <v>27.0</v>
      </c>
      <c r="BC651" s="1">
        <v>30.0</v>
      </c>
      <c r="BD651" s="1" t="s">
        <v>74</v>
      </c>
      <c r="BE651" s="1" t="s">
        <v>6216</v>
      </c>
      <c r="BF651" s="2" t="str">
        <f>HYPERLINK("http://dx.doi.org/10.1002/elan.201700551","http://dx.doi.org/10.1002/elan.201700551")</f>
        <v>http://dx.doi.org/10.1002/elan.201700551</v>
      </c>
      <c r="BG651" s="1" t="s">
        <v>74</v>
      </c>
      <c r="BH651" s="1" t="s">
        <v>74</v>
      </c>
      <c r="BI651" s="1" t="s">
        <v>74</v>
      </c>
      <c r="BJ651" s="1" t="s">
        <v>74</v>
      </c>
      <c r="BK651" s="1" t="s">
        <v>74</v>
      </c>
      <c r="BL651" s="1" t="s">
        <v>74</v>
      </c>
      <c r="BM651" s="1" t="s">
        <v>74</v>
      </c>
      <c r="BN651" s="1" t="s">
        <v>74</v>
      </c>
      <c r="BO651" s="1" t="s">
        <v>74</v>
      </c>
      <c r="BP651" s="1" t="s">
        <v>74</v>
      </c>
      <c r="BQ651" s="1" t="s">
        <v>74</v>
      </c>
      <c r="BR651" s="1" t="s">
        <v>74</v>
      </c>
      <c r="BS651" s="1" t="s">
        <v>6217</v>
      </c>
      <c r="BT651" s="1" t="str">
        <f>HYPERLINK("https%3A%2F%2Fwww.webofscience.com%2Fwos%2Fwoscc%2Ffull-record%2FWOS:000419697700005","View Full Record in Web of Science")</f>
        <v>View Full Record in Web of Science</v>
      </c>
    </row>
    <row r="652" ht="12.75" customHeight="1">
      <c r="A652" s="1" t="s">
        <v>72</v>
      </c>
      <c r="B652" s="1" t="s">
        <v>6218</v>
      </c>
      <c r="C652" s="1" t="s">
        <v>74</v>
      </c>
      <c r="D652" s="1" t="s">
        <v>74</v>
      </c>
      <c r="E652" s="1" t="s">
        <v>74</v>
      </c>
      <c r="F652" s="1" t="s">
        <v>6219</v>
      </c>
      <c r="G652" s="1" t="s">
        <v>74</v>
      </c>
      <c r="H652" s="1" t="s">
        <v>74</v>
      </c>
      <c r="I652" s="1" t="s">
        <v>6220</v>
      </c>
      <c r="J652" s="1" t="s">
        <v>6221</v>
      </c>
      <c r="K652" s="1" t="s">
        <v>74</v>
      </c>
      <c r="L652" s="1" t="s">
        <v>74</v>
      </c>
      <c r="M652" s="1" t="s">
        <v>74</v>
      </c>
      <c r="N652" s="1" t="s">
        <v>74</v>
      </c>
      <c r="O652" s="1" t="s">
        <v>6222</v>
      </c>
      <c r="P652" s="1" t="s">
        <v>6223</v>
      </c>
      <c r="Q652" s="1" t="s">
        <v>6224</v>
      </c>
      <c r="R652" s="1" t="s">
        <v>74</v>
      </c>
      <c r="S652" s="1" t="s">
        <v>6225</v>
      </c>
      <c r="T652" s="1" t="s">
        <v>74</v>
      </c>
      <c r="U652" s="1" t="s">
        <v>74</v>
      </c>
      <c r="V652" s="1" t="s">
        <v>6226</v>
      </c>
      <c r="W652" s="1" t="s">
        <v>74</v>
      </c>
      <c r="X652" s="1" t="s">
        <v>74</v>
      </c>
      <c r="Y652" s="1" t="s">
        <v>74</v>
      </c>
      <c r="Z652" s="1" t="s">
        <v>74</v>
      </c>
      <c r="AA652" s="1" t="s">
        <v>933</v>
      </c>
      <c r="AB652" s="1" t="s">
        <v>6227</v>
      </c>
      <c r="AC652" s="1" t="s">
        <v>74</v>
      </c>
      <c r="AD652" s="1" t="s">
        <v>74</v>
      </c>
      <c r="AE652" s="1" t="s">
        <v>74</v>
      </c>
      <c r="AF652" s="1" t="s">
        <v>74</v>
      </c>
      <c r="AG652" s="1" t="s">
        <v>74</v>
      </c>
      <c r="AH652" s="1" t="s">
        <v>74</v>
      </c>
      <c r="AI652" s="1" t="s">
        <v>74</v>
      </c>
      <c r="AJ652" s="1" t="s">
        <v>74</v>
      </c>
      <c r="AK652" s="1" t="s">
        <v>74</v>
      </c>
      <c r="AL652" s="1" t="s">
        <v>74</v>
      </c>
      <c r="AM652" s="1" t="s">
        <v>74</v>
      </c>
      <c r="AN652" s="1" t="s">
        <v>74</v>
      </c>
      <c r="AO652" s="1" t="s">
        <v>6228</v>
      </c>
      <c r="AP652" s="1" t="s">
        <v>6229</v>
      </c>
      <c r="AQ652" s="1" t="s">
        <v>74</v>
      </c>
      <c r="AR652" s="1" t="s">
        <v>74</v>
      </c>
      <c r="AS652" s="1" t="s">
        <v>74</v>
      </c>
      <c r="AT652" s="1" t="s">
        <v>110</v>
      </c>
      <c r="AU652" s="1">
        <v>2017.0</v>
      </c>
      <c r="AV652" s="1">
        <v>44.0</v>
      </c>
      <c r="AW652" s="1" t="s">
        <v>74</v>
      </c>
      <c r="AX652" s="1" t="s">
        <v>74</v>
      </c>
      <c r="AY652" s="1" t="s">
        <v>74</v>
      </c>
      <c r="AZ652" s="1" t="s">
        <v>411</v>
      </c>
      <c r="BA652" s="1" t="s">
        <v>74</v>
      </c>
      <c r="BB652" s="1">
        <v>159.0</v>
      </c>
      <c r="BC652" s="1">
        <v>166.0</v>
      </c>
      <c r="BD652" s="1" t="s">
        <v>74</v>
      </c>
      <c r="BE652" s="1" t="s">
        <v>6230</v>
      </c>
      <c r="BF652" s="2" t="str">
        <f>HYPERLINK("http://dx.doi.org/10.1016/j.ifset.2017.06.009","http://dx.doi.org/10.1016/j.ifset.2017.06.009")</f>
        <v>http://dx.doi.org/10.1016/j.ifset.2017.06.009</v>
      </c>
      <c r="BG652" s="1" t="s">
        <v>74</v>
      </c>
      <c r="BH652" s="1" t="s">
        <v>74</v>
      </c>
      <c r="BI652" s="1" t="s">
        <v>74</v>
      </c>
      <c r="BJ652" s="1" t="s">
        <v>74</v>
      </c>
      <c r="BK652" s="1" t="s">
        <v>74</v>
      </c>
      <c r="BL652" s="1" t="s">
        <v>74</v>
      </c>
      <c r="BM652" s="1" t="s">
        <v>74</v>
      </c>
      <c r="BN652" s="1" t="s">
        <v>74</v>
      </c>
      <c r="BO652" s="1" t="s">
        <v>74</v>
      </c>
      <c r="BP652" s="1" t="s">
        <v>74</v>
      </c>
      <c r="BQ652" s="1" t="s">
        <v>74</v>
      </c>
      <c r="BR652" s="1" t="s">
        <v>74</v>
      </c>
      <c r="BS652" s="1" t="s">
        <v>6231</v>
      </c>
      <c r="BT652" s="1" t="str">
        <f>HYPERLINK("https%3A%2F%2Fwww.webofscience.com%2Fwos%2Fwoscc%2Ffull-record%2FWOS:000418217000022","View Full Record in Web of Science")</f>
        <v>View Full Record in Web of Science</v>
      </c>
    </row>
    <row r="653" ht="12.75" customHeight="1">
      <c r="A653" s="1" t="s">
        <v>72</v>
      </c>
      <c r="B653" s="1" t="s">
        <v>6232</v>
      </c>
      <c r="C653" s="1" t="s">
        <v>74</v>
      </c>
      <c r="D653" s="1" t="s">
        <v>74</v>
      </c>
      <c r="E653" s="1" t="s">
        <v>74</v>
      </c>
      <c r="F653" s="1" t="s">
        <v>6233</v>
      </c>
      <c r="G653" s="1" t="s">
        <v>74</v>
      </c>
      <c r="H653" s="1" t="s">
        <v>74</v>
      </c>
      <c r="I653" s="1" t="s">
        <v>6234</v>
      </c>
      <c r="J653" s="1" t="s">
        <v>6235</v>
      </c>
      <c r="K653" s="1" t="s">
        <v>74</v>
      </c>
      <c r="L653" s="1" t="s">
        <v>74</v>
      </c>
      <c r="M653" s="1" t="s">
        <v>74</v>
      </c>
      <c r="N653" s="1" t="s">
        <v>74</v>
      </c>
      <c r="O653" s="1" t="s">
        <v>74</v>
      </c>
      <c r="P653" s="1" t="s">
        <v>74</v>
      </c>
      <c r="Q653" s="1" t="s">
        <v>74</v>
      </c>
      <c r="R653" s="1" t="s">
        <v>74</v>
      </c>
      <c r="S653" s="1" t="s">
        <v>74</v>
      </c>
      <c r="T653" s="1" t="s">
        <v>74</v>
      </c>
      <c r="U653" s="1" t="s">
        <v>74</v>
      </c>
      <c r="V653" s="1" t="s">
        <v>6236</v>
      </c>
      <c r="W653" s="1" t="s">
        <v>74</v>
      </c>
      <c r="X653" s="1" t="s">
        <v>74</v>
      </c>
      <c r="Y653" s="1" t="s">
        <v>74</v>
      </c>
      <c r="Z653" s="1" t="s">
        <v>74</v>
      </c>
      <c r="AA653" s="1" t="s">
        <v>6237</v>
      </c>
      <c r="AB653" s="1" t="s">
        <v>74</v>
      </c>
      <c r="AC653" s="1" t="s">
        <v>74</v>
      </c>
      <c r="AD653" s="1" t="s">
        <v>74</v>
      </c>
      <c r="AE653" s="1" t="s">
        <v>74</v>
      </c>
      <c r="AF653" s="1" t="s">
        <v>74</v>
      </c>
      <c r="AG653" s="1" t="s">
        <v>74</v>
      </c>
      <c r="AH653" s="1" t="s">
        <v>74</v>
      </c>
      <c r="AI653" s="1" t="s">
        <v>74</v>
      </c>
      <c r="AJ653" s="1" t="s">
        <v>74</v>
      </c>
      <c r="AK653" s="1" t="s">
        <v>74</v>
      </c>
      <c r="AL653" s="1" t="s">
        <v>74</v>
      </c>
      <c r="AM653" s="1" t="s">
        <v>74</v>
      </c>
      <c r="AN653" s="1" t="s">
        <v>74</v>
      </c>
      <c r="AO653" s="1" t="s">
        <v>6238</v>
      </c>
      <c r="AP653" s="1" t="s">
        <v>6239</v>
      </c>
      <c r="AQ653" s="1" t="s">
        <v>74</v>
      </c>
      <c r="AR653" s="1" t="s">
        <v>74</v>
      </c>
      <c r="AS653" s="1" t="s">
        <v>74</v>
      </c>
      <c r="AT653" s="1" t="s">
        <v>110</v>
      </c>
      <c r="AU653" s="1">
        <v>2017.0</v>
      </c>
      <c r="AV653" s="1">
        <v>290.0</v>
      </c>
      <c r="AW653" s="1" t="s">
        <v>6240</v>
      </c>
      <c r="AX653" s="1" t="s">
        <v>74</v>
      </c>
      <c r="AY653" s="1" t="s">
        <v>74</v>
      </c>
      <c r="AZ653" s="1" t="s">
        <v>74</v>
      </c>
      <c r="BA653" s="1" t="s">
        <v>74</v>
      </c>
      <c r="BB653" s="1">
        <v>2858.0</v>
      </c>
      <c r="BC653" s="1">
        <v>2873.0</v>
      </c>
      <c r="BD653" s="1" t="s">
        <v>74</v>
      </c>
      <c r="BE653" s="1" t="s">
        <v>6241</v>
      </c>
      <c r="BF653" s="2" t="str">
        <f>HYPERLINK("http://dx.doi.org/10.1002/mana.201600214","http://dx.doi.org/10.1002/mana.201600214")</f>
        <v>http://dx.doi.org/10.1002/mana.201600214</v>
      </c>
      <c r="BG653" s="1" t="s">
        <v>74</v>
      </c>
      <c r="BH653" s="1" t="s">
        <v>74</v>
      </c>
      <c r="BI653" s="1" t="s">
        <v>74</v>
      </c>
      <c r="BJ653" s="1" t="s">
        <v>74</v>
      </c>
      <c r="BK653" s="1" t="s">
        <v>74</v>
      </c>
      <c r="BL653" s="1" t="s">
        <v>74</v>
      </c>
      <c r="BM653" s="1" t="s">
        <v>74</v>
      </c>
      <c r="BN653" s="1" t="s">
        <v>74</v>
      </c>
      <c r="BO653" s="1" t="s">
        <v>74</v>
      </c>
      <c r="BP653" s="1" t="s">
        <v>74</v>
      </c>
      <c r="BQ653" s="1" t="s">
        <v>74</v>
      </c>
      <c r="BR653" s="1" t="s">
        <v>74</v>
      </c>
      <c r="BS653" s="1" t="s">
        <v>6242</v>
      </c>
      <c r="BT653" s="1" t="str">
        <f>HYPERLINK("https%3A%2F%2Fwww.webofscience.com%2Fwos%2Fwoscc%2Ffull-record%2FWOS:000419959100012","View Full Record in Web of Science")</f>
        <v>View Full Record in Web of Science</v>
      </c>
    </row>
    <row r="654" ht="12.75" customHeight="1">
      <c r="A654" s="1" t="s">
        <v>72</v>
      </c>
      <c r="B654" s="1" t="s">
        <v>6243</v>
      </c>
      <c r="C654" s="1" t="s">
        <v>74</v>
      </c>
      <c r="D654" s="1" t="s">
        <v>74</v>
      </c>
      <c r="E654" s="1" t="s">
        <v>74</v>
      </c>
      <c r="F654" s="1" t="s">
        <v>6244</v>
      </c>
      <c r="G654" s="1" t="s">
        <v>74</v>
      </c>
      <c r="H654" s="1" t="s">
        <v>74</v>
      </c>
      <c r="I654" s="1" t="s">
        <v>6245</v>
      </c>
      <c r="J654" s="1" t="s">
        <v>6246</v>
      </c>
      <c r="K654" s="1" t="s">
        <v>74</v>
      </c>
      <c r="L654" s="1" t="s">
        <v>74</v>
      </c>
      <c r="M654" s="1" t="s">
        <v>74</v>
      </c>
      <c r="N654" s="1" t="s">
        <v>74</v>
      </c>
      <c r="O654" s="1" t="s">
        <v>74</v>
      </c>
      <c r="P654" s="1" t="s">
        <v>74</v>
      </c>
      <c r="Q654" s="1" t="s">
        <v>74</v>
      </c>
      <c r="R654" s="1" t="s">
        <v>74</v>
      </c>
      <c r="S654" s="1" t="s">
        <v>74</v>
      </c>
      <c r="T654" s="1" t="s">
        <v>74</v>
      </c>
      <c r="U654" s="1" t="s">
        <v>74</v>
      </c>
      <c r="V654" s="1" t="s">
        <v>6247</v>
      </c>
      <c r="W654" s="1" t="s">
        <v>74</v>
      </c>
      <c r="X654" s="1" t="s">
        <v>74</v>
      </c>
      <c r="Y654" s="1" t="s">
        <v>74</v>
      </c>
      <c r="Z654" s="1" t="s">
        <v>74</v>
      </c>
      <c r="AA654" s="1" t="s">
        <v>6248</v>
      </c>
      <c r="AB654" s="1" t="s">
        <v>74</v>
      </c>
      <c r="AC654" s="1" t="s">
        <v>74</v>
      </c>
      <c r="AD654" s="1" t="s">
        <v>74</v>
      </c>
      <c r="AE654" s="1" t="s">
        <v>74</v>
      </c>
      <c r="AF654" s="1" t="s">
        <v>74</v>
      </c>
      <c r="AG654" s="1" t="s">
        <v>74</v>
      </c>
      <c r="AH654" s="1" t="s">
        <v>74</v>
      </c>
      <c r="AI654" s="1" t="s">
        <v>74</v>
      </c>
      <c r="AJ654" s="1" t="s">
        <v>74</v>
      </c>
      <c r="AK654" s="1" t="s">
        <v>74</v>
      </c>
      <c r="AL654" s="1" t="s">
        <v>74</v>
      </c>
      <c r="AM654" s="1" t="s">
        <v>74</v>
      </c>
      <c r="AN654" s="1" t="s">
        <v>74</v>
      </c>
      <c r="AO654" s="1" t="s">
        <v>6249</v>
      </c>
      <c r="AP654" s="1" t="s">
        <v>74</v>
      </c>
      <c r="AQ654" s="1" t="s">
        <v>74</v>
      </c>
      <c r="AR654" s="1" t="s">
        <v>74</v>
      </c>
      <c r="AS654" s="1" t="s">
        <v>74</v>
      </c>
      <c r="AT654" s="1" t="s">
        <v>169</v>
      </c>
      <c r="AU654" s="1">
        <v>2017.0</v>
      </c>
      <c r="AV654" s="1">
        <v>15.0</v>
      </c>
      <c r="AW654" s="1">
        <v>1.0</v>
      </c>
      <c r="AX654" s="1" t="s">
        <v>74</v>
      </c>
      <c r="AY654" s="1" t="s">
        <v>74</v>
      </c>
      <c r="AZ654" s="1" t="s">
        <v>74</v>
      </c>
      <c r="BA654" s="1" t="s">
        <v>74</v>
      </c>
      <c r="BB654" s="1">
        <v>13.0</v>
      </c>
      <c r="BC654" s="1">
        <v>20.0</v>
      </c>
      <c r="BD654" s="1" t="s">
        <v>74</v>
      </c>
      <c r="BE654" s="1" t="s">
        <v>6250</v>
      </c>
      <c r="BF654" s="2" t="str">
        <f>HYPERLINK("http://dx.doi.org/10.1109/TLA.2017.7827883","http://dx.doi.org/10.1109/TLA.2017.7827883")</f>
        <v>http://dx.doi.org/10.1109/TLA.2017.7827883</v>
      </c>
      <c r="BG654" s="1" t="s">
        <v>74</v>
      </c>
      <c r="BH654" s="1" t="s">
        <v>74</v>
      </c>
      <c r="BI654" s="1" t="s">
        <v>74</v>
      </c>
      <c r="BJ654" s="1" t="s">
        <v>74</v>
      </c>
      <c r="BK654" s="1" t="s">
        <v>74</v>
      </c>
      <c r="BL654" s="1" t="s">
        <v>74</v>
      </c>
      <c r="BM654" s="1" t="s">
        <v>74</v>
      </c>
      <c r="BN654" s="1" t="s">
        <v>74</v>
      </c>
      <c r="BO654" s="1" t="s">
        <v>74</v>
      </c>
      <c r="BP654" s="1" t="s">
        <v>74</v>
      </c>
      <c r="BQ654" s="1" t="s">
        <v>74</v>
      </c>
      <c r="BR654" s="1" t="s">
        <v>74</v>
      </c>
      <c r="BS654" s="1" t="s">
        <v>6251</v>
      </c>
      <c r="BT654" s="1" t="str">
        <f>HYPERLINK("https%3A%2F%2Fwww.webofscience.com%2Fwos%2Fwoscc%2Ffull-record%2FWOS:000394600100006","View Full Record in Web of Science")</f>
        <v>View Full Record in Web of Science</v>
      </c>
    </row>
    <row r="655" ht="12.75" customHeight="1">
      <c r="A655" s="1" t="s">
        <v>72</v>
      </c>
      <c r="B655" s="1" t="s">
        <v>6252</v>
      </c>
      <c r="C655" s="1" t="s">
        <v>74</v>
      </c>
      <c r="D655" s="1" t="s">
        <v>74</v>
      </c>
      <c r="E655" s="1" t="s">
        <v>74</v>
      </c>
      <c r="F655" s="1" t="s">
        <v>6253</v>
      </c>
      <c r="G655" s="1" t="s">
        <v>74</v>
      </c>
      <c r="H655" s="1" t="s">
        <v>74</v>
      </c>
      <c r="I655" s="1" t="s">
        <v>6254</v>
      </c>
      <c r="J655" s="1" t="s">
        <v>777</v>
      </c>
      <c r="K655" s="1" t="s">
        <v>74</v>
      </c>
      <c r="L655" s="1" t="s">
        <v>74</v>
      </c>
      <c r="M655" s="1" t="s">
        <v>74</v>
      </c>
      <c r="N655" s="1" t="s">
        <v>74</v>
      </c>
      <c r="O655" s="1" t="s">
        <v>74</v>
      </c>
      <c r="P655" s="1" t="s">
        <v>74</v>
      </c>
      <c r="Q655" s="1" t="s">
        <v>74</v>
      </c>
      <c r="R655" s="1" t="s">
        <v>74</v>
      </c>
      <c r="S655" s="1" t="s">
        <v>74</v>
      </c>
      <c r="T655" s="1" t="s">
        <v>74</v>
      </c>
      <c r="U655" s="1" t="s">
        <v>74</v>
      </c>
      <c r="V655" s="1" t="s">
        <v>6255</v>
      </c>
      <c r="W655" s="1" t="s">
        <v>74</v>
      </c>
      <c r="X655" s="1" t="s">
        <v>74</v>
      </c>
      <c r="Y655" s="1" t="s">
        <v>74</v>
      </c>
      <c r="Z655" s="1" t="s">
        <v>74</v>
      </c>
      <c r="AA655" s="1" t="s">
        <v>6256</v>
      </c>
      <c r="AB655" s="1" t="s">
        <v>74</v>
      </c>
      <c r="AC655" s="1" t="s">
        <v>74</v>
      </c>
      <c r="AD655" s="1" t="s">
        <v>74</v>
      </c>
      <c r="AE655" s="1" t="s">
        <v>74</v>
      </c>
      <c r="AF655" s="1" t="s">
        <v>74</v>
      </c>
      <c r="AG655" s="1" t="s">
        <v>74</v>
      </c>
      <c r="AH655" s="1" t="s">
        <v>74</v>
      </c>
      <c r="AI655" s="1" t="s">
        <v>74</v>
      </c>
      <c r="AJ655" s="1" t="s">
        <v>74</v>
      </c>
      <c r="AK655" s="1" t="s">
        <v>74</v>
      </c>
      <c r="AL655" s="1" t="s">
        <v>74</v>
      </c>
      <c r="AM655" s="1" t="s">
        <v>74</v>
      </c>
      <c r="AN655" s="1" t="s">
        <v>74</v>
      </c>
      <c r="AO655" s="1" t="s">
        <v>779</v>
      </c>
      <c r="AP655" s="1" t="s">
        <v>780</v>
      </c>
      <c r="AQ655" s="1" t="s">
        <v>74</v>
      </c>
      <c r="AR655" s="1" t="s">
        <v>74</v>
      </c>
      <c r="AS655" s="1" t="s">
        <v>74</v>
      </c>
      <c r="AT655" s="1" t="s">
        <v>6257</v>
      </c>
      <c r="AU655" s="1">
        <v>2016.0</v>
      </c>
      <c r="AV655" s="1">
        <v>260.0</v>
      </c>
      <c r="AW655" s="1">
        <v>9.0</v>
      </c>
      <c r="AX655" s="1" t="s">
        <v>74</v>
      </c>
      <c r="AY655" s="1" t="s">
        <v>74</v>
      </c>
      <c r="AZ655" s="1" t="s">
        <v>74</v>
      </c>
      <c r="BA655" s="1" t="s">
        <v>74</v>
      </c>
      <c r="BB655" s="1">
        <v>6872.0</v>
      </c>
      <c r="BC655" s="1">
        <v>6899.0</v>
      </c>
      <c r="BD655" s="1" t="s">
        <v>74</v>
      </c>
      <c r="BE655" s="1" t="s">
        <v>6258</v>
      </c>
      <c r="BF655" s="2" t="str">
        <f>HYPERLINK("http://dx.doi.org/10.1016/j.jde.2016.01.016","http://dx.doi.org/10.1016/j.jde.2016.01.016")</f>
        <v>http://dx.doi.org/10.1016/j.jde.2016.01.016</v>
      </c>
      <c r="BG655" s="1" t="s">
        <v>74</v>
      </c>
      <c r="BH655" s="1" t="s">
        <v>74</v>
      </c>
      <c r="BI655" s="1" t="s">
        <v>74</v>
      </c>
      <c r="BJ655" s="1" t="s">
        <v>74</v>
      </c>
      <c r="BK655" s="1" t="s">
        <v>74</v>
      </c>
      <c r="BL655" s="1" t="s">
        <v>74</v>
      </c>
      <c r="BM655" s="1" t="s">
        <v>74</v>
      </c>
      <c r="BN655" s="1" t="s">
        <v>74</v>
      </c>
      <c r="BO655" s="1" t="s">
        <v>74</v>
      </c>
      <c r="BP655" s="1" t="s">
        <v>74</v>
      </c>
      <c r="BQ655" s="1" t="s">
        <v>74</v>
      </c>
      <c r="BR655" s="1" t="s">
        <v>74</v>
      </c>
      <c r="BS655" s="1" t="s">
        <v>6259</v>
      </c>
      <c r="BT655" s="1" t="str">
        <f>HYPERLINK("https%3A%2F%2Fwww.webofscience.com%2Fwos%2Fwoscc%2Ffull-record%2FWOS:000371649400005","View Full Record in Web of Science")</f>
        <v>View Full Record in Web of Science</v>
      </c>
    </row>
    <row r="656" ht="12.75" customHeight="1">
      <c r="A656" s="1" t="s">
        <v>72</v>
      </c>
      <c r="B656" s="1" t="s">
        <v>6260</v>
      </c>
      <c r="C656" s="1" t="s">
        <v>74</v>
      </c>
      <c r="D656" s="1" t="s">
        <v>74</v>
      </c>
      <c r="E656" s="1" t="s">
        <v>74</v>
      </c>
      <c r="F656" s="1" t="s">
        <v>6261</v>
      </c>
      <c r="G656" s="1" t="s">
        <v>74</v>
      </c>
      <c r="H656" s="1" t="s">
        <v>74</v>
      </c>
      <c r="I656" s="1" t="s">
        <v>6262</v>
      </c>
      <c r="J656" s="1" t="s">
        <v>6263</v>
      </c>
      <c r="K656" s="1" t="s">
        <v>74</v>
      </c>
      <c r="L656" s="1" t="s">
        <v>74</v>
      </c>
      <c r="M656" s="1" t="s">
        <v>74</v>
      </c>
      <c r="N656" s="1" t="s">
        <v>74</v>
      </c>
      <c r="O656" s="1" t="s">
        <v>74</v>
      </c>
      <c r="P656" s="1" t="s">
        <v>74</v>
      </c>
      <c r="Q656" s="1" t="s">
        <v>74</v>
      </c>
      <c r="R656" s="1" t="s">
        <v>74</v>
      </c>
      <c r="S656" s="1" t="s">
        <v>74</v>
      </c>
      <c r="T656" s="1" t="s">
        <v>74</v>
      </c>
      <c r="U656" s="1" t="s">
        <v>74</v>
      </c>
      <c r="V656" s="1" t="s">
        <v>6264</v>
      </c>
      <c r="W656" s="1" t="s">
        <v>74</v>
      </c>
      <c r="X656" s="1" t="s">
        <v>74</v>
      </c>
      <c r="Y656" s="1" t="s">
        <v>74</v>
      </c>
      <c r="Z656" s="1" t="s">
        <v>74</v>
      </c>
      <c r="AA656" s="1" t="s">
        <v>74</v>
      </c>
      <c r="AB656" s="1" t="s">
        <v>74</v>
      </c>
      <c r="AC656" s="1" t="s">
        <v>74</v>
      </c>
      <c r="AD656" s="1" t="s">
        <v>74</v>
      </c>
      <c r="AE656" s="1" t="s">
        <v>74</v>
      </c>
      <c r="AF656" s="1" t="s">
        <v>74</v>
      </c>
      <c r="AG656" s="1" t="s">
        <v>74</v>
      </c>
      <c r="AH656" s="1" t="s">
        <v>74</v>
      </c>
      <c r="AI656" s="1" t="s">
        <v>74</v>
      </c>
      <c r="AJ656" s="1" t="s">
        <v>74</v>
      </c>
      <c r="AK656" s="1" t="s">
        <v>74</v>
      </c>
      <c r="AL656" s="1" t="s">
        <v>74</v>
      </c>
      <c r="AM656" s="1" t="s">
        <v>74</v>
      </c>
      <c r="AN656" s="1" t="s">
        <v>74</v>
      </c>
      <c r="AO656" s="1" t="s">
        <v>6265</v>
      </c>
      <c r="AP656" s="1" t="s">
        <v>6266</v>
      </c>
      <c r="AQ656" s="1" t="s">
        <v>74</v>
      </c>
      <c r="AR656" s="1" t="s">
        <v>74</v>
      </c>
      <c r="AS656" s="1" t="s">
        <v>74</v>
      </c>
      <c r="AT656" s="1" t="s">
        <v>88</v>
      </c>
      <c r="AU656" s="1">
        <v>2016.0</v>
      </c>
      <c r="AV656" s="1">
        <v>24.0</v>
      </c>
      <c r="AW656" s="1">
        <v>4.0</v>
      </c>
      <c r="AX656" s="1" t="s">
        <v>74</v>
      </c>
      <c r="AY656" s="1" t="s">
        <v>74</v>
      </c>
      <c r="AZ656" s="1" t="s">
        <v>74</v>
      </c>
      <c r="BA656" s="1" t="s">
        <v>74</v>
      </c>
      <c r="BB656" s="1">
        <v>521.0</v>
      </c>
      <c r="BC656" s="1">
        <v>528.0</v>
      </c>
      <c r="BD656" s="1" t="s">
        <v>74</v>
      </c>
      <c r="BE656" s="1" t="s">
        <v>6267</v>
      </c>
      <c r="BF656" s="2" t="str">
        <f>HYPERLINK("http://dx.doi.org/10.1016/j.cjche.2015.11.029","http://dx.doi.org/10.1016/j.cjche.2015.11.029")</f>
        <v>http://dx.doi.org/10.1016/j.cjche.2015.11.029</v>
      </c>
      <c r="BG656" s="1" t="s">
        <v>74</v>
      </c>
      <c r="BH656" s="1" t="s">
        <v>74</v>
      </c>
      <c r="BI656" s="1" t="s">
        <v>74</v>
      </c>
      <c r="BJ656" s="1" t="s">
        <v>74</v>
      </c>
      <c r="BK656" s="1" t="s">
        <v>74</v>
      </c>
      <c r="BL656" s="1" t="s">
        <v>74</v>
      </c>
      <c r="BM656" s="1" t="s">
        <v>74</v>
      </c>
      <c r="BN656" s="1" t="s">
        <v>74</v>
      </c>
      <c r="BO656" s="1" t="s">
        <v>74</v>
      </c>
      <c r="BP656" s="1" t="s">
        <v>74</v>
      </c>
      <c r="BQ656" s="1" t="s">
        <v>74</v>
      </c>
      <c r="BR656" s="1" t="s">
        <v>74</v>
      </c>
      <c r="BS656" s="1" t="s">
        <v>6268</v>
      </c>
      <c r="BT656" s="1" t="str">
        <f>HYPERLINK("https%3A%2F%2Fwww.webofscience.com%2Fwos%2Fwoscc%2Ffull-record%2FWOS:000376436000012","View Full Record in Web of Science")</f>
        <v>View Full Record in Web of Science</v>
      </c>
    </row>
    <row r="657" ht="12.75" customHeight="1">
      <c r="A657" s="1" t="s">
        <v>72</v>
      </c>
      <c r="B657" s="1" t="s">
        <v>6269</v>
      </c>
      <c r="C657" s="1" t="s">
        <v>74</v>
      </c>
      <c r="D657" s="1" t="s">
        <v>74</v>
      </c>
      <c r="E657" s="1" t="s">
        <v>74</v>
      </c>
      <c r="F657" s="1" t="s">
        <v>6270</v>
      </c>
      <c r="G657" s="1" t="s">
        <v>74</v>
      </c>
      <c r="H657" s="1" t="s">
        <v>74</v>
      </c>
      <c r="I657" s="1" t="s">
        <v>6271</v>
      </c>
      <c r="J657" s="1" t="s">
        <v>6272</v>
      </c>
      <c r="K657" s="1" t="s">
        <v>74</v>
      </c>
      <c r="L657" s="1" t="s">
        <v>74</v>
      </c>
      <c r="M657" s="1" t="s">
        <v>74</v>
      </c>
      <c r="N657" s="1" t="s">
        <v>74</v>
      </c>
      <c r="O657" s="1" t="s">
        <v>74</v>
      </c>
      <c r="P657" s="1" t="s">
        <v>74</v>
      </c>
      <c r="Q657" s="1" t="s">
        <v>74</v>
      </c>
      <c r="R657" s="1" t="s">
        <v>74</v>
      </c>
      <c r="S657" s="1" t="s">
        <v>74</v>
      </c>
      <c r="T657" s="1" t="s">
        <v>74</v>
      </c>
      <c r="U657" s="1" t="s">
        <v>74</v>
      </c>
      <c r="V657" s="1" t="s">
        <v>6273</v>
      </c>
      <c r="W657" s="1" t="s">
        <v>74</v>
      </c>
      <c r="X657" s="1" t="s">
        <v>74</v>
      </c>
      <c r="Y657" s="1" t="s">
        <v>74</v>
      </c>
      <c r="Z657" s="1" t="s">
        <v>74</v>
      </c>
      <c r="AA657" s="1" t="s">
        <v>933</v>
      </c>
      <c r="AB657" s="1" t="s">
        <v>3692</v>
      </c>
      <c r="AC657" s="1" t="s">
        <v>74</v>
      </c>
      <c r="AD657" s="1" t="s">
        <v>74</v>
      </c>
      <c r="AE657" s="1" t="s">
        <v>74</v>
      </c>
      <c r="AF657" s="1" t="s">
        <v>74</v>
      </c>
      <c r="AG657" s="1" t="s">
        <v>74</v>
      </c>
      <c r="AH657" s="1" t="s">
        <v>74</v>
      </c>
      <c r="AI657" s="1" t="s">
        <v>74</v>
      </c>
      <c r="AJ657" s="1" t="s">
        <v>74</v>
      </c>
      <c r="AK657" s="1" t="s">
        <v>74</v>
      </c>
      <c r="AL657" s="1" t="s">
        <v>74</v>
      </c>
      <c r="AM657" s="1" t="s">
        <v>74</v>
      </c>
      <c r="AN657" s="1" t="s">
        <v>74</v>
      </c>
      <c r="AO657" s="1" t="s">
        <v>6274</v>
      </c>
      <c r="AP657" s="1" t="s">
        <v>6275</v>
      </c>
      <c r="AQ657" s="1" t="s">
        <v>74</v>
      </c>
      <c r="AR657" s="1" t="s">
        <v>74</v>
      </c>
      <c r="AS657" s="1" t="s">
        <v>74</v>
      </c>
      <c r="AT657" s="1" t="s">
        <v>74</v>
      </c>
      <c r="AU657" s="1">
        <v>2016.0</v>
      </c>
      <c r="AV657" s="1">
        <v>2016.0</v>
      </c>
      <c r="AW657" s="1" t="s">
        <v>74</v>
      </c>
      <c r="AX657" s="1" t="s">
        <v>74</v>
      </c>
      <c r="AY657" s="1" t="s">
        <v>74</v>
      </c>
      <c r="AZ657" s="1" t="s">
        <v>74</v>
      </c>
      <c r="BA657" s="1" t="s">
        <v>74</v>
      </c>
      <c r="BB657" s="1" t="s">
        <v>74</v>
      </c>
      <c r="BC657" s="1" t="s">
        <v>74</v>
      </c>
      <c r="BD657" s="1">
        <v>6280581.0</v>
      </c>
      <c r="BE657" s="1" t="s">
        <v>6276</v>
      </c>
      <c r="BF657" s="2" t="str">
        <f>HYPERLINK("http://dx.doi.org/10.1155/2016/6280581","http://dx.doi.org/10.1155/2016/6280581")</f>
        <v>http://dx.doi.org/10.1155/2016/6280581</v>
      </c>
      <c r="BG657" s="1" t="s">
        <v>74</v>
      </c>
      <c r="BH657" s="1" t="s">
        <v>74</v>
      </c>
      <c r="BI657" s="1" t="s">
        <v>74</v>
      </c>
      <c r="BJ657" s="1" t="s">
        <v>74</v>
      </c>
      <c r="BK657" s="1" t="s">
        <v>74</v>
      </c>
      <c r="BL657" s="1" t="s">
        <v>74</v>
      </c>
      <c r="BM657" s="1" t="s">
        <v>74</v>
      </c>
      <c r="BN657" s="1" t="s">
        <v>74</v>
      </c>
      <c r="BO657" s="1" t="s">
        <v>74</v>
      </c>
      <c r="BP657" s="1" t="s">
        <v>74</v>
      </c>
      <c r="BQ657" s="1" t="s">
        <v>74</v>
      </c>
      <c r="BR657" s="1" t="s">
        <v>74</v>
      </c>
      <c r="BS657" s="1" t="s">
        <v>6277</v>
      </c>
      <c r="BT657" s="1" t="str">
        <f>HYPERLINK("https%3A%2F%2Fwww.webofscience.com%2Fwos%2Fwoscc%2Ffull-record%2FWOS:000386831600001","View Full Record in Web of Science")</f>
        <v>View Full Record in Web of Science</v>
      </c>
    </row>
    <row r="658" ht="12.75" customHeight="1">
      <c r="A658" s="1" t="s">
        <v>251</v>
      </c>
      <c r="B658" s="1" t="s">
        <v>6278</v>
      </c>
      <c r="C658" s="1" t="s">
        <v>74</v>
      </c>
      <c r="D658" s="1" t="s">
        <v>6279</v>
      </c>
      <c r="E658" s="1" t="s">
        <v>74</v>
      </c>
      <c r="F658" s="1" t="s">
        <v>6280</v>
      </c>
      <c r="G658" s="1" t="s">
        <v>74</v>
      </c>
      <c r="H658" s="1" t="s">
        <v>74</v>
      </c>
      <c r="I658" s="1" t="s">
        <v>6281</v>
      </c>
      <c r="J658" s="1" t="s">
        <v>6282</v>
      </c>
      <c r="K658" s="1" t="s">
        <v>74</v>
      </c>
      <c r="L658" s="1" t="s">
        <v>74</v>
      </c>
      <c r="M658" s="1" t="s">
        <v>74</v>
      </c>
      <c r="N658" s="1" t="s">
        <v>74</v>
      </c>
      <c r="O658" s="1" t="s">
        <v>6283</v>
      </c>
      <c r="P658" s="1" t="s">
        <v>6284</v>
      </c>
      <c r="Q658" s="1" t="s">
        <v>4155</v>
      </c>
      <c r="R658" s="1" t="s">
        <v>6285</v>
      </c>
      <c r="S658" s="1" t="s">
        <v>74</v>
      </c>
      <c r="T658" s="1" t="s">
        <v>74</v>
      </c>
      <c r="U658" s="1" t="s">
        <v>74</v>
      </c>
      <c r="V658" s="1" t="s">
        <v>6286</v>
      </c>
      <c r="W658" s="1" t="s">
        <v>74</v>
      </c>
      <c r="X658" s="1" t="s">
        <v>74</v>
      </c>
      <c r="Y658" s="1" t="s">
        <v>74</v>
      </c>
      <c r="Z658" s="1" t="s">
        <v>74</v>
      </c>
      <c r="AA658" s="1" t="s">
        <v>4158</v>
      </c>
      <c r="AB658" s="1" t="s">
        <v>4159</v>
      </c>
      <c r="AC658" s="1" t="s">
        <v>74</v>
      </c>
      <c r="AD658" s="1" t="s">
        <v>74</v>
      </c>
      <c r="AE658" s="1" t="s">
        <v>74</v>
      </c>
      <c r="AF658" s="1" t="s">
        <v>74</v>
      </c>
      <c r="AG658" s="1" t="s">
        <v>74</v>
      </c>
      <c r="AH658" s="1" t="s">
        <v>74</v>
      </c>
      <c r="AI658" s="1" t="s">
        <v>74</v>
      </c>
      <c r="AJ658" s="1" t="s">
        <v>74</v>
      </c>
      <c r="AK658" s="1" t="s">
        <v>74</v>
      </c>
      <c r="AL658" s="1" t="s">
        <v>74</v>
      </c>
      <c r="AM658" s="1" t="s">
        <v>74</v>
      </c>
      <c r="AN658" s="1" t="s">
        <v>74</v>
      </c>
      <c r="AO658" s="1" t="s">
        <v>74</v>
      </c>
      <c r="AP658" s="1" t="s">
        <v>74</v>
      </c>
      <c r="AQ658" s="1" t="s">
        <v>6287</v>
      </c>
      <c r="AR658" s="1" t="s">
        <v>74</v>
      </c>
      <c r="AS658" s="1" t="s">
        <v>74</v>
      </c>
      <c r="AT658" s="1" t="s">
        <v>74</v>
      </c>
      <c r="AU658" s="1">
        <v>2016.0</v>
      </c>
      <c r="AV658" s="1" t="s">
        <v>74</v>
      </c>
      <c r="AW658" s="1" t="s">
        <v>74</v>
      </c>
      <c r="AX658" s="1" t="s">
        <v>74</v>
      </c>
      <c r="AY658" s="1" t="s">
        <v>74</v>
      </c>
      <c r="AZ658" s="1" t="s">
        <v>74</v>
      </c>
      <c r="BA658" s="1" t="s">
        <v>74</v>
      </c>
      <c r="BB658" s="1">
        <v>160.0</v>
      </c>
      <c r="BC658" s="1">
        <v>164.0</v>
      </c>
      <c r="BD658" s="1" t="s">
        <v>74</v>
      </c>
      <c r="BE658" s="1" t="s">
        <v>74</v>
      </c>
      <c r="BF658" s="1" t="s">
        <v>74</v>
      </c>
      <c r="BG658" s="1" t="s">
        <v>74</v>
      </c>
      <c r="BH658" s="1" t="s">
        <v>74</v>
      </c>
      <c r="BI658" s="1" t="s">
        <v>74</v>
      </c>
      <c r="BJ658" s="1" t="s">
        <v>74</v>
      </c>
      <c r="BK658" s="1" t="s">
        <v>74</v>
      </c>
      <c r="BL658" s="1" t="s">
        <v>74</v>
      </c>
      <c r="BM658" s="1" t="s">
        <v>74</v>
      </c>
      <c r="BN658" s="1" t="s">
        <v>74</v>
      </c>
      <c r="BO658" s="1" t="s">
        <v>74</v>
      </c>
      <c r="BP658" s="1" t="s">
        <v>74</v>
      </c>
      <c r="BQ658" s="1" t="s">
        <v>74</v>
      </c>
      <c r="BR658" s="1" t="s">
        <v>74</v>
      </c>
      <c r="BS658" s="1" t="s">
        <v>6288</v>
      </c>
      <c r="BT658" s="1" t="str">
        <f>HYPERLINK("https%3A%2F%2Fwww.webofscience.com%2Fwos%2Fwoscc%2Ffull-record%2FWOS:000391251000025","View Full Record in Web of Science")</f>
        <v>View Full Record in Web of Science</v>
      </c>
    </row>
    <row r="659" ht="12.75" customHeight="1">
      <c r="A659" s="1" t="s">
        <v>251</v>
      </c>
      <c r="B659" s="1" t="s">
        <v>6289</v>
      </c>
      <c r="C659" s="1" t="s">
        <v>74</v>
      </c>
      <c r="D659" s="1" t="s">
        <v>74</v>
      </c>
      <c r="E659" s="1" t="s">
        <v>253</v>
      </c>
      <c r="F659" s="1" t="s">
        <v>6290</v>
      </c>
      <c r="G659" s="1" t="s">
        <v>74</v>
      </c>
      <c r="H659" s="1" t="s">
        <v>74</v>
      </c>
      <c r="I659" s="1" t="s">
        <v>6291</v>
      </c>
      <c r="J659" s="1" t="s">
        <v>4858</v>
      </c>
      <c r="K659" s="1" t="s">
        <v>74</v>
      </c>
      <c r="L659" s="1" t="s">
        <v>74</v>
      </c>
      <c r="M659" s="1" t="s">
        <v>74</v>
      </c>
      <c r="N659" s="1" t="s">
        <v>74</v>
      </c>
      <c r="O659" s="1" t="s">
        <v>4859</v>
      </c>
      <c r="P659" s="1" t="s">
        <v>4860</v>
      </c>
      <c r="Q659" s="1" t="s">
        <v>4861</v>
      </c>
      <c r="R659" s="1" t="s">
        <v>253</v>
      </c>
      <c r="S659" s="1" t="s">
        <v>4862</v>
      </c>
      <c r="T659" s="1" t="s">
        <v>74</v>
      </c>
      <c r="U659" s="1" t="s">
        <v>74</v>
      </c>
      <c r="V659" s="1" t="s">
        <v>6292</v>
      </c>
      <c r="W659" s="1" t="s">
        <v>74</v>
      </c>
      <c r="X659" s="1" t="s">
        <v>74</v>
      </c>
      <c r="Y659" s="1" t="s">
        <v>74</v>
      </c>
      <c r="Z659" s="1" t="s">
        <v>74</v>
      </c>
      <c r="AA659" s="1" t="s">
        <v>6293</v>
      </c>
      <c r="AB659" s="1" t="s">
        <v>74</v>
      </c>
      <c r="AC659" s="1" t="s">
        <v>74</v>
      </c>
      <c r="AD659" s="1" t="s">
        <v>74</v>
      </c>
      <c r="AE659" s="1" t="s">
        <v>74</v>
      </c>
      <c r="AF659" s="1" t="s">
        <v>74</v>
      </c>
      <c r="AG659" s="1" t="s">
        <v>74</v>
      </c>
      <c r="AH659" s="1" t="s">
        <v>74</v>
      </c>
      <c r="AI659" s="1" t="s">
        <v>74</v>
      </c>
      <c r="AJ659" s="1" t="s">
        <v>74</v>
      </c>
      <c r="AK659" s="1" t="s">
        <v>74</v>
      </c>
      <c r="AL659" s="1" t="s">
        <v>74</v>
      </c>
      <c r="AM659" s="1" t="s">
        <v>74</v>
      </c>
      <c r="AN659" s="1" t="s">
        <v>74</v>
      </c>
      <c r="AO659" s="1" t="s">
        <v>74</v>
      </c>
      <c r="AP659" s="1" t="s">
        <v>74</v>
      </c>
      <c r="AQ659" s="1" t="s">
        <v>4864</v>
      </c>
      <c r="AR659" s="1" t="s">
        <v>74</v>
      </c>
      <c r="AS659" s="1" t="s">
        <v>74</v>
      </c>
      <c r="AT659" s="1" t="s">
        <v>74</v>
      </c>
      <c r="AU659" s="1">
        <v>2016.0</v>
      </c>
      <c r="AV659" s="1" t="s">
        <v>74</v>
      </c>
      <c r="AW659" s="1" t="s">
        <v>74</v>
      </c>
      <c r="AX659" s="1" t="s">
        <v>74</v>
      </c>
      <c r="AY659" s="1" t="s">
        <v>74</v>
      </c>
      <c r="AZ659" s="1" t="s">
        <v>74</v>
      </c>
      <c r="BA659" s="1" t="s">
        <v>74</v>
      </c>
      <c r="BB659" s="1" t="s">
        <v>74</v>
      </c>
      <c r="BC659" s="1" t="s">
        <v>74</v>
      </c>
      <c r="BD659" s="1" t="s">
        <v>74</v>
      </c>
      <c r="BE659" s="1" t="s">
        <v>74</v>
      </c>
      <c r="BF659" s="1" t="s">
        <v>74</v>
      </c>
      <c r="BG659" s="1" t="s">
        <v>74</v>
      </c>
      <c r="BH659" s="1" t="s">
        <v>74</v>
      </c>
      <c r="BI659" s="1" t="s">
        <v>74</v>
      </c>
      <c r="BJ659" s="1" t="s">
        <v>74</v>
      </c>
      <c r="BK659" s="1" t="s">
        <v>74</v>
      </c>
      <c r="BL659" s="1" t="s">
        <v>74</v>
      </c>
      <c r="BM659" s="1" t="s">
        <v>74</v>
      </c>
      <c r="BN659" s="1" t="s">
        <v>74</v>
      </c>
      <c r="BO659" s="1" t="s">
        <v>74</v>
      </c>
      <c r="BP659" s="1" t="s">
        <v>74</v>
      </c>
      <c r="BQ659" s="1" t="s">
        <v>74</v>
      </c>
      <c r="BR659" s="1" t="s">
        <v>74</v>
      </c>
      <c r="BS659" s="1" t="s">
        <v>6294</v>
      </c>
      <c r="BT659" s="1" t="str">
        <f>HYPERLINK("https%3A%2F%2Fwww.webofscience.com%2Fwos%2Fwoscc%2Ffull-record%2FWOS:000390556300085","View Full Record in Web of Science")</f>
        <v>View Full Record in Web of Science</v>
      </c>
    </row>
    <row r="660" ht="12.75" customHeight="1">
      <c r="A660" s="1" t="s">
        <v>72</v>
      </c>
      <c r="B660" s="1" t="s">
        <v>6295</v>
      </c>
      <c r="C660" s="1" t="s">
        <v>74</v>
      </c>
      <c r="D660" s="1" t="s">
        <v>74</v>
      </c>
      <c r="E660" s="1" t="s">
        <v>74</v>
      </c>
      <c r="F660" s="1" t="s">
        <v>6296</v>
      </c>
      <c r="G660" s="1" t="s">
        <v>74</v>
      </c>
      <c r="H660" s="1" t="s">
        <v>74</v>
      </c>
      <c r="I660" s="1" t="s">
        <v>6297</v>
      </c>
      <c r="J660" s="1" t="s">
        <v>2915</v>
      </c>
      <c r="K660" s="1" t="s">
        <v>74</v>
      </c>
      <c r="L660" s="1" t="s">
        <v>74</v>
      </c>
      <c r="M660" s="1" t="s">
        <v>74</v>
      </c>
      <c r="N660" s="1" t="s">
        <v>74</v>
      </c>
      <c r="O660" s="1" t="s">
        <v>74</v>
      </c>
      <c r="P660" s="1" t="s">
        <v>74</v>
      </c>
      <c r="Q660" s="1" t="s">
        <v>74</v>
      </c>
      <c r="R660" s="1" t="s">
        <v>74</v>
      </c>
      <c r="S660" s="1" t="s">
        <v>74</v>
      </c>
      <c r="T660" s="1" t="s">
        <v>74</v>
      </c>
      <c r="U660" s="1" t="s">
        <v>74</v>
      </c>
      <c r="V660" s="1" t="s">
        <v>6298</v>
      </c>
      <c r="W660" s="1" t="s">
        <v>74</v>
      </c>
      <c r="X660" s="1" t="s">
        <v>74</v>
      </c>
      <c r="Y660" s="1" t="s">
        <v>74</v>
      </c>
      <c r="Z660" s="1" t="s">
        <v>74</v>
      </c>
      <c r="AA660" s="1" t="s">
        <v>6299</v>
      </c>
      <c r="AB660" s="1" t="s">
        <v>6300</v>
      </c>
      <c r="AC660" s="1" t="s">
        <v>74</v>
      </c>
      <c r="AD660" s="1" t="s">
        <v>74</v>
      </c>
      <c r="AE660" s="1" t="s">
        <v>74</v>
      </c>
      <c r="AF660" s="1" t="s">
        <v>74</v>
      </c>
      <c r="AG660" s="1" t="s">
        <v>74</v>
      </c>
      <c r="AH660" s="1" t="s">
        <v>74</v>
      </c>
      <c r="AI660" s="1" t="s">
        <v>74</v>
      </c>
      <c r="AJ660" s="1" t="s">
        <v>74</v>
      </c>
      <c r="AK660" s="1" t="s">
        <v>74</v>
      </c>
      <c r="AL660" s="1" t="s">
        <v>74</v>
      </c>
      <c r="AM660" s="1" t="s">
        <v>74</v>
      </c>
      <c r="AN660" s="1" t="s">
        <v>74</v>
      </c>
      <c r="AO660" s="1" t="s">
        <v>2919</v>
      </c>
      <c r="AP660" s="1" t="s">
        <v>74</v>
      </c>
      <c r="AQ660" s="1" t="s">
        <v>74</v>
      </c>
      <c r="AR660" s="1" t="s">
        <v>74</v>
      </c>
      <c r="AS660" s="1" t="s">
        <v>74</v>
      </c>
      <c r="AT660" s="1" t="s">
        <v>1412</v>
      </c>
      <c r="AU660" s="1">
        <v>2015.0</v>
      </c>
      <c r="AV660" s="1">
        <v>20.0</v>
      </c>
      <c r="AW660" s="1">
        <v>3.0</v>
      </c>
      <c r="AX660" s="1" t="s">
        <v>74</v>
      </c>
      <c r="AY660" s="1" t="s">
        <v>74</v>
      </c>
      <c r="AZ660" s="1" t="s">
        <v>74</v>
      </c>
      <c r="BA660" s="1" t="s">
        <v>74</v>
      </c>
      <c r="BB660" s="1">
        <v>653.0</v>
      </c>
      <c r="BC660" s="1">
        <v>658.0</v>
      </c>
      <c r="BD660" s="1" t="s">
        <v>74</v>
      </c>
      <c r="BE660" s="1" t="s">
        <v>6301</v>
      </c>
      <c r="BF660" s="2" t="str">
        <f>HYPERLINK("http://dx.doi.org/10.1590/S1517-707620150003.0067","http://dx.doi.org/10.1590/S1517-707620150003.0067")</f>
        <v>http://dx.doi.org/10.1590/S1517-707620150003.0067</v>
      </c>
      <c r="BG660" s="1" t="s">
        <v>74</v>
      </c>
      <c r="BH660" s="1" t="s">
        <v>74</v>
      </c>
      <c r="BI660" s="1" t="s">
        <v>74</v>
      </c>
      <c r="BJ660" s="1" t="s">
        <v>74</v>
      </c>
      <c r="BK660" s="1" t="s">
        <v>74</v>
      </c>
      <c r="BL660" s="1" t="s">
        <v>74</v>
      </c>
      <c r="BM660" s="1" t="s">
        <v>74</v>
      </c>
      <c r="BN660" s="1" t="s">
        <v>74</v>
      </c>
      <c r="BO660" s="1" t="s">
        <v>74</v>
      </c>
      <c r="BP660" s="1" t="s">
        <v>74</v>
      </c>
      <c r="BQ660" s="1" t="s">
        <v>74</v>
      </c>
      <c r="BR660" s="1" t="s">
        <v>74</v>
      </c>
      <c r="BS660" s="1" t="s">
        <v>6302</v>
      </c>
      <c r="BT660" s="1" t="str">
        <f>HYPERLINK("https%3A%2F%2Fwww.webofscience.com%2Fwos%2Fwoscc%2Ffull-record%2FWOS:000362323600012","View Full Record in Web of Science")</f>
        <v>View Full Record in Web of Science</v>
      </c>
    </row>
    <row r="661" ht="12.75" customHeight="1">
      <c r="A661" s="1" t="s">
        <v>72</v>
      </c>
      <c r="B661" s="1" t="s">
        <v>6303</v>
      </c>
      <c r="C661" s="1" t="s">
        <v>74</v>
      </c>
      <c r="D661" s="1" t="s">
        <v>74</v>
      </c>
      <c r="E661" s="1" t="s">
        <v>74</v>
      </c>
      <c r="F661" s="1" t="s">
        <v>6304</v>
      </c>
      <c r="G661" s="1" t="s">
        <v>74</v>
      </c>
      <c r="H661" s="1" t="s">
        <v>74</v>
      </c>
      <c r="I661" s="1" t="s">
        <v>6305</v>
      </c>
      <c r="J661" s="1" t="s">
        <v>6306</v>
      </c>
      <c r="K661" s="1" t="s">
        <v>74</v>
      </c>
      <c r="L661" s="1" t="s">
        <v>74</v>
      </c>
      <c r="M661" s="1" t="s">
        <v>74</v>
      </c>
      <c r="N661" s="1" t="s">
        <v>74</v>
      </c>
      <c r="O661" s="1" t="s">
        <v>74</v>
      </c>
      <c r="P661" s="1" t="s">
        <v>74</v>
      </c>
      <c r="Q661" s="1" t="s">
        <v>74</v>
      </c>
      <c r="R661" s="1" t="s">
        <v>74</v>
      </c>
      <c r="S661" s="1" t="s">
        <v>74</v>
      </c>
      <c r="T661" s="1" t="s">
        <v>74</v>
      </c>
      <c r="U661" s="1" t="s">
        <v>74</v>
      </c>
      <c r="V661" s="1" t="s">
        <v>6307</v>
      </c>
      <c r="W661" s="1" t="s">
        <v>74</v>
      </c>
      <c r="X661" s="1" t="s">
        <v>74</v>
      </c>
      <c r="Y661" s="1" t="s">
        <v>74</v>
      </c>
      <c r="Z661" s="1" t="s">
        <v>74</v>
      </c>
      <c r="AA661" s="1" t="s">
        <v>74</v>
      </c>
      <c r="AB661" s="1" t="s">
        <v>6308</v>
      </c>
      <c r="AC661" s="1" t="s">
        <v>74</v>
      </c>
      <c r="AD661" s="1" t="s">
        <v>74</v>
      </c>
      <c r="AE661" s="1" t="s">
        <v>74</v>
      </c>
      <c r="AF661" s="1" t="s">
        <v>74</v>
      </c>
      <c r="AG661" s="1" t="s">
        <v>74</v>
      </c>
      <c r="AH661" s="1" t="s">
        <v>74</v>
      </c>
      <c r="AI661" s="1" t="s">
        <v>74</v>
      </c>
      <c r="AJ661" s="1" t="s">
        <v>74</v>
      </c>
      <c r="AK661" s="1" t="s">
        <v>74</v>
      </c>
      <c r="AL661" s="1" t="s">
        <v>74</v>
      </c>
      <c r="AM661" s="1" t="s">
        <v>74</v>
      </c>
      <c r="AN661" s="1" t="s">
        <v>74</v>
      </c>
      <c r="AO661" s="1" t="s">
        <v>6309</v>
      </c>
      <c r="AP661" s="1" t="s">
        <v>6310</v>
      </c>
      <c r="AQ661" s="1" t="s">
        <v>74</v>
      </c>
      <c r="AR661" s="1" t="s">
        <v>74</v>
      </c>
      <c r="AS661" s="1" t="s">
        <v>74</v>
      </c>
      <c r="AT661" s="1" t="s">
        <v>6311</v>
      </c>
      <c r="AU661" s="1">
        <v>2014.0</v>
      </c>
      <c r="AV661" s="1">
        <v>15.0</v>
      </c>
      <c r="AW661" s="1">
        <v>6.0</v>
      </c>
      <c r="AX661" s="1" t="s">
        <v>74</v>
      </c>
      <c r="AY661" s="1" t="s">
        <v>74</v>
      </c>
      <c r="AZ661" s="1" t="s">
        <v>74</v>
      </c>
      <c r="BA661" s="1" t="s">
        <v>74</v>
      </c>
      <c r="BB661" s="1">
        <v>859.0</v>
      </c>
      <c r="BC661" s="1">
        <v>878.0</v>
      </c>
      <c r="BD661" s="1" t="s">
        <v>74</v>
      </c>
      <c r="BE661" s="1" t="s">
        <v>6312</v>
      </c>
      <c r="BF661" s="2" t="str">
        <f>HYPERLINK("http://dx.doi.org/10.1080/1461670X.2013.838046","http://dx.doi.org/10.1080/1461670X.2013.838046")</f>
        <v>http://dx.doi.org/10.1080/1461670X.2013.838046</v>
      </c>
      <c r="BG661" s="1" t="s">
        <v>74</v>
      </c>
      <c r="BH661" s="1" t="s">
        <v>74</v>
      </c>
      <c r="BI661" s="1" t="s">
        <v>74</v>
      </c>
      <c r="BJ661" s="1" t="s">
        <v>74</v>
      </c>
      <c r="BK661" s="1" t="s">
        <v>74</v>
      </c>
      <c r="BL661" s="1" t="s">
        <v>74</v>
      </c>
      <c r="BM661" s="1" t="s">
        <v>74</v>
      </c>
      <c r="BN661" s="1" t="s">
        <v>74</v>
      </c>
      <c r="BO661" s="1" t="s">
        <v>74</v>
      </c>
      <c r="BP661" s="1" t="s">
        <v>74</v>
      </c>
      <c r="BQ661" s="1" t="s">
        <v>74</v>
      </c>
      <c r="BR661" s="1" t="s">
        <v>74</v>
      </c>
      <c r="BS661" s="1" t="s">
        <v>6313</v>
      </c>
      <c r="BT661" s="1" t="str">
        <f>HYPERLINK("https%3A%2F%2Fwww.webofscience.com%2Fwos%2Fwoscc%2Ffull-record%2FWOS:000343714100011","View Full Record in Web of Science")</f>
        <v>View Full Record in Web of Science</v>
      </c>
    </row>
    <row r="662" ht="12.75" customHeight="1">
      <c r="A662" s="1" t="s">
        <v>72</v>
      </c>
      <c r="B662" s="1" t="s">
        <v>6314</v>
      </c>
      <c r="C662" s="1" t="s">
        <v>74</v>
      </c>
      <c r="D662" s="1" t="s">
        <v>74</v>
      </c>
      <c r="E662" s="1" t="s">
        <v>74</v>
      </c>
      <c r="F662" s="1" t="s">
        <v>6315</v>
      </c>
      <c r="G662" s="1" t="s">
        <v>74</v>
      </c>
      <c r="H662" s="1" t="s">
        <v>74</v>
      </c>
      <c r="I662" s="1" t="s">
        <v>6316</v>
      </c>
      <c r="J662" s="1" t="s">
        <v>154</v>
      </c>
      <c r="K662" s="1" t="s">
        <v>74</v>
      </c>
      <c r="L662" s="1" t="s">
        <v>74</v>
      </c>
      <c r="M662" s="1" t="s">
        <v>74</v>
      </c>
      <c r="N662" s="1" t="s">
        <v>74</v>
      </c>
      <c r="O662" s="1" t="s">
        <v>74</v>
      </c>
      <c r="P662" s="1" t="s">
        <v>74</v>
      </c>
      <c r="Q662" s="1" t="s">
        <v>74</v>
      </c>
      <c r="R662" s="1" t="s">
        <v>74</v>
      </c>
      <c r="S662" s="1" t="s">
        <v>74</v>
      </c>
      <c r="T662" s="1" t="s">
        <v>74</v>
      </c>
      <c r="U662" s="1" t="s">
        <v>74</v>
      </c>
      <c r="V662" s="1" t="s">
        <v>6317</v>
      </c>
      <c r="W662" s="1" t="s">
        <v>74</v>
      </c>
      <c r="X662" s="1" t="s">
        <v>74</v>
      </c>
      <c r="Y662" s="1" t="s">
        <v>74</v>
      </c>
      <c r="Z662" s="1" t="s">
        <v>74</v>
      </c>
      <c r="AA662" s="1" t="s">
        <v>6318</v>
      </c>
      <c r="AB662" s="1" t="s">
        <v>6319</v>
      </c>
      <c r="AC662" s="1" t="s">
        <v>74</v>
      </c>
      <c r="AD662" s="1" t="s">
        <v>74</v>
      </c>
      <c r="AE662" s="1" t="s">
        <v>74</v>
      </c>
      <c r="AF662" s="1" t="s">
        <v>74</v>
      </c>
      <c r="AG662" s="1" t="s">
        <v>74</v>
      </c>
      <c r="AH662" s="1" t="s">
        <v>74</v>
      </c>
      <c r="AI662" s="1" t="s">
        <v>74</v>
      </c>
      <c r="AJ662" s="1" t="s">
        <v>74</v>
      </c>
      <c r="AK662" s="1" t="s">
        <v>74</v>
      </c>
      <c r="AL662" s="1" t="s">
        <v>74</v>
      </c>
      <c r="AM662" s="1" t="s">
        <v>74</v>
      </c>
      <c r="AN662" s="1" t="s">
        <v>74</v>
      </c>
      <c r="AO662" s="1" t="s">
        <v>156</v>
      </c>
      <c r="AP662" s="1" t="s">
        <v>157</v>
      </c>
      <c r="AQ662" s="1" t="s">
        <v>74</v>
      </c>
      <c r="AR662" s="1" t="s">
        <v>74</v>
      </c>
      <c r="AS662" s="1" t="s">
        <v>74</v>
      </c>
      <c r="AT662" s="1" t="s">
        <v>1592</v>
      </c>
      <c r="AU662" s="1">
        <v>2013.0</v>
      </c>
      <c r="AV662" s="1">
        <v>265.0</v>
      </c>
      <c r="AW662" s="1">
        <v>10.0</v>
      </c>
      <c r="AX662" s="1" t="s">
        <v>74</v>
      </c>
      <c r="AY662" s="1" t="s">
        <v>74</v>
      </c>
      <c r="AZ662" s="1" t="s">
        <v>74</v>
      </c>
      <c r="BA662" s="1" t="s">
        <v>74</v>
      </c>
      <c r="BB662" s="1">
        <v>2267.0</v>
      </c>
      <c r="BC662" s="1">
        <v>2311.0</v>
      </c>
      <c r="BD662" s="1" t="s">
        <v>74</v>
      </c>
      <c r="BE662" s="1" t="s">
        <v>6320</v>
      </c>
      <c r="BF662" s="2" t="str">
        <f>HYPERLINK("http://dx.doi.org/10.1016/j.jfa.2013.06.013","http://dx.doi.org/10.1016/j.jfa.2013.06.013")</f>
        <v>http://dx.doi.org/10.1016/j.jfa.2013.06.013</v>
      </c>
      <c r="BG662" s="1" t="s">
        <v>74</v>
      </c>
      <c r="BH662" s="1" t="s">
        <v>74</v>
      </c>
      <c r="BI662" s="1" t="s">
        <v>74</v>
      </c>
      <c r="BJ662" s="1" t="s">
        <v>74</v>
      </c>
      <c r="BK662" s="1" t="s">
        <v>74</v>
      </c>
      <c r="BL662" s="1" t="s">
        <v>74</v>
      </c>
      <c r="BM662" s="1" t="s">
        <v>74</v>
      </c>
      <c r="BN662" s="1" t="s">
        <v>74</v>
      </c>
      <c r="BO662" s="1" t="s">
        <v>74</v>
      </c>
      <c r="BP662" s="1" t="s">
        <v>74</v>
      </c>
      <c r="BQ662" s="1" t="s">
        <v>74</v>
      </c>
      <c r="BR662" s="1" t="s">
        <v>74</v>
      </c>
      <c r="BS662" s="1" t="s">
        <v>6321</v>
      </c>
      <c r="BT662" s="1" t="str">
        <f>HYPERLINK("https%3A%2F%2Fwww.webofscience.com%2Fwos%2Fwoscc%2Ffull-record%2FWOS:000323802300005","View Full Record in Web of Science")</f>
        <v>View Full Record in Web of Science</v>
      </c>
    </row>
    <row r="663" ht="12.75" customHeight="1">
      <c r="A663" s="1" t="s">
        <v>72</v>
      </c>
      <c r="B663" s="1" t="s">
        <v>6322</v>
      </c>
      <c r="C663" s="1" t="s">
        <v>74</v>
      </c>
      <c r="D663" s="1" t="s">
        <v>74</v>
      </c>
      <c r="E663" s="1" t="s">
        <v>74</v>
      </c>
      <c r="F663" s="1" t="s">
        <v>6323</v>
      </c>
      <c r="G663" s="1" t="s">
        <v>74</v>
      </c>
      <c r="H663" s="1" t="s">
        <v>74</v>
      </c>
      <c r="I663" s="1" t="s">
        <v>6324</v>
      </c>
      <c r="J663" s="1" t="s">
        <v>6325</v>
      </c>
      <c r="K663" s="1" t="s">
        <v>74</v>
      </c>
      <c r="L663" s="1" t="s">
        <v>74</v>
      </c>
      <c r="M663" s="1" t="s">
        <v>74</v>
      </c>
      <c r="N663" s="1" t="s">
        <v>74</v>
      </c>
      <c r="O663" s="1" t="s">
        <v>74</v>
      </c>
      <c r="P663" s="1" t="s">
        <v>74</v>
      </c>
      <c r="Q663" s="1" t="s">
        <v>74</v>
      </c>
      <c r="R663" s="1" t="s">
        <v>74</v>
      </c>
      <c r="S663" s="1" t="s">
        <v>74</v>
      </c>
      <c r="T663" s="1" t="s">
        <v>74</v>
      </c>
      <c r="U663" s="1" t="s">
        <v>74</v>
      </c>
      <c r="V663" s="1" t="s">
        <v>6326</v>
      </c>
      <c r="W663" s="1" t="s">
        <v>74</v>
      </c>
      <c r="X663" s="1" t="s">
        <v>74</v>
      </c>
      <c r="Y663" s="1" t="s">
        <v>74</v>
      </c>
      <c r="Z663" s="1" t="s">
        <v>74</v>
      </c>
      <c r="AA663" s="1" t="s">
        <v>6327</v>
      </c>
      <c r="AB663" s="1" t="s">
        <v>6328</v>
      </c>
      <c r="AC663" s="1" t="s">
        <v>74</v>
      </c>
      <c r="AD663" s="1" t="s">
        <v>74</v>
      </c>
      <c r="AE663" s="1" t="s">
        <v>74</v>
      </c>
      <c r="AF663" s="1" t="s">
        <v>74</v>
      </c>
      <c r="AG663" s="1" t="s">
        <v>74</v>
      </c>
      <c r="AH663" s="1" t="s">
        <v>74</v>
      </c>
      <c r="AI663" s="1" t="s">
        <v>74</v>
      </c>
      <c r="AJ663" s="1" t="s">
        <v>74</v>
      </c>
      <c r="AK663" s="1" t="s">
        <v>74</v>
      </c>
      <c r="AL663" s="1" t="s">
        <v>74</v>
      </c>
      <c r="AM663" s="1" t="s">
        <v>74</v>
      </c>
      <c r="AN663" s="1" t="s">
        <v>74</v>
      </c>
      <c r="AO663" s="1" t="s">
        <v>6329</v>
      </c>
      <c r="AP663" s="1" t="s">
        <v>6330</v>
      </c>
      <c r="AQ663" s="1" t="s">
        <v>74</v>
      </c>
      <c r="AR663" s="1" t="s">
        <v>74</v>
      </c>
      <c r="AS663" s="1" t="s">
        <v>74</v>
      </c>
      <c r="AT663" s="1" t="s">
        <v>180</v>
      </c>
      <c r="AU663" s="1">
        <v>2013.0</v>
      </c>
      <c r="AV663" s="1">
        <v>28.0</v>
      </c>
      <c r="AW663" s="1">
        <v>3.0</v>
      </c>
      <c r="AX663" s="1" t="s">
        <v>74</v>
      </c>
      <c r="AY663" s="1" t="s">
        <v>74</v>
      </c>
      <c r="AZ663" s="1" t="s">
        <v>74</v>
      </c>
      <c r="BA663" s="1" t="s">
        <v>74</v>
      </c>
      <c r="BB663" s="1">
        <v>481.0</v>
      </c>
      <c r="BC663" s="1">
        <v>492.0</v>
      </c>
      <c r="BD663" s="1" t="s">
        <v>74</v>
      </c>
      <c r="BE663" s="1" t="s">
        <v>6331</v>
      </c>
      <c r="BF663" s="2" t="str">
        <f>HYPERLINK("http://dx.doi.org/10.1007/s11284-013-1037-x","http://dx.doi.org/10.1007/s11284-013-1037-x")</f>
        <v>http://dx.doi.org/10.1007/s11284-013-1037-x</v>
      </c>
      <c r="BG663" s="1" t="s">
        <v>74</v>
      </c>
      <c r="BH663" s="1" t="s">
        <v>74</v>
      </c>
      <c r="BI663" s="1" t="s">
        <v>74</v>
      </c>
      <c r="BJ663" s="1" t="s">
        <v>74</v>
      </c>
      <c r="BK663" s="1" t="s">
        <v>74</v>
      </c>
      <c r="BL663" s="1" t="s">
        <v>74</v>
      </c>
      <c r="BM663" s="1" t="s">
        <v>74</v>
      </c>
      <c r="BN663" s="1" t="s">
        <v>74</v>
      </c>
      <c r="BO663" s="1" t="s">
        <v>74</v>
      </c>
      <c r="BP663" s="1" t="s">
        <v>74</v>
      </c>
      <c r="BQ663" s="1" t="s">
        <v>74</v>
      </c>
      <c r="BR663" s="1" t="s">
        <v>74</v>
      </c>
      <c r="BS663" s="1" t="s">
        <v>6332</v>
      </c>
      <c r="BT663" s="1" t="str">
        <f>HYPERLINK("https%3A%2F%2Fwww.webofscience.com%2Fwos%2Fwoscc%2Ffull-record%2FWOS:000318569100012","View Full Record in Web of Science")</f>
        <v>View Full Record in Web of Science</v>
      </c>
    </row>
    <row r="664" ht="12.75" customHeight="1">
      <c r="A664" s="1" t="s">
        <v>72</v>
      </c>
      <c r="B664" s="1" t="s">
        <v>6333</v>
      </c>
      <c r="C664" s="1" t="s">
        <v>74</v>
      </c>
      <c r="D664" s="1" t="s">
        <v>74</v>
      </c>
      <c r="E664" s="1" t="s">
        <v>74</v>
      </c>
      <c r="F664" s="1" t="s">
        <v>6334</v>
      </c>
      <c r="G664" s="1" t="s">
        <v>74</v>
      </c>
      <c r="H664" s="1" t="s">
        <v>74</v>
      </c>
      <c r="I664" s="1" t="s">
        <v>6335</v>
      </c>
      <c r="J664" s="1" t="s">
        <v>6336</v>
      </c>
      <c r="K664" s="1" t="s">
        <v>74</v>
      </c>
      <c r="L664" s="1" t="s">
        <v>74</v>
      </c>
      <c r="M664" s="1" t="s">
        <v>74</v>
      </c>
      <c r="N664" s="1" t="s">
        <v>74</v>
      </c>
      <c r="O664" s="1" t="s">
        <v>74</v>
      </c>
      <c r="P664" s="1" t="s">
        <v>74</v>
      </c>
      <c r="Q664" s="1" t="s">
        <v>74</v>
      </c>
      <c r="R664" s="1" t="s">
        <v>74</v>
      </c>
      <c r="S664" s="1" t="s">
        <v>74</v>
      </c>
      <c r="T664" s="1" t="s">
        <v>74</v>
      </c>
      <c r="U664" s="1" t="s">
        <v>74</v>
      </c>
      <c r="V664" s="1" t="s">
        <v>6337</v>
      </c>
      <c r="W664" s="1" t="s">
        <v>74</v>
      </c>
      <c r="X664" s="1" t="s">
        <v>74</v>
      </c>
      <c r="Y664" s="1" t="s">
        <v>74</v>
      </c>
      <c r="Z664" s="1" t="s">
        <v>74</v>
      </c>
      <c r="AA664" s="1" t="s">
        <v>6338</v>
      </c>
      <c r="AB664" s="1" t="s">
        <v>6339</v>
      </c>
      <c r="AC664" s="1" t="s">
        <v>74</v>
      </c>
      <c r="AD664" s="1" t="s">
        <v>74</v>
      </c>
      <c r="AE664" s="1" t="s">
        <v>74</v>
      </c>
      <c r="AF664" s="1" t="s">
        <v>74</v>
      </c>
      <c r="AG664" s="1" t="s">
        <v>74</v>
      </c>
      <c r="AH664" s="1" t="s">
        <v>74</v>
      </c>
      <c r="AI664" s="1" t="s">
        <v>74</v>
      </c>
      <c r="AJ664" s="1" t="s">
        <v>74</v>
      </c>
      <c r="AK664" s="1" t="s">
        <v>74</v>
      </c>
      <c r="AL664" s="1" t="s">
        <v>74</v>
      </c>
      <c r="AM664" s="1" t="s">
        <v>74</v>
      </c>
      <c r="AN664" s="1" t="s">
        <v>74</v>
      </c>
      <c r="AO664" s="1" t="s">
        <v>6340</v>
      </c>
      <c r="AP664" s="1" t="s">
        <v>6341</v>
      </c>
      <c r="AQ664" s="1" t="s">
        <v>74</v>
      </c>
      <c r="AR664" s="1" t="s">
        <v>74</v>
      </c>
      <c r="AS664" s="1" t="s">
        <v>74</v>
      </c>
      <c r="AT664" s="1" t="s">
        <v>88</v>
      </c>
      <c r="AU664" s="1">
        <v>2013.0</v>
      </c>
      <c r="AV664" s="1">
        <v>331.0</v>
      </c>
      <c r="AW664" s="1" t="s">
        <v>74</v>
      </c>
      <c r="AX664" s="1" t="s">
        <v>74</v>
      </c>
      <c r="AY664" s="1" t="s">
        <v>74</v>
      </c>
      <c r="AZ664" s="1" t="s">
        <v>74</v>
      </c>
      <c r="BA664" s="1" t="s">
        <v>74</v>
      </c>
      <c r="BB664" s="1">
        <v>269.0</v>
      </c>
      <c r="BC664" s="1">
        <v>298.0</v>
      </c>
      <c r="BD664" s="1" t="s">
        <v>74</v>
      </c>
      <c r="BE664" s="1" t="s">
        <v>6342</v>
      </c>
      <c r="BF664" s="2" t="str">
        <f>HYPERLINK("http://dx.doi.org/10.1016/j.aop.2013.01.005","http://dx.doi.org/10.1016/j.aop.2013.01.005")</f>
        <v>http://dx.doi.org/10.1016/j.aop.2013.01.005</v>
      </c>
      <c r="BG664" s="1" t="s">
        <v>74</v>
      </c>
      <c r="BH664" s="1" t="s">
        <v>74</v>
      </c>
      <c r="BI664" s="1" t="s">
        <v>74</v>
      </c>
      <c r="BJ664" s="1" t="s">
        <v>74</v>
      </c>
      <c r="BK664" s="1" t="s">
        <v>74</v>
      </c>
      <c r="BL664" s="1" t="s">
        <v>74</v>
      </c>
      <c r="BM664" s="1" t="s">
        <v>74</v>
      </c>
      <c r="BN664" s="1" t="s">
        <v>74</v>
      </c>
      <c r="BO664" s="1" t="s">
        <v>74</v>
      </c>
      <c r="BP664" s="1" t="s">
        <v>74</v>
      </c>
      <c r="BQ664" s="1" t="s">
        <v>74</v>
      </c>
      <c r="BR664" s="1" t="s">
        <v>74</v>
      </c>
      <c r="BS664" s="1" t="s">
        <v>6343</v>
      </c>
      <c r="BT664" s="1" t="str">
        <f>HYPERLINK("https%3A%2F%2Fwww.webofscience.com%2Fwos%2Fwoscc%2Ffull-record%2FWOS:000316089700016","View Full Record in Web of Science")</f>
        <v>View Full Record in Web of Science</v>
      </c>
    </row>
    <row r="665" ht="12.75" customHeight="1">
      <c r="A665" s="1" t="s">
        <v>72</v>
      </c>
      <c r="B665" s="1" t="s">
        <v>6344</v>
      </c>
      <c r="C665" s="1" t="s">
        <v>74</v>
      </c>
      <c r="D665" s="1" t="s">
        <v>74</v>
      </c>
      <c r="E665" s="1" t="s">
        <v>74</v>
      </c>
      <c r="F665" s="1" t="s">
        <v>6345</v>
      </c>
      <c r="G665" s="1" t="s">
        <v>74</v>
      </c>
      <c r="H665" s="1" t="s">
        <v>74</v>
      </c>
      <c r="I665" s="1" t="s">
        <v>6346</v>
      </c>
      <c r="J665" s="1" t="s">
        <v>6347</v>
      </c>
      <c r="K665" s="1" t="s">
        <v>74</v>
      </c>
      <c r="L665" s="1" t="s">
        <v>74</v>
      </c>
      <c r="M665" s="1" t="s">
        <v>74</v>
      </c>
      <c r="N665" s="1" t="s">
        <v>74</v>
      </c>
      <c r="O665" s="1" t="s">
        <v>74</v>
      </c>
      <c r="P665" s="1" t="s">
        <v>74</v>
      </c>
      <c r="Q665" s="1" t="s">
        <v>74</v>
      </c>
      <c r="R665" s="1" t="s">
        <v>74</v>
      </c>
      <c r="S665" s="1" t="s">
        <v>74</v>
      </c>
      <c r="T665" s="1" t="s">
        <v>74</v>
      </c>
      <c r="U665" s="1" t="s">
        <v>74</v>
      </c>
      <c r="V665" s="1" t="s">
        <v>6348</v>
      </c>
      <c r="W665" s="1" t="s">
        <v>74</v>
      </c>
      <c r="X665" s="1" t="s">
        <v>74</v>
      </c>
      <c r="Y665" s="1" t="s">
        <v>74</v>
      </c>
      <c r="Z665" s="1" t="s">
        <v>74</v>
      </c>
      <c r="AA665" s="1" t="s">
        <v>6349</v>
      </c>
      <c r="AB665" s="1" t="s">
        <v>6350</v>
      </c>
      <c r="AC665" s="1" t="s">
        <v>74</v>
      </c>
      <c r="AD665" s="1" t="s">
        <v>74</v>
      </c>
      <c r="AE665" s="1" t="s">
        <v>74</v>
      </c>
      <c r="AF665" s="1" t="s">
        <v>74</v>
      </c>
      <c r="AG665" s="1" t="s">
        <v>74</v>
      </c>
      <c r="AH665" s="1" t="s">
        <v>74</v>
      </c>
      <c r="AI665" s="1" t="s">
        <v>74</v>
      </c>
      <c r="AJ665" s="1" t="s">
        <v>74</v>
      </c>
      <c r="AK665" s="1" t="s">
        <v>74</v>
      </c>
      <c r="AL665" s="1" t="s">
        <v>74</v>
      </c>
      <c r="AM665" s="1" t="s">
        <v>74</v>
      </c>
      <c r="AN665" s="1" t="s">
        <v>74</v>
      </c>
      <c r="AO665" s="1" t="s">
        <v>6351</v>
      </c>
      <c r="AP665" s="1" t="s">
        <v>6352</v>
      </c>
      <c r="AQ665" s="1" t="s">
        <v>74</v>
      </c>
      <c r="AR665" s="1" t="s">
        <v>74</v>
      </c>
      <c r="AS665" s="1" t="s">
        <v>74</v>
      </c>
      <c r="AT665" s="1" t="s">
        <v>169</v>
      </c>
      <c r="AU665" s="1">
        <v>2013.0</v>
      </c>
      <c r="AV665" s="1">
        <v>16.0</v>
      </c>
      <c r="AW665" s="1">
        <v>1.0</v>
      </c>
      <c r="AX665" s="1" t="s">
        <v>74</v>
      </c>
      <c r="AY665" s="1" t="s">
        <v>74</v>
      </c>
      <c r="AZ665" s="1" t="s">
        <v>74</v>
      </c>
      <c r="BA665" s="1" t="s">
        <v>74</v>
      </c>
      <c r="BB665" s="1">
        <v>206.0</v>
      </c>
      <c r="BC665" s="1">
        <v>218.0</v>
      </c>
      <c r="BD665" s="1" t="s">
        <v>74</v>
      </c>
      <c r="BE665" s="1" t="s">
        <v>74</v>
      </c>
      <c r="BF665" s="1" t="s">
        <v>74</v>
      </c>
      <c r="BG665" s="1" t="s">
        <v>74</v>
      </c>
      <c r="BH665" s="1" t="s">
        <v>74</v>
      </c>
      <c r="BI665" s="1" t="s">
        <v>74</v>
      </c>
      <c r="BJ665" s="1" t="s">
        <v>74</v>
      </c>
      <c r="BK665" s="1" t="s">
        <v>74</v>
      </c>
      <c r="BL665" s="1" t="s">
        <v>74</v>
      </c>
      <c r="BM665" s="1" t="s">
        <v>74</v>
      </c>
      <c r="BN665" s="1" t="s">
        <v>74</v>
      </c>
      <c r="BO665" s="1" t="s">
        <v>74</v>
      </c>
      <c r="BP665" s="1" t="s">
        <v>74</v>
      </c>
      <c r="BQ665" s="1" t="s">
        <v>74</v>
      </c>
      <c r="BR665" s="1" t="s">
        <v>74</v>
      </c>
      <c r="BS665" s="1" t="s">
        <v>6353</v>
      </c>
      <c r="BT665" s="1" t="str">
        <f>HYPERLINK("https%3A%2F%2Fwww.webofscience.com%2Fwos%2Fwoscc%2Ffull-record%2FWOS:000313896800018","View Full Record in Web of Science")</f>
        <v>View Full Record in Web of Science</v>
      </c>
    </row>
    <row r="666" ht="12.75" customHeight="1">
      <c r="A666" s="1" t="s">
        <v>72</v>
      </c>
      <c r="B666" s="1" t="s">
        <v>6354</v>
      </c>
      <c r="C666" s="1" t="s">
        <v>74</v>
      </c>
      <c r="D666" s="1" t="s">
        <v>74</v>
      </c>
      <c r="E666" s="1" t="s">
        <v>74</v>
      </c>
      <c r="F666" s="1" t="s">
        <v>6355</v>
      </c>
      <c r="G666" s="1" t="s">
        <v>74</v>
      </c>
      <c r="H666" s="1" t="s">
        <v>74</v>
      </c>
      <c r="I666" s="1" t="s">
        <v>6356</v>
      </c>
      <c r="J666" s="1" t="s">
        <v>6357</v>
      </c>
      <c r="K666" s="1" t="s">
        <v>74</v>
      </c>
      <c r="L666" s="1" t="s">
        <v>74</v>
      </c>
      <c r="M666" s="1" t="s">
        <v>74</v>
      </c>
      <c r="N666" s="1" t="s">
        <v>74</v>
      </c>
      <c r="O666" s="1" t="s">
        <v>74</v>
      </c>
      <c r="P666" s="1" t="s">
        <v>74</v>
      </c>
      <c r="Q666" s="1" t="s">
        <v>74</v>
      </c>
      <c r="R666" s="1" t="s">
        <v>74</v>
      </c>
      <c r="S666" s="1" t="s">
        <v>74</v>
      </c>
      <c r="T666" s="1" t="s">
        <v>74</v>
      </c>
      <c r="U666" s="1" t="s">
        <v>74</v>
      </c>
      <c r="V666" s="1" t="s">
        <v>74</v>
      </c>
      <c r="W666" s="1" t="s">
        <v>74</v>
      </c>
      <c r="X666" s="1" t="s">
        <v>74</v>
      </c>
      <c r="Y666" s="1" t="s">
        <v>74</v>
      </c>
      <c r="Z666" s="1" t="s">
        <v>74</v>
      </c>
      <c r="AA666" s="1" t="s">
        <v>6358</v>
      </c>
      <c r="AB666" s="1" t="s">
        <v>74</v>
      </c>
      <c r="AC666" s="1" t="s">
        <v>74</v>
      </c>
      <c r="AD666" s="1" t="s">
        <v>74</v>
      </c>
      <c r="AE666" s="1" t="s">
        <v>74</v>
      </c>
      <c r="AF666" s="1" t="s">
        <v>74</v>
      </c>
      <c r="AG666" s="1" t="s">
        <v>74</v>
      </c>
      <c r="AH666" s="1" t="s">
        <v>74</v>
      </c>
      <c r="AI666" s="1" t="s">
        <v>74</v>
      </c>
      <c r="AJ666" s="1" t="s">
        <v>74</v>
      </c>
      <c r="AK666" s="1" t="s">
        <v>74</v>
      </c>
      <c r="AL666" s="1" t="s">
        <v>74</v>
      </c>
      <c r="AM666" s="1" t="s">
        <v>74</v>
      </c>
      <c r="AN666" s="1" t="s">
        <v>74</v>
      </c>
      <c r="AO666" s="1" t="s">
        <v>6359</v>
      </c>
      <c r="AP666" s="1" t="s">
        <v>6360</v>
      </c>
      <c r="AQ666" s="1" t="s">
        <v>74</v>
      </c>
      <c r="AR666" s="1" t="s">
        <v>74</v>
      </c>
      <c r="AS666" s="1" t="s">
        <v>74</v>
      </c>
      <c r="AT666" s="1" t="s">
        <v>88</v>
      </c>
      <c r="AU666" s="1">
        <v>2012.0</v>
      </c>
      <c r="AV666" s="1">
        <v>91.0</v>
      </c>
      <c r="AW666" s="1">
        <v>1.0</v>
      </c>
      <c r="AX666" s="1" t="s">
        <v>74</v>
      </c>
      <c r="AY666" s="1" t="s">
        <v>74</v>
      </c>
      <c r="AZ666" s="1" t="s">
        <v>74</v>
      </c>
      <c r="BA666" s="1" t="s">
        <v>74</v>
      </c>
      <c r="BB666" s="1" t="s">
        <v>6361</v>
      </c>
      <c r="BC666" s="1" t="s">
        <v>6362</v>
      </c>
      <c r="BD666" s="1" t="s">
        <v>74</v>
      </c>
      <c r="BE666" s="1" t="s">
        <v>74</v>
      </c>
      <c r="BF666" s="1" t="s">
        <v>74</v>
      </c>
      <c r="BG666" s="1" t="s">
        <v>74</v>
      </c>
      <c r="BH666" s="1" t="s">
        <v>74</v>
      </c>
      <c r="BI666" s="1" t="s">
        <v>74</v>
      </c>
      <c r="BJ666" s="1" t="s">
        <v>74</v>
      </c>
      <c r="BK666" s="1" t="s">
        <v>74</v>
      </c>
      <c r="BL666" s="1" t="s">
        <v>74</v>
      </c>
      <c r="BM666" s="1" t="s">
        <v>74</v>
      </c>
      <c r="BN666" s="1">
        <v>2.2552338E7</v>
      </c>
      <c r="BO666" s="1" t="s">
        <v>74</v>
      </c>
      <c r="BP666" s="1" t="s">
        <v>74</v>
      </c>
      <c r="BQ666" s="1" t="s">
        <v>74</v>
      </c>
      <c r="BR666" s="1" t="s">
        <v>74</v>
      </c>
      <c r="BS666" s="1" t="s">
        <v>6363</v>
      </c>
      <c r="BT666" s="1" t="str">
        <f>HYPERLINK("https%3A%2F%2Fwww.webofscience.com%2Fwos%2Fwoscc%2Ffull-record%2FWOS:000305207700016","View Full Record in Web of Science")</f>
        <v>View Full Record in Web of Science</v>
      </c>
    </row>
    <row r="667" ht="12.75" customHeight="1">
      <c r="A667" s="1" t="s">
        <v>72</v>
      </c>
      <c r="B667" s="1" t="s">
        <v>6364</v>
      </c>
      <c r="C667" s="1" t="s">
        <v>74</v>
      </c>
      <c r="D667" s="1" t="s">
        <v>74</v>
      </c>
      <c r="E667" s="1" t="s">
        <v>74</v>
      </c>
      <c r="F667" s="1" t="s">
        <v>6365</v>
      </c>
      <c r="G667" s="1" t="s">
        <v>74</v>
      </c>
      <c r="H667" s="1" t="s">
        <v>74</v>
      </c>
      <c r="I667" s="1" t="s">
        <v>6366</v>
      </c>
      <c r="J667" s="1" t="s">
        <v>6367</v>
      </c>
      <c r="K667" s="1" t="s">
        <v>74</v>
      </c>
      <c r="L667" s="1" t="s">
        <v>74</v>
      </c>
      <c r="M667" s="1" t="s">
        <v>74</v>
      </c>
      <c r="N667" s="1" t="s">
        <v>74</v>
      </c>
      <c r="O667" s="1" t="s">
        <v>74</v>
      </c>
      <c r="P667" s="1" t="s">
        <v>74</v>
      </c>
      <c r="Q667" s="1" t="s">
        <v>74</v>
      </c>
      <c r="R667" s="1" t="s">
        <v>74</v>
      </c>
      <c r="S667" s="1" t="s">
        <v>74</v>
      </c>
      <c r="T667" s="1" t="s">
        <v>74</v>
      </c>
      <c r="U667" s="1" t="s">
        <v>74</v>
      </c>
      <c r="V667" s="1" t="s">
        <v>6368</v>
      </c>
      <c r="W667" s="1" t="s">
        <v>74</v>
      </c>
      <c r="X667" s="1" t="s">
        <v>74</v>
      </c>
      <c r="Y667" s="1" t="s">
        <v>74</v>
      </c>
      <c r="Z667" s="1" t="s">
        <v>74</v>
      </c>
      <c r="AA667" s="1" t="s">
        <v>6369</v>
      </c>
      <c r="AB667" s="1" t="s">
        <v>6370</v>
      </c>
      <c r="AC667" s="1" t="s">
        <v>74</v>
      </c>
      <c r="AD667" s="1" t="s">
        <v>74</v>
      </c>
      <c r="AE667" s="1" t="s">
        <v>74</v>
      </c>
      <c r="AF667" s="1" t="s">
        <v>74</v>
      </c>
      <c r="AG667" s="1" t="s">
        <v>74</v>
      </c>
      <c r="AH667" s="1" t="s">
        <v>74</v>
      </c>
      <c r="AI667" s="1" t="s">
        <v>74</v>
      </c>
      <c r="AJ667" s="1" t="s">
        <v>74</v>
      </c>
      <c r="AK667" s="1" t="s">
        <v>74</v>
      </c>
      <c r="AL667" s="1" t="s">
        <v>74</v>
      </c>
      <c r="AM667" s="1" t="s">
        <v>74</v>
      </c>
      <c r="AN667" s="1" t="s">
        <v>74</v>
      </c>
      <c r="AO667" s="1" t="s">
        <v>6371</v>
      </c>
      <c r="AP667" s="1" t="s">
        <v>6372</v>
      </c>
      <c r="AQ667" s="1" t="s">
        <v>74</v>
      </c>
      <c r="AR667" s="1" t="s">
        <v>74</v>
      </c>
      <c r="AS667" s="1" t="s">
        <v>74</v>
      </c>
      <c r="AT667" s="1" t="s">
        <v>6373</v>
      </c>
      <c r="AU667" s="1">
        <v>2011.0</v>
      </c>
      <c r="AV667" s="1">
        <v>222.0</v>
      </c>
      <c r="AW667" s="1">
        <v>12.0</v>
      </c>
      <c r="AX667" s="1" t="s">
        <v>74</v>
      </c>
      <c r="AY667" s="1" t="s">
        <v>74</v>
      </c>
      <c r="AZ667" s="1" t="s">
        <v>74</v>
      </c>
      <c r="BA667" s="1" t="s">
        <v>74</v>
      </c>
      <c r="BB667" s="1">
        <v>1964.0</v>
      </c>
      <c r="BC667" s="1">
        <v>1971.0</v>
      </c>
      <c r="BD667" s="1" t="s">
        <v>74</v>
      </c>
      <c r="BE667" s="1" t="s">
        <v>6374</v>
      </c>
      <c r="BF667" s="2" t="str">
        <f>HYPERLINK("http://dx.doi.org/10.1016/j.ecolmodel.2011.03.024","http://dx.doi.org/10.1016/j.ecolmodel.2011.03.024")</f>
        <v>http://dx.doi.org/10.1016/j.ecolmodel.2011.03.024</v>
      </c>
      <c r="BG667" s="1" t="s">
        <v>74</v>
      </c>
      <c r="BH667" s="1" t="s">
        <v>74</v>
      </c>
      <c r="BI667" s="1" t="s">
        <v>74</v>
      </c>
      <c r="BJ667" s="1" t="s">
        <v>74</v>
      </c>
      <c r="BK667" s="1" t="s">
        <v>74</v>
      </c>
      <c r="BL667" s="1" t="s">
        <v>74</v>
      </c>
      <c r="BM667" s="1" t="s">
        <v>74</v>
      </c>
      <c r="BN667" s="1" t="s">
        <v>74</v>
      </c>
      <c r="BO667" s="1" t="s">
        <v>74</v>
      </c>
      <c r="BP667" s="1" t="s">
        <v>74</v>
      </c>
      <c r="BQ667" s="1" t="s">
        <v>74</v>
      </c>
      <c r="BR667" s="1" t="s">
        <v>74</v>
      </c>
      <c r="BS667" s="1" t="s">
        <v>6375</v>
      </c>
      <c r="BT667" s="1" t="str">
        <f>HYPERLINK("https%3A%2F%2Fwww.webofscience.com%2Fwos%2Fwoscc%2Ffull-record%2FWOS:000291497300006","View Full Record in Web of Science")</f>
        <v>View Full Record in Web of Science</v>
      </c>
    </row>
    <row r="668" ht="12.75" customHeight="1">
      <c r="A668" s="1" t="s">
        <v>72</v>
      </c>
      <c r="B668" s="1" t="s">
        <v>6376</v>
      </c>
      <c r="C668" s="1" t="s">
        <v>74</v>
      </c>
      <c r="D668" s="1" t="s">
        <v>74</v>
      </c>
      <c r="E668" s="1" t="s">
        <v>74</v>
      </c>
      <c r="F668" s="1" t="s">
        <v>6377</v>
      </c>
      <c r="G668" s="1" t="s">
        <v>74</v>
      </c>
      <c r="H668" s="1" t="s">
        <v>74</v>
      </c>
      <c r="I668" s="1" t="s">
        <v>6378</v>
      </c>
      <c r="J668" s="1" t="s">
        <v>6379</v>
      </c>
      <c r="K668" s="1" t="s">
        <v>74</v>
      </c>
      <c r="L668" s="1" t="s">
        <v>74</v>
      </c>
      <c r="M668" s="1" t="s">
        <v>74</v>
      </c>
      <c r="N668" s="1" t="s">
        <v>74</v>
      </c>
      <c r="O668" s="1" t="s">
        <v>74</v>
      </c>
      <c r="P668" s="1" t="s">
        <v>74</v>
      </c>
      <c r="Q668" s="1" t="s">
        <v>74</v>
      </c>
      <c r="R668" s="1" t="s">
        <v>74</v>
      </c>
      <c r="S668" s="1" t="s">
        <v>74</v>
      </c>
      <c r="T668" s="1" t="s">
        <v>74</v>
      </c>
      <c r="U668" s="1" t="s">
        <v>74</v>
      </c>
      <c r="V668" s="1" t="s">
        <v>6380</v>
      </c>
      <c r="W668" s="1" t="s">
        <v>74</v>
      </c>
      <c r="X668" s="1" t="s">
        <v>74</v>
      </c>
      <c r="Y668" s="1" t="s">
        <v>74</v>
      </c>
      <c r="Z668" s="1" t="s">
        <v>74</v>
      </c>
      <c r="AA668" s="1" t="s">
        <v>6381</v>
      </c>
      <c r="AB668" s="1" t="s">
        <v>6382</v>
      </c>
      <c r="AC668" s="1" t="s">
        <v>74</v>
      </c>
      <c r="AD668" s="1" t="s">
        <v>74</v>
      </c>
      <c r="AE668" s="1" t="s">
        <v>74</v>
      </c>
      <c r="AF668" s="1" t="s">
        <v>74</v>
      </c>
      <c r="AG668" s="1" t="s">
        <v>74</v>
      </c>
      <c r="AH668" s="1" t="s">
        <v>74</v>
      </c>
      <c r="AI668" s="1" t="s">
        <v>74</v>
      </c>
      <c r="AJ668" s="1" t="s">
        <v>74</v>
      </c>
      <c r="AK668" s="1" t="s">
        <v>74</v>
      </c>
      <c r="AL668" s="1" t="s">
        <v>74</v>
      </c>
      <c r="AM668" s="1" t="s">
        <v>74</v>
      </c>
      <c r="AN668" s="1" t="s">
        <v>74</v>
      </c>
      <c r="AO668" s="1" t="s">
        <v>6383</v>
      </c>
      <c r="AP668" s="1" t="s">
        <v>74</v>
      </c>
      <c r="AQ668" s="1" t="s">
        <v>74</v>
      </c>
      <c r="AR668" s="1" t="s">
        <v>74</v>
      </c>
      <c r="AS668" s="1" t="s">
        <v>74</v>
      </c>
      <c r="AT668" s="1" t="s">
        <v>4738</v>
      </c>
      <c r="AU668" s="1">
        <v>2011.0</v>
      </c>
      <c r="AV668" s="1">
        <v>34.0</v>
      </c>
      <c r="AW668" s="1">
        <v>1.0</v>
      </c>
      <c r="AX668" s="1" t="s">
        <v>74</v>
      </c>
      <c r="AY668" s="1" t="s">
        <v>74</v>
      </c>
      <c r="AZ668" s="1" t="s">
        <v>74</v>
      </c>
      <c r="BA668" s="1" t="s">
        <v>74</v>
      </c>
      <c r="BB668" s="1">
        <v>105.0</v>
      </c>
      <c r="BC668" s="1">
        <v>108.0</v>
      </c>
      <c r="BD668" s="1" t="s">
        <v>74</v>
      </c>
      <c r="BE668" s="1" t="s">
        <v>74</v>
      </c>
      <c r="BF668" s="1" t="s">
        <v>74</v>
      </c>
      <c r="BG668" s="1" t="s">
        <v>74</v>
      </c>
      <c r="BH668" s="1" t="s">
        <v>74</v>
      </c>
      <c r="BI668" s="1" t="s">
        <v>74</v>
      </c>
      <c r="BJ668" s="1" t="s">
        <v>74</v>
      </c>
      <c r="BK668" s="1" t="s">
        <v>74</v>
      </c>
      <c r="BL668" s="1" t="s">
        <v>74</v>
      </c>
      <c r="BM668" s="1" t="s">
        <v>74</v>
      </c>
      <c r="BN668" s="1">
        <v>2.1532652E7</v>
      </c>
      <c r="BO668" s="1" t="s">
        <v>74</v>
      </c>
      <c r="BP668" s="1" t="s">
        <v>74</v>
      </c>
      <c r="BQ668" s="1" t="s">
        <v>74</v>
      </c>
      <c r="BR668" s="1" t="s">
        <v>74</v>
      </c>
      <c r="BS668" s="1" t="s">
        <v>6384</v>
      </c>
      <c r="BT668" s="1" t="str">
        <f>HYPERLINK("https%3A%2F%2Fwww.webofscience.com%2Fwos%2Fwoscc%2Ffull-record%2FWOS:000291237400012","View Full Record in Web of Science")</f>
        <v>View Full Record in Web of Science</v>
      </c>
    </row>
    <row r="669" ht="12.75" customHeight="1">
      <c r="A669" s="1" t="s">
        <v>251</v>
      </c>
      <c r="B669" s="1" t="s">
        <v>6385</v>
      </c>
      <c r="C669" s="1" t="s">
        <v>74</v>
      </c>
      <c r="D669" s="1" t="s">
        <v>6386</v>
      </c>
      <c r="E669" s="1" t="s">
        <v>74</v>
      </c>
      <c r="F669" s="1" t="s">
        <v>6387</v>
      </c>
      <c r="G669" s="1" t="s">
        <v>74</v>
      </c>
      <c r="H669" s="1" t="s">
        <v>74</v>
      </c>
      <c r="I669" s="1" t="s">
        <v>6388</v>
      </c>
      <c r="J669" s="1" t="s">
        <v>6389</v>
      </c>
      <c r="K669" s="1" t="s">
        <v>6390</v>
      </c>
      <c r="L669" s="1" t="s">
        <v>74</v>
      </c>
      <c r="M669" s="1" t="s">
        <v>74</v>
      </c>
      <c r="N669" s="1" t="s">
        <v>74</v>
      </c>
      <c r="O669" s="1" t="s">
        <v>6391</v>
      </c>
      <c r="P669" s="1" t="s">
        <v>6392</v>
      </c>
      <c r="Q669" s="1" t="s">
        <v>6393</v>
      </c>
      <c r="R669" s="1" t="s">
        <v>74</v>
      </c>
      <c r="S669" s="1" t="s">
        <v>6394</v>
      </c>
      <c r="T669" s="1" t="s">
        <v>74</v>
      </c>
      <c r="U669" s="1" t="s">
        <v>74</v>
      </c>
      <c r="V669" s="1" t="s">
        <v>6395</v>
      </c>
      <c r="W669" s="1" t="s">
        <v>74</v>
      </c>
      <c r="X669" s="1" t="s">
        <v>74</v>
      </c>
      <c r="Y669" s="1" t="s">
        <v>74</v>
      </c>
      <c r="Z669" s="1" t="s">
        <v>74</v>
      </c>
      <c r="AA669" s="1" t="s">
        <v>6396</v>
      </c>
      <c r="AB669" s="1" t="s">
        <v>6397</v>
      </c>
      <c r="AC669" s="1" t="s">
        <v>74</v>
      </c>
      <c r="AD669" s="1" t="s">
        <v>74</v>
      </c>
      <c r="AE669" s="1" t="s">
        <v>74</v>
      </c>
      <c r="AF669" s="1" t="s">
        <v>74</v>
      </c>
      <c r="AG669" s="1" t="s">
        <v>74</v>
      </c>
      <c r="AH669" s="1" t="s">
        <v>74</v>
      </c>
      <c r="AI669" s="1" t="s">
        <v>74</v>
      </c>
      <c r="AJ669" s="1" t="s">
        <v>74</v>
      </c>
      <c r="AK669" s="1" t="s">
        <v>74</v>
      </c>
      <c r="AL669" s="1" t="s">
        <v>74</v>
      </c>
      <c r="AM669" s="1" t="s">
        <v>74</v>
      </c>
      <c r="AN669" s="1" t="s">
        <v>74</v>
      </c>
      <c r="AO669" s="1" t="s">
        <v>6398</v>
      </c>
      <c r="AP669" s="1" t="s">
        <v>74</v>
      </c>
      <c r="AQ669" s="1" t="s">
        <v>74</v>
      </c>
      <c r="AR669" s="1" t="s">
        <v>74</v>
      </c>
      <c r="AS669" s="1" t="s">
        <v>74</v>
      </c>
      <c r="AT669" s="1" t="s">
        <v>74</v>
      </c>
      <c r="AU669" s="1">
        <v>2010.0</v>
      </c>
      <c r="AV669" s="1">
        <v>3.0</v>
      </c>
      <c r="AW669" s="1">
        <v>1.0</v>
      </c>
      <c r="AX669" s="1" t="s">
        <v>74</v>
      </c>
      <c r="AY669" s="1" t="s">
        <v>74</v>
      </c>
      <c r="AZ669" s="1" t="s">
        <v>74</v>
      </c>
      <c r="BA669" s="1" t="s">
        <v>74</v>
      </c>
      <c r="BB669" s="1">
        <v>117.0</v>
      </c>
      <c r="BC669" s="1">
        <v>124.0</v>
      </c>
      <c r="BD669" s="1" t="s">
        <v>74</v>
      </c>
      <c r="BE669" s="1" t="s">
        <v>6399</v>
      </c>
      <c r="BF669" s="2" t="str">
        <f>HYPERLINK("http://dx.doi.org/10.1016/j.phpro.2010.01.017","http://dx.doi.org/10.1016/j.phpro.2010.01.017")</f>
        <v>http://dx.doi.org/10.1016/j.phpro.2010.01.017</v>
      </c>
      <c r="BG669" s="1" t="s">
        <v>74</v>
      </c>
      <c r="BH669" s="1" t="s">
        <v>74</v>
      </c>
      <c r="BI669" s="1" t="s">
        <v>74</v>
      </c>
      <c r="BJ669" s="1" t="s">
        <v>74</v>
      </c>
      <c r="BK669" s="1" t="s">
        <v>74</v>
      </c>
      <c r="BL669" s="1" t="s">
        <v>74</v>
      </c>
      <c r="BM669" s="1" t="s">
        <v>74</v>
      </c>
      <c r="BN669" s="1" t="s">
        <v>74</v>
      </c>
      <c r="BO669" s="1" t="s">
        <v>74</v>
      </c>
      <c r="BP669" s="1" t="s">
        <v>74</v>
      </c>
      <c r="BQ669" s="1" t="s">
        <v>74</v>
      </c>
      <c r="BR669" s="1" t="s">
        <v>74</v>
      </c>
      <c r="BS669" s="1" t="s">
        <v>6400</v>
      </c>
      <c r="BT669" s="1" t="str">
        <f>HYPERLINK("https%3A%2F%2Fwww.webofscience.com%2Fwos%2Fwoscc%2Ffull-record%2FWOS:000275913100029","View Full Record in Web of Science")</f>
        <v>View Full Record in Web of Science</v>
      </c>
    </row>
    <row r="670" ht="12.75" customHeight="1">
      <c r="A670" s="1" t="s">
        <v>72</v>
      </c>
      <c r="B670" s="1" t="s">
        <v>2865</v>
      </c>
      <c r="C670" s="1" t="s">
        <v>74</v>
      </c>
      <c r="D670" s="1" t="s">
        <v>74</v>
      </c>
      <c r="E670" s="1" t="s">
        <v>74</v>
      </c>
      <c r="F670" s="1" t="s">
        <v>6401</v>
      </c>
      <c r="G670" s="1" t="s">
        <v>74</v>
      </c>
      <c r="H670" s="1" t="s">
        <v>74</v>
      </c>
      <c r="I670" s="1" t="s">
        <v>6402</v>
      </c>
      <c r="J670" s="1" t="s">
        <v>2748</v>
      </c>
      <c r="K670" s="1" t="s">
        <v>74</v>
      </c>
      <c r="L670" s="1" t="s">
        <v>74</v>
      </c>
      <c r="M670" s="1" t="s">
        <v>74</v>
      </c>
      <c r="N670" s="1" t="s">
        <v>74</v>
      </c>
      <c r="O670" s="1" t="s">
        <v>74</v>
      </c>
      <c r="P670" s="1" t="s">
        <v>74</v>
      </c>
      <c r="Q670" s="1" t="s">
        <v>74</v>
      </c>
      <c r="R670" s="1" t="s">
        <v>74</v>
      </c>
      <c r="S670" s="1" t="s">
        <v>74</v>
      </c>
      <c r="T670" s="1" t="s">
        <v>74</v>
      </c>
      <c r="U670" s="1" t="s">
        <v>74</v>
      </c>
      <c r="V670" s="1" t="s">
        <v>6403</v>
      </c>
      <c r="W670" s="1" t="s">
        <v>74</v>
      </c>
      <c r="X670" s="1" t="s">
        <v>74</v>
      </c>
      <c r="Y670" s="1" t="s">
        <v>74</v>
      </c>
      <c r="Z670" s="1" t="s">
        <v>74</v>
      </c>
      <c r="AA670" s="1" t="s">
        <v>74</v>
      </c>
      <c r="AB670" s="1" t="s">
        <v>74</v>
      </c>
      <c r="AC670" s="1" t="s">
        <v>74</v>
      </c>
      <c r="AD670" s="1" t="s">
        <v>74</v>
      </c>
      <c r="AE670" s="1" t="s">
        <v>74</v>
      </c>
      <c r="AF670" s="1" t="s">
        <v>74</v>
      </c>
      <c r="AG670" s="1" t="s">
        <v>74</v>
      </c>
      <c r="AH670" s="1" t="s">
        <v>74</v>
      </c>
      <c r="AI670" s="1" t="s">
        <v>74</v>
      </c>
      <c r="AJ670" s="1" t="s">
        <v>74</v>
      </c>
      <c r="AK670" s="1" t="s">
        <v>74</v>
      </c>
      <c r="AL670" s="1" t="s">
        <v>74</v>
      </c>
      <c r="AM670" s="1" t="s">
        <v>74</v>
      </c>
      <c r="AN670" s="1" t="s">
        <v>74</v>
      </c>
      <c r="AO670" s="1" t="s">
        <v>6404</v>
      </c>
      <c r="AP670" s="1" t="s">
        <v>74</v>
      </c>
      <c r="AQ670" s="1" t="s">
        <v>74</v>
      </c>
      <c r="AR670" s="1" t="s">
        <v>74</v>
      </c>
      <c r="AS670" s="1" t="s">
        <v>74</v>
      </c>
      <c r="AT670" s="1" t="s">
        <v>1829</v>
      </c>
      <c r="AU670" s="1">
        <v>2010.0</v>
      </c>
      <c r="AV670" s="1">
        <v>43.0</v>
      </c>
      <c r="AW670" s="1">
        <v>1.0</v>
      </c>
      <c r="AX670" s="1" t="s">
        <v>74</v>
      </c>
      <c r="AY670" s="1" t="s">
        <v>74</v>
      </c>
      <c r="AZ670" s="1" t="s">
        <v>74</v>
      </c>
      <c r="BA670" s="1" t="s">
        <v>74</v>
      </c>
      <c r="BB670" s="1">
        <v>163.0</v>
      </c>
      <c r="BC670" s="1">
        <v>201.0</v>
      </c>
      <c r="BD670" s="1" t="s">
        <v>74</v>
      </c>
      <c r="BE670" s="1" t="s">
        <v>74</v>
      </c>
      <c r="BF670" s="1" t="s">
        <v>74</v>
      </c>
      <c r="BG670" s="1" t="s">
        <v>74</v>
      </c>
      <c r="BH670" s="1" t="s">
        <v>74</v>
      </c>
      <c r="BI670" s="1" t="s">
        <v>74</v>
      </c>
      <c r="BJ670" s="1" t="s">
        <v>74</v>
      </c>
      <c r="BK670" s="1" t="s">
        <v>74</v>
      </c>
      <c r="BL670" s="1" t="s">
        <v>74</v>
      </c>
      <c r="BM670" s="1" t="s">
        <v>74</v>
      </c>
      <c r="BN670" s="1" t="s">
        <v>74</v>
      </c>
      <c r="BO670" s="1" t="s">
        <v>74</v>
      </c>
      <c r="BP670" s="1" t="s">
        <v>74</v>
      </c>
      <c r="BQ670" s="1" t="s">
        <v>74</v>
      </c>
      <c r="BR670" s="1" t="s">
        <v>74</v>
      </c>
      <c r="BS670" s="1" t="s">
        <v>6405</v>
      </c>
      <c r="BT670" s="1" t="str">
        <f>HYPERLINK("https%3A%2F%2Fwww.webofscience.com%2Fwos%2Fwoscc%2Ffull-record%2FWOS:000280172200005","View Full Record in Web of Science")</f>
        <v>View Full Record in Web of Science</v>
      </c>
    </row>
    <row r="671" ht="12.75" customHeight="1">
      <c r="A671" s="1" t="s">
        <v>72</v>
      </c>
      <c r="B671" s="1" t="s">
        <v>6406</v>
      </c>
      <c r="C671" s="1" t="s">
        <v>74</v>
      </c>
      <c r="D671" s="1" t="s">
        <v>74</v>
      </c>
      <c r="E671" s="1" t="s">
        <v>74</v>
      </c>
      <c r="F671" s="1" t="s">
        <v>6407</v>
      </c>
      <c r="G671" s="1" t="s">
        <v>74</v>
      </c>
      <c r="H671" s="1" t="s">
        <v>74</v>
      </c>
      <c r="I671" s="1" t="s">
        <v>6408</v>
      </c>
      <c r="J671" s="1" t="s">
        <v>2748</v>
      </c>
      <c r="K671" s="1" t="s">
        <v>74</v>
      </c>
      <c r="L671" s="1" t="s">
        <v>74</v>
      </c>
      <c r="M671" s="1" t="s">
        <v>74</v>
      </c>
      <c r="N671" s="1" t="s">
        <v>74</v>
      </c>
      <c r="O671" s="1" t="s">
        <v>74</v>
      </c>
      <c r="P671" s="1" t="s">
        <v>74</v>
      </c>
      <c r="Q671" s="1" t="s">
        <v>74</v>
      </c>
      <c r="R671" s="1" t="s">
        <v>74</v>
      </c>
      <c r="S671" s="1" t="s">
        <v>74</v>
      </c>
      <c r="T671" s="1" t="s">
        <v>74</v>
      </c>
      <c r="U671" s="1" t="s">
        <v>74</v>
      </c>
      <c r="V671" s="1" t="s">
        <v>6409</v>
      </c>
      <c r="W671" s="1" t="s">
        <v>74</v>
      </c>
      <c r="X671" s="1" t="s">
        <v>74</v>
      </c>
      <c r="Y671" s="1" t="s">
        <v>74</v>
      </c>
      <c r="Z671" s="1" t="s">
        <v>74</v>
      </c>
      <c r="AA671" s="1" t="s">
        <v>3710</v>
      </c>
      <c r="AB671" s="1" t="s">
        <v>3711</v>
      </c>
      <c r="AC671" s="1" t="s">
        <v>74</v>
      </c>
      <c r="AD671" s="1" t="s">
        <v>74</v>
      </c>
      <c r="AE671" s="1" t="s">
        <v>74</v>
      </c>
      <c r="AF671" s="1" t="s">
        <v>74</v>
      </c>
      <c r="AG671" s="1" t="s">
        <v>74</v>
      </c>
      <c r="AH671" s="1" t="s">
        <v>74</v>
      </c>
      <c r="AI671" s="1" t="s">
        <v>74</v>
      </c>
      <c r="AJ671" s="1" t="s">
        <v>74</v>
      </c>
      <c r="AK671" s="1" t="s">
        <v>74</v>
      </c>
      <c r="AL671" s="1" t="s">
        <v>74</v>
      </c>
      <c r="AM671" s="1" t="s">
        <v>74</v>
      </c>
      <c r="AN671" s="1" t="s">
        <v>74</v>
      </c>
      <c r="AO671" s="1" t="s">
        <v>6404</v>
      </c>
      <c r="AP671" s="1" t="s">
        <v>74</v>
      </c>
      <c r="AQ671" s="1" t="s">
        <v>74</v>
      </c>
      <c r="AR671" s="1" t="s">
        <v>74</v>
      </c>
      <c r="AS671" s="1" t="s">
        <v>74</v>
      </c>
      <c r="AT671" s="1" t="s">
        <v>320</v>
      </c>
      <c r="AU671" s="1">
        <v>2008.0</v>
      </c>
      <c r="AV671" s="1">
        <v>41.0</v>
      </c>
      <c r="AW671" s="1">
        <v>2.0</v>
      </c>
      <c r="AX671" s="1" t="s">
        <v>74</v>
      </c>
      <c r="AY671" s="1" t="s">
        <v>74</v>
      </c>
      <c r="AZ671" s="1" t="s">
        <v>74</v>
      </c>
      <c r="BA671" s="1" t="s">
        <v>74</v>
      </c>
      <c r="BB671" s="1">
        <v>305.0</v>
      </c>
      <c r="BC671" s="1">
        <v>339.0</v>
      </c>
      <c r="BD671" s="1" t="s">
        <v>74</v>
      </c>
      <c r="BE671" s="1" t="s">
        <v>74</v>
      </c>
      <c r="BF671" s="1" t="s">
        <v>74</v>
      </c>
      <c r="BG671" s="1" t="s">
        <v>74</v>
      </c>
      <c r="BH671" s="1" t="s">
        <v>74</v>
      </c>
      <c r="BI671" s="1" t="s">
        <v>74</v>
      </c>
      <c r="BJ671" s="1" t="s">
        <v>74</v>
      </c>
      <c r="BK671" s="1" t="s">
        <v>74</v>
      </c>
      <c r="BL671" s="1" t="s">
        <v>74</v>
      </c>
      <c r="BM671" s="1" t="s">
        <v>74</v>
      </c>
      <c r="BN671" s="1" t="s">
        <v>74</v>
      </c>
      <c r="BO671" s="1" t="s">
        <v>74</v>
      </c>
      <c r="BP671" s="1" t="s">
        <v>74</v>
      </c>
      <c r="BQ671" s="1" t="s">
        <v>74</v>
      </c>
      <c r="BR671" s="1" t="s">
        <v>74</v>
      </c>
      <c r="BS671" s="1" t="s">
        <v>6410</v>
      </c>
      <c r="BT671" s="1" t="str">
        <f>HYPERLINK("https%3A%2F%2Fwww.webofscience.com%2Fwos%2Fwoscc%2Ffull-record%2FWOS:000261723600001","View Full Record in Web of Science")</f>
        <v>View Full Record in Web of Science</v>
      </c>
    </row>
    <row r="672" ht="12.75" customHeight="1">
      <c r="A672" s="1" t="s">
        <v>72</v>
      </c>
      <c r="B672" s="1" t="s">
        <v>4985</v>
      </c>
      <c r="C672" s="1" t="s">
        <v>74</v>
      </c>
      <c r="D672" s="1" t="s">
        <v>74</v>
      </c>
      <c r="E672" s="1" t="s">
        <v>74</v>
      </c>
      <c r="F672" s="1" t="s">
        <v>4986</v>
      </c>
      <c r="G672" s="1" t="s">
        <v>74</v>
      </c>
      <c r="H672" s="1" t="s">
        <v>74</v>
      </c>
      <c r="I672" s="1" t="s">
        <v>6411</v>
      </c>
      <c r="J672" s="1" t="s">
        <v>3052</v>
      </c>
      <c r="K672" s="1" t="s">
        <v>74</v>
      </c>
      <c r="L672" s="1" t="s">
        <v>74</v>
      </c>
      <c r="M672" s="1" t="s">
        <v>74</v>
      </c>
      <c r="N672" s="1" t="s">
        <v>74</v>
      </c>
      <c r="O672" s="1" t="s">
        <v>74</v>
      </c>
      <c r="P672" s="1" t="s">
        <v>74</v>
      </c>
      <c r="Q672" s="1" t="s">
        <v>74</v>
      </c>
      <c r="R672" s="1" t="s">
        <v>74</v>
      </c>
      <c r="S672" s="1" t="s">
        <v>74</v>
      </c>
      <c r="T672" s="1" t="s">
        <v>74</v>
      </c>
      <c r="U672" s="1" t="s">
        <v>74</v>
      </c>
      <c r="V672" s="1" t="s">
        <v>6412</v>
      </c>
      <c r="W672" s="1" t="s">
        <v>74</v>
      </c>
      <c r="X672" s="1" t="s">
        <v>74</v>
      </c>
      <c r="Y672" s="1" t="s">
        <v>74</v>
      </c>
      <c r="Z672" s="1" t="s">
        <v>74</v>
      </c>
      <c r="AA672" s="1" t="s">
        <v>4990</v>
      </c>
      <c r="AB672" s="1" t="s">
        <v>843</v>
      </c>
      <c r="AC672" s="1" t="s">
        <v>74</v>
      </c>
      <c r="AD672" s="1" t="s">
        <v>74</v>
      </c>
      <c r="AE672" s="1" t="s">
        <v>74</v>
      </c>
      <c r="AF672" s="1" t="s">
        <v>74</v>
      </c>
      <c r="AG672" s="1" t="s">
        <v>74</v>
      </c>
      <c r="AH672" s="1" t="s">
        <v>74</v>
      </c>
      <c r="AI672" s="1" t="s">
        <v>74</v>
      </c>
      <c r="AJ672" s="1" t="s">
        <v>74</v>
      </c>
      <c r="AK672" s="1" t="s">
        <v>74</v>
      </c>
      <c r="AL672" s="1" t="s">
        <v>74</v>
      </c>
      <c r="AM672" s="1" t="s">
        <v>74</v>
      </c>
      <c r="AN672" s="1" t="s">
        <v>74</v>
      </c>
      <c r="AO672" s="1" t="s">
        <v>3055</v>
      </c>
      <c r="AP672" s="1" t="s">
        <v>74</v>
      </c>
      <c r="AQ672" s="1" t="s">
        <v>74</v>
      </c>
      <c r="AR672" s="1" t="s">
        <v>74</v>
      </c>
      <c r="AS672" s="1" t="s">
        <v>74</v>
      </c>
      <c r="AT672" s="1" t="s">
        <v>74</v>
      </c>
      <c r="AU672" s="1">
        <v>2008.0</v>
      </c>
      <c r="AV672" s="1" t="s">
        <v>74</v>
      </c>
      <c r="AW672" s="1" t="s">
        <v>74</v>
      </c>
      <c r="AX672" s="1" t="s">
        <v>74</v>
      </c>
      <c r="AY672" s="1" t="s">
        <v>74</v>
      </c>
      <c r="AZ672" s="1" t="s">
        <v>74</v>
      </c>
      <c r="BA672" s="1" t="s">
        <v>74</v>
      </c>
      <c r="BB672" s="1" t="s">
        <v>74</v>
      </c>
      <c r="BC672" s="1" t="s">
        <v>74</v>
      </c>
      <c r="BD672" s="1">
        <v>316207.0</v>
      </c>
      <c r="BE672" s="1" t="s">
        <v>6413</v>
      </c>
      <c r="BF672" s="2" t="str">
        <f>HYPERLINK("http://dx.doi.org/10.1155/2008/316207","http://dx.doi.org/10.1155/2008/316207")</f>
        <v>http://dx.doi.org/10.1155/2008/316207</v>
      </c>
      <c r="BG672" s="1" t="s">
        <v>74</v>
      </c>
      <c r="BH672" s="1" t="s">
        <v>74</v>
      </c>
      <c r="BI672" s="1" t="s">
        <v>74</v>
      </c>
      <c r="BJ672" s="1" t="s">
        <v>74</v>
      </c>
      <c r="BK672" s="1" t="s">
        <v>74</v>
      </c>
      <c r="BL672" s="1" t="s">
        <v>74</v>
      </c>
      <c r="BM672" s="1" t="s">
        <v>74</v>
      </c>
      <c r="BN672" s="1" t="s">
        <v>74</v>
      </c>
      <c r="BO672" s="1" t="s">
        <v>74</v>
      </c>
      <c r="BP672" s="1" t="s">
        <v>74</v>
      </c>
      <c r="BQ672" s="1" t="s">
        <v>74</v>
      </c>
      <c r="BR672" s="1" t="s">
        <v>74</v>
      </c>
      <c r="BS672" s="1" t="s">
        <v>6414</v>
      </c>
      <c r="BT672" s="1" t="str">
        <f>HYPERLINK("https%3A%2F%2Fwww.webofscience.com%2Fwos%2Fwoscc%2Ffull-record%2FWOS:000255772500001","View Full Record in Web of Science")</f>
        <v>View Full Record in Web of Science</v>
      </c>
    </row>
    <row r="673" ht="12.75" customHeight="1">
      <c r="A673" s="1" t="s">
        <v>72</v>
      </c>
      <c r="B673" s="1" t="s">
        <v>6415</v>
      </c>
      <c r="C673" s="1" t="s">
        <v>74</v>
      </c>
      <c r="D673" s="1" t="s">
        <v>74</v>
      </c>
      <c r="E673" s="1" t="s">
        <v>74</v>
      </c>
      <c r="F673" s="1" t="s">
        <v>6416</v>
      </c>
      <c r="G673" s="1" t="s">
        <v>74</v>
      </c>
      <c r="H673" s="1" t="s">
        <v>74</v>
      </c>
      <c r="I673" s="1" t="s">
        <v>6417</v>
      </c>
      <c r="J673" s="1" t="s">
        <v>6418</v>
      </c>
      <c r="K673" s="1" t="s">
        <v>74</v>
      </c>
      <c r="L673" s="1" t="s">
        <v>74</v>
      </c>
      <c r="M673" s="1" t="s">
        <v>74</v>
      </c>
      <c r="N673" s="1" t="s">
        <v>74</v>
      </c>
      <c r="O673" s="1" t="s">
        <v>74</v>
      </c>
      <c r="P673" s="1" t="s">
        <v>74</v>
      </c>
      <c r="Q673" s="1" t="s">
        <v>74</v>
      </c>
      <c r="R673" s="1" t="s">
        <v>74</v>
      </c>
      <c r="S673" s="1" t="s">
        <v>74</v>
      </c>
      <c r="T673" s="1" t="s">
        <v>74</v>
      </c>
      <c r="U673" s="1" t="s">
        <v>74</v>
      </c>
      <c r="V673" s="1" t="s">
        <v>6419</v>
      </c>
      <c r="W673" s="1" t="s">
        <v>74</v>
      </c>
      <c r="X673" s="1" t="s">
        <v>74</v>
      </c>
      <c r="Y673" s="1" t="s">
        <v>74</v>
      </c>
      <c r="Z673" s="1" t="s">
        <v>74</v>
      </c>
      <c r="AA673" s="1" t="s">
        <v>6420</v>
      </c>
      <c r="AB673" s="1" t="s">
        <v>6421</v>
      </c>
      <c r="AC673" s="1" t="s">
        <v>74</v>
      </c>
      <c r="AD673" s="1" t="s">
        <v>74</v>
      </c>
      <c r="AE673" s="1" t="s">
        <v>74</v>
      </c>
      <c r="AF673" s="1" t="s">
        <v>74</v>
      </c>
      <c r="AG673" s="1" t="s">
        <v>74</v>
      </c>
      <c r="AH673" s="1" t="s">
        <v>74</v>
      </c>
      <c r="AI673" s="1" t="s">
        <v>74</v>
      </c>
      <c r="AJ673" s="1" t="s">
        <v>74</v>
      </c>
      <c r="AK673" s="1" t="s">
        <v>74</v>
      </c>
      <c r="AL673" s="1" t="s">
        <v>74</v>
      </c>
      <c r="AM673" s="1" t="s">
        <v>74</v>
      </c>
      <c r="AN673" s="1" t="s">
        <v>74</v>
      </c>
      <c r="AO673" s="1" t="s">
        <v>6422</v>
      </c>
      <c r="AP673" s="1" t="s">
        <v>6423</v>
      </c>
      <c r="AQ673" s="1" t="s">
        <v>74</v>
      </c>
      <c r="AR673" s="1" t="s">
        <v>74</v>
      </c>
      <c r="AS673" s="1" t="s">
        <v>74</v>
      </c>
      <c r="AT673" s="1" t="s">
        <v>180</v>
      </c>
      <c r="AU673" s="1">
        <v>2007.0</v>
      </c>
      <c r="AV673" s="1">
        <v>101.0</v>
      </c>
      <c r="AW673" s="1">
        <v>5.0</v>
      </c>
      <c r="AX673" s="1" t="s">
        <v>74</v>
      </c>
      <c r="AY673" s="1" t="s">
        <v>74</v>
      </c>
      <c r="AZ673" s="1" t="s">
        <v>74</v>
      </c>
      <c r="BA673" s="1" t="s">
        <v>74</v>
      </c>
      <c r="BB673" s="1">
        <v>493.0</v>
      </c>
      <c r="BC673" s="1">
        <v>496.0</v>
      </c>
      <c r="BD673" s="1" t="s">
        <v>74</v>
      </c>
      <c r="BE673" s="1" t="s">
        <v>6424</v>
      </c>
      <c r="BF673" s="2" t="str">
        <f>HYPERLINK("http://dx.doi.org/10.1016/j.trstmh.2006.08.003","http://dx.doi.org/10.1016/j.trstmh.2006.08.003")</f>
        <v>http://dx.doi.org/10.1016/j.trstmh.2006.08.003</v>
      </c>
      <c r="BG673" s="1" t="s">
        <v>74</v>
      </c>
      <c r="BH673" s="1" t="s">
        <v>74</v>
      </c>
      <c r="BI673" s="1" t="s">
        <v>74</v>
      </c>
      <c r="BJ673" s="1" t="s">
        <v>74</v>
      </c>
      <c r="BK673" s="1" t="s">
        <v>74</v>
      </c>
      <c r="BL673" s="1" t="s">
        <v>74</v>
      </c>
      <c r="BM673" s="1" t="s">
        <v>74</v>
      </c>
      <c r="BN673" s="1">
        <v>1.6997338E7</v>
      </c>
      <c r="BO673" s="1" t="s">
        <v>74</v>
      </c>
      <c r="BP673" s="1" t="s">
        <v>74</v>
      </c>
      <c r="BQ673" s="1" t="s">
        <v>74</v>
      </c>
      <c r="BR673" s="1" t="s">
        <v>74</v>
      </c>
      <c r="BS673" s="1" t="s">
        <v>6425</v>
      </c>
      <c r="BT673" s="1" t="str">
        <f>HYPERLINK("https%3A%2F%2Fwww.webofscience.com%2Fwos%2Fwoscc%2Ffull-record%2FWOS:000245785200012","View Full Record in Web of Science")</f>
        <v>View Full Record in Web of Science</v>
      </c>
    </row>
    <row r="674" ht="12.75" customHeight="1">
      <c r="A674" s="1" t="s">
        <v>1511</v>
      </c>
      <c r="B674" s="1" t="s">
        <v>6426</v>
      </c>
      <c r="C674" s="1" t="s">
        <v>74</v>
      </c>
      <c r="D674" s="1" t="s">
        <v>6427</v>
      </c>
      <c r="E674" s="1" t="s">
        <v>74</v>
      </c>
      <c r="F674" s="1" t="s">
        <v>6426</v>
      </c>
      <c r="G674" s="1" t="s">
        <v>74</v>
      </c>
      <c r="H674" s="1" t="s">
        <v>74</v>
      </c>
      <c r="I674" s="1" t="s">
        <v>6428</v>
      </c>
      <c r="J674" s="1" t="s">
        <v>6429</v>
      </c>
      <c r="K674" s="1" t="s">
        <v>6430</v>
      </c>
      <c r="L674" s="1" t="s">
        <v>74</v>
      </c>
      <c r="M674" s="1" t="s">
        <v>74</v>
      </c>
      <c r="N674" s="1" t="s">
        <v>74</v>
      </c>
      <c r="O674" s="1" t="s">
        <v>6431</v>
      </c>
      <c r="P674" s="1" t="s">
        <v>6432</v>
      </c>
      <c r="Q674" s="1" t="s">
        <v>6433</v>
      </c>
      <c r="R674" s="1" t="s">
        <v>6434</v>
      </c>
      <c r="S674" s="1" t="s">
        <v>74</v>
      </c>
      <c r="T674" s="1" t="s">
        <v>74</v>
      </c>
      <c r="U674" s="1" t="s">
        <v>74</v>
      </c>
      <c r="V674" s="1" t="s">
        <v>6435</v>
      </c>
      <c r="W674" s="1" t="s">
        <v>74</v>
      </c>
      <c r="X674" s="1" t="s">
        <v>74</v>
      </c>
      <c r="Y674" s="1" t="s">
        <v>74</v>
      </c>
      <c r="Z674" s="1" t="s">
        <v>74</v>
      </c>
      <c r="AA674" s="1" t="s">
        <v>1566</v>
      </c>
      <c r="AB674" s="1" t="s">
        <v>1567</v>
      </c>
      <c r="AC674" s="1" t="s">
        <v>74</v>
      </c>
      <c r="AD674" s="1" t="s">
        <v>74</v>
      </c>
      <c r="AE674" s="1" t="s">
        <v>74</v>
      </c>
      <c r="AF674" s="1" t="s">
        <v>74</v>
      </c>
      <c r="AG674" s="1" t="s">
        <v>74</v>
      </c>
      <c r="AH674" s="1" t="s">
        <v>74</v>
      </c>
      <c r="AI674" s="1" t="s">
        <v>74</v>
      </c>
      <c r="AJ674" s="1" t="s">
        <v>74</v>
      </c>
      <c r="AK674" s="1" t="s">
        <v>74</v>
      </c>
      <c r="AL674" s="1" t="s">
        <v>74</v>
      </c>
      <c r="AM674" s="1" t="s">
        <v>74</v>
      </c>
      <c r="AN674" s="1" t="s">
        <v>74</v>
      </c>
      <c r="AO674" s="1" t="s">
        <v>675</v>
      </c>
      <c r="AP674" s="1" t="s">
        <v>74</v>
      </c>
      <c r="AQ674" s="1" t="s">
        <v>6436</v>
      </c>
      <c r="AR674" s="1" t="s">
        <v>74</v>
      </c>
      <c r="AS674" s="1" t="s">
        <v>74</v>
      </c>
      <c r="AT674" s="1" t="s">
        <v>74</v>
      </c>
      <c r="AU674" s="1">
        <v>2004.0</v>
      </c>
      <c r="AV674" s="1">
        <v>3212.0</v>
      </c>
      <c r="AW674" s="1" t="s">
        <v>74</v>
      </c>
      <c r="AX674" s="1">
        <v>2.0</v>
      </c>
      <c r="AY674" s="1" t="s">
        <v>74</v>
      </c>
      <c r="AZ674" s="1" t="s">
        <v>74</v>
      </c>
      <c r="BA674" s="1" t="s">
        <v>74</v>
      </c>
      <c r="BB674" s="1">
        <v>818.0</v>
      </c>
      <c r="BC674" s="1">
        <v>825.0</v>
      </c>
      <c r="BD674" s="1" t="s">
        <v>74</v>
      </c>
      <c r="BE674" s="1" t="s">
        <v>74</v>
      </c>
      <c r="BF674" s="1" t="s">
        <v>74</v>
      </c>
      <c r="BG674" s="1" t="s">
        <v>74</v>
      </c>
      <c r="BH674" s="1" t="s">
        <v>74</v>
      </c>
      <c r="BI674" s="1" t="s">
        <v>74</v>
      </c>
      <c r="BJ674" s="1" t="s">
        <v>74</v>
      </c>
      <c r="BK674" s="1" t="s">
        <v>74</v>
      </c>
      <c r="BL674" s="1" t="s">
        <v>74</v>
      </c>
      <c r="BM674" s="1" t="s">
        <v>74</v>
      </c>
      <c r="BN674" s="1" t="s">
        <v>74</v>
      </c>
      <c r="BO674" s="1" t="s">
        <v>74</v>
      </c>
      <c r="BP674" s="1" t="s">
        <v>74</v>
      </c>
      <c r="BQ674" s="1" t="s">
        <v>74</v>
      </c>
      <c r="BR674" s="1" t="s">
        <v>74</v>
      </c>
      <c r="BS674" s="1" t="s">
        <v>6437</v>
      </c>
      <c r="BT674" s="1" t="str">
        <f>HYPERLINK("https%3A%2F%2Fwww.webofscience.com%2Fwos%2Fwoscc%2Ffull-record%2FWOS:000224317200099","View Full Record in Web of Science")</f>
        <v>View Full Record in Web of Science</v>
      </c>
    </row>
    <row r="675" ht="12.75" customHeight="1">
      <c r="A675" s="1" t="s">
        <v>72</v>
      </c>
      <c r="B675" s="1" t="s">
        <v>4332</v>
      </c>
      <c r="C675" s="1" t="s">
        <v>74</v>
      </c>
      <c r="D675" s="1" t="s">
        <v>74</v>
      </c>
      <c r="E675" s="1" t="s">
        <v>74</v>
      </c>
      <c r="F675" s="1" t="s">
        <v>4332</v>
      </c>
      <c r="G675" s="1" t="s">
        <v>74</v>
      </c>
      <c r="H675" s="1" t="s">
        <v>74</v>
      </c>
      <c r="I675" s="1" t="s">
        <v>6438</v>
      </c>
      <c r="J675" s="1" t="s">
        <v>6439</v>
      </c>
      <c r="K675" s="1" t="s">
        <v>74</v>
      </c>
      <c r="L675" s="1" t="s">
        <v>74</v>
      </c>
      <c r="M675" s="1" t="s">
        <v>74</v>
      </c>
      <c r="N675" s="1" t="s">
        <v>74</v>
      </c>
      <c r="O675" s="1" t="s">
        <v>74</v>
      </c>
      <c r="P675" s="1" t="s">
        <v>74</v>
      </c>
      <c r="Q675" s="1" t="s">
        <v>74</v>
      </c>
      <c r="R675" s="1" t="s">
        <v>74</v>
      </c>
      <c r="S675" s="1" t="s">
        <v>74</v>
      </c>
      <c r="T675" s="1" t="s">
        <v>74</v>
      </c>
      <c r="U675" s="1" t="s">
        <v>74</v>
      </c>
      <c r="V675" s="1" t="s">
        <v>6440</v>
      </c>
      <c r="W675" s="1" t="s">
        <v>74</v>
      </c>
      <c r="X675" s="1" t="s">
        <v>74</v>
      </c>
      <c r="Y675" s="1" t="s">
        <v>74</v>
      </c>
      <c r="Z675" s="1" t="s">
        <v>74</v>
      </c>
      <c r="AA675" s="1" t="s">
        <v>74</v>
      </c>
      <c r="AB675" s="1" t="s">
        <v>74</v>
      </c>
      <c r="AC675" s="1" t="s">
        <v>74</v>
      </c>
      <c r="AD675" s="1" t="s">
        <v>74</v>
      </c>
      <c r="AE675" s="1" t="s">
        <v>74</v>
      </c>
      <c r="AF675" s="1" t="s">
        <v>74</v>
      </c>
      <c r="AG675" s="1" t="s">
        <v>74</v>
      </c>
      <c r="AH675" s="1" t="s">
        <v>74</v>
      </c>
      <c r="AI675" s="1" t="s">
        <v>74</v>
      </c>
      <c r="AJ675" s="1" t="s">
        <v>74</v>
      </c>
      <c r="AK675" s="1" t="s">
        <v>74</v>
      </c>
      <c r="AL675" s="1" t="s">
        <v>74</v>
      </c>
      <c r="AM675" s="1" t="s">
        <v>74</v>
      </c>
      <c r="AN675" s="1" t="s">
        <v>74</v>
      </c>
      <c r="AO675" s="1" t="s">
        <v>6441</v>
      </c>
      <c r="AP675" s="1" t="s">
        <v>74</v>
      </c>
      <c r="AQ675" s="1" t="s">
        <v>74</v>
      </c>
      <c r="AR675" s="1" t="s">
        <v>74</v>
      </c>
      <c r="AS675" s="1" t="s">
        <v>74</v>
      </c>
      <c r="AT675" s="1" t="s">
        <v>650</v>
      </c>
      <c r="AU675" s="1">
        <v>2002.0</v>
      </c>
      <c r="AV675" s="1">
        <v>37.0</v>
      </c>
      <c r="AW675" s="1">
        <v>2.0</v>
      </c>
      <c r="AX675" s="1" t="s">
        <v>74</v>
      </c>
      <c r="AY675" s="1" t="s">
        <v>74</v>
      </c>
      <c r="AZ675" s="1" t="s">
        <v>74</v>
      </c>
      <c r="BA675" s="1" t="s">
        <v>74</v>
      </c>
      <c r="BB675" s="1">
        <v>395.0</v>
      </c>
      <c r="BC675" s="1">
        <v>407.0</v>
      </c>
      <c r="BD675" s="1" t="s">
        <v>74</v>
      </c>
      <c r="BE675" s="1" t="s">
        <v>6442</v>
      </c>
      <c r="BF675" s="2" t="str">
        <f>HYPERLINK("http://dx.doi.org/10.1016/S0020-7462(01)00047-6","http://dx.doi.org/10.1016/S0020-7462(01)00047-6")</f>
        <v>http://dx.doi.org/10.1016/S0020-7462(01)00047-6</v>
      </c>
      <c r="BG675" s="1" t="s">
        <v>74</v>
      </c>
      <c r="BH675" s="1" t="s">
        <v>74</v>
      </c>
      <c r="BI675" s="1" t="s">
        <v>74</v>
      </c>
      <c r="BJ675" s="1" t="s">
        <v>74</v>
      </c>
      <c r="BK675" s="1" t="s">
        <v>74</v>
      </c>
      <c r="BL675" s="1" t="s">
        <v>74</v>
      </c>
      <c r="BM675" s="1" t="s">
        <v>74</v>
      </c>
      <c r="BN675" s="1" t="s">
        <v>74</v>
      </c>
      <c r="BO675" s="1" t="s">
        <v>74</v>
      </c>
      <c r="BP675" s="1" t="s">
        <v>74</v>
      </c>
      <c r="BQ675" s="1" t="s">
        <v>74</v>
      </c>
      <c r="BR675" s="1" t="s">
        <v>74</v>
      </c>
      <c r="BS675" s="1" t="s">
        <v>6443</v>
      </c>
      <c r="BT675" s="1" t="str">
        <f>HYPERLINK("https%3A%2F%2Fwww.webofscience.com%2Fwos%2Fwoscc%2Ffull-record%2FWOS:000172477400018","View Full Record in Web of Science")</f>
        <v>View Full Record in Web of Science</v>
      </c>
    </row>
    <row r="676" ht="12.75" customHeight="1">
      <c r="A676" s="1" t="s">
        <v>72</v>
      </c>
      <c r="B676" s="1" t="s">
        <v>6444</v>
      </c>
      <c r="C676" s="1" t="s">
        <v>74</v>
      </c>
      <c r="D676" s="1" t="s">
        <v>74</v>
      </c>
      <c r="E676" s="1" t="s">
        <v>74</v>
      </c>
      <c r="F676" s="1" t="s">
        <v>6444</v>
      </c>
      <c r="G676" s="1" t="s">
        <v>74</v>
      </c>
      <c r="H676" s="1" t="s">
        <v>74</v>
      </c>
      <c r="I676" s="1" t="s">
        <v>6445</v>
      </c>
      <c r="J676" s="1" t="s">
        <v>1651</v>
      </c>
      <c r="K676" s="1" t="s">
        <v>74</v>
      </c>
      <c r="L676" s="1" t="s">
        <v>74</v>
      </c>
      <c r="M676" s="1" t="s">
        <v>74</v>
      </c>
      <c r="N676" s="1" t="s">
        <v>74</v>
      </c>
      <c r="O676" s="1" t="s">
        <v>74</v>
      </c>
      <c r="P676" s="1" t="s">
        <v>74</v>
      </c>
      <c r="Q676" s="1" t="s">
        <v>74</v>
      </c>
      <c r="R676" s="1" t="s">
        <v>74</v>
      </c>
      <c r="S676" s="1" t="s">
        <v>74</v>
      </c>
      <c r="T676" s="1" t="s">
        <v>74</v>
      </c>
      <c r="U676" s="1" t="s">
        <v>74</v>
      </c>
      <c r="V676" s="1" t="s">
        <v>6446</v>
      </c>
      <c r="W676" s="1" t="s">
        <v>74</v>
      </c>
      <c r="X676" s="1" t="s">
        <v>74</v>
      </c>
      <c r="Y676" s="1" t="s">
        <v>74</v>
      </c>
      <c r="Z676" s="1" t="s">
        <v>74</v>
      </c>
      <c r="AA676" s="1" t="s">
        <v>6447</v>
      </c>
      <c r="AB676" s="1" t="s">
        <v>74</v>
      </c>
      <c r="AC676" s="1" t="s">
        <v>74</v>
      </c>
      <c r="AD676" s="1" t="s">
        <v>74</v>
      </c>
      <c r="AE676" s="1" t="s">
        <v>74</v>
      </c>
      <c r="AF676" s="1" t="s">
        <v>74</v>
      </c>
      <c r="AG676" s="1" t="s">
        <v>74</v>
      </c>
      <c r="AH676" s="1" t="s">
        <v>74</v>
      </c>
      <c r="AI676" s="1" t="s">
        <v>74</v>
      </c>
      <c r="AJ676" s="1" t="s">
        <v>74</v>
      </c>
      <c r="AK676" s="1" t="s">
        <v>74</v>
      </c>
      <c r="AL676" s="1" t="s">
        <v>74</v>
      </c>
      <c r="AM676" s="1" t="s">
        <v>74</v>
      </c>
      <c r="AN676" s="1" t="s">
        <v>74</v>
      </c>
      <c r="AO676" s="1" t="s">
        <v>1653</v>
      </c>
      <c r="AP676" s="1" t="s">
        <v>74</v>
      </c>
      <c r="AQ676" s="1" t="s">
        <v>74</v>
      </c>
      <c r="AR676" s="1" t="s">
        <v>74</v>
      </c>
      <c r="AS676" s="1" t="s">
        <v>74</v>
      </c>
      <c r="AT676" s="1" t="s">
        <v>110</v>
      </c>
      <c r="AU676" s="1">
        <v>2000.0</v>
      </c>
      <c r="AV676" s="1">
        <v>45.0</v>
      </c>
      <c r="AW676" s="1">
        <v>4.0</v>
      </c>
      <c r="AX676" s="1" t="s">
        <v>74</v>
      </c>
      <c r="AY676" s="1" t="s">
        <v>74</v>
      </c>
      <c r="AZ676" s="1" t="s">
        <v>74</v>
      </c>
      <c r="BA676" s="1" t="s">
        <v>74</v>
      </c>
      <c r="BB676" s="1">
        <v>629.0</v>
      </c>
      <c r="BC676" s="1">
        <v>636.0</v>
      </c>
      <c r="BD676" s="1" t="s">
        <v>74</v>
      </c>
      <c r="BE676" s="1" t="s">
        <v>74</v>
      </c>
      <c r="BF676" s="1" t="s">
        <v>74</v>
      </c>
      <c r="BG676" s="1" t="s">
        <v>74</v>
      </c>
      <c r="BH676" s="1" t="s">
        <v>74</v>
      </c>
      <c r="BI676" s="1" t="s">
        <v>74</v>
      </c>
      <c r="BJ676" s="1" t="s">
        <v>74</v>
      </c>
      <c r="BK676" s="1" t="s">
        <v>74</v>
      </c>
      <c r="BL676" s="1" t="s">
        <v>74</v>
      </c>
      <c r="BM676" s="1" t="s">
        <v>74</v>
      </c>
      <c r="BN676" s="1" t="s">
        <v>74</v>
      </c>
      <c r="BO676" s="1" t="s">
        <v>74</v>
      </c>
      <c r="BP676" s="1" t="s">
        <v>74</v>
      </c>
      <c r="BQ676" s="1" t="s">
        <v>74</v>
      </c>
      <c r="BR676" s="1" t="s">
        <v>74</v>
      </c>
      <c r="BS676" s="1" t="s">
        <v>6448</v>
      </c>
      <c r="BT676" s="1" t="str">
        <f>HYPERLINK("https%3A%2F%2Fwww.webofscience.com%2Fwos%2Fwoscc%2Ffull-record%2FWOS:000166388700017","View Full Record in Web of Science")</f>
        <v>View Full Record in Web of Science</v>
      </c>
    </row>
    <row r="677" ht="12.75" customHeight="1">
      <c r="A677" s="1" t="s">
        <v>72</v>
      </c>
      <c r="B677" s="1" t="s">
        <v>6449</v>
      </c>
      <c r="C677" s="1" t="s">
        <v>74</v>
      </c>
      <c r="D677" s="1" t="s">
        <v>74</v>
      </c>
      <c r="E677" s="1" t="s">
        <v>74</v>
      </c>
      <c r="F677" s="1" t="s">
        <v>6449</v>
      </c>
      <c r="G677" s="1" t="s">
        <v>74</v>
      </c>
      <c r="H677" s="1" t="s">
        <v>74</v>
      </c>
      <c r="I677" s="1" t="s">
        <v>6450</v>
      </c>
      <c r="J677" s="1" t="s">
        <v>2578</v>
      </c>
      <c r="K677" s="1" t="s">
        <v>74</v>
      </c>
      <c r="L677" s="1" t="s">
        <v>74</v>
      </c>
      <c r="M677" s="1" t="s">
        <v>74</v>
      </c>
      <c r="N677" s="1" t="s">
        <v>74</v>
      </c>
      <c r="O677" s="1" t="s">
        <v>74</v>
      </c>
      <c r="P677" s="1" t="s">
        <v>74</v>
      </c>
      <c r="Q677" s="1" t="s">
        <v>74</v>
      </c>
      <c r="R677" s="1" t="s">
        <v>74</v>
      </c>
      <c r="S677" s="1" t="s">
        <v>74</v>
      </c>
      <c r="T677" s="1" t="s">
        <v>74</v>
      </c>
      <c r="U677" s="1" t="s">
        <v>74</v>
      </c>
      <c r="V677" s="1" t="s">
        <v>6451</v>
      </c>
      <c r="W677" s="1" t="s">
        <v>74</v>
      </c>
      <c r="X677" s="1" t="s">
        <v>74</v>
      </c>
      <c r="Y677" s="1" t="s">
        <v>74</v>
      </c>
      <c r="Z677" s="1" t="s">
        <v>74</v>
      </c>
      <c r="AA677" s="1" t="s">
        <v>74</v>
      </c>
      <c r="AB677" s="1" t="s">
        <v>74</v>
      </c>
      <c r="AC677" s="1" t="s">
        <v>74</v>
      </c>
      <c r="AD677" s="1" t="s">
        <v>74</v>
      </c>
      <c r="AE677" s="1" t="s">
        <v>74</v>
      </c>
      <c r="AF677" s="1" t="s">
        <v>74</v>
      </c>
      <c r="AG677" s="1" t="s">
        <v>74</v>
      </c>
      <c r="AH677" s="1" t="s">
        <v>74</v>
      </c>
      <c r="AI677" s="1" t="s">
        <v>74</v>
      </c>
      <c r="AJ677" s="1" t="s">
        <v>74</v>
      </c>
      <c r="AK677" s="1" t="s">
        <v>74</v>
      </c>
      <c r="AL677" s="1" t="s">
        <v>74</v>
      </c>
      <c r="AM677" s="1" t="s">
        <v>74</v>
      </c>
      <c r="AN677" s="1" t="s">
        <v>74</v>
      </c>
      <c r="AO677" s="1" t="s">
        <v>2581</v>
      </c>
      <c r="AP677" s="1" t="s">
        <v>74</v>
      </c>
      <c r="AQ677" s="1" t="s">
        <v>74</v>
      </c>
      <c r="AR677" s="1" t="s">
        <v>74</v>
      </c>
      <c r="AS677" s="1" t="s">
        <v>74</v>
      </c>
      <c r="AT677" s="1" t="s">
        <v>215</v>
      </c>
      <c r="AU677" s="1">
        <v>2000.0</v>
      </c>
      <c r="AV677" s="1">
        <v>128.0</v>
      </c>
      <c r="AW677" s="1">
        <v>6.0</v>
      </c>
      <c r="AX677" s="1" t="s">
        <v>74</v>
      </c>
      <c r="AY677" s="1" t="s">
        <v>74</v>
      </c>
      <c r="AZ677" s="1" t="s">
        <v>74</v>
      </c>
      <c r="BA677" s="1" t="s">
        <v>74</v>
      </c>
      <c r="BB677" s="1">
        <v>571.0</v>
      </c>
      <c r="BC677" s="1">
        <v>573.0</v>
      </c>
      <c r="BD677" s="1" t="s">
        <v>74</v>
      </c>
      <c r="BE677" s="1" t="s">
        <v>74</v>
      </c>
      <c r="BF677" s="1" t="s">
        <v>74</v>
      </c>
      <c r="BG677" s="1" t="s">
        <v>74</v>
      </c>
      <c r="BH677" s="1" t="s">
        <v>74</v>
      </c>
      <c r="BI677" s="1" t="s">
        <v>74</v>
      </c>
      <c r="BJ677" s="1" t="s">
        <v>74</v>
      </c>
      <c r="BK677" s="1" t="s">
        <v>74</v>
      </c>
      <c r="BL677" s="1" t="s">
        <v>74</v>
      </c>
      <c r="BM677" s="1" t="s">
        <v>74</v>
      </c>
      <c r="BN677" s="1">
        <v>1.1016054E7</v>
      </c>
      <c r="BO677" s="1" t="s">
        <v>74</v>
      </c>
      <c r="BP677" s="1" t="s">
        <v>74</v>
      </c>
      <c r="BQ677" s="1" t="s">
        <v>74</v>
      </c>
      <c r="BR677" s="1" t="s">
        <v>74</v>
      </c>
      <c r="BS677" s="1" t="s">
        <v>6452</v>
      </c>
      <c r="BT677" s="1" t="str">
        <f>HYPERLINK("https%3A%2F%2Fwww.webofscience.com%2Fwos%2Fwoscc%2Ffull-record%2FWOS:000088429600001","View Full Record in Web of Science")</f>
        <v>View Full Record in Web of Science</v>
      </c>
    </row>
    <row r="678" ht="12.75" customHeight="1">
      <c r="A678" s="1" t="s">
        <v>72</v>
      </c>
      <c r="B678" s="1" t="s">
        <v>6453</v>
      </c>
      <c r="C678" s="1" t="s">
        <v>74</v>
      </c>
      <c r="D678" s="1" t="s">
        <v>74</v>
      </c>
      <c r="E678" s="1" t="s">
        <v>74</v>
      </c>
      <c r="F678" s="1" t="s">
        <v>6453</v>
      </c>
      <c r="G678" s="1" t="s">
        <v>74</v>
      </c>
      <c r="H678" s="1" t="s">
        <v>74</v>
      </c>
      <c r="I678" s="1" t="s">
        <v>6454</v>
      </c>
      <c r="J678" s="1" t="s">
        <v>3672</v>
      </c>
      <c r="K678" s="1" t="s">
        <v>74</v>
      </c>
      <c r="L678" s="1" t="s">
        <v>74</v>
      </c>
      <c r="M678" s="1" t="s">
        <v>74</v>
      </c>
      <c r="N678" s="1" t="s">
        <v>74</v>
      </c>
      <c r="O678" s="1" t="s">
        <v>74</v>
      </c>
      <c r="P678" s="1" t="s">
        <v>74</v>
      </c>
      <c r="Q678" s="1" t="s">
        <v>74</v>
      </c>
      <c r="R678" s="1" t="s">
        <v>74</v>
      </c>
      <c r="S678" s="1" t="s">
        <v>74</v>
      </c>
      <c r="T678" s="1" t="s">
        <v>74</v>
      </c>
      <c r="U678" s="1" t="s">
        <v>74</v>
      </c>
      <c r="V678" s="1" t="s">
        <v>6455</v>
      </c>
      <c r="W678" s="1" t="s">
        <v>74</v>
      </c>
      <c r="X678" s="1" t="s">
        <v>74</v>
      </c>
      <c r="Y678" s="1" t="s">
        <v>74</v>
      </c>
      <c r="Z678" s="1" t="s">
        <v>74</v>
      </c>
      <c r="AA678" s="1" t="s">
        <v>74</v>
      </c>
      <c r="AB678" s="1" t="s">
        <v>74</v>
      </c>
      <c r="AC678" s="1" t="s">
        <v>74</v>
      </c>
      <c r="AD678" s="1" t="s">
        <v>74</v>
      </c>
      <c r="AE678" s="1" t="s">
        <v>74</v>
      </c>
      <c r="AF678" s="1" t="s">
        <v>74</v>
      </c>
      <c r="AG678" s="1" t="s">
        <v>74</v>
      </c>
      <c r="AH678" s="1" t="s">
        <v>74</v>
      </c>
      <c r="AI678" s="1" t="s">
        <v>74</v>
      </c>
      <c r="AJ678" s="1" t="s">
        <v>74</v>
      </c>
      <c r="AK678" s="1" t="s">
        <v>74</v>
      </c>
      <c r="AL678" s="1" t="s">
        <v>74</v>
      </c>
      <c r="AM678" s="1" t="s">
        <v>74</v>
      </c>
      <c r="AN678" s="1" t="s">
        <v>74</v>
      </c>
      <c r="AO678" s="1" t="s">
        <v>3676</v>
      </c>
      <c r="AP678" s="1" t="s">
        <v>74</v>
      </c>
      <c r="AQ678" s="1" t="s">
        <v>74</v>
      </c>
      <c r="AR678" s="1" t="s">
        <v>74</v>
      </c>
      <c r="AS678" s="1" t="s">
        <v>74</v>
      </c>
      <c r="AT678" s="1" t="s">
        <v>2009</v>
      </c>
      <c r="AU678" s="1">
        <v>1999.0</v>
      </c>
      <c r="AV678" s="1">
        <v>35.0</v>
      </c>
      <c r="AW678" s="1">
        <v>5.0</v>
      </c>
      <c r="AX678" s="1" t="s">
        <v>74</v>
      </c>
      <c r="AY678" s="1" t="s">
        <v>74</v>
      </c>
      <c r="AZ678" s="1" t="s">
        <v>74</v>
      </c>
      <c r="BA678" s="1" t="s">
        <v>74</v>
      </c>
      <c r="BB678" s="1">
        <v>329.0</v>
      </c>
      <c r="BC678" s="1">
        <v>334.0</v>
      </c>
      <c r="BD678" s="1" t="s">
        <v>74</v>
      </c>
      <c r="BE678" s="1" t="s">
        <v>6456</v>
      </c>
      <c r="BF678" s="2" t="str">
        <f>HYPERLINK("http://dx.doi.org/10.3989/revmetalm.1999.v35.i5.641","http://dx.doi.org/10.3989/revmetalm.1999.v35.i5.641")</f>
        <v>http://dx.doi.org/10.3989/revmetalm.1999.v35.i5.641</v>
      </c>
      <c r="BG678" s="1" t="s">
        <v>74</v>
      </c>
      <c r="BH678" s="1" t="s">
        <v>74</v>
      </c>
      <c r="BI678" s="1" t="s">
        <v>74</v>
      </c>
      <c r="BJ678" s="1" t="s">
        <v>74</v>
      </c>
      <c r="BK678" s="1" t="s">
        <v>74</v>
      </c>
      <c r="BL678" s="1" t="s">
        <v>74</v>
      </c>
      <c r="BM678" s="1" t="s">
        <v>74</v>
      </c>
      <c r="BN678" s="1" t="s">
        <v>74</v>
      </c>
      <c r="BO678" s="1" t="s">
        <v>74</v>
      </c>
      <c r="BP678" s="1" t="s">
        <v>74</v>
      </c>
      <c r="BQ678" s="1" t="s">
        <v>74</v>
      </c>
      <c r="BR678" s="1" t="s">
        <v>74</v>
      </c>
      <c r="BS678" s="1" t="s">
        <v>6457</v>
      </c>
      <c r="BT678" s="1" t="str">
        <f>HYPERLINK("https%3A%2F%2Fwww.webofscience.com%2Fwos%2Fwoscc%2Ffull-record%2FWOS:000083899700006","View Full Record in Web of Science")</f>
        <v>View Full Record in Web of Science</v>
      </c>
    </row>
    <row r="679" ht="12.75" customHeight="1">
      <c r="A679" s="1" t="s">
        <v>72</v>
      </c>
      <c r="B679" s="1" t="s">
        <v>6458</v>
      </c>
      <c r="C679" s="1" t="s">
        <v>74</v>
      </c>
      <c r="D679" s="1" t="s">
        <v>74</v>
      </c>
      <c r="E679" s="1" t="s">
        <v>74</v>
      </c>
      <c r="F679" s="1" t="s">
        <v>6458</v>
      </c>
      <c r="G679" s="1" t="s">
        <v>74</v>
      </c>
      <c r="H679" s="1" t="s">
        <v>74</v>
      </c>
      <c r="I679" s="1" t="s">
        <v>6459</v>
      </c>
      <c r="J679" s="1" t="s">
        <v>6460</v>
      </c>
      <c r="K679" s="1" t="s">
        <v>74</v>
      </c>
      <c r="L679" s="1" t="s">
        <v>74</v>
      </c>
      <c r="M679" s="1" t="s">
        <v>74</v>
      </c>
      <c r="N679" s="1" t="s">
        <v>74</v>
      </c>
      <c r="O679" s="1" t="s">
        <v>74</v>
      </c>
      <c r="P679" s="1" t="s">
        <v>74</v>
      </c>
      <c r="Q679" s="1" t="s">
        <v>74</v>
      </c>
      <c r="R679" s="1" t="s">
        <v>74</v>
      </c>
      <c r="S679" s="1" t="s">
        <v>74</v>
      </c>
      <c r="T679" s="1" t="s">
        <v>74</v>
      </c>
      <c r="U679" s="1" t="s">
        <v>74</v>
      </c>
      <c r="V679" s="1" t="s">
        <v>6461</v>
      </c>
      <c r="W679" s="1" t="s">
        <v>74</v>
      </c>
      <c r="X679" s="1" t="s">
        <v>74</v>
      </c>
      <c r="Y679" s="1" t="s">
        <v>74</v>
      </c>
      <c r="Z679" s="1" t="s">
        <v>74</v>
      </c>
      <c r="AA679" s="1" t="s">
        <v>6462</v>
      </c>
      <c r="AB679" s="1" t="s">
        <v>74</v>
      </c>
      <c r="AC679" s="1" t="s">
        <v>74</v>
      </c>
      <c r="AD679" s="1" t="s">
        <v>74</v>
      </c>
      <c r="AE679" s="1" t="s">
        <v>74</v>
      </c>
      <c r="AF679" s="1" t="s">
        <v>74</v>
      </c>
      <c r="AG679" s="1" t="s">
        <v>74</v>
      </c>
      <c r="AH679" s="1" t="s">
        <v>74</v>
      </c>
      <c r="AI679" s="1" t="s">
        <v>74</v>
      </c>
      <c r="AJ679" s="1" t="s">
        <v>74</v>
      </c>
      <c r="AK679" s="1" t="s">
        <v>74</v>
      </c>
      <c r="AL679" s="1" t="s">
        <v>74</v>
      </c>
      <c r="AM679" s="1" t="s">
        <v>74</v>
      </c>
      <c r="AN679" s="1" t="s">
        <v>74</v>
      </c>
      <c r="AO679" s="1" t="s">
        <v>6463</v>
      </c>
      <c r="AP679" s="1" t="s">
        <v>74</v>
      </c>
      <c r="AQ679" s="1" t="s">
        <v>74</v>
      </c>
      <c r="AR679" s="1" t="s">
        <v>74</v>
      </c>
      <c r="AS679" s="1" t="s">
        <v>74</v>
      </c>
      <c r="AT679" s="1" t="s">
        <v>215</v>
      </c>
      <c r="AU679" s="1">
        <v>1998.0</v>
      </c>
      <c r="AV679" s="1">
        <v>75.0</v>
      </c>
      <c r="AW679" s="1">
        <v>6.0</v>
      </c>
      <c r="AX679" s="1" t="s">
        <v>74</v>
      </c>
      <c r="AY679" s="1" t="s">
        <v>74</v>
      </c>
      <c r="AZ679" s="1" t="s">
        <v>74</v>
      </c>
      <c r="BA679" s="1" t="s">
        <v>74</v>
      </c>
      <c r="BB679" s="1">
        <v>733.0</v>
      </c>
      <c r="BC679" s="1">
        <v>736.0</v>
      </c>
      <c r="BD679" s="1" t="s">
        <v>74</v>
      </c>
      <c r="BE679" s="1" t="s">
        <v>6464</v>
      </c>
      <c r="BF679" s="2" t="str">
        <f>HYPERLINK("http://dx.doi.org/10.1007/s11746-998-0215-4","http://dx.doi.org/10.1007/s11746-998-0215-4")</f>
        <v>http://dx.doi.org/10.1007/s11746-998-0215-4</v>
      </c>
      <c r="BG679" s="1" t="s">
        <v>74</v>
      </c>
      <c r="BH679" s="1" t="s">
        <v>74</v>
      </c>
      <c r="BI679" s="1" t="s">
        <v>74</v>
      </c>
      <c r="BJ679" s="1" t="s">
        <v>74</v>
      </c>
      <c r="BK679" s="1" t="s">
        <v>74</v>
      </c>
      <c r="BL679" s="1" t="s">
        <v>74</v>
      </c>
      <c r="BM679" s="1" t="s">
        <v>74</v>
      </c>
      <c r="BN679" s="1" t="s">
        <v>74</v>
      </c>
      <c r="BO679" s="1" t="s">
        <v>74</v>
      </c>
      <c r="BP679" s="1" t="s">
        <v>74</v>
      </c>
      <c r="BQ679" s="1" t="s">
        <v>74</v>
      </c>
      <c r="BR679" s="1" t="s">
        <v>74</v>
      </c>
      <c r="BS679" s="1" t="s">
        <v>6465</v>
      </c>
      <c r="BT679" s="1" t="str">
        <f>HYPERLINK("https%3A%2F%2Fwww.webofscience.com%2Fwos%2Fwoscc%2Ffull-record%2FWOS:000074562700012","View Full Record in Web of Science")</f>
        <v>View Full Record in Web of Science</v>
      </c>
    </row>
    <row r="680" ht="12.75" customHeight="1">
      <c r="A680" s="1" t="s">
        <v>72</v>
      </c>
      <c r="B680" s="1" t="s">
        <v>6466</v>
      </c>
      <c r="C680" s="1" t="s">
        <v>74</v>
      </c>
      <c r="D680" s="1" t="s">
        <v>74</v>
      </c>
      <c r="E680" s="1" t="s">
        <v>74</v>
      </c>
      <c r="F680" s="1" t="s">
        <v>6466</v>
      </c>
      <c r="G680" s="1" t="s">
        <v>74</v>
      </c>
      <c r="H680" s="1" t="s">
        <v>74</v>
      </c>
      <c r="I680" s="1" t="s">
        <v>6467</v>
      </c>
      <c r="J680" s="1" t="s">
        <v>6468</v>
      </c>
      <c r="K680" s="1" t="s">
        <v>74</v>
      </c>
      <c r="L680" s="1" t="s">
        <v>74</v>
      </c>
      <c r="M680" s="1" t="s">
        <v>74</v>
      </c>
      <c r="N680" s="1" t="s">
        <v>74</v>
      </c>
      <c r="O680" s="1" t="s">
        <v>74</v>
      </c>
      <c r="P680" s="1" t="s">
        <v>74</v>
      </c>
      <c r="Q680" s="1" t="s">
        <v>74</v>
      </c>
      <c r="R680" s="1" t="s">
        <v>74</v>
      </c>
      <c r="S680" s="1" t="s">
        <v>74</v>
      </c>
      <c r="T680" s="1" t="s">
        <v>74</v>
      </c>
      <c r="U680" s="1" t="s">
        <v>74</v>
      </c>
      <c r="V680" s="1" t="s">
        <v>6469</v>
      </c>
      <c r="W680" s="1" t="s">
        <v>74</v>
      </c>
      <c r="X680" s="1" t="s">
        <v>74</v>
      </c>
      <c r="Y680" s="1" t="s">
        <v>74</v>
      </c>
      <c r="Z680" s="1" t="s">
        <v>74</v>
      </c>
      <c r="AA680" s="1" t="s">
        <v>6470</v>
      </c>
      <c r="AB680" s="1" t="s">
        <v>6471</v>
      </c>
      <c r="AC680" s="1" t="s">
        <v>74</v>
      </c>
      <c r="AD680" s="1" t="s">
        <v>74</v>
      </c>
      <c r="AE680" s="1" t="s">
        <v>74</v>
      </c>
      <c r="AF680" s="1" t="s">
        <v>74</v>
      </c>
      <c r="AG680" s="1" t="s">
        <v>74</v>
      </c>
      <c r="AH680" s="1" t="s">
        <v>74</v>
      </c>
      <c r="AI680" s="1" t="s">
        <v>74</v>
      </c>
      <c r="AJ680" s="1" t="s">
        <v>74</v>
      </c>
      <c r="AK680" s="1" t="s">
        <v>74</v>
      </c>
      <c r="AL680" s="1" t="s">
        <v>74</v>
      </c>
      <c r="AM680" s="1" t="s">
        <v>74</v>
      </c>
      <c r="AN680" s="1" t="s">
        <v>74</v>
      </c>
      <c r="AO680" s="1" t="s">
        <v>6472</v>
      </c>
      <c r="AP680" s="1" t="s">
        <v>74</v>
      </c>
      <c r="AQ680" s="1" t="s">
        <v>74</v>
      </c>
      <c r="AR680" s="1" t="s">
        <v>74</v>
      </c>
      <c r="AS680" s="1" t="s">
        <v>74</v>
      </c>
      <c r="AT680" s="1" t="s">
        <v>6473</v>
      </c>
      <c r="AU680" s="1">
        <v>1998.0</v>
      </c>
      <c r="AV680" s="1">
        <v>80.0</v>
      </c>
      <c r="AW680" s="1">
        <v>11.0</v>
      </c>
      <c r="AX680" s="1" t="s">
        <v>74</v>
      </c>
      <c r="AY680" s="1" t="s">
        <v>74</v>
      </c>
      <c r="AZ680" s="1" t="s">
        <v>74</v>
      </c>
      <c r="BA680" s="1" t="s">
        <v>74</v>
      </c>
      <c r="BB680" s="1">
        <v>2354.0</v>
      </c>
      <c r="BC680" s="1">
        <v>2357.0</v>
      </c>
      <c r="BD680" s="1" t="s">
        <v>74</v>
      </c>
      <c r="BE680" s="1" t="s">
        <v>6474</v>
      </c>
      <c r="BF680" s="2" t="str">
        <f>HYPERLINK("http://dx.doi.org/10.1103/PhysRevLett.80.2354","http://dx.doi.org/10.1103/PhysRevLett.80.2354")</f>
        <v>http://dx.doi.org/10.1103/PhysRevLett.80.2354</v>
      </c>
      <c r="BG680" s="1" t="s">
        <v>74</v>
      </c>
      <c r="BH680" s="1" t="s">
        <v>74</v>
      </c>
      <c r="BI680" s="1" t="s">
        <v>74</v>
      </c>
      <c r="BJ680" s="1" t="s">
        <v>74</v>
      </c>
      <c r="BK680" s="1" t="s">
        <v>74</v>
      </c>
      <c r="BL680" s="1" t="s">
        <v>74</v>
      </c>
      <c r="BM680" s="1" t="s">
        <v>74</v>
      </c>
      <c r="BN680" s="1" t="s">
        <v>74</v>
      </c>
      <c r="BO680" s="1" t="s">
        <v>74</v>
      </c>
      <c r="BP680" s="1" t="s">
        <v>74</v>
      </c>
      <c r="BQ680" s="1" t="s">
        <v>74</v>
      </c>
      <c r="BR680" s="1" t="s">
        <v>74</v>
      </c>
      <c r="BS680" s="1" t="s">
        <v>6475</v>
      </c>
      <c r="BT680" s="1" t="str">
        <f>HYPERLINK("https%3A%2F%2Fwww.webofscience.com%2Fwos%2Fwoscc%2Ffull-record%2FWOS:000072572700025","View Full Record in Web of Science")</f>
        <v>View Full Record in Web of Science</v>
      </c>
    </row>
    <row r="681" ht="12.75" customHeight="1">
      <c r="A681" s="1" t="s">
        <v>72</v>
      </c>
      <c r="B681" s="1" t="s">
        <v>6476</v>
      </c>
      <c r="C681" s="1" t="s">
        <v>74</v>
      </c>
      <c r="D681" s="1" t="s">
        <v>74</v>
      </c>
      <c r="E681" s="1" t="s">
        <v>74</v>
      </c>
      <c r="F681" s="1" t="s">
        <v>6476</v>
      </c>
      <c r="G681" s="1" t="s">
        <v>74</v>
      </c>
      <c r="H681" s="1" t="s">
        <v>74</v>
      </c>
      <c r="I681" s="1" t="s">
        <v>6477</v>
      </c>
      <c r="J681" s="1" t="s">
        <v>4476</v>
      </c>
      <c r="K681" s="1" t="s">
        <v>74</v>
      </c>
      <c r="L681" s="1" t="s">
        <v>74</v>
      </c>
      <c r="M681" s="1" t="s">
        <v>74</v>
      </c>
      <c r="N681" s="1" t="s">
        <v>74</v>
      </c>
      <c r="O681" s="1" t="s">
        <v>74</v>
      </c>
      <c r="P681" s="1" t="s">
        <v>74</v>
      </c>
      <c r="Q681" s="1" t="s">
        <v>74</v>
      </c>
      <c r="R681" s="1" t="s">
        <v>74</v>
      </c>
      <c r="S681" s="1" t="s">
        <v>74</v>
      </c>
      <c r="T681" s="1" t="s">
        <v>74</v>
      </c>
      <c r="U681" s="1" t="s">
        <v>74</v>
      </c>
      <c r="V681" s="1" t="s">
        <v>6478</v>
      </c>
      <c r="W681" s="1" t="s">
        <v>74</v>
      </c>
      <c r="X681" s="1" t="s">
        <v>74</v>
      </c>
      <c r="Y681" s="1" t="s">
        <v>74</v>
      </c>
      <c r="Z681" s="1" t="s">
        <v>74</v>
      </c>
      <c r="AA681" s="1" t="s">
        <v>6479</v>
      </c>
      <c r="AB681" s="1" t="s">
        <v>6480</v>
      </c>
      <c r="AC681" s="1" t="s">
        <v>74</v>
      </c>
      <c r="AD681" s="1" t="s">
        <v>74</v>
      </c>
      <c r="AE681" s="1" t="s">
        <v>74</v>
      </c>
      <c r="AF681" s="1" t="s">
        <v>74</v>
      </c>
      <c r="AG681" s="1" t="s">
        <v>74</v>
      </c>
      <c r="AH681" s="1" t="s">
        <v>74</v>
      </c>
      <c r="AI681" s="1" t="s">
        <v>74</v>
      </c>
      <c r="AJ681" s="1" t="s">
        <v>74</v>
      </c>
      <c r="AK681" s="1" t="s">
        <v>74</v>
      </c>
      <c r="AL681" s="1" t="s">
        <v>74</v>
      </c>
      <c r="AM681" s="1" t="s">
        <v>74</v>
      </c>
      <c r="AN681" s="1" t="s">
        <v>74</v>
      </c>
      <c r="AO681" s="1" t="s">
        <v>4480</v>
      </c>
      <c r="AP681" s="1" t="s">
        <v>74</v>
      </c>
      <c r="AQ681" s="1" t="s">
        <v>74</v>
      </c>
      <c r="AR681" s="1" t="s">
        <v>74</v>
      </c>
      <c r="AS681" s="1" t="s">
        <v>74</v>
      </c>
      <c r="AT681" s="1" t="s">
        <v>123</v>
      </c>
      <c r="AU681" s="1">
        <v>1994.0</v>
      </c>
      <c r="AV681" s="1">
        <v>24.0</v>
      </c>
      <c r="AW681" s="1">
        <v>10.0</v>
      </c>
      <c r="AX681" s="1" t="s">
        <v>74</v>
      </c>
      <c r="AY681" s="1" t="s">
        <v>74</v>
      </c>
      <c r="AZ681" s="1" t="s">
        <v>74</v>
      </c>
      <c r="BA681" s="1" t="s">
        <v>74</v>
      </c>
      <c r="BB681" s="1">
        <v>1059.0</v>
      </c>
      <c r="BC681" s="1">
        <v>1065.0</v>
      </c>
      <c r="BD681" s="1" t="s">
        <v>74</v>
      </c>
      <c r="BE681" s="1" t="s">
        <v>6481</v>
      </c>
      <c r="BF681" s="2" t="str">
        <f>HYPERLINK("http://dx.doi.org/10.1007/BF00241199","http://dx.doi.org/10.1007/BF00241199")</f>
        <v>http://dx.doi.org/10.1007/BF00241199</v>
      </c>
      <c r="BG681" s="1" t="s">
        <v>74</v>
      </c>
      <c r="BH681" s="1" t="s">
        <v>74</v>
      </c>
      <c r="BI681" s="1" t="s">
        <v>74</v>
      </c>
      <c r="BJ681" s="1" t="s">
        <v>74</v>
      </c>
      <c r="BK681" s="1" t="s">
        <v>74</v>
      </c>
      <c r="BL681" s="1" t="s">
        <v>74</v>
      </c>
      <c r="BM681" s="1" t="s">
        <v>74</v>
      </c>
      <c r="BN681" s="1" t="s">
        <v>74</v>
      </c>
      <c r="BO681" s="1" t="s">
        <v>74</v>
      </c>
      <c r="BP681" s="1" t="s">
        <v>74</v>
      </c>
      <c r="BQ681" s="1" t="s">
        <v>74</v>
      </c>
      <c r="BR681" s="1" t="s">
        <v>74</v>
      </c>
      <c r="BS681" s="1" t="s">
        <v>6482</v>
      </c>
      <c r="BT681" s="1" t="str">
        <f>HYPERLINK("https%3A%2F%2Fwww.webofscience.com%2Fwos%2Fwoscc%2Ffull-record%2FWOS:A1994PN02500016","View Full Record in Web of Science")</f>
        <v>View Full Record in Web of Science</v>
      </c>
    </row>
    <row r="682" ht="12.75" customHeight="1">
      <c r="A682" s="1" t="s">
        <v>72</v>
      </c>
      <c r="B682" s="1" t="s">
        <v>6483</v>
      </c>
      <c r="C682" s="1" t="s">
        <v>74</v>
      </c>
      <c r="D682" s="1" t="s">
        <v>74</v>
      </c>
      <c r="E682" s="1" t="s">
        <v>74</v>
      </c>
      <c r="F682" s="1" t="s">
        <v>6483</v>
      </c>
      <c r="G682" s="1" t="s">
        <v>74</v>
      </c>
      <c r="H682" s="1" t="s">
        <v>74</v>
      </c>
      <c r="I682" s="1" t="s">
        <v>6484</v>
      </c>
      <c r="J682" s="1" t="s">
        <v>6485</v>
      </c>
      <c r="K682" s="1" t="s">
        <v>74</v>
      </c>
      <c r="L682" s="1" t="s">
        <v>74</v>
      </c>
      <c r="M682" s="1" t="s">
        <v>74</v>
      </c>
      <c r="N682" s="1" t="s">
        <v>74</v>
      </c>
      <c r="O682" s="1" t="s">
        <v>6486</v>
      </c>
      <c r="P682" s="1" t="s">
        <v>6487</v>
      </c>
      <c r="Q682" s="1" t="s">
        <v>6488</v>
      </c>
      <c r="R682" s="1" t="s">
        <v>6489</v>
      </c>
      <c r="S682" s="1" t="s">
        <v>74</v>
      </c>
      <c r="T682" s="1" t="s">
        <v>74</v>
      </c>
      <c r="U682" s="1" t="s">
        <v>74</v>
      </c>
      <c r="V682" s="1" t="s">
        <v>6490</v>
      </c>
      <c r="W682" s="1" t="s">
        <v>74</v>
      </c>
      <c r="X682" s="1" t="s">
        <v>74</v>
      </c>
      <c r="Y682" s="1" t="s">
        <v>74</v>
      </c>
      <c r="Z682" s="1" t="s">
        <v>74</v>
      </c>
      <c r="AA682" s="1" t="s">
        <v>74</v>
      </c>
      <c r="AB682" s="1" t="s">
        <v>74</v>
      </c>
      <c r="AC682" s="1" t="s">
        <v>74</v>
      </c>
      <c r="AD682" s="1" t="s">
        <v>74</v>
      </c>
      <c r="AE682" s="1" t="s">
        <v>74</v>
      </c>
      <c r="AF682" s="1" t="s">
        <v>74</v>
      </c>
      <c r="AG682" s="1" t="s">
        <v>74</v>
      </c>
      <c r="AH682" s="1" t="s">
        <v>74</v>
      </c>
      <c r="AI682" s="1" t="s">
        <v>74</v>
      </c>
      <c r="AJ682" s="1" t="s">
        <v>74</v>
      </c>
      <c r="AK682" s="1" t="s">
        <v>74</v>
      </c>
      <c r="AL682" s="1" t="s">
        <v>74</v>
      </c>
      <c r="AM682" s="1" t="s">
        <v>74</v>
      </c>
      <c r="AN682" s="1" t="s">
        <v>74</v>
      </c>
      <c r="AO682" s="1" t="s">
        <v>6491</v>
      </c>
      <c r="AP682" s="1" t="s">
        <v>74</v>
      </c>
      <c r="AQ682" s="1" t="s">
        <v>74</v>
      </c>
      <c r="AR682" s="1" t="s">
        <v>74</v>
      </c>
      <c r="AS682" s="1" t="s">
        <v>74</v>
      </c>
      <c r="AT682" s="1" t="s">
        <v>135</v>
      </c>
      <c r="AU682" s="1">
        <v>1991.0</v>
      </c>
      <c r="AV682" s="1">
        <v>21.0</v>
      </c>
      <c r="AW682" s="1">
        <v>8.0</v>
      </c>
      <c r="AX682" s="1" t="s">
        <v>74</v>
      </c>
      <c r="AY682" s="1" t="s">
        <v>74</v>
      </c>
      <c r="AZ682" s="1" t="s">
        <v>74</v>
      </c>
      <c r="BA682" s="1" t="s">
        <v>74</v>
      </c>
      <c r="BB682" s="1">
        <v>995.0</v>
      </c>
      <c r="BC682" s="1">
        <v>1001.0</v>
      </c>
      <c r="BD682" s="1" t="s">
        <v>74</v>
      </c>
      <c r="BE682" s="1" t="s">
        <v>6492</v>
      </c>
      <c r="BF682" s="2" t="str">
        <f>HYPERLINK("http://dx.doi.org/10.3109/00498259109039539","http://dx.doi.org/10.3109/00498259109039539")</f>
        <v>http://dx.doi.org/10.3109/00498259109039539</v>
      </c>
      <c r="BG682" s="1" t="s">
        <v>74</v>
      </c>
      <c r="BH682" s="1" t="s">
        <v>74</v>
      </c>
      <c r="BI682" s="1" t="s">
        <v>74</v>
      </c>
      <c r="BJ682" s="1" t="s">
        <v>74</v>
      </c>
      <c r="BK682" s="1" t="s">
        <v>74</v>
      </c>
      <c r="BL682" s="1" t="s">
        <v>74</v>
      </c>
      <c r="BM682" s="1" t="s">
        <v>74</v>
      </c>
      <c r="BN682" s="1">
        <v>1776280.0</v>
      </c>
      <c r="BO682" s="1" t="s">
        <v>74</v>
      </c>
      <c r="BP682" s="1" t="s">
        <v>74</v>
      </c>
      <c r="BQ682" s="1" t="s">
        <v>74</v>
      </c>
      <c r="BR682" s="1" t="s">
        <v>74</v>
      </c>
      <c r="BS682" s="1" t="s">
        <v>6493</v>
      </c>
      <c r="BT682" s="1" t="str">
        <f>HYPERLINK("https%3A%2F%2Fwww.webofscience.com%2Fwos%2Fwoscc%2Ffull-record%2FWOS:A1991GC65100002","View Full Record in Web of Science")</f>
        <v>View Full Record in Web of Science</v>
      </c>
    </row>
    <row r="683" ht="12.75" customHeight="1">
      <c r="A683" s="1" t="s">
        <v>72</v>
      </c>
      <c r="B683" s="1" t="s">
        <v>6494</v>
      </c>
      <c r="C683" s="1" t="s">
        <v>74</v>
      </c>
      <c r="D683" s="1" t="s">
        <v>74</v>
      </c>
      <c r="E683" s="1" t="s">
        <v>74</v>
      </c>
      <c r="F683" s="1" t="s">
        <v>6494</v>
      </c>
      <c r="G683" s="1" t="s">
        <v>74</v>
      </c>
      <c r="H683" s="1" t="s">
        <v>74</v>
      </c>
      <c r="I683" s="1" t="s">
        <v>6495</v>
      </c>
      <c r="J683" s="1" t="s">
        <v>6496</v>
      </c>
      <c r="K683" s="1" t="s">
        <v>74</v>
      </c>
      <c r="L683" s="1" t="s">
        <v>74</v>
      </c>
      <c r="M683" s="1" t="s">
        <v>74</v>
      </c>
      <c r="N683" s="1" t="s">
        <v>74</v>
      </c>
      <c r="O683" s="1" t="s">
        <v>74</v>
      </c>
      <c r="P683" s="1" t="s">
        <v>74</v>
      </c>
      <c r="Q683" s="1" t="s">
        <v>74</v>
      </c>
      <c r="R683" s="1" t="s">
        <v>74</v>
      </c>
      <c r="S683" s="1" t="s">
        <v>74</v>
      </c>
      <c r="T683" s="1" t="s">
        <v>74</v>
      </c>
      <c r="U683" s="1" t="s">
        <v>74</v>
      </c>
      <c r="V683" s="1" t="s">
        <v>74</v>
      </c>
      <c r="W683" s="1" t="s">
        <v>74</v>
      </c>
      <c r="X683" s="1" t="s">
        <v>74</v>
      </c>
      <c r="Y683" s="1" t="s">
        <v>74</v>
      </c>
      <c r="Z683" s="1" t="s">
        <v>74</v>
      </c>
      <c r="AA683" s="1" t="s">
        <v>6497</v>
      </c>
      <c r="AB683" s="1" t="s">
        <v>6498</v>
      </c>
      <c r="AC683" s="1" t="s">
        <v>74</v>
      </c>
      <c r="AD683" s="1" t="s">
        <v>74</v>
      </c>
      <c r="AE683" s="1" t="s">
        <v>74</v>
      </c>
      <c r="AF683" s="1" t="s">
        <v>74</v>
      </c>
      <c r="AG683" s="1" t="s">
        <v>74</v>
      </c>
      <c r="AH683" s="1" t="s">
        <v>74</v>
      </c>
      <c r="AI683" s="1" t="s">
        <v>74</v>
      </c>
      <c r="AJ683" s="1" t="s">
        <v>74</v>
      </c>
      <c r="AK683" s="1" t="s">
        <v>74</v>
      </c>
      <c r="AL683" s="1" t="s">
        <v>74</v>
      </c>
      <c r="AM683" s="1" t="s">
        <v>74</v>
      </c>
      <c r="AN683" s="1" t="s">
        <v>74</v>
      </c>
      <c r="AO683" s="1" t="s">
        <v>6499</v>
      </c>
      <c r="AP683" s="1" t="s">
        <v>74</v>
      </c>
      <c r="AQ683" s="1" t="s">
        <v>74</v>
      </c>
      <c r="AR683" s="1" t="s">
        <v>74</v>
      </c>
      <c r="AS683" s="1" t="s">
        <v>74</v>
      </c>
      <c r="AT683" s="1" t="s">
        <v>135</v>
      </c>
      <c r="AU683" s="1">
        <v>1990.0</v>
      </c>
      <c r="AV683" s="1">
        <v>320.0</v>
      </c>
      <c r="AW683" s="1">
        <v>2.0</v>
      </c>
      <c r="AX683" s="1" t="s">
        <v>74</v>
      </c>
      <c r="AY683" s="1" t="s">
        <v>74</v>
      </c>
      <c r="AZ683" s="1" t="s">
        <v>74</v>
      </c>
      <c r="BA683" s="1" t="s">
        <v>74</v>
      </c>
      <c r="BB683" s="1">
        <v>665.0</v>
      </c>
      <c r="BC683" s="1">
        <v>675.0</v>
      </c>
      <c r="BD683" s="1" t="s">
        <v>74</v>
      </c>
      <c r="BE683" s="1" t="s">
        <v>6500</v>
      </c>
      <c r="BF683" s="2" t="str">
        <f>HYPERLINK("http://dx.doi.org/10.2307/2001695","http://dx.doi.org/10.2307/2001695")</f>
        <v>http://dx.doi.org/10.2307/2001695</v>
      </c>
      <c r="BG683" s="1" t="s">
        <v>74</v>
      </c>
      <c r="BH683" s="1" t="s">
        <v>74</v>
      </c>
      <c r="BI683" s="1" t="s">
        <v>74</v>
      </c>
      <c r="BJ683" s="1" t="s">
        <v>74</v>
      </c>
      <c r="BK683" s="1" t="s">
        <v>74</v>
      </c>
      <c r="BL683" s="1" t="s">
        <v>74</v>
      </c>
      <c r="BM683" s="1" t="s">
        <v>74</v>
      </c>
      <c r="BN683" s="1" t="s">
        <v>74</v>
      </c>
      <c r="BO683" s="1" t="s">
        <v>74</v>
      </c>
      <c r="BP683" s="1" t="s">
        <v>74</v>
      </c>
      <c r="BQ683" s="1" t="s">
        <v>74</v>
      </c>
      <c r="BR683" s="1" t="s">
        <v>74</v>
      </c>
      <c r="BS683" s="1" t="s">
        <v>6501</v>
      </c>
      <c r="BT683" s="1" t="str">
        <f>HYPERLINK("https%3A%2F%2Fwww.webofscience.com%2Fwos%2Fwoscc%2Ffull-record%2FWOS:A1990DX97400013","View Full Record in Web of Science")</f>
        <v>View Full Record in Web of Science</v>
      </c>
    </row>
    <row r="684" ht="12.75" customHeight="1">
      <c r="A684" s="1" t="s">
        <v>72</v>
      </c>
      <c r="B684" s="1" t="s">
        <v>6502</v>
      </c>
      <c r="C684" s="1" t="s">
        <v>74</v>
      </c>
      <c r="D684" s="1" t="s">
        <v>74</v>
      </c>
      <c r="E684" s="1" t="s">
        <v>74</v>
      </c>
      <c r="F684" s="1" t="s">
        <v>6502</v>
      </c>
      <c r="G684" s="1" t="s">
        <v>74</v>
      </c>
      <c r="H684" s="1" t="s">
        <v>74</v>
      </c>
      <c r="I684" s="1" t="s">
        <v>6503</v>
      </c>
      <c r="J684" s="1" t="s">
        <v>3843</v>
      </c>
      <c r="K684" s="1" t="s">
        <v>74</v>
      </c>
      <c r="L684" s="1" t="s">
        <v>74</v>
      </c>
      <c r="M684" s="1" t="s">
        <v>74</v>
      </c>
      <c r="N684" s="1" t="s">
        <v>74</v>
      </c>
      <c r="O684" s="1" t="s">
        <v>74</v>
      </c>
      <c r="P684" s="1" t="s">
        <v>74</v>
      </c>
      <c r="Q684" s="1" t="s">
        <v>74</v>
      </c>
      <c r="R684" s="1" t="s">
        <v>74</v>
      </c>
      <c r="S684" s="1" t="s">
        <v>74</v>
      </c>
      <c r="T684" s="1" t="s">
        <v>74</v>
      </c>
      <c r="U684" s="1" t="s">
        <v>74</v>
      </c>
      <c r="V684" s="1" t="s">
        <v>74</v>
      </c>
      <c r="W684" s="1" t="s">
        <v>74</v>
      </c>
      <c r="X684" s="1" t="s">
        <v>74</v>
      </c>
      <c r="Y684" s="1" t="s">
        <v>74</v>
      </c>
      <c r="Z684" s="1" t="s">
        <v>74</v>
      </c>
      <c r="AA684" s="1" t="s">
        <v>74</v>
      </c>
      <c r="AB684" s="1" t="s">
        <v>74</v>
      </c>
      <c r="AC684" s="1" t="s">
        <v>74</v>
      </c>
      <c r="AD684" s="1" t="s">
        <v>74</v>
      </c>
      <c r="AE684" s="1" t="s">
        <v>74</v>
      </c>
      <c r="AF684" s="1" t="s">
        <v>74</v>
      </c>
      <c r="AG684" s="1" t="s">
        <v>74</v>
      </c>
      <c r="AH684" s="1" t="s">
        <v>74</v>
      </c>
      <c r="AI684" s="1" t="s">
        <v>74</v>
      </c>
      <c r="AJ684" s="1" t="s">
        <v>74</v>
      </c>
      <c r="AK684" s="1" t="s">
        <v>74</v>
      </c>
      <c r="AL684" s="1" t="s">
        <v>74</v>
      </c>
      <c r="AM684" s="1" t="s">
        <v>74</v>
      </c>
      <c r="AN684" s="1" t="s">
        <v>74</v>
      </c>
      <c r="AO684" s="1" t="s">
        <v>3844</v>
      </c>
      <c r="AP684" s="1" t="s">
        <v>74</v>
      </c>
      <c r="AQ684" s="1" t="s">
        <v>74</v>
      </c>
      <c r="AR684" s="1" t="s">
        <v>74</v>
      </c>
      <c r="AS684" s="1" t="s">
        <v>74</v>
      </c>
      <c r="AT684" s="1" t="s">
        <v>74</v>
      </c>
      <c r="AU684" s="1">
        <v>1980.0</v>
      </c>
      <c r="AV684" s="1">
        <v>18.0</v>
      </c>
      <c r="AW684" s="1">
        <v>12.0</v>
      </c>
      <c r="AX684" s="1" t="s">
        <v>74</v>
      </c>
      <c r="AY684" s="1" t="s">
        <v>74</v>
      </c>
      <c r="AZ684" s="1" t="s">
        <v>74</v>
      </c>
      <c r="BA684" s="1" t="s">
        <v>74</v>
      </c>
      <c r="BB684" s="1">
        <v>757.0</v>
      </c>
      <c r="BC684" s="1">
        <v>760.0</v>
      </c>
      <c r="BD684" s="1" t="s">
        <v>74</v>
      </c>
      <c r="BE684" s="1" t="s">
        <v>6504</v>
      </c>
      <c r="BF684" s="2" t="str">
        <f>HYPERLINK("http://dx.doi.org/10.1002/pol.1980.130181201","http://dx.doi.org/10.1002/pol.1980.130181201")</f>
        <v>http://dx.doi.org/10.1002/pol.1980.130181201</v>
      </c>
      <c r="BG684" s="1" t="s">
        <v>74</v>
      </c>
      <c r="BH684" s="1" t="s">
        <v>74</v>
      </c>
      <c r="BI684" s="1" t="s">
        <v>74</v>
      </c>
      <c r="BJ684" s="1" t="s">
        <v>74</v>
      </c>
      <c r="BK684" s="1" t="s">
        <v>74</v>
      </c>
      <c r="BL684" s="1" t="s">
        <v>74</v>
      </c>
      <c r="BM684" s="1" t="s">
        <v>74</v>
      </c>
      <c r="BN684" s="1" t="s">
        <v>74</v>
      </c>
      <c r="BO684" s="1" t="s">
        <v>74</v>
      </c>
      <c r="BP684" s="1" t="s">
        <v>74</v>
      </c>
      <c r="BQ684" s="1" t="s">
        <v>74</v>
      </c>
      <c r="BR684" s="1" t="s">
        <v>74</v>
      </c>
      <c r="BS684" s="1" t="s">
        <v>6505</v>
      </c>
      <c r="BT684" s="1" t="str">
        <f>HYPERLINK("https%3A%2F%2Fwww.webofscience.com%2Fwos%2Fwoscc%2Ffull-record%2FWOS:A1980KW80900001","View Full Record in Web of Science")</f>
        <v>View Full Record in Web of Science</v>
      </c>
    </row>
    <row r="685" ht="12.75" customHeight="1">
      <c r="A685" s="1" t="s">
        <v>72</v>
      </c>
      <c r="B685" s="1" t="s">
        <v>6506</v>
      </c>
      <c r="C685" s="1" t="s">
        <v>74</v>
      </c>
      <c r="D685" s="1" t="s">
        <v>74</v>
      </c>
      <c r="E685" s="1" t="s">
        <v>74</v>
      </c>
      <c r="F685" s="1" t="s">
        <v>6507</v>
      </c>
      <c r="G685" s="1" t="s">
        <v>74</v>
      </c>
      <c r="H685" s="1" t="s">
        <v>74</v>
      </c>
      <c r="I685" s="1" t="s">
        <v>6508</v>
      </c>
      <c r="J685" s="1" t="s">
        <v>5190</v>
      </c>
      <c r="K685" s="1" t="s">
        <v>74</v>
      </c>
      <c r="L685" s="1" t="s">
        <v>74</v>
      </c>
      <c r="M685" s="1" t="s">
        <v>74</v>
      </c>
      <c r="N685" s="1" t="s">
        <v>74</v>
      </c>
      <c r="O685" s="1" t="s">
        <v>74</v>
      </c>
      <c r="P685" s="1" t="s">
        <v>74</v>
      </c>
      <c r="Q685" s="1" t="s">
        <v>74</v>
      </c>
      <c r="R685" s="1" t="s">
        <v>74</v>
      </c>
      <c r="S685" s="1" t="s">
        <v>74</v>
      </c>
      <c r="T685" s="1" t="s">
        <v>74</v>
      </c>
      <c r="U685" s="1" t="s">
        <v>74</v>
      </c>
      <c r="V685" s="1" t="s">
        <v>6509</v>
      </c>
      <c r="W685" s="1" t="s">
        <v>74</v>
      </c>
      <c r="X685" s="1" t="s">
        <v>74</v>
      </c>
      <c r="Y685" s="1" t="s">
        <v>74</v>
      </c>
      <c r="Z685" s="1" t="s">
        <v>74</v>
      </c>
      <c r="AA685" s="1" t="s">
        <v>6510</v>
      </c>
      <c r="AB685" s="1" t="s">
        <v>6511</v>
      </c>
      <c r="AC685" s="1" t="s">
        <v>74</v>
      </c>
      <c r="AD685" s="1" t="s">
        <v>74</v>
      </c>
      <c r="AE685" s="1" t="s">
        <v>74</v>
      </c>
      <c r="AF685" s="1" t="s">
        <v>74</v>
      </c>
      <c r="AG685" s="1" t="s">
        <v>74</v>
      </c>
      <c r="AH685" s="1" t="s">
        <v>74</v>
      </c>
      <c r="AI685" s="1" t="s">
        <v>74</v>
      </c>
      <c r="AJ685" s="1" t="s">
        <v>74</v>
      </c>
      <c r="AK685" s="1" t="s">
        <v>74</v>
      </c>
      <c r="AL685" s="1" t="s">
        <v>74</v>
      </c>
      <c r="AM685" s="1" t="s">
        <v>74</v>
      </c>
      <c r="AN685" s="1" t="s">
        <v>74</v>
      </c>
      <c r="AO685" s="1" t="s">
        <v>5193</v>
      </c>
      <c r="AP685" s="1" t="s">
        <v>74</v>
      </c>
      <c r="AQ685" s="1" t="s">
        <v>74</v>
      </c>
      <c r="AR685" s="1" t="s">
        <v>74</v>
      </c>
      <c r="AS685" s="1" t="s">
        <v>74</v>
      </c>
      <c r="AT685" s="1" t="s">
        <v>2458</v>
      </c>
      <c r="AU685" s="1">
        <v>2024.0</v>
      </c>
      <c r="AV685" s="1">
        <v>11.0</v>
      </c>
      <c r="AW685" s="1" t="s">
        <v>74</v>
      </c>
      <c r="AX685" s="1" t="s">
        <v>74</v>
      </c>
      <c r="AY685" s="1" t="s">
        <v>74</v>
      </c>
      <c r="AZ685" s="1" t="s">
        <v>74</v>
      </c>
      <c r="BA685" s="1" t="s">
        <v>74</v>
      </c>
      <c r="BB685" s="1" t="s">
        <v>74</v>
      </c>
      <c r="BC685" s="1" t="s">
        <v>74</v>
      </c>
      <c r="BD685" s="1">
        <v>1289398.0</v>
      </c>
      <c r="BE685" s="1" t="s">
        <v>6512</v>
      </c>
      <c r="BF685" s="2" t="str">
        <f>HYPERLINK("http://dx.doi.org/10.3389/fchem.2023.1289398","http://dx.doi.org/10.3389/fchem.2023.1289398")</f>
        <v>http://dx.doi.org/10.3389/fchem.2023.1289398</v>
      </c>
      <c r="BG685" s="1" t="s">
        <v>74</v>
      </c>
      <c r="BH685" s="1" t="s">
        <v>74</v>
      </c>
      <c r="BI685" s="1" t="s">
        <v>74</v>
      </c>
      <c r="BJ685" s="1" t="s">
        <v>74</v>
      </c>
      <c r="BK685" s="1" t="s">
        <v>74</v>
      </c>
      <c r="BL685" s="1" t="s">
        <v>74</v>
      </c>
      <c r="BM685" s="1" t="s">
        <v>74</v>
      </c>
      <c r="BN685" s="1">
        <v>3.8268763E7</v>
      </c>
      <c r="BO685" s="1" t="s">
        <v>74</v>
      </c>
      <c r="BP685" s="1" t="s">
        <v>74</v>
      </c>
      <c r="BQ685" s="1" t="s">
        <v>74</v>
      </c>
      <c r="BR685" s="1" t="s">
        <v>74</v>
      </c>
      <c r="BS685" s="1" t="s">
        <v>6513</v>
      </c>
      <c r="BT685" s="1" t="str">
        <f>HYPERLINK("https%3A%2F%2Fwww.webofscience.com%2Fwos%2Fwoscc%2Ffull-record%2FWOS:001147444300001","View Full Record in Web of Science")</f>
        <v>View Full Record in Web of Science</v>
      </c>
    </row>
    <row r="686" ht="12.75" customHeight="1">
      <c r="A686" s="1" t="s">
        <v>72</v>
      </c>
      <c r="B686" s="1" t="s">
        <v>6514</v>
      </c>
      <c r="C686" s="1" t="s">
        <v>74</v>
      </c>
      <c r="D686" s="1" t="s">
        <v>74</v>
      </c>
      <c r="E686" s="1" t="s">
        <v>74</v>
      </c>
      <c r="F686" s="1" t="s">
        <v>6515</v>
      </c>
      <c r="G686" s="1" t="s">
        <v>74</v>
      </c>
      <c r="H686" s="1" t="s">
        <v>74</v>
      </c>
      <c r="I686" s="1" t="s">
        <v>6516</v>
      </c>
      <c r="J686" s="1" t="s">
        <v>1076</v>
      </c>
      <c r="K686" s="1" t="s">
        <v>74</v>
      </c>
      <c r="L686" s="1" t="s">
        <v>74</v>
      </c>
      <c r="M686" s="1" t="s">
        <v>74</v>
      </c>
      <c r="N686" s="1" t="s">
        <v>74</v>
      </c>
      <c r="O686" s="1" t="s">
        <v>74</v>
      </c>
      <c r="P686" s="1" t="s">
        <v>74</v>
      </c>
      <c r="Q686" s="1" t="s">
        <v>74</v>
      </c>
      <c r="R686" s="1" t="s">
        <v>74</v>
      </c>
      <c r="S686" s="1" t="s">
        <v>74</v>
      </c>
      <c r="T686" s="1" t="s">
        <v>74</v>
      </c>
      <c r="U686" s="1" t="s">
        <v>74</v>
      </c>
      <c r="V686" s="1" t="s">
        <v>6517</v>
      </c>
      <c r="W686" s="1" t="s">
        <v>74</v>
      </c>
      <c r="X686" s="1" t="s">
        <v>74</v>
      </c>
      <c r="Y686" s="1" t="s">
        <v>74</v>
      </c>
      <c r="Z686" s="1" t="s">
        <v>74</v>
      </c>
      <c r="AA686" s="1" t="s">
        <v>6518</v>
      </c>
      <c r="AB686" s="1" t="s">
        <v>6519</v>
      </c>
      <c r="AC686" s="1" t="s">
        <v>74</v>
      </c>
      <c r="AD686" s="1" t="s">
        <v>74</v>
      </c>
      <c r="AE686" s="1" t="s">
        <v>74</v>
      </c>
      <c r="AF686" s="1" t="s">
        <v>74</v>
      </c>
      <c r="AG686" s="1" t="s">
        <v>74</v>
      </c>
      <c r="AH686" s="1" t="s">
        <v>74</v>
      </c>
      <c r="AI686" s="1" t="s">
        <v>74</v>
      </c>
      <c r="AJ686" s="1" t="s">
        <v>74</v>
      </c>
      <c r="AK686" s="1" t="s">
        <v>74</v>
      </c>
      <c r="AL686" s="1" t="s">
        <v>74</v>
      </c>
      <c r="AM686" s="1" t="s">
        <v>74</v>
      </c>
      <c r="AN686" s="1" t="s">
        <v>74</v>
      </c>
      <c r="AO686" s="1" t="s">
        <v>1079</v>
      </c>
      <c r="AP686" s="1" t="s">
        <v>74</v>
      </c>
      <c r="AQ686" s="1" t="s">
        <v>74</v>
      </c>
      <c r="AR686" s="1" t="s">
        <v>74</v>
      </c>
      <c r="AS686" s="1" t="s">
        <v>74</v>
      </c>
      <c r="AT686" s="1" t="s">
        <v>74</v>
      </c>
      <c r="AU686" s="1">
        <v>2024.0</v>
      </c>
      <c r="AV686" s="1">
        <v>32.0</v>
      </c>
      <c r="AW686" s="1" t="s">
        <v>74</v>
      </c>
      <c r="AX686" s="1" t="s">
        <v>74</v>
      </c>
      <c r="AY686" s="1" t="s">
        <v>74</v>
      </c>
      <c r="AZ686" s="1" t="s">
        <v>74</v>
      </c>
      <c r="BA686" s="1" t="s">
        <v>74</v>
      </c>
      <c r="BB686" s="1" t="s">
        <v>74</v>
      </c>
      <c r="BC686" s="1" t="s">
        <v>74</v>
      </c>
      <c r="BD686" s="1" t="s">
        <v>6520</v>
      </c>
      <c r="BE686" s="1" t="s">
        <v>6521</v>
      </c>
      <c r="BF686" s="2" t="str">
        <f>HYPERLINK("http://dx.doi.org/10.1590/2526-8910.ctoRE273835662","http://dx.doi.org/10.1590/2526-8910.ctoRE273835662")</f>
        <v>http://dx.doi.org/10.1590/2526-8910.ctoRE273835662</v>
      </c>
      <c r="BG686" s="1" t="s">
        <v>74</v>
      </c>
      <c r="BH686" s="1" t="s">
        <v>74</v>
      </c>
      <c r="BI686" s="1" t="s">
        <v>74</v>
      </c>
      <c r="BJ686" s="1" t="s">
        <v>74</v>
      </c>
      <c r="BK686" s="1" t="s">
        <v>74</v>
      </c>
      <c r="BL686" s="1" t="s">
        <v>74</v>
      </c>
      <c r="BM686" s="1" t="s">
        <v>74</v>
      </c>
      <c r="BN686" s="1" t="s">
        <v>74</v>
      </c>
      <c r="BO686" s="1" t="s">
        <v>74</v>
      </c>
      <c r="BP686" s="1" t="s">
        <v>74</v>
      </c>
      <c r="BQ686" s="1" t="s">
        <v>74</v>
      </c>
      <c r="BR686" s="1" t="s">
        <v>74</v>
      </c>
      <c r="BS686" s="1" t="s">
        <v>6522</v>
      </c>
      <c r="BT686" s="1" t="str">
        <f>HYPERLINK("https%3A%2F%2Fwww.webofscience.com%2Fwos%2Fwoscc%2Ffull-record%2FWOS:001253468400002","View Full Record in Web of Science")</f>
        <v>View Full Record in Web of Science</v>
      </c>
    </row>
    <row r="687" ht="12.75" customHeight="1">
      <c r="A687" s="1" t="s">
        <v>72</v>
      </c>
      <c r="B687" s="1" t="s">
        <v>6523</v>
      </c>
      <c r="C687" s="1" t="s">
        <v>74</v>
      </c>
      <c r="D687" s="1" t="s">
        <v>74</v>
      </c>
      <c r="E687" s="1" t="s">
        <v>74</v>
      </c>
      <c r="F687" s="1" t="s">
        <v>6524</v>
      </c>
      <c r="G687" s="1" t="s">
        <v>74</v>
      </c>
      <c r="H687" s="1" t="s">
        <v>74</v>
      </c>
      <c r="I687" s="1" t="s">
        <v>6525</v>
      </c>
      <c r="J687" s="1" t="s">
        <v>6526</v>
      </c>
      <c r="K687" s="1" t="s">
        <v>74</v>
      </c>
      <c r="L687" s="1" t="s">
        <v>74</v>
      </c>
      <c r="M687" s="1" t="s">
        <v>74</v>
      </c>
      <c r="N687" s="1" t="s">
        <v>74</v>
      </c>
      <c r="O687" s="1" t="s">
        <v>74</v>
      </c>
      <c r="P687" s="1" t="s">
        <v>74</v>
      </c>
      <c r="Q687" s="1" t="s">
        <v>74</v>
      </c>
      <c r="R687" s="1" t="s">
        <v>74</v>
      </c>
      <c r="S687" s="1" t="s">
        <v>74</v>
      </c>
      <c r="T687" s="1" t="s">
        <v>74</v>
      </c>
      <c r="U687" s="1" t="s">
        <v>74</v>
      </c>
      <c r="V687" s="1" t="s">
        <v>6527</v>
      </c>
      <c r="W687" s="1" t="s">
        <v>74</v>
      </c>
      <c r="X687" s="1" t="s">
        <v>74</v>
      </c>
      <c r="Y687" s="1" t="s">
        <v>74</v>
      </c>
      <c r="Z687" s="1" t="s">
        <v>74</v>
      </c>
      <c r="AA687" s="1" t="s">
        <v>6528</v>
      </c>
      <c r="AB687" s="1" t="s">
        <v>6529</v>
      </c>
      <c r="AC687" s="1" t="s">
        <v>74</v>
      </c>
      <c r="AD687" s="1" t="s">
        <v>74</v>
      </c>
      <c r="AE687" s="1" t="s">
        <v>74</v>
      </c>
      <c r="AF687" s="1" t="s">
        <v>74</v>
      </c>
      <c r="AG687" s="1" t="s">
        <v>74</v>
      </c>
      <c r="AH687" s="1" t="s">
        <v>74</v>
      </c>
      <c r="AI687" s="1" t="s">
        <v>74</v>
      </c>
      <c r="AJ687" s="1" t="s">
        <v>74</v>
      </c>
      <c r="AK687" s="1" t="s">
        <v>74</v>
      </c>
      <c r="AL687" s="1" t="s">
        <v>74</v>
      </c>
      <c r="AM687" s="1" t="s">
        <v>74</v>
      </c>
      <c r="AN687" s="1" t="s">
        <v>74</v>
      </c>
      <c r="AO687" s="1" t="s">
        <v>74</v>
      </c>
      <c r="AP687" s="1" t="s">
        <v>6530</v>
      </c>
      <c r="AQ687" s="1" t="s">
        <v>74</v>
      </c>
      <c r="AR687" s="1" t="s">
        <v>74</v>
      </c>
      <c r="AS687" s="1" t="s">
        <v>74</v>
      </c>
      <c r="AT687" s="1" t="s">
        <v>310</v>
      </c>
      <c r="AU687" s="1">
        <v>2023.0</v>
      </c>
      <c r="AV687" s="1">
        <v>7.0</v>
      </c>
      <c r="AW687" s="1">
        <v>7.0</v>
      </c>
      <c r="AX687" s="1" t="s">
        <v>74</v>
      </c>
      <c r="AY687" s="1" t="s">
        <v>74</v>
      </c>
      <c r="AZ687" s="1" t="s">
        <v>74</v>
      </c>
      <c r="BA687" s="1" t="s">
        <v>74</v>
      </c>
      <c r="BB687" s="1" t="s">
        <v>74</v>
      </c>
      <c r="BC687" s="1" t="s">
        <v>74</v>
      </c>
      <c r="BD687" s="1">
        <v>435.0</v>
      </c>
      <c r="BE687" s="1" t="s">
        <v>6531</v>
      </c>
      <c r="BF687" s="2" t="str">
        <f>HYPERLINK("http://dx.doi.org/10.3390/drones7070435","http://dx.doi.org/10.3390/drones7070435")</f>
        <v>http://dx.doi.org/10.3390/drones7070435</v>
      </c>
      <c r="BG687" s="1" t="s">
        <v>74</v>
      </c>
      <c r="BH687" s="1" t="s">
        <v>74</v>
      </c>
      <c r="BI687" s="1" t="s">
        <v>74</v>
      </c>
      <c r="BJ687" s="1" t="s">
        <v>74</v>
      </c>
      <c r="BK687" s="1" t="s">
        <v>74</v>
      </c>
      <c r="BL687" s="1" t="s">
        <v>74</v>
      </c>
      <c r="BM687" s="1" t="s">
        <v>74</v>
      </c>
      <c r="BN687" s="1" t="s">
        <v>74</v>
      </c>
      <c r="BO687" s="1" t="s">
        <v>74</v>
      </c>
      <c r="BP687" s="1" t="s">
        <v>74</v>
      </c>
      <c r="BQ687" s="1" t="s">
        <v>74</v>
      </c>
      <c r="BR687" s="1" t="s">
        <v>74</v>
      </c>
      <c r="BS687" s="1" t="s">
        <v>6532</v>
      </c>
      <c r="BT687" s="1" t="str">
        <f>HYPERLINK("https%3A%2F%2Fwww.webofscience.com%2Fwos%2Fwoscc%2Ffull-record%2FWOS:001038157900001","View Full Record in Web of Science")</f>
        <v>View Full Record in Web of Science</v>
      </c>
    </row>
    <row r="688" ht="12.75" customHeight="1">
      <c r="A688" s="1" t="s">
        <v>72</v>
      </c>
      <c r="B688" s="1" t="s">
        <v>6533</v>
      </c>
      <c r="C688" s="1" t="s">
        <v>74</v>
      </c>
      <c r="D688" s="1" t="s">
        <v>74</v>
      </c>
      <c r="E688" s="1" t="s">
        <v>74</v>
      </c>
      <c r="F688" s="1" t="s">
        <v>6534</v>
      </c>
      <c r="G688" s="1" t="s">
        <v>74</v>
      </c>
      <c r="H688" s="1" t="s">
        <v>74</v>
      </c>
      <c r="I688" s="1" t="s">
        <v>6535</v>
      </c>
      <c r="J688" s="1" t="s">
        <v>1795</v>
      </c>
      <c r="K688" s="1" t="s">
        <v>74</v>
      </c>
      <c r="L688" s="1" t="s">
        <v>74</v>
      </c>
      <c r="M688" s="1" t="s">
        <v>74</v>
      </c>
      <c r="N688" s="1" t="s">
        <v>74</v>
      </c>
      <c r="O688" s="1" t="s">
        <v>74</v>
      </c>
      <c r="P688" s="1" t="s">
        <v>74</v>
      </c>
      <c r="Q688" s="1" t="s">
        <v>74</v>
      </c>
      <c r="R688" s="1" t="s">
        <v>74</v>
      </c>
      <c r="S688" s="1" t="s">
        <v>74</v>
      </c>
      <c r="T688" s="1" t="s">
        <v>74</v>
      </c>
      <c r="U688" s="1" t="s">
        <v>74</v>
      </c>
      <c r="V688" s="1" t="s">
        <v>6536</v>
      </c>
      <c r="W688" s="1" t="s">
        <v>74</v>
      </c>
      <c r="X688" s="1" t="s">
        <v>74</v>
      </c>
      <c r="Y688" s="1" t="s">
        <v>74</v>
      </c>
      <c r="Z688" s="1" t="s">
        <v>74</v>
      </c>
      <c r="AA688" s="1" t="s">
        <v>3437</v>
      </c>
      <c r="AB688" s="1" t="s">
        <v>74</v>
      </c>
      <c r="AC688" s="1" t="s">
        <v>74</v>
      </c>
      <c r="AD688" s="1" t="s">
        <v>74</v>
      </c>
      <c r="AE688" s="1" t="s">
        <v>74</v>
      </c>
      <c r="AF688" s="1" t="s">
        <v>74</v>
      </c>
      <c r="AG688" s="1" t="s">
        <v>74</v>
      </c>
      <c r="AH688" s="1" t="s">
        <v>74</v>
      </c>
      <c r="AI688" s="1" t="s">
        <v>74</v>
      </c>
      <c r="AJ688" s="1" t="s">
        <v>74</v>
      </c>
      <c r="AK688" s="1" t="s">
        <v>74</v>
      </c>
      <c r="AL688" s="1" t="s">
        <v>74</v>
      </c>
      <c r="AM688" s="1" t="s">
        <v>74</v>
      </c>
      <c r="AN688" s="1" t="s">
        <v>74</v>
      </c>
      <c r="AO688" s="1" t="s">
        <v>1799</v>
      </c>
      <c r="AP688" s="1" t="s">
        <v>1800</v>
      </c>
      <c r="AQ688" s="1" t="s">
        <v>74</v>
      </c>
      <c r="AR688" s="1" t="s">
        <v>74</v>
      </c>
      <c r="AS688" s="1" t="s">
        <v>74</v>
      </c>
      <c r="AT688" s="1" t="s">
        <v>6537</v>
      </c>
      <c r="AU688" s="1">
        <v>2023.0</v>
      </c>
      <c r="AV688" s="1">
        <v>309.0</v>
      </c>
      <c r="AW688" s="1" t="s">
        <v>74</v>
      </c>
      <c r="AX688" s="1" t="s">
        <v>74</v>
      </c>
      <c r="AY688" s="1" t="s">
        <v>74</v>
      </c>
      <c r="AZ688" s="1" t="s">
        <v>74</v>
      </c>
      <c r="BA688" s="1" t="s">
        <v>74</v>
      </c>
      <c r="BB688" s="1" t="s">
        <v>74</v>
      </c>
      <c r="BC688" s="1" t="s">
        <v>74</v>
      </c>
      <c r="BD688" s="1">
        <v>123055.0</v>
      </c>
      <c r="BE688" s="1" t="s">
        <v>6538</v>
      </c>
      <c r="BF688" s="2" t="str">
        <f>HYPERLINK("http://dx.doi.org/10.1016/j.seppur.2022.123055","http://dx.doi.org/10.1016/j.seppur.2022.123055")</f>
        <v>http://dx.doi.org/10.1016/j.seppur.2022.123055</v>
      </c>
      <c r="BG688" s="1" t="s">
        <v>74</v>
      </c>
      <c r="BH688" s="1" t="s">
        <v>3264</v>
      </c>
      <c r="BI688" s="1" t="s">
        <v>74</v>
      </c>
      <c r="BJ688" s="1" t="s">
        <v>74</v>
      </c>
      <c r="BK688" s="1" t="s">
        <v>74</v>
      </c>
      <c r="BL688" s="1" t="s">
        <v>74</v>
      </c>
      <c r="BM688" s="1" t="s">
        <v>74</v>
      </c>
      <c r="BN688" s="1" t="s">
        <v>74</v>
      </c>
      <c r="BO688" s="1" t="s">
        <v>74</v>
      </c>
      <c r="BP688" s="1" t="s">
        <v>74</v>
      </c>
      <c r="BQ688" s="1" t="s">
        <v>74</v>
      </c>
      <c r="BR688" s="1" t="s">
        <v>74</v>
      </c>
      <c r="BS688" s="1" t="s">
        <v>6539</v>
      </c>
      <c r="BT688" s="1" t="str">
        <f>HYPERLINK("https%3A%2F%2Fwww.webofscience.com%2Fwos%2Fwoscc%2Ffull-record%2FWOS:000921244700001","View Full Record in Web of Science")</f>
        <v>View Full Record in Web of Science</v>
      </c>
    </row>
    <row r="689" ht="12.75" customHeight="1">
      <c r="A689" s="1" t="s">
        <v>72</v>
      </c>
      <c r="B689" s="1" t="s">
        <v>6540</v>
      </c>
      <c r="C689" s="1" t="s">
        <v>74</v>
      </c>
      <c r="D689" s="1" t="s">
        <v>74</v>
      </c>
      <c r="E689" s="1" t="s">
        <v>74</v>
      </c>
      <c r="F689" s="1" t="s">
        <v>6541</v>
      </c>
      <c r="G689" s="1" t="s">
        <v>74</v>
      </c>
      <c r="H689" s="1" t="s">
        <v>74</v>
      </c>
      <c r="I689" s="1" t="s">
        <v>6542</v>
      </c>
      <c r="J689" s="1" t="s">
        <v>6543</v>
      </c>
      <c r="K689" s="1" t="s">
        <v>74</v>
      </c>
      <c r="L689" s="1" t="s">
        <v>74</v>
      </c>
      <c r="M689" s="1" t="s">
        <v>74</v>
      </c>
      <c r="N689" s="1" t="s">
        <v>74</v>
      </c>
      <c r="O689" s="1" t="s">
        <v>74</v>
      </c>
      <c r="P689" s="1" t="s">
        <v>74</v>
      </c>
      <c r="Q689" s="1" t="s">
        <v>74</v>
      </c>
      <c r="R689" s="1" t="s">
        <v>74</v>
      </c>
      <c r="S689" s="1" t="s">
        <v>74</v>
      </c>
      <c r="T689" s="1" t="s">
        <v>74</v>
      </c>
      <c r="U689" s="1" t="s">
        <v>74</v>
      </c>
      <c r="V689" s="1" t="s">
        <v>6544</v>
      </c>
      <c r="W689" s="1" t="s">
        <v>74</v>
      </c>
      <c r="X689" s="1" t="s">
        <v>74</v>
      </c>
      <c r="Y689" s="1" t="s">
        <v>74</v>
      </c>
      <c r="Z689" s="1" t="s">
        <v>74</v>
      </c>
      <c r="AA689" s="1" t="s">
        <v>6545</v>
      </c>
      <c r="AB689" s="1" t="s">
        <v>6546</v>
      </c>
      <c r="AC689" s="1" t="s">
        <v>74</v>
      </c>
      <c r="AD689" s="1" t="s">
        <v>74</v>
      </c>
      <c r="AE689" s="1" t="s">
        <v>74</v>
      </c>
      <c r="AF689" s="1" t="s">
        <v>74</v>
      </c>
      <c r="AG689" s="1" t="s">
        <v>74</v>
      </c>
      <c r="AH689" s="1" t="s">
        <v>74</v>
      </c>
      <c r="AI689" s="1" t="s">
        <v>74</v>
      </c>
      <c r="AJ689" s="1" t="s">
        <v>74</v>
      </c>
      <c r="AK689" s="1" t="s">
        <v>74</v>
      </c>
      <c r="AL689" s="1" t="s">
        <v>74</v>
      </c>
      <c r="AM689" s="1" t="s">
        <v>74</v>
      </c>
      <c r="AN689" s="1" t="s">
        <v>74</v>
      </c>
      <c r="AO689" s="1" t="s">
        <v>6547</v>
      </c>
      <c r="AP689" s="1" t="s">
        <v>6548</v>
      </c>
      <c r="AQ689" s="1" t="s">
        <v>74</v>
      </c>
      <c r="AR689" s="1" t="s">
        <v>74</v>
      </c>
      <c r="AS689" s="1" t="s">
        <v>74</v>
      </c>
      <c r="AT689" s="1" t="s">
        <v>459</v>
      </c>
      <c r="AU689" s="1">
        <v>2022.0</v>
      </c>
      <c r="AV689" s="1">
        <v>27.0</v>
      </c>
      <c r="AW689" s="1">
        <v>5.0</v>
      </c>
      <c r="AX689" s="1" t="s">
        <v>74</v>
      </c>
      <c r="AY689" s="1" t="s">
        <v>74</v>
      </c>
      <c r="AZ689" s="1" t="s">
        <v>74</v>
      </c>
      <c r="BA689" s="1" t="s">
        <v>74</v>
      </c>
      <c r="BB689" s="1">
        <v>997.0</v>
      </c>
      <c r="BC689" s="1">
        <v>1003.0</v>
      </c>
      <c r="BD689" s="1" t="s">
        <v>74</v>
      </c>
      <c r="BE689" s="1" t="s">
        <v>6549</v>
      </c>
      <c r="BF689" s="2" t="str">
        <f>HYPERLINK("http://dx.doi.org/10.1111/infa.12484","http://dx.doi.org/10.1111/infa.12484")</f>
        <v>http://dx.doi.org/10.1111/infa.12484</v>
      </c>
      <c r="BG689" s="1" t="s">
        <v>74</v>
      </c>
      <c r="BH689" s="1" t="s">
        <v>6550</v>
      </c>
      <c r="BI689" s="1" t="s">
        <v>74</v>
      </c>
      <c r="BJ689" s="1" t="s">
        <v>74</v>
      </c>
      <c r="BK689" s="1" t="s">
        <v>74</v>
      </c>
      <c r="BL689" s="1" t="s">
        <v>74</v>
      </c>
      <c r="BM689" s="1" t="s">
        <v>74</v>
      </c>
      <c r="BN689" s="1">
        <v>3.5611448E7</v>
      </c>
      <c r="BO689" s="1" t="s">
        <v>74</v>
      </c>
      <c r="BP689" s="1" t="s">
        <v>74</v>
      </c>
      <c r="BQ689" s="1" t="s">
        <v>74</v>
      </c>
      <c r="BR689" s="1" t="s">
        <v>74</v>
      </c>
      <c r="BS689" s="1" t="s">
        <v>6551</v>
      </c>
      <c r="BT689" s="1" t="str">
        <f>HYPERLINK("https%3A%2F%2Fwww.webofscience.com%2Fwos%2Fwoscc%2Ffull-record%2FWOS:000799690200001","View Full Record in Web of Science")</f>
        <v>View Full Record in Web of Science</v>
      </c>
    </row>
    <row r="690" ht="12.75" customHeight="1">
      <c r="A690" s="1" t="s">
        <v>72</v>
      </c>
      <c r="B690" s="1" t="s">
        <v>6552</v>
      </c>
      <c r="C690" s="1" t="s">
        <v>74</v>
      </c>
      <c r="D690" s="1" t="s">
        <v>74</v>
      </c>
      <c r="E690" s="1" t="s">
        <v>74</v>
      </c>
      <c r="F690" s="1" t="s">
        <v>6553</v>
      </c>
      <c r="G690" s="1" t="s">
        <v>74</v>
      </c>
      <c r="H690" s="1" t="s">
        <v>74</v>
      </c>
      <c r="I690" s="1" t="s">
        <v>6554</v>
      </c>
      <c r="J690" s="1" t="s">
        <v>6555</v>
      </c>
      <c r="K690" s="1" t="s">
        <v>74</v>
      </c>
      <c r="L690" s="1" t="s">
        <v>74</v>
      </c>
      <c r="M690" s="1" t="s">
        <v>74</v>
      </c>
      <c r="N690" s="1" t="s">
        <v>74</v>
      </c>
      <c r="O690" s="1" t="s">
        <v>74</v>
      </c>
      <c r="P690" s="1" t="s">
        <v>74</v>
      </c>
      <c r="Q690" s="1" t="s">
        <v>74</v>
      </c>
      <c r="R690" s="1" t="s">
        <v>74</v>
      </c>
      <c r="S690" s="1" t="s">
        <v>74</v>
      </c>
      <c r="T690" s="1" t="s">
        <v>74</v>
      </c>
      <c r="U690" s="1" t="s">
        <v>74</v>
      </c>
      <c r="V690" s="1" t="s">
        <v>6556</v>
      </c>
      <c r="W690" s="1" t="s">
        <v>74</v>
      </c>
      <c r="X690" s="1" t="s">
        <v>74</v>
      </c>
      <c r="Y690" s="1" t="s">
        <v>74</v>
      </c>
      <c r="Z690" s="1" t="s">
        <v>74</v>
      </c>
      <c r="AA690" s="1" t="s">
        <v>6557</v>
      </c>
      <c r="AB690" s="1" t="s">
        <v>6558</v>
      </c>
      <c r="AC690" s="1" t="s">
        <v>74</v>
      </c>
      <c r="AD690" s="1" t="s">
        <v>74</v>
      </c>
      <c r="AE690" s="1" t="s">
        <v>74</v>
      </c>
      <c r="AF690" s="1" t="s">
        <v>74</v>
      </c>
      <c r="AG690" s="1" t="s">
        <v>74</v>
      </c>
      <c r="AH690" s="1" t="s">
        <v>74</v>
      </c>
      <c r="AI690" s="1" t="s">
        <v>74</v>
      </c>
      <c r="AJ690" s="1" t="s">
        <v>74</v>
      </c>
      <c r="AK690" s="1" t="s">
        <v>74</v>
      </c>
      <c r="AL690" s="1" t="s">
        <v>74</v>
      </c>
      <c r="AM690" s="1" t="s">
        <v>74</v>
      </c>
      <c r="AN690" s="1" t="s">
        <v>74</v>
      </c>
      <c r="AO690" s="1" t="s">
        <v>6559</v>
      </c>
      <c r="AP690" s="1" t="s">
        <v>6560</v>
      </c>
      <c r="AQ690" s="1" t="s">
        <v>74</v>
      </c>
      <c r="AR690" s="1" t="s">
        <v>74</v>
      </c>
      <c r="AS690" s="1" t="s">
        <v>74</v>
      </c>
      <c r="AT690" s="1" t="s">
        <v>2296</v>
      </c>
      <c r="AU690" s="1">
        <v>2022.0</v>
      </c>
      <c r="AV690" s="1">
        <v>30.0</v>
      </c>
      <c r="AW690" s="1">
        <v>5.0</v>
      </c>
      <c r="AX690" s="1" t="s">
        <v>74</v>
      </c>
      <c r="AY690" s="1" t="s">
        <v>74</v>
      </c>
      <c r="AZ690" s="1" t="s">
        <v>74</v>
      </c>
      <c r="BA690" s="1" t="s">
        <v>74</v>
      </c>
      <c r="BB690" s="1">
        <v>659.0</v>
      </c>
      <c r="BC690" s="1">
        <v>675.0</v>
      </c>
      <c r="BD690" s="1" t="s">
        <v>74</v>
      </c>
      <c r="BE690" s="1" t="s">
        <v>6561</v>
      </c>
      <c r="BF690" s="2" t="str">
        <f>HYPERLINK("http://dx.doi.org/10.1515/jiip-2020-0090","http://dx.doi.org/10.1515/jiip-2020-0090")</f>
        <v>http://dx.doi.org/10.1515/jiip-2020-0090</v>
      </c>
      <c r="BG690" s="1" t="s">
        <v>74</v>
      </c>
      <c r="BH690" s="1" t="s">
        <v>6562</v>
      </c>
      <c r="BI690" s="1" t="s">
        <v>74</v>
      </c>
      <c r="BJ690" s="1" t="s">
        <v>74</v>
      </c>
      <c r="BK690" s="1" t="s">
        <v>74</v>
      </c>
      <c r="BL690" s="1" t="s">
        <v>74</v>
      </c>
      <c r="BM690" s="1" t="s">
        <v>74</v>
      </c>
      <c r="BN690" s="1" t="s">
        <v>74</v>
      </c>
      <c r="BO690" s="1" t="s">
        <v>74</v>
      </c>
      <c r="BP690" s="1" t="s">
        <v>74</v>
      </c>
      <c r="BQ690" s="1" t="s">
        <v>74</v>
      </c>
      <c r="BR690" s="1" t="s">
        <v>74</v>
      </c>
      <c r="BS690" s="1" t="s">
        <v>6563</v>
      </c>
      <c r="BT690" s="1" t="str">
        <f>HYPERLINK("https%3A%2F%2Fwww.webofscience.com%2Fwos%2Fwoscc%2Ffull-record%2FWOS:000787924000001","View Full Record in Web of Science")</f>
        <v>View Full Record in Web of Science</v>
      </c>
    </row>
    <row r="691" ht="12.75" customHeight="1">
      <c r="A691" s="1" t="s">
        <v>72</v>
      </c>
      <c r="B691" s="1" t="s">
        <v>6564</v>
      </c>
      <c r="C691" s="1" t="s">
        <v>74</v>
      </c>
      <c r="D691" s="1" t="s">
        <v>74</v>
      </c>
      <c r="E691" s="1" t="s">
        <v>74</v>
      </c>
      <c r="F691" s="1" t="s">
        <v>6565</v>
      </c>
      <c r="G691" s="1" t="s">
        <v>74</v>
      </c>
      <c r="H691" s="1" t="s">
        <v>74</v>
      </c>
      <c r="I691" s="1" t="s">
        <v>6566</v>
      </c>
      <c r="J691" s="1" t="s">
        <v>6567</v>
      </c>
      <c r="K691" s="1" t="s">
        <v>74</v>
      </c>
      <c r="L691" s="1" t="s">
        <v>74</v>
      </c>
      <c r="M691" s="1" t="s">
        <v>74</v>
      </c>
      <c r="N691" s="1" t="s">
        <v>74</v>
      </c>
      <c r="O691" s="1" t="s">
        <v>74</v>
      </c>
      <c r="P691" s="1" t="s">
        <v>74</v>
      </c>
      <c r="Q691" s="1" t="s">
        <v>74</v>
      </c>
      <c r="R691" s="1" t="s">
        <v>74</v>
      </c>
      <c r="S691" s="1" t="s">
        <v>74</v>
      </c>
      <c r="T691" s="1" t="s">
        <v>74</v>
      </c>
      <c r="U691" s="1" t="s">
        <v>74</v>
      </c>
      <c r="V691" s="1" t="s">
        <v>6568</v>
      </c>
      <c r="W691" s="1" t="s">
        <v>74</v>
      </c>
      <c r="X691" s="1" t="s">
        <v>74</v>
      </c>
      <c r="Y691" s="1" t="s">
        <v>74</v>
      </c>
      <c r="Z691" s="1" t="s">
        <v>74</v>
      </c>
      <c r="AA691" s="1" t="s">
        <v>6569</v>
      </c>
      <c r="AB691" s="1" t="s">
        <v>6570</v>
      </c>
      <c r="AC691" s="1" t="s">
        <v>74</v>
      </c>
      <c r="AD691" s="1" t="s">
        <v>74</v>
      </c>
      <c r="AE691" s="1" t="s">
        <v>74</v>
      </c>
      <c r="AF691" s="1" t="s">
        <v>74</v>
      </c>
      <c r="AG691" s="1" t="s">
        <v>74</v>
      </c>
      <c r="AH691" s="1" t="s">
        <v>74</v>
      </c>
      <c r="AI691" s="1" t="s">
        <v>74</v>
      </c>
      <c r="AJ691" s="1" t="s">
        <v>74</v>
      </c>
      <c r="AK691" s="1" t="s">
        <v>74</v>
      </c>
      <c r="AL691" s="1" t="s">
        <v>74</v>
      </c>
      <c r="AM691" s="1" t="s">
        <v>74</v>
      </c>
      <c r="AN691" s="1" t="s">
        <v>74</v>
      </c>
      <c r="AO691" s="1" t="s">
        <v>6571</v>
      </c>
      <c r="AP691" s="1" t="s">
        <v>6572</v>
      </c>
      <c r="AQ691" s="1" t="s">
        <v>74</v>
      </c>
      <c r="AR691" s="1" t="s">
        <v>74</v>
      </c>
      <c r="AS691" s="1" t="s">
        <v>74</v>
      </c>
      <c r="AT691" s="1" t="s">
        <v>6573</v>
      </c>
      <c r="AU691" s="1">
        <v>2022.0</v>
      </c>
      <c r="AV691" s="1">
        <v>37.0</v>
      </c>
      <c r="AW691" s="1">
        <v>5.0</v>
      </c>
      <c r="AX691" s="1" t="s">
        <v>74</v>
      </c>
      <c r="AY691" s="1" t="s">
        <v>74</v>
      </c>
      <c r="AZ691" s="1" t="s">
        <v>74</v>
      </c>
      <c r="BA691" s="1" t="s">
        <v>74</v>
      </c>
      <c r="BB691" s="1">
        <v>603.0</v>
      </c>
      <c r="BC691" s="1">
        <v>618.0</v>
      </c>
      <c r="BD691" s="1" t="s">
        <v>74</v>
      </c>
      <c r="BE691" s="1" t="s">
        <v>6574</v>
      </c>
      <c r="BF691" s="2" t="str">
        <f>HYPERLINK("http://dx.doi.org/10.1108/GM-03-2020-0071","http://dx.doi.org/10.1108/GM-03-2020-0071")</f>
        <v>http://dx.doi.org/10.1108/GM-03-2020-0071</v>
      </c>
      <c r="BG691" s="1" t="s">
        <v>74</v>
      </c>
      <c r="BH691" s="1" t="s">
        <v>6575</v>
      </c>
      <c r="BI691" s="1" t="s">
        <v>74</v>
      </c>
      <c r="BJ691" s="1" t="s">
        <v>74</v>
      </c>
      <c r="BK691" s="1" t="s">
        <v>74</v>
      </c>
      <c r="BL691" s="1" t="s">
        <v>74</v>
      </c>
      <c r="BM691" s="1" t="s">
        <v>74</v>
      </c>
      <c r="BN691" s="1" t="s">
        <v>74</v>
      </c>
      <c r="BO691" s="1" t="s">
        <v>74</v>
      </c>
      <c r="BP691" s="1" t="s">
        <v>74</v>
      </c>
      <c r="BQ691" s="1" t="s">
        <v>74</v>
      </c>
      <c r="BR691" s="1" t="s">
        <v>74</v>
      </c>
      <c r="BS691" s="1" t="s">
        <v>6576</v>
      </c>
      <c r="BT691" s="1" t="str">
        <f>HYPERLINK("https%3A%2F%2Fwww.webofscience.com%2Fwos%2Fwoscc%2Ffull-record%2FWOS:000769416100001","View Full Record in Web of Science")</f>
        <v>View Full Record in Web of Science</v>
      </c>
    </row>
    <row r="692" ht="12.75" customHeight="1">
      <c r="A692" s="1" t="s">
        <v>72</v>
      </c>
      <c r="B692" s="1" t="s">
        <v>6577</v>
      </c>
      <c r="C692" s="1" t="s">
        <v>74</v>
      </c>
      <c r="D692" s="1" t="s">
        <v>74</v>
      </c>
      <c r="E692" s="1" t="s">
        <v>74</v>
      </c>
      <c r="F692" s="1" t="s">
        <v>6578</v>
      </c>
      <c r="G692" s="1" t="s">
        <v>74</v>
      </c>
      <c r="H692" s="1" t="s">
        <v>74</v>
      </c>
      <c r="I692" s="1" t="s">
        <v>6579</v>
      </c>
      <c r="J692" s="1" t="s">
        <v>1022</v>
      </c>
      <c r="K692" s="1" t="s">
        <v>74</v>
      </c>
      <c r="L692" s="1" t="s">
        <v>74</v>
      </c>
      <c r="M692" s="1" t="s">
        <v>74</v>
      </c>
      <c r="N692" s="1" t="s">
        <v>74</v>
      </c>
      <c r="O692" s="1" t="s">
        <v>74</v>
      </c>
      <c r="P692" s="1" t="s">
        <v>74</v>
      </c>
      <c r="Q692" s="1" t="s">
        <v>74</v>
      </c>
      <c r="R692" s="1" t="s">
        <v>74</v>
      </c>
      <c r="S692" s="1" t="s">
        <v>74</v>
      </c>
      <c r="T692" s="1" t="s">
        <v>74</v>
      </c>
      <c r="U692" s="1" t="s">
        <v>74</v>
      </c>
      <c r="V692" s="1" t="s">
        <v>6580</v>
      </c>
      <c r="W692" s="1" t="s">
        <v>74</v>
      </c>
      <c r="X692" s="1" t="s">
        <v>74</v>
      </c>
      <c r="Y692" s="1" t="s">
        <v>74</v>
      </c>
      <c r="Z692" s="1" t="s">
        <v>74</v>
      </c>
      <c r="AA692" s="1" t="s">
        <v>74</v>
      </c>
      <c r="AB692" s="1" t="s">
        <v>74</v>
      </c>
      <c r="AC692" s="1" t="s">
        <v>74</v>
      </c>
      <c r="AD692" s="1" t="s">
        <v>74</v>
      </c>
      <c r="AE692" s="1" t="s">
        <v>74</v>
      </c>
      <c r="AF692" s="1" t="s">
        <v>74</v>
      </c>
      <c r="AG692" s="1" t="s">
        <v>74</v>
      </c>
      <c r="AH692" s="1" t="s">
        <v>74</v>
      </c>
      <c r="AI692" s="1" t="s">
        <v>74</v>
      </c>
      <c r="AJ692" s="1" t="s">
        <v>74</v>
      </c>
      <c r="AK692" s="1" t="s">
        <v>74</v>
      </c>
      <c r="AL692" s="1" t="s">
        <v>74</v>
      </c>
      <c r="AM692" s="1" t="s">
        <v>74</v>
      </c>
      <c r="AN692" s="1" t="s">
        <v>74</v>
      </c>
      <c r="AO692" s="1" t="s">
        <v>1026</v>
      </c>
      <c r="AP692" s="1" t="s">
        <v>1027</v>
      </c>
      <c r="AQ692" s="1" t="s">
        <v>74</v>
      </c>
      <c r="AR692" s="1" t="s">
        <v>74</v>
      </c>
      <c r="AS692" s="1" t="s">
        <v>74</v>
      </c>
      <c r="AT692" s="1" t="s">
        <v>360</v>
      </c>
      <c r="AU692" s="1">
        <v>2022.0</v>
      </c>
      <c r="AV692" s="1">
        <v>24.0</v>
      </c>
      <c r="AW692" s="1">
        <v>1.0</v>
      </c>
      <c r="AX692" s="1" t="s">
        <v>74</v>
      </c>
      <c r="AY692" s="1" t="s">
        <v>74</v>
      </c>
      <c r="AZ692" s="1" t="s">
        <v>74</v>
      </c>
      <c r="BA692" s="1" t="s">
        <v>74</v>
      </c>
      <c r="BB692" s="1" t="s">
        <v>74</v>
      </c>
      <c r="BC692" s="1" t="s">
        <v>74</v>
      </c>
      <c r="BD692" s="1">
        <v>2050074.0</v>
      </c>
      <c r="BE692" s="1" t="s">
        <v>6581</v>
      </c>
      <c r="BF692" s="2" t="str">
        <f>HYPERLINK("http://dx.doi.org/10.1142/S0219199720500741","http://dx.doi.org/10.1142/S0219199720500741")</f>
        <v>http://dx.doi.org/10.1142/S0219199720500741</v>
      </c>
      <c r="BG692" s="1" t="s">
        <v>74</v>
      </c>
      <c r="BH692" s="1" t="s">
        <v>74</v>
      </c>
      <c r="BI692" s="1" t="s">
        <v>74</v>
      </c>
      <c r="BJ692" s="1" t="s">
        <v>74</v>
      </c>
      <c r="BK692" s="1" t="s">
        <v>74</v>
      </c>
      <c r="BL692" s="1" t="s">
        <v>74</v>
      </c>
      <c r="BM692" s="1" t="s">
        <v>74</v>
      </c>
      <c r="BN692" s="1" t="s">
        <v>74</v>
      </c>
      <c r="BO692" s="1" t="s">
        <v>74</v>
      </c>
      <c r="BP692" s="1" t="s">
        <v>74</v>
      </c>
      <c r="BQ692" s="1" t="s">
        <v>74</v>
      </c>
      <c r="BR692" s="1" t="s">
        <v>74</v>
      </c>
      <c r="BS692" s="1" t="s">
        <v>6582</v>
      </c>
      <c r="BT692" s="1" t="str">
        <f>HYPERLINK("https%3A%2F%2Fwww.webofscience.com%2Fwos%2Fwoscc%2Ffull-record%2FWOS:000752945700001","View Full Record in Web of Science")</f>
        <v>View Full Record in Web of Science</v>
      </c>
    </row>
    <row r="693" ht="12.75" customHeight="1">
      <c r="A693" s="1" t="s">
        <v>72</v>
      </c>
      <c r="B693" s="1" t="s">
        <v>6583</v>
      </c>
      <c r="C693" s="1" t="s">
        <v>74</v>
      </c>
      <c r="D693" s="1" t="s">
        <v>74</v>
      </c>
      <c r="E693" s="1" t="s">
        <v>74</v>
      </c>
      <c r="F693" s="1" t="s">
        <v>6584</v>
      </c>
      <c r="G693" s="1" t="s">
        <v>74</v>
      </c>
      <c r="H693" s="1" t="s">
        <v>74</v>
      </c>
      <c r="I693" s="1" t="s">
        <v>6585</v>
      </c>
      <c r="J693" s="1" t="s">
        <v>6586</v>
      </c>
      <c r="K693" s="1" t="s">
        <v>74</v>
      </c>
      <c r="L693" s="1" t="s">
        <v>74</v>
      </c>
      <c r="M693" s="1" t="s">
        <v>74</v>
      </c>
      <c r="N693" s="1" t="s">
        <v>74</v>
      </c>
      <c r="O693" s="1" t="s">
        <v>74</v>
      </c>
      <c r="P693" s="1" t="s">
        <v>74</v>
      </c>
      <c r="Q693" s="1" t="s">
        <v>74</v>
      </c>
      <c r="R693" s="1" t="s">
        <v>74</v>
      </c>
      <c r="S693" s="1" t="s">
        <v>74</v>
      </c>
      <c r="T693" s="1" t="s">
        <v>74</v>
      </c>
      <c r="U693" s="1" t="s">
        <v>74</v>
      </c>
      <c r="V693" s="1" t="s">
        <v>6587</v>
      </c>
      <c r="W693" s="1" t="s">
        <v>74</v>
      </c>
      <c r="X693" s="1" t="s">
        <v>74</v>
      </c>
      <c r="Y693" s="1" t="s">
        <v>74</v>
      </c>
      <c r="Z693" s="1" t="s">
        <v>74</v>
      </c>
      <c r="AA693" s="1" t="s">
        <v>6588</v>
      </c>
      <c r="AB693" s="1" t="s">
        <v>74</v>
      </c>
      <c r="AC693" s="1" t="s">
        <v>74</v>
      </c>
      <c r="AD693" s="1" t="s">
        <v>74</v>
      </c>
      <c r="AE693" s="1" t="s">
        <v>74</v>
      </c>
      <c r="AF693" s="1" t="s">
        <v>74</v>
      </c>
      <c r="AG693" s="1" t="s">
        <v>74</v>
      </c>
      <c r="AH693" s="1" t="s">
        <v>74</v>
      </c>
      <c r="AI693" s="1" t="s">
        <v>74</v>
      </c>
      <c r="AJ693" s="1" t="s">
        <v>74</v>
      </c>
      <c r="AK693" s="1" t="s">
        <v>74</v>
      </c>
      <c r="AL693" s="1" t="s">
        <v>74</v>
      </c>
      <c r="AM693" s="1" t="s">
        <v>74</v>
      </c>
      <c r="AN693" s="1" t="s">
        <v>74</v>
      </c>
      <c r="AO693" s="1" t="s">
        <v>6589</v>
      </c>
      <c r="AP693" s="1" t="s">
        <v>6590</v>
      </c>
      <c r="AQ693" s="1" t="s">
        <v>74</v>
      </c>
      <c r="AR693" s="1" t="s">
        <v>74</v>
      </c>
      <c r="AS693" s="1" t="s">
        <v>74</v>
      </c>
      <c r="AT693" s="1" t="s">
        <v>2108</v>
      </c>
      <c r="AU693" s="1">
        <v>2021.0</v>
      </c>
      <c r="AV693" s="1">
        <v>343.0</v>
      </c>
      <c r="AW693" s="1" t="s">
        <v>74</v>
      </c>
      <c r="AX693" s="1" t="s">
        <v>74</v>
      </c>
      <c r="AY693" s="1" t="s">
        <v>74</v>
      </c>
      <c r="AZ693" s="1" t="s">
        <v>74</v>
      </c>
      <c r="BA693" s="1" t="s">
        <v>74</v>
      </c>
      <c r="BB693" s="1" t="s">
        <v>74</v>
      </c>
      <c r="BC693" s="1" t="s">
        <v>74</v>
      </c>
      <c r="BD693" s="1">
        <v>117644.0</v>
      </c>
      <c r="BE693" s="1" t="s">
        <v>6591</v>
      </c>
      <c r="BF693" s="2" t="str">
        <f>HYPERLINK("http://dx.doi.org/10.1016/j.molliq.2021.117644","http://dx.doi.org/10.1016/j.molliq.2021.117644")</f>
        <v>http://dx.doi.org/10.1016/j.molliq.2021.117644</v>
      </c>
      <c r="BG693" s="1" t="s">
        <v>74</v>
      </c>
      <c r="BH693" s="1" t="s">
        <v>4680</v>
      </c>
      <c r="BI693" s="1" t="s">
        <v>74</v>
      </c>
      <c r="BJ693" s="1" t="s">
        <v>74</v>
      </c>
      <c r="BK693" s="1" t="s">
        <v>74</v>
      </c>
      <c r="BL693" s="1" t="s">
        <v>74</v>
      </c>
      <c r="BM693" s="1" t="s">
        <v>74</v>
      </c>
      <c r="BN693" s="1" t="s">
        <v>74</v>
      </c>
      <c r="BO693" s="1" t="s">
        <v>74</v>
      </c>
      <c r="BP693" s="1" t="s">
        <v>74</v>
      </c>
      <c r="BQ693" s="1" t="s">
        <v>74</v>
      </c>
      <c r="BR693" s="1" t="s">
        <v>74</v>
      </c>
      <c r="BS693" s="1" t="s">
        <v>6592</v>
      </c>
      <c r="BT693" s="1" t="str">
        <f>HYPERLINK("https%3A%2F%2Fwww.webofscience.com%2Fwos%2Fwoscc%2Ffull-record%2FWOS:000708703200034","View Full Record in Web of Science")</f>
        <v>View Full Record in Web of Science</v>
      </c>
    </row>
    <row r="694" ht="12.75" customHeight="1">
      <c r="A694" s="1" t="s">
        <v>72</v>
      </c>
      <c r="B694" s="1" t="s">
        <v>6593</v>
      </c>
      <c r="C694" s="1" t="s">
        <v>74</v>
      </c>
      <c r="D694" s="1" t="s">
        <v>74</v>
      </c>
      <c r="E694" s="1" t="s">
        <v>74</v>
      </c>
      <c r="F694" s="1" t="s">
        <v>6594</v>
      </c>
      <c r="G694" s="1" t="s">
        <v>74</v>
      </c>
      <c r="H694" s="1" t="s">
        <v>74</v>
      </c>
      <c r="I694" s="1" t="s">
        <v>6595</v>
      </c>
      <c r="J694" s="1" t="s">
        <v>130</v>
      </c>
      <c r="K694" s="1" t="s">
        <v>74</v>
      </c>
      <c r="L694" s="1" t="s">
        <v>74</v>
      </c>
      <c r="M694" s="1" t="s">
        <v>74</v>
      </c>
      <c r="N694" s="1" t="s">
        <v>74</v>
      </c>
      <c r="O694" s="1" t="s">
        <v>74</v>
      </c>
      <c r="P694" s="1" t="s">
        <v>74</v>
      </c>
      <c r="Q694" s="1" t="s">
        <v>74</v>
      </c>
      <c r="R694" s="1" t="s">
        <v>74</v>
      </c>
      <c r="S694" s="1" t="s">
        <v>74</v>
      </c>
      <c r="T694" s="1" t="s">
        <v>74</v>
      </c>
      <c r="U694" s="1" t="s">
        <v>74</v>
      </c>
      <c r="V694" s="1" t="s">
        <v>6596</v>
      </c>
      <c r="W694" s="1" t="s">
        <v>74</v>
      </c>
      <c r="X694" s="1" t="s">
        <v>74</v>
      </c>
      <c r="Y694" s="1" t="s">
        <v>74</v>
      </c>
      <c r="Z694" s="1" t="s">
        <v>74</v>
      </c>
      <c r="AA694" s="1" t="s">
        <v>6597</v>
      </c>
      <c r="AB694" s="1" t="s">
        <v>6598</v>
      </c>
      <c r="AC694" s="1" t="s">
        <v>74</v>
      </c>
      <c r="AD694" s="1" t="s">
        <v>74</v>
      </c>
      <c r="AE694" s="1" t="s">
        <v>74</v>
      </c>
      <c r="AF694" s="1" t="s">
        <v>74</v>
      </c>
      <c r="AG694" s="1" t="s">
        <v>74</v>
      </c>
      <c r="AH694" s="1" t="s">
        <v>74</v>
      </c>
      <c r="AI694" s="1" t="s">
        <v>74</v>
      </c>
      <c r="AJ694" s="1" t="s">
        <v>74</v>
      </c>
      <c r="AK694" s="1" t="s">
        <v>74</v>
      </c>
      <c r="AL694" s="1" t="s">
        <v>74</v>
      </c>
      <c r="AM694" s="1" t="s">
        <v>74</v>
      </c>
      <c r="AN694" s="1" t="s">
        <v>74</v>
      </c>
      <c r="AO694" s="1" t="s">
        <v>74</v>
      </c>
      <c r="AP694" s="1" t="s">
        <v>134</v>
      </c>
      <c r="AQ694" s="1" t="s">
        <v>74</v>
      </c>
      <c r="AR694" s="1" t="s">
        <v>74</v>
      </c>
      <c r="AS694" s="1" t="s">
        <v>74</v>
      </c>
      <c r="AT694" s="1" t="s">
        <v>310</v>
      </c>
      <c r="AU694" s="1">
        <v>2021.0</v>
      </c>
      <c r="AV694" s="1">
        <v>22.0</v>
      </c>
      <c r="AW694" s="1">
        <v>14.0</v>
      </c>
      <c r="AX694" s="1" t="s">
        <v>74</v>
      </c>
      <c r="AY694" s="1" t="s">
        <v>74</v>
      </c>
      <c r="AZ694" s="1" t="s">
        <v>74</v>
      </c>
      <c r="BA694" s="1" t="s">
        <v>74</v>
      </c>
      <c r="BB694" s="1" t="s">
        <v>74</v>
      </c>
      <c r="BC694" s="1" t="s">
        <v>74</v>
      </c>
      <c r="BD694" s="1">
        <v>7288.0</v>
      </c>
      <c r="BE694" s="1" t="s">
        <v>6599</v>
      </c>
      <c r="BF694" s="2" t="str">
        <f>HYPERLINK("http://dx.doi.org/10.3390/ijms22147288","http://dx.doi.org/10.3390/ijms22147288")</f>
        <v>http://dx.doi.org/10.3390/ijms22147288</v>
      </c>
      <c r="BG694" s="1" t="s">
        <v>74</v>
      </c>
      <c r="BH694" s="1" t="s">
        <v>74</v>
      </c>
      <c r="BI694" s="1" t="s">
        <v>74</v>
      </c>
      <c r="BJ694" s="1" t="s">
        <v>74</v>
      </c>
      <c r="BK694" s="1" t="s">
        <v>74</v>
      </c>
      <c r="BL694" s="1" t="s">
        <v>74</v>
      </c>
      <c r="BM694" s="1" t="s">
        <v>74</v>
      </c>
      <c r="BN694" s="1">
        <v>3.4298909E7</v>
      </c>
      <c r="BO694" s="1" t="s">
        <v>74</v>
      </c>
      <c r="BP694" s="1" t="s">
        <v>74</v>
      </c>
      <c r="BQ694" s="1" t="s">
        <v>74</v>
      </c>
      <c r="BR694" s="1" t="s">
        <v>74</v>
      </c>
      <c r="BS694" s="1" t="s">
        <v>6600</v>
      </c>
      <c r="BT694" s="1" t="str">
        <f>HYPERLINK("https%3A%2F%2Fwww.webofscience.com%2Fwos%2Fwoscc%2Ffull-record%2FWOS:000676141000001","View Full Record in Web of Science")</f>
        <v>View Full Record in Web of Science</v>
      </c>
    </row>
    <row r="695" ht="12.75" customHeight="1">
      <c r="A695" s="1" t="s">
        <v>72</v>
      </c>
      <c r="B695" s="1" t="s">
        <v>6601</v>
      </c>
      <c r="C695" s="1" t="s">
        <v>74</v>
      </c>
      <c r="D695" s="1" t="s">
        <v>74</v>
      </c>
      <c r="E695" s="1" t="s">
        <v>74</v>
      </c>
      <c r="F695" s="1" t="s">
        <v>6602</v>
      </c>
      <c r="G695" s="1" t="s">
        <v>74</v>
      </c>
      <c r="H695" s="1" t="s">
        <v>74</v>
      </c>
      <c r="I695" s="1" t="s">
        <v>6603</v>
      </c>
      <c r="J695" s="1" t="s">
        <v>4557</v>
      </c>
      <c r="K695" s="1" t="s">
        <v>74</v>
      </c>
      <c r="L695" s="1" t="s">
        <v>74</v>
      </c>
      <c r="M695" s="1" t="s">
        <v>74</v>
      </c>
      <c r="N695" s="1" t="s">
        <v>74</v>
      </c>
      <c r="O695" s="1" t="s">
        <v>74</v>
      </c>
      <c r="P695" s="1" t="s">
        <v>74</v>
      </c>
      <c r="Q695" s="1" t="s">
        <v>74</v>
      </c>
      <c r="R695" s="1" t="s">
        <v>74</v>
      </c>
      <c r="S695" s="1" t="s">
        <v>74</v>
      </c>
      <c r="T695" s="1" t="s">
        <v>74</v>
      </c>
      <c r="U695" s="1" t="s">
        <v>74</v>
      </c>
      <c r="V695" s="1" t="s">
        <v>6604</v>
      </c>
      <c r="W695" s="1" t="s">
        <v>74</v>
      </c>
      <c r="X695" s="1" t="s">
        <v>74</v>
      </c>
      <c r="Y695" s="1" t="s">
        <v>74</v>
      </c>
      <c r="Z695" s="1" t="s">
        <v>74</v>
      </c>
      <c r="AA695" s="1" t="s">
        <v>6605</v>
      </c>
      <c r="AB695" s="1" t="s">
        <v>6606</v>
      </c>
      <c r="AC695" s="1" t="s">
        <v>74</v>
      </c>
      <c r="AD695" s="1" t="s">
        <v>74</v>
      </c>
      <c r="AE695" s="1" t="s">
        <v>74</v>
      </c>
      <c r="AF695" s="1" t="s">
        <v>74</v>
      </c>
      <c r="AG695" s="1" t="s">
        <v>74</v>
      </c>
      <c r="AH695" s="1" t="s">
        <v>74</v>
      </c>
      <c r="AI695" s="1" t="s">
        <v>74</v>
      </c>
      <c r="AJ695" s="1" t="s">
        <v>74</v>
      </c>
      <c r="AK695" s="1" t="s">
        <v>74</v>
      </c>
      <c r="AL695" s="1" t="s">
        <v>74</v>
      </c>
      <c r="AM695" s="1" t="s">
        <v>74</v>
      </c>
      <c r="AN695" s="1" t="s">
        <v>74</v>
      </c>
      <c r="AO695" s="1" t="s">
        <v>74</v>
      </c>
      <c r="AP695" s="1" t="s">
        <v>4560</v>
      </c>
      <c r="AQ695" s="1" t="s">
        <v>74</v>
      </c>
      <c r="AR695" s="1" t="s">
        <v>74</v>
      </c>
      <c r="AS695" s="1" t="s">
        <v>74</v>
      </c>
      <c r="AT695" s="1" t="s">
        <v>6607</v>
      </c>
      <c r="AU695" s="1">
        <v>2021.0</v>
      </c>
      <c r="AV695" s="1">
        <v>21.0</v>
      </c>
      <c r="AW695" s="1">
        <v>1.0</v>
      </c>
      <c r="AX695" s="1" t="s">
        <v>74</v>
      </c>
      <c r="AY695" s="1" t="s">
        <v>74</v>
      </c>
      <c r="AZ695" s="1" t="s">
        <v>74</v>
      </c>
      <c r="BA695" s="1" t="s">
        <v>74</v>
      </c>
      <c r="BB695" s="1" t="s">
        <v>74</v>
      </c>
      <c r="BC695" s="1" t="s">
        <v>74</v>
      </c>
      <c r="BD695" s="1">
        <v>143.0</v>
      </c>
      <c r="BE695" s="1" t="s">
        <v>6608</v>
      </c>
      <c r="BF695" s="2" t="str">
        <f>HYPERLINK("http://dx.doi.org/10.1186/s12877-021-02110-3","http://dx.doi.org/10.1186/s12877-021-02110-3")</f>
        <v>http://dx.doi.org/10.1186/s12877-021-02110-3</v>
      </c>
      <c r="BG695" s="1" t="s">
        <v>74</v>
      </c>
      <c r="BH695" s="1" t="s">
        <v>74</v>
      </c>
      <c r="BI695" s="1" t="s">
        <v>74</v>
      </c>
      <c r="BJ695" s="1" t="s">
        <v>74</v>
      </c>
      <c r="BK695" s="1" t="s">
        <v>74</v>
      </c>
      <c r="BL695" s="1" t="s">
        <v>74</v>
      </c>
      <c r="BM695" s="1" t="s">
        <v>74</v>
      </c>
      <c r="BN695" s="1">
        <v>3.3637054E7</v>
      </c>
      <c r="BO695" s="1" t="s">
        <v>74</v>
      </c>
      <c r="BP695" s="1" t="s">
        <v>74</v>
      </c>
      <c r="BQ695" s="1" t="s">
        <v>74</v>
      </c>
      <c r="BR695" s="1" t="s">
        <v>74</v>
      </c>
      <c r="BS695" s="1" t="s">
        <v>6609</v>
      </c>
      <c r="BT695" s="1" t="str">
        <f>HYPERLINK("https%3A%2F%2Fwww.webofscience.com%2Fwos%2Fwoscc%2Ffull-record%2FWOS:000624485400002","View Full Record in Web of Science")</f>
        <v>View Full Record in Web of Science</v>
      </c>
    </row>
    <row r="696" ht="12.75" customHeight="1">
      <c r="A696" s="1" t="s">
        <v>72</v>
      </c>
      <c r="B696" s="1" t="s">
        <v>6610</v>
      </c>
      <c r="C696" s="1" t="s">
        <v>74</v>
      </c>
      <c r="D696" s="1" t="s">
        <v>74</v>
      </c>
      <c r="E696" s="1" t="s">
        <v>74</v>
      </c>
      <c r="F696" s="1" t="s">
        <v>6611</v>
      </c>
      <c r="G696" s="1" t="s">
        <v>74</v>
      </c>
      <c r="H696" s="1" t="s">
        <v>74</v>
      </c>
      <c r="I696" s="1" t="s">
        <v>6612</v>
      </c>
      <c r="J696" s="1" t="s">
        <v>1056</v>
      </c>
      <c r="K696" s="1" t="s">
        <v>74</v>
      </c>
      <c r="L696" s="1" t="s">
        <v>74</v>
      </c>
      <c r="M696" s="1" t="s">
        <v>74</v>
      </c>
      <c r="N696" s="1" t="s">
        <v>74</v>
      </c>
      <c r="O696" s="1" t="s">
        <v>74</v>
      </c>
      <c r="P696" s="1" t="s">
        <v>74</v>
      </c>
      <c r="Q696" s="1" t="s">
        <v>74</v>
      </c>
      <c r="R696" s="1" t="s">
        <v>74</v>
      </c>
      <c r="S696" s="1" t="s">
        <v>74</v>
      </c>
      <c r="T696" s="1" t="s">
        <v>74</v>
      </c>
      <c r="U696" s="1" t="s">
        <v>74</v>
      </c>
      <c r="V696" s="1" t="s">
        <v>6613</v>
      </c>
      <c r="W696" s="1" t="s">
        <v>74</v>
      </c>
      <c r="X696" s="1" t="s">
        <v>74</v>
      </c>
      <c r="Y696" s="1" t="s">
        <v>74</v>
      </c>
      <c r="Z696" s="1" t="s">
        <v>74</v>
      </c>
      <c r="AA696" s="1" t="s">
        <v>6614</v>
      </c>
      <c r="AB696" s="1" t="s">
        <v>6615</v>
      </c>
      <c r="AC696" s="1" t="s">
        <v>74</v>
      </c>
      <c r="AD696" s="1" t="s">
        <v>74</v>
      </c>
      <c r="AE696" s="1" t="s">
        <v>74</v>
      </c>
      <c r="AF696" s="1" t="s">
        <v>74</v>
      </c>
      <c r="AG696" s="1" t="s">
        <v>74</v>
      </c>
      <c r="AH696" s="1" t="s">
        <v>74</v>
      </c>
      <c r="AI696" s="1" t="s">
        <v>74</v>
      </c>
      <c r="AJ696" s="1" t="s">
        <v>74</v>
      </c>
      <c r="AK696" s="1" t="s">
        <v>74</v>
      </c>
      <c r="AL696" s="1" t="s">
        <v>74</v>
      </c>
      <c r="AM696" s="1" t="s">
        <v>74</v>
      </c>
      <c r="AN696" s="1" t="s">
        <v>74</v>
      </c>
      <c r="AO696" s="1" t="s">
        <v>1060</v>
      </c>
      <c r="AP696" s="1" t="s">
        <v>74</v>
      </c>
      <c r="AQ696" s="1" t="s">
        <v>74</v>
      </c>
      <c r="AR696" s="1" t="s">
        <v>74</v>
      </c>
      <c r="AS696" s="1" t="s">
        <v>74</v>
      </c>
      <c r="AT696" s="1" t="s">
        <v>88</v>
      </c>
      <c r="AU696" s="1">
        <v>2021.0</v>
      </c>
      <c r="AV696" s="1">
        <v>26.0</v>
      </c>
      <c r="AW696" s="1" t="s">
        <v>74</v>
      </c>
      <c r="AX696" s="1" t="s">
        <v>74</v>
      </c>
      <c r="AY696" s="1" t="s">
        <v>74</v>
      </c>
      <c r="AZ696" s="1" t="s">
        <v>74</v>
      </c>
      <c r="BA696" s="1" t="s">
        <v>74</v>
      </c>
      <c r="BB696" s="1" t="s">
        <v>74</v>
      </c>
      <c r="BC696" s="1" t="s">
        <v>74</v>
      </c>
      <c r="BD696" s="1">
        <v>100669.0</v>
      </c>
      <c r="BE696" s="1" t="s">
        <v>6616</v>
      </c>
      <c r="BF696" s="2" t="str">
        <f>HYPERLINK("http://dx.doi.org/10.1016/j.coelec.2020.100669","http://dx.doi.org/10.1016/j.coelec.2020.100669")</f>
        <v>http://dx.doi.org/10.1016/j.coelec.2020.100669</v>
      </c>
      <c r="BG696" s="1" t="s">
        <v>74</v>
      </c>
      <c r="BH696" s="1" t="s">
        <v>4026</v>
      </c>
      <c r="BI696" s="1" t="s">
        <v>74</v>
      </c>
      <c r="BJ696" s="1" t="s">
        <v>74</v>
      </c>
      <c r="BK696" s="1" t="s">
        <v>74</v>
      </c>
      <c r="BL696" s="1" t="s">
        <v>74</v>
      </c>
      <c r="BM696" s="1" t="s">
        <v>74</v>
      </c>
      <c r="BN696" s="1" t="s">
        <v>74</v>
      </c>
      <c r="BO696" s="1" t="s">
        <v>74</v>
      </c>
      <c r="BP696" s="1" t="s">
        <v>74</v>
      </c>
      <c r="BQ696" s="1" t="s">
        <v>74</v>
      </c>
      <c r="BR696" s="1" t="s">
        <v>74</v>
      </c>
      <c r="BS696" s="1" t="s">
        <v>6617</v>
      </c>
      <c r="BT696" s="1" t="str">
        <f>HYPERLINK("https%3A%2F%2Fwww.webofscience.com%2Fwos%2Fwoscc%2Ffull-record%2FWOS:000632822300014","View Full Record in Web of Science")</f>
        <v>View Full Record in Web of Science</v>
      </c>
    </row>
    <row r="697" ht="12.75" customHeight="1">
      <c r="A697" s="1" t="s">
        <v>72</v>
      </c>
      <c r="B697" s="1" t="s">
        <v>6618</v>
      </c>
      <c r="C697" s="1" t="s">
        <v>74</v>
      </c>
      <c r="D697" s="1" t="s">
        <v>74</v>
      </c>
      <c r="E697" s="1" t="s">
        <v>74</v>
      </c>
      <c r="F697" s="1" t="s">
        <v>6619</v>
      </c>
      <c r="G697" s="1" t="s">
        <v>74</v>
      </c>
      <c r="H697" s="1" t="s">
        <v>74</v>
      </c>
      <c r="I697" s="1" t="s">
        <v>6620</v>
      </c>
      <c r="J697" s="1" t="s">
        <v>6621</v>
      </c>
      <c r="K697" s="1" t="s">
        <v>74</v>
      </c>
      <c r="L697" s="1" t="s">
        <v>74</v>
      </c>
      <c r="M697" s="1" t="s">
        <v>74</v>
      </c>
      <c r="N697" s="1" t="s">
        <v>74</v>
      </c>
      <c r="O697" s="1" t="s">
        <v>74</v>
      </c>
      <c r="P697" s="1" t="s">
        <v>74</v>
      </c>
      <c r="Q697" s="1" t="s">
        <v>74</v>
      </c>
      <c r="R697" s="1" t="s">
        <v>74</v>
      </c>
      <c r="S697" s="1" t="s">
        <v>74</v>
      </c>
      <c r="T697" s="1" t="s">
        <v>74</v>
      </c>
      <c r="U697" s="1" t="s">
        <v>74</v>
      </c>
      <c r="V697" s="1" t="s">
        <v>6622</v>
      </c>
      <c r="W697" s="1" t="s">
        <v>74</v>
      </c>
      <c r="X697" s="1" t="s">
        <v>74</v>
      </c>
      <c r="Y697" s="1" t="s">
        <v>74</v>
      </c>
      <c r="Z697" s="1" t="s">
        <v>74</v>
      </c>
      <c r="AA697" s="1" t="s">
        <v>74</v>
      </c>
      <c r="AB697" s="1" t="s">
        <v>6623</v>
      </c>
      <c r="AC697" s="1" t="s">
        <v>74</v>
      </c>
      <c r="AD697" s="1" t="s">
        <v>74</v>
      </c>
      <c r="AE697" s="1" t="s">
        <v>74</v>
      </c>
      <c r="AF697" s="1" t="s">
        <v>74</v>
      </c>
      <c r="AG697" s="1" t="s">
        <v>74</v>
      </c>
      <c r="AH697" s="1" t="s">
        <v>74</v>
      </c>
      <c r="AI697" s="1" t="s">
        <v>74</v>
      </c>
      <c r="AJ697" s="1" t="s">
        <v>74</v>
      </c>
      <c r="AK697" s="1" t="s">
        <v>74</v>
      </c>
      <c r="AL697" s="1" t="s">
        <v>74</v>
      </c>
      <c r="AM697" s="1" t="s">
        <v>74</v>
      </c>
      <c r="AN697" s="1" t="s">
        <v>74</v>
      </c>
      <c r="AO697" s="1" t="s">
        <v>6624</v>
      </c>
      <c r="AP697" s="1" t="s">
        <v>74</v>
      </c>
      <c r="AQ697" s="1" t="s">
        <v>74</v>
      </c>
      <c r="AR697" s="1" t="s">
        <v>74</v>
      </c>
      <c r="AS697" s="1" t="s">
        <v>74</v>
      </c>
      <c r="AT697" s="1" t="s">
        <v>74</v>
      </c>
      <c r="AU697" s="1">
        <v>2021.0</v>
      </c>
      <c r="AV697" s="1">
        <v>22.0</v>
      </c>
      <c r="AW697" s="1" t="s">
        <v>74</v>
      </c>
      <c r="AX697" s="1" t="s">
        <v>74</v>
      </c>
      <c r="AY697" s="1" t="s">
        <v>74</v>
      </c>
      <c r="AZ697" s="1" t="s">
        <v>74</v>
      </c>
      <c r="BA697" s="1" t="s">
        <v>74</v>
      </c>
      <c r="BB697" s="1">
        <v>206.0</v>
      </c>
      <c r="BC697" s="1">
        <v>226.0</v>
      </c>
      <c r="BD697" s="1" t="s">
        <v>74</v>
      </c>
      <c r="BE697" s="1" t="s">
        <v>6625</v>
      </c>
      <c r="BF697" s="2" t="str">
        <f>HYPERLINK("http://dx.doi.org/10.24908/encounters.v22i0.14991","http://dx.doi.org/10.24908/encounters.v22i0.14991")</f>
        <v>http://dx.doi.org/10.24908/encounters.v22i0.14991</v>
      </c>
      <c r="BG697" s="1" t="s">
        <v>74</v>
      </c>
      <c r="BH697" s="1" t="s">
        <v>74</v>
      </c>
      <c r="BI697" s="1" t="s">
        <v>74</v>
      </c>
      <c r="BJ697" s="1" t="s">
        <v>74</v>
      </c>
      <c r="BK697" s="1" t="s">
        <v>74</v>
      </c>
      <c r="BL697" s="1" t="s">
        <v>74</v>
      </c>
      <c r="BM697" s="1" t="s">
        <v>74</v>
      </c>
      <c r="BN697" s="1" t="s">
        <v>74</v>
      </c>
      <c r="BO697" s="1" t="s">
        <v>74</v>
      </c>
      <c r="BP697" s="1" t="s">
        <v>74</v>
      </c>
      <c r="BQ697" s="1" t="s">
        <v>74</v>
      </c>
      <c r="BR697" s="1" t="s">
        <v>74</v>
      </c>
      <c r="BS697" s="1" t="s">
        <v>6626</v>
      </c>
      <c r="BT697" s="1" t="str">
        <f>HYPERLINK("https%3A%2F%2Fwww.webofscience.com%2Fwos%2Fwoscc%2Ffull-record%2FWOS:000747150100011","View Full Record in Web of Science")</f>
        <v>View Full Record in Web of Science</v>
      </c>
    </row>
    <row r="698" ht="12.75" customHeight="1">
      <c r="A698" s="1" t="s">
        <v>72</v>
      </c>
      <c r="B698" s="1" t="s">
        <v>6627</v>
      </c>
      <c r="C698" s="1" t="s">
        <v>74</v>
      </c>
      <c r="D698" s="1" t="s">
        <v>74</v>
      </c>
      <c r="E698" s="1" t="s">
        <v>74</v>
      </c>
      <c r="F698" s="1" t="s">
        <v>6628</v>
      </c>
      <c r="G698" s="1" t="s">
        <v>74</v>
      </c>
      <c r="H698" s="1" t="s">
        <v>74</v>
      </c>
      <c r="I698" s="1" t="s">
        <v>6629</v>
      </c>
      <c r="J698" s="1" t="s">
        <v>4877</v>
      </c>
      <c r="K698" s="1" t="s">
        <v>74</v>
      </c>
      <c r="L698" s="1" t="s">
        <v>74</v>
      </c>
      <c r="M698" s="1" t="s">
        <v>74</v>
      </c>
      <c r="N698" s="1" t="s">
        <v>74</v>
      </c>
      <c r="O698" s="1" t="s">
        <v>74</v>
      </c>
      <c r="P698" s="1" t="s">
        <v>74</v>
      </c>
      <c r="Q698" s="1" t="s">
        <v>74</v>
      </c>
      <c r="R698" s="1" t="s">
        <v>74</v>
      </c>
      <c r="S698" s="1" t="s">
        <v>74</v>
      </c>
      <c r="T698" s="1" t="s">
        <v>74</v>
      </c>
      <c r="U698" s="1" t="s">
        <v>74</v>
      </c>
      <c r="V698" s="1" t="s">
        <v>6630</v>
      </c>
      <c r="W698" s="1" t="s">
        <v>74</v>
      </c>
      <c r="X698" s="1" t="s">
        <v>74</v>
      </c>
      <c r="Y698" s="1" t="s">
        <v>74</v>
      </c>
      <c r="Z698" s="1" t="s">
        <v>74</v>
      </c>
      <c r="AA698" s="1" t="s">
        <v>6631</v>
      </c>
      <c r="AB698" s="1" t="s">
        <v>6632</v>
      </c>
      <c r="AC698" s="1" t="s">
        <v>74</v>
      </c>
      <c r="AD698" s="1" t="s">
        <v>74</v>
      </c>
      <c r="AE698" s="1" t="s">
        <v>74</v>
      </c>
      <c r="AF698" s="1" t="s">
        <v>74</v>
      </c>
      <c r="AG698" s="1" t="s">
        <v>74</v>
      </c>
      <c r="AH698" s="1" t="s">
        <v>74</v>
      </c>
      <c r="AI698" s="1" t="s">
        <v>74</v>
      </c>
      <c r="AJ698" s="1" t="s">
        <v>74</v>
      </c>
      <c r="AK698" s="1" t="s">
        <v>74</v>
      </c>
      <c r="AL698" s="1" t="s">
        <v>74</v>
      </c>
      <c r="AM698" s="1" t="s">
        <v>74</v>
      </c>
      <c r="AN698" s="1" t="s">
        <v>74</v>
      </c>
      <c r="AO698" s="1" t="s">
        <v>74</v>
      </c>
      <c r="AP698" s="1" t="s">
        <v>4880</v>
      </c>
      <c r="AQ698" s="1" t="s">
        <v>74</v>
      </c>
      <c r="AR698" s="1" t="s">
        <v>74</v>
      </c>
      <c r="AS698" s="1" t="s">
        <v>74</v>
      </c>
      <c r="AT698" s="1" t="s">
        <v>110</v>
      </c>
      <c r="AU698" s="1">
        <v>2020.0</v>
      </c>
      <c r="AV698" s="1">
        <v>10.0</v>
      </c>
      <c r="AW698" s="1">
        <v>12.0</v>
      </c>
      <c r="AX698" s="1" t="s">
        <v>74</v>
      </c>
      <c r="AY698" s="1" t="s">
        <v>74</v>
      </c>
      <c r="AZ698" s="1" t="s">
        <v>74</v>
      </c>
      <c r="BA698" s="1" t="s">
        <v>74</v>
      </c>
      <c r="BB698" s="1" t="s">
        <v>74</v>
      </c>
      <c r="BC698" s="1" t="s">
        <v>74</v>
      </c>
      <c r="BD698" s="1">
        <v>1674.0</v>
      </c>
      <c r="BE698" s="1" t="s">
        <v>6633</v>
      </c>
      <c r="BF698" s="2" t="str">
        <f>HYPERLINK("http://dx.doi.org/10.3390/met10121674","http://dx.doi.org/10.3390/met10121674")</f>
        <v>http://dx.doi.org/10.3390/met10121674</v>
      </c>
      <c r="BG698" s="1" t="s">
        <v>74</v>
      </c>
      <c r="BH698" s="1" t="s">
        <v>74</v>
      </c>
      <c r="BI698" s="1" t="s">
        <v>74</v>
      </c>
      <c r="BJ698" s="1" t="s">
        <v>74</v>
      </c>
      <c r="BK698" s="1" t="s">
        <v>74</v>
      </c>
      <c r="BL698" s="1" t="s">
        <v>74</v>
      </c>
      <c r="BM698" s="1" t="s">
        <v>74</v>
      </c>
      <c r="BN698" s="1" t="s">
        <v>74</v>
      </c>
      <c r="BO698" s="1" t="s">
        <v>74</v>
      </c>
      <c r="BP698" s="1" t="s">
        <v>74</v>
      </c>
      <c r="BQ698" s="1" t="s">
        <v>74</v>
      </c>
      <c r="BR698" s="1" t="s">
        <v>74</v>
      </c>
      <c r="BS698" s="1" t="s">
        <v>6634</v>
      </c>
      <c r="BT698" s="1" t="str">
        <f>HYPERLINK("https%3A%2F%2Fwww.webofscience.com%2Fwos%2Fwoscc%2Ffull-record%2FWOS:000602448700001","View Full Record in Web of Science")</f>
        <v>View Full Record in Web of Science</v>
      </c>
    </row>
    <row r="699" ht="12.75" customHeight="1">
      <c r="A699" s="1" t="s">
        <v>72</v>
      </c>
      <c r="B699" s="1" t="s">
        <v>6577</v>
      </c>
      <c r="C699" s="1" t="s">
        <v>74</v>
      </c>
      <c r="D699" s="1" t="s">
        <v>74</v>
      </c>
      <c r="E699" s="1" t="s">
        <v>74</v>
      </c>
      <c r="F699" s="1" t="s">
        <v>6635</v>
      </c>
      <c r="G699" s="1" t="s">
        <v>74</v>
      </c>
      <c r="H699" s="1" t="s">
        <v>74</v>
      </c>
      <c r="I699" s="1" t="s">
        <v>6636</v>
      </c>
      <c r="J699" s="1" t="s">
        <v>1033</v>
      </c>
      <c r="K699" s="1" t="s">
        <v>74</v>
      </c>
      <c r="L699" s="1" t="s">
        <v>74</v>
      </c>
      <c r="M699" s="1" t="s">
        <v>74</v>
      </c>
      <c r="N699" s="1" t="s">
        <v>74</v>
      </c>
      <c r="O699" s="1" t="s">
        <v>74</v>
      </c>
      <c r="P699" s="1" t="s">
        <v>74</v>
      </c>
      <c r="Q699" s="1" t="s">
        <v>74</v>
      </c>
      <c r="R699" s="1" t="s">
        <v>74</v>
      </c>
      <c r="S699" s="1" t="s">
        <v>74</v>
      </c>
      <c r="T699" s="1" t="s">
        <v>74</v>
      </c>
      <c r="U699" s="1" t="s">
        <v>74</v>
      </c>
      <c r="V699" s="1" t="s">
        <v>6637</v>
      </c>
      <c r="W699" s="1" t="s">
        <v>74</v>
      </c>
      <c r="X699" s="1" t="s">
        <v>74</v>
      </c>
      <c r="Y699" s="1" t="s">
        <v>74</v>
      </c>
      <c r="Z699" s="1" t="s">
        <v>74</v>
      </c>
      <c r="AA699" s="1" t="s">
        <v>74</v>
      </c>
      <c r="AB699" s="1" t="s">
        <v>74</v>
      </c>
      <c r="AC699" s="1" t="s">
        <v>74</v>
      </c>
      <c r="AD699" s="1" t="s">
        <v>74</v>
      </c>
      <c r="AE699" s="1" t="s">
        <v>74</v>
      </c>
      <c r="AF699" s="1" t="s">
        <v>74</v>
      </c>
      <c r="AG699" s="1" t="s">
        <v>74</v>
      </c>
      <c r="AH699" s="1" t="s">
        <v>74</v>
      </c>
      <c r="AI699" s="1" t="s">
        <v>74</v>
      </c>
      <c r="AJ699" s="1" t="s">
        <v>74</v>
      </c>
      <c r="AK699" s="1" t="s">
        <v>74</v>
      </c>
      <c r="AL699" s="1" t="s">
        <v>74</v>
      </c>
      <c r="AM699" s="1" t="s">
        <v>74</v>
      </c>
      <c r="AN699" s="1" t="s">
        <v>74</v>
      </c>
      <c r="AO699" s="1" t="s">
        <v>1035</v>
      </c>
      <c r="AP699" s="1" t="s">
        <v>1036</v>
      </c>
      <c r="AQ699" s="1" t="s">
        <v>74</v>
      </c>
      <c r="AR699" s="1" t="s">
        <v>74</v>
      </c>
      <c r="AS699" s="1" t="s">
        <v>74</v>
      </c>
      <c r="AT699" s="1" t="s">
        <v>123</v>
      </c>
      <c r="AU699" s="1">
        <v>2020.0</v>
      </c>
      <c r="AV699" s="1">
        <v>40.0</v>
      </c>
      <c r="AW699" s="1">
        <v>10.0</v>
      </c>
      <c r="AX699" s="1" t="s">
        <v>74</v>
      </c>
      <c r="AY699" s="1" t="s">
        <v>74</v>
      </c>
      <c r="AZ699" s="1" t="s">
        <v>74</v>
      </c>
      <c r="BA699" s="1" t="s">
        <v>74</v>
      </c>
      <c r="BB699" s="1">
        <v>5831.0</v>
      </c>
      <c r="BC699" s="1">
        <v>5843.0</v>
      </c>
      <c r="BD699" s="1" t="s">
        <v>74</v>
      </c>
      <c r="BE699" s="1" t="s">
        <v>6638</v>
      </c>
      <c r="BF699" s="2" t="str">
        <f>HYPERLINK("http://dx.doi.org/10.3934/dcds.2020248","http://dx.doi.org/10.3934/dcds.2020248")</f>
        <v>http://dx.doi.org/10.3934/dcds.2020248</v>
      </c>
      <c r="BG699" s="1" t="s">
        <v>74</v>
      </c>
      <c r="BH699" s="1" t="s">
        <v>74</v>
      </c>
      <c r="BI699" s="1" t="s">
        <v>74</v>
      </c>
      <c r="BJ699" s="1" t="s">
        <v>74</v>
      </c>
      <c r="BK699" s="1" t="s">
        <v>74</v>
      </c>
      <c r="BL699" s="1" t="s">
        <v>74</v>
      </c>
      <c r="BM699" s="1" t="s">
        <v>74</v>
      </c>
      <c r="BN699" s="1" t="s">
        <v>74</v>
      </c>
      <c r="BO699" s="1" t="s">
        <v>74</v>
      </c>
      <c r="BP699" s="1" t="s">
        <v>74</v>
      </c>
      <c r="BQ699" s="1" t="s">
        <v>74</v>
      </c>
      <c r="BR699" s="1" t="s">
        <v>74</v>
      </c>
      <c r="BS699" s="1" t="s">
        <v>6639</v>
      </c>
      <c r="BT699" s="1" t="str">
        <f>HYPERLINK("https%3A%2F%2Fwww.webofscience.com%2Fwos%2Fwoscc%2Ffull-record%2FWOS:000545661800009","View Full Record in Web of Science")</f>
        <v>View Full Record in Web of Science</v>
      </c>
    </row>
    <row r="700" ht="12.75" customHeight="1">
      <c r="A700" s="1" t="s">
        <v>72</v>
      </c>
      <c r="B700" s="1" t="s">
        <v>6640</v>
      </c>
      <c r="C700" s="1" t="s">
        <v>74</v>
      </c>
      <c r="D700" s="1" t="s">
        <v>74</v>
      </c>
      <c r="E700" s="1" t="s">
        <v>74</v>
      </c>
      <c r="F700" s="1" t="s">
        <v>6641</v>
      </c>
      <c r="G700" s="1" t="s">
        <v>74</v>
      </c>
      <c r="H700" s="1" t="s">
        <v>74</v>
      </c>
      <c r="I700" s="1" t="s">
        <v>6642</v>
      </c>
      <c r="J700" s="1" t="s">
        <v>6643</v>
      </c>
      <c r="K700" s="1" t="s">
        <v>74</v>
      </c>
      <c r="L700" s="1" t="s">
        <v>74</v>
      </c>
      <c r="M700" s="1" t="s">
        <v>74</v>
      </c>
      <c r="N700" s="1" t="s">
        <v>74</v>
      </c>
      <c r="O700" s="1" t="s">
        <v>74</v>
      </c>
      <c r="P700" s="1" t="s">
        <v>74</v>
      </c>
      <c r="Q700" s="1" t="s">
        <v>74</v>
      </c>
      <c r="R700" s="1" t="s">
        <v>74</v>
      </c>
      <c r="S700" s="1" t="s">
        <v>74</v>
      </c>
      <c r="T700" s="1" t="s">
        <v>74</v>
      </c>
      <c r="U700" s="1" t="s">
        <v>74</v>
      </c>
      <c r="V700" s="1" t="s">
        <v>6644</v>
      </c>
      <c r="W700" s="1" t="s">
        <v>74</v>
      </c>
      <c r="X700" s="1" t="s">
        <v>74</v>
      </c>
      <c r="Y700" s="1" t="s">
        <v>74</v>
      </c>
      <c r="Z700" s="1" t="s">
        <v>74</v>
      </c>
      <c r="AA700" s="1" t="s">
        <v>6645</v>
      </c>
      <c r="AB700" s="1" t="s">
        <v>6646</v>
      </c>
      <c r="AC700" s="1" t="s">
        <v>74</v>
      </c>
      <c r="AD700" s="1" t="s">
        <v>74</v>
      </c>
      <c r="AE700" s="1" t="s">
        <v>74</v>
      </c>
      <c r="AF700" s="1" t="s">
        <v>74</v>
      </c>
      <c r="AG700" s="1" t="s">
        <v>74</v>
      </c>
      <c r="AH700" s="1" t="s">
        <v>74</v>
      </c>
      <c r="AI700" s="1" t="s">
        <v>74</v>
      </c>
      <c r="AJ700" s="1" t="s">
        <v>74</v>
      </c>
      <c r="AK700" s="1" t="s">
        <v>74</v>
      </c>
      <c r="AL700" s="1" t="s">
        <v>74</v>
      </c>
      <c r="AM700" s="1" t="s">
        <v>74</v>
      </c>
      <c r="AN700" s="1" t="s">
        <v>74</v>
      </c>
      <c r="AO700" s="1" t="s">
        <v>6647</v>
      </c>
      <c r="AP700" s="1" t="s">
        <v>6648</v>
      </c>
      <c r="AQ700" s="1" t="s">
        <v>74</v>
      </c>
      <c r="AR700" s="1" t="s">
        <v>74</v>
      </c>
      <c r="AS700" s="1" t="s">
        <v>74</v>
      </c>
      <c r="AT700" s="1" t="s">
        <v>169</v>
      </c>
      <c r="AU700" s="1">
        <v>2021.0</v>
      </c>
      <c r="AV700" s="1">
        <v>77.0</v>
      </c>
      <c r="AW700" s="1">
        <v>1.0</v>
      </c>
      <c r="AX700" s="1" t="s">
        <v>74</v>
      </c>
      <c r="AY700" s="1" t="s">
        <v>74</v>
      </c>
      <c r="AZ700" s="1" t="s">
        <v>74</v>
      </c>
      <c r="BA700" s="1" t="s">
        <v>74</v>
      </c>
      <c r="BB700" s="1">
        <v>104.0</v>
      </c>
      <c r="BC700" s="1">
        <v>112.0</v>
      </c>
      <c r="BD700" s="1" t="s">
        <v>74</v>
      </c>
      <c r="BE700" s="1" t="s">
        <v>6649</v>
      </c>
      <c r="BF700" s="2" t="str">
        <f>HYPERLINK("http://dx.doi.org/10.1002/ps.6063","http://dx.doi.org/10.1002/ps.6063")</f>
        <v>http://dx.doi.org/10.1002/ps.6063</v>
      </c>
      <c r="BG700" s="1" t="s">
        <v>74</v>
      </c>
      <c r="BH700" s="1" t="s">
        <v>6650</v>
      </c>
      <c r="BI700" s="1" t="s">
        <v>74</v>
      </c>
      <c r="BJ700" s="1" t="s">
        <v>74</v>
      </c>
      <c r="BK700" s="1" t="s">
        <v>74</v>
      </c>
      <c r="BL700" s="1" t="s">
        <v>74</v>
      </c>
      <c r="BM700" s="1" t="s">
        <v>74</v>
      </c>
      <c r="BN700" s="1">
        <v>3.2841491E7</v>
      </c>
      <c r="BO700" s="1" t="s">
        <v>74</v>
      </c>
      <c r="BP700" s="1" t="s">
        <v>74</v>
      </c>
      <c r="BQ700" s="1" t="s">
        <v>74</v>
      </c>
      <c r="BR700" s="1" t="s">
        <v>74</v>
      </c>
      <c r="BS700" s="1" t="s">
        <v>6651</v>
      </c>
      <c r="BT700" s="1" t="str">
        <f>HYPERLINK("https%3A%2F%2Fwww.webofscience.com%2Fwos%2Fwoscc%2Ffull-record%2FWOS:000568840800001","View Full Record in Web of Science")</f>
        <v>View Full Record in Web of Science</v>
      </c>
    </row>
    <row r="701" ht="12.75" customHeight="1">
      <c r="A701" s="1" t="s">
        <v>72</v>
      </c>
      <c r="B701" s="1" t="s">
        <v>6652</v>
      </c>
      <c r="C701" s="1" t="s">
        <v>74</v>
      </c>
      <c r="D701" s="1" t="s">
        <v>74</v>
      </c>
      <c r="E701" s="1" t="s">
        <v>74</v>
      </c>
      <c r="F701" s="1" t="s">
        <v>6653</v>
      </c>
      <c r="G701" s="1" t="s">
        <v>74</v>
      </c>
      <c r="H701" s="1" t="s">
        <v>74</v>
      </c>
      <c r="I701" s="1" t="s">
        <v>6654</v>
      </c>
      <c r="J701" s="1" t="s">
        <v>6655</v>
      </c>
      <c r="K701" s="1" t="s">
        <v>74</v>
      </c>
      <c r="L701" s="1" t="s">
        <v>74</v>
      </c>
      <c r="M701" s="1" t="s">
        <v>74</v>
      </c>
      <c r="N701" s="1" t="s">
        <v>74</v>
      </c>
      <c r="O701" s="1" t="s">
        <v>74</v>
      </c>
      <c r="P701" s="1" t="s">
        <v>74</v>
      </c>
      <c r="Q701" s="1" t="s">
        <v>74</v>
      </c>
      <c r="R701" s="1" t="s">
        <v>74</v>
      </c>
      <c r="S701" s="1" t="s">
        <v>74</v>
      </c>
      <c r="T701" s="1" t="s">
        <v>74</v>
      </c>
      <c r="U701" s="1" t="s">
        <v>74</v>
      </c>
      <c r="V701" s="1" t="s">
        <v>6656</v>
      </c>
      <c r="W701" s="1" t="s">
        <v>74</v>
      </c>
      <c r="X701" s="1" t="s">
        <v>74</v>
      </c>
      <c r="Y701" s="1" t="s">
        <v>74</v>
      </c>
      <c r="Z701" s="1" t="s">
        <v>74</v>
      </c>
      <c r="AA701" s="1" t="s">
        <v>74</v>
      </c>
      <c r="AB701" s="1" t="s">
        <v>74</v>
      </c>
      <c r="AC701" s="1" t="s">
        <v>74</v>
      </c>
      <c r="AD701" s="1" t="s">
        <v>74</v>
      </c>
      <c r="AE701" s="1" t="s">
        <v>74</v>
      </c>
      <c r="AF701" s="1" t="s">
        <v>74</v>
      </c>
      <c r="AG701" s="1" t="s">
        <v>74</v>
      </c>
      <c r="AH701" s="1" t="s">
        <v>74</v>
      </c>
      <c r="AI701" s="1" t="s">
        <v>74</v>
      </c>
      <c r="AJ701" s="1" t="s">
        <v>74</v>
      </c>
      <c r="AK701" s="1" t="s">
        <v>74</v>
      </c>
      <c r="AL701" s="1" t="s">
        <v>74</v>
      </c>
      <c r="AM701" s="1" t="s">
        <v>74</v>
      </c>
      <c r="AN701" s="1" t="s">
        <v>74</v>
      </c>
      <c r="AO701" s="1" t="s">
        <v>6657</v>
      </c>
      <c r="AP701" s="1" t="s">
        <v>6658</v>
      </c>
      <c r="AQ701" s="1" t="s">
        <v>74</v>
      </c>
      <c r="AR701" s="1" t="s">
        <v>74</v>
      </c>
      <c r="AS701" s="1" t="s">
        <v>74</v>
      </c>
      <c r="AT701" s="1" t="s">
        <v>180</v>
      </c>
      <c r="AU701" s="1">
        <v>2020.0</v>
      </c>
      <c r="AV701" s="1">
        <v>46.0</v>
      </c>
      <c r="AW701" s="1">
        <v>138.0</v>
      </c>
      <c r="AX701" s="1" t="s">
        <v>74</v>
      </c>
      <c r="AY701" s="1" t="s">
        <v>74</v>
      </c>
      <c r="AZ701" s="1" t="s">
        <v>74</v>
      </c>
      <c r="BA701" s="1" t="s">
        <v>74</v>
      </c>
      <c r="BB701" s="1">
        <v>25.0</v>
      </c>
      <c r="BC701" s="1">
        <v>46.0</v>
      </c>
      <c r="BD701" s="1" t="s">
        <v>74</v>
      </c>
      <c r="BE701" s="1" t="s">
        <v>74</v>
      </c>
      <c r="BF701" s="1" t="s">
        <v>74</v>
      </c>
      <c r="BG701" s="1" t="s">
        <v>74</v>
      </c>
      <c r="BH701" s="1" t="s">
        <v>74</v>
      </c>
      <c r="BI701" s="1" t="s">
        <v>74</v>
      </c>
      <c r="BJ701" s="1" t="s">
        <v>74</v>
      </c>
      <c r="BK701" s="1" t="s">
        <v>74</v>
      </c>
      <c r="BL701" s="1" t="s">
        <v>74</v>
      </c>
      <c r="BM701" s="1" t="s">
        <v>74</v>
      </c>
      <c r="BN701" s="1" t="s">
        <v>74</v>
      </c>
      <c r="BO701" s="1" t="s">
        <v>74</v>
      </c>
      <c r="BP701" s="1" t="s">
        <v>74</v>
      </c>
      <c r="BQ701" s="1" t="s">
        <v>74</v>
      </c>
      <c r="BR701" s="1" t="s">
        <v>74</v>
      </c>
      <c r="BS701" s="1" t="s">
        <v>6659</v>
      </c>
      <c r="BT701" s="1" t="str">
        <f>HYPERLINK("https%3A%2F%2Fwww.webofscience.com%2Fwos%2Fwoscc%2Ffull-record%2FWOS:000530030700002","View Full Record in Web of Science")</f>
        <v>View Full Record in Web of Science</v>
      </c>
    </row>
    <row r="702" ht="12.75" customHeight="1">
      <c r="A702" s="1" t="s">
        <v>72</v>
      </c>
      <c r="B702" s="1" t="s">
        <v>6660</v>
      </c>
      <c r="C702" s="1" t="s">
        <v>74</v>
      </c>
      <c r="D702" s="1" t="s">
        <v>74</v>
      </c>
      <c r="E702" s="1" t="s">
        <v>74</v>
      </c>
      <c r="F702" s="1" t="s">
        <v>6661</v>
      </c>
      <c r="G702" s="1" t="s">
        <v>74</v>
      </c>
      <c r="H702" s="1" t="s">
        <v>74</v>
      </c>
      <c r="I702" s="1" t="s">
        <v>6662</v>
      </c>
      <c r="J702" s="1" t="s">
        <v>6663</v>
      </c>
      <c r="K702" s="1" t="s">
        <v>74</v>
      </c>
      <c r="L702" s="1" t="s">
        <v>74</v>
      </c>
      <c r="M702" s="1" t="s">
        <v>74</v>
      </c>
      <c r="N702" s="1" t="s">
        <v>74</v>
      </c>
      <c r="O702" s="1" t="s">
        <v>74</v>
      </c>
      <c r="P702" s="1" t="s">
        <v>74</v>
      </c>
      <c r="Q702" s="1" t="s">
        <v>74</v>
      </c>
      <c r="R702" s="1" t="s">
        <v>74</v>
      </c>
      <c r="S702" s="1" t="s">
        <v>74</v>
      </c>
      <c r="T702" s="1" t="s">
        <v>74</v>
      </c>
      <c r="U702" s="1" t="s">
        <v>74</v>
      </c>
      <c r="V702" s="1" t="s">
        <v>6664</v>
      </c>
      <c r="W702" s="1" t="s">
        <v>74</v>
      </c>
      <c r="X702" s="1" t="s">
        <v>74</v>
      </c>
      <c r="Y702" s="1" t="s">
        <v>74</v>
      </c>
      <c r="Z702" s="1" t="s">
        <v>74</v>
      </c>
      <c r="AA702" s="1" t="s">
        <v>6665</v>
      </c>
      <c r="AB702" s="1" t="s">
        <v>1098</v>
      </c>
      <c r="AC702" s="1" t="s">
        <v>74</v>
      </c>
      <c r="AD702" s="1" t="s">
        <v>74</v>
      </c>
      <c r="AE702" s="1" t="s">
        <v>74</v>
      </c>
      <c r="AF702" s="1" t="s">
        <v>74</v>
      </c>
      <c r="AG702" s="1" t="s">
        <v>74</v>
      </c>
      <c r="AH702" s="1" t="s">
        <v>74</v>
      </c>
      <c r="AI702" s="1" t="s">
        <v>74</v>
      </c>
      <c r="AJ702" s="1" t="s">
        <v>74</v>
      </c>
      <c r="AK702" s="1" t="s">
        <v>74</v>
      </c>
      <c r="AL702" s="1" t="s">
        <v>74</v>
      </c>
      <c r="AM702" s="1" t="s">
        <v>74</v>
      </c>
      <c r="AN702" s="1" t="s">
        <v>74</v>
      </c>
      <c r="AO702" s="1" t="s">
        <v>6666</v>
      </c>
      <c r="AP702" s="1" t="s">
        <v>6667</v>
      </c>
      <c r="AQ702" s="1" t="s">
        <v>74</v>
      </c>
      <c r="AR702" s="1" t="s">
        <v>74</v>
      </c>
      <c r="AS702" s="1" t="s">
        <v>74</v>
      </c>
      <c r="AT702" s="1" t="s">
        <v>135</v>
      </c>
      <c r="AU702" s="1">
        <v>2020.0</v>
      </c>
      <c r="AV702" s="1">
        <v>74.0</v>
      </c>
      <c r="AW702" s="1">
        <v>8.0</v>
      </c>
      <c r="AX702" s="1" t="s">
        <v>74</v>
      </c>
      <c r="AY702" s="1" t="s">
        <v>74</v>
      </c>
      <c r="AZ702" s="1" t="s">
        <v>74</v>
      </c>
      <c r="BA702" s="1" t="s">
        <v>74</v>
      </c>
      <c r="BB702" s="1">
        <v>2605.0</v>
      </c>
      <c r="BC702" s="1">
        <v>2612.0</v>
      </c>
      <c r="BD702" s="1" t="s">
        <v>74</v>
      </c>
      <c r="BE702" s="1" t="s">
        <v>6668</v>
      </c>
      <c r="BF702" s="2" t="str">
        <f>HYPERLINK("http://dx.doi.org/10.1007/s11696-020-01091-8","http://dx.doi.org/10.1007/s11696-020-01091-8")</f>
        <v>http://dx.doi.org/10.1007/s11696-020-01091-8</v>
      </c>
      <c r="BG702" s="1" t="s">
        <v>74</v>
      </c>
      <c r="BH702" s="1" t="s">
        <v>1957</v>
      </c>
      <c r="BI702" s="1" t="s">
        <v>74</v>
      </c>
      <c r="BJ702" s="1" t="s">
        <v>74</v>
      </c>
      <c r="BK702" s="1" t="s">
        <v>74</v>
      </c>
      <c r="BL702" s="1" t="s">
        <v>74</v>
      </c>
      <c r="BM702" s="1" t="s">
        <v>74</v>
      </c>
      <c r="BN702" s="1" t="s">
        <v>74</v>
      </c>
      <c r="BO702" s="1" t="s">
        <v>74</v>
      </c>
      <c r="BP702" s="1" t="s">
        <v>74</v>
      </c>
      <c r="BQ702" s="1" t="s">
        <v>74</v>
      </c>
      <c r="BR702" s="1" t="s">
        <v>74</v>
      </c>
      <c r="BS702" s="1" t="s">
        <v>6669</v>
      </c>
      <c r="BT702" s="1" t="str">
        <f>HYPERLINK("https%3A%2F%2Fwww.webofscience.com%2Fwos%2Fwoscc%2Ffull-record%2FWOS:000516389000001","View Full Record in Web of Science")</f>
        <v>View Full Record in Web of Science</v>
      </c>
    </row>
    <row r="703" ht="12.75" customHeight="1">
      <c r="A703" s="1" t="s">
        <v>251</v>
      </c>
      <c r="B703" s="1" t="s">
        <v>6670</v>
      </c>
      <c r="C703" s="1" t="s">
        <v>74</v>
      </c>
      <c r="D703" s="1" t="s">
        <v>74</v>
      </c>
      <c r="E703" s="1" t="s">
        <v>253</v>
      </c>
      <c r="F703" s="1" t="s">
        <v>6671</v>
      </c>
      <c r="G703" s="1" t="s">
        <v>74</v>
      </c>
      <c r="H703" s="1" t="s">
        <v>74</v>
      </c>
      <c r="I703" s="1" t="s">
        <v>6672</v>
      </c>
      <c r="J703" s="1" t="s">
        <v>2704</v>
      </c>
      <c r="K703" s="1" t="s">
        <v>74</v>
      </c>
      <c r="L703" s="1" t="s">
        <v>74</v>
      </c>
      <c r="M703" s="1" t="s">
        <v>74</v>
      </c>
      <c r="N703" s="1" t="s">
        <v>74</v>
      </c>
      <c r="O703" s="1" t="s">
        <v>2705</v>
      </c>
      <c r="P703" s="1" t="s">
        <v>2706</v>
      </c>
      <c r="Q703" s="1" t="s">
        <v>2707</v>
      </c>
      <c r="R703" s="1" t="s">
        <v>2708</v>
      </c>
      <c r="S703" s="1" t="s">
        <v>74</v>
      </c>
      <c r="T703" s="1" t="s">
        <v>74</v>
      </c>
      <c r="U703" s="1" t="s">
        <v>74</v>
      </c>
      <c r="V703" s="1" t="s">
        <v>6673</v>
      </c>
      <c r="W703" s="1" t="s">
        <v>74</v>
      </c>
      <c r="X703" s="1" t="s">
        <v>74</v>
      </c>
      <c r="Y703" s="1" t="s">
        <v>74</v>
      </c>
      <c r="Z703" s="1" t="s">
        <v>74</v>
      </c>
      <c r="AA703" s="1" t="s">
        <v>74</v>
      </c>
      <c r="AB703" s="1" t="s">
        <v>74</v>
      </c>
      <c r="AC703" s="1" t="s">
        <v>74</v>
      </c>
      <c r="AD703" s="1" t="s">
        <v>74</v>
      </c>
      <c r="AE703" s="1" t="s">
        <v>74</v>
      </c>
      <c r="AF703" s="1" t="s">
        <v>74</v>
      </c>
      <c r="AG703" s="1" t="s">
        <v>74</v>
      </c>
      <c r="AH703" s="1" t="s">
        <v>74</v>
      </c>
      <c r="AI703" s="1" t="s">
        <v>74</v>
      </c>
      <c r="AJ703" s="1" t="s">
        <v>74</v>
      </c>
      <c r="AK703" s="1" t="s">
        <v>74</v>
      </c>
      <c r="AL703" s="1" t="s">
        <v>74</v>
      </c>
      <c r="AM703" s="1" t="s">
        <v>74</v>
      </c>
      <c r="AN703" s="1" t="s">
        <v>74</v>
      </c>
      <c r="AO703" s="1" t="s">
        <v>74</v>
      </c>
      <c r="AP703" s="1" t="s">
        <v>74</v>
      </c>
      <c r="AQ703" s="1" t="s">
        <v>2712</v>
      </c>
      <c r="AR703" s="1" t="s">
        <v>74</v>
      </c>
      <c r="AS703" s="1" t="s">
        <v>74</v>
      </c>
      <c r="AT703" s="1" t="s">
        <v>74</v>
      </c>
      <c r="AU703" s="1">
        <v>2020.0</v>
      </c>
      <c r="AV703" s="1" t="s">
        <v>74</v>
      </c>
      <c r="AW703" s="1" t="s">
        <v>74</v>
      </c>
      <c r="AX703" s="1" t="s">
        <v>74</v>
      </c>
      <c r="AY703" s="1" t="s">
        <v>74</v>
      </c>
      <c r="AZ703" s="1" t="s">
        <v>74</v>
      </c>
      <c r="BA703" s="1" t="s">
        <v>74</v>
      </c>
      <c r="BB703" s="1">
        <v>49.0</v>
      </c>
      <c r="BC703" s="1">
        <v>54.0</v>
      </c>
      <c r="BD703" s="1" t="s">
        <v>74</v>
      </c>
      <c r="BE703" s="1" t="s">
        <v>6674</v>
      </c>
      <c r="BF703" s="2" t="str">
        <f>HYPERLINK("http://dx.doi.org/10.1109/sacvlc50805.2020.9129893","http://dx.doi.org/10.1109/sacvlc50805.2020.9129893")</f>
        <v>http://dx.doi.org/10.1109/sacvlc50805.2020.9129893</v>
      </c>
      <c r="BG703" s="1" t="s">
        <v>74</v>
      </c>
      <c r="BH703" s="1" t="s">
        <v>74</v>
      </c>
      <c r="BI703" s="1" t="s">
        <v>74</v>
      </c>
      <c r="BJ703" s="1" t="s">
        <v>74</v>
      </c>
      <c r="BK703" s="1" t="s">
        <v>74</v>
      </c>
      <c r="BL703" s="1" t="s">
        <v>74</v>
      </c>
      <c r="BM703" s="1" t="s">
        <v>74</v>
      </c>
      <c r="BN703" s="1" t="s">
        <v>74</v>
      </c>
      <c r="BO703" s="1" t="s">
        <v>74</v>
      </c>
      <c r="BP703" s="1" t="s">
        <v>74</v>
      </c>
      <c r="BQ703" s="1" t="s">
        <v>74</v>
      </c>
      <c r="BR703" s="1" t="s">
        <v>74</v>
      </c>
      <c r="BS703" s="1" t="s">
        <v>6675</v>
      </c>
      <c r="BT703" s="1" t="str">
        <f>HYPERLINK("https%3A%2F%2Fwww.webofscience.com%2Fwos%2Fwoscc%2Ffull-record%2FWOS:000856038700010","View Full Record in Web of Science")</f>
        <v>View Full Record in Web of Science</v>
      </c>
    </row>
    <row r="704" ht="12.75" customHeight="1">
      <c r="A704" s="1" t="s">
        <v>72</v>
      </c>
      <c r="B704" s="1" t="s">
        <v>6676</v>
      </c>
      <c r="C704" s="1" t="s">
        <v>74</v>
      </c>
      <c r="D704" s="1" t="s">
        <v>74</v>
      </c>
      <c r="E704" s="1" t="s">
        <v>74</v>
      </c>
      <c r="F704" s="1" t="s">
        <v>6677</v>
      </c>
      <c r="G704" s="1" t="s">
        <v>74</v>
      </c>
      <c r="H704" s="1" t="s">
        <v>74</v>
      </c>
      <c r="I704" s="1" t="s">
        <v>6678</v>
      </c>
      <c r="J704" s="1" t="s">
        <v>6679</v>
      </c>
      <c r="K704" s="1" t="s">
        <v>74</v>
      </c>
      <c r="L704" s="1" t="s">
        <v>74</v>
      </c>
      <c r="M704" s="1" t="s">
        <v>74</v>
      </c>
      <c r="N704" s="1" t="s">
        <v>74</v>
      </c>
      <c r="O704" s="1" t="s">
        <v>74</v>
      </c>
      <c r="P704" s="1" t="s">
        <v>74</v>
      </c>
      <c r="Q704" s="1" t="s">
        <v>74</v>
      </c>
      <c r="R704" s="1" t="s">
        <v>74</v>
      </c>
      <c r="S704" s="1" t="s">
        <v>74</v>
      </c>
      <c r="T704" s="1" t="s">
        <v>74</v>
      </c>
      <c r="U704" s="1" t="s">
        <v>74</v>
      </c>
      <c r="V704" s="1" t="s">
        <v>6680</v>
      </c>
      <c r="W704" s="1" t="s">
        <v>74</v>
      </c>
      <c r="X704" s="1" t="s">
        <v>74</v>
      </c>
      <c r="Y704" s="1" t="s">
        <v>74</v>
      </c>
      <c r="Z704" s="1" t="s">
        <v>74</v>
      </c>
      <c r="AA704" s="1" t="s">
        <v>74</v>
      </c>
      <c r="AB704" s="1" t="s">
        <v>74</v>
      </c>
      <c r="AC704" s="1" t="s">
        <v>74</v>
      </c>
      <c r="AD704" s="1" t="s">
        <v>74</v>
      </c>
      <c r="AE704" s="1" t="s">
        <v>74</v>
      </c>
      <c r="AF704" s="1" t="s">
        <v>74</v>
      </c>
      <c r="AG704" s="1" t="s">
        <v>74</v>
      </c>
      <c r="AH704" s="1" t="s">
        <v>74</v>
      </c>
      <c r="AI704" s="1" t="s">
        <v>74</v>
      </c>
      <c r="AJ704" s="1" t="s">
        <v>74</v>
      </c>
      <c r="AK704" s="1" t="s">
        <v>74</v>
      </c>
      <c r="AL704" s="1" t="s">
        <v>74</v>
      </c>
      <c r="AM704" s="1" t="s">
        <v>74</v>
      </c>
      <c r="AN704" s="1" t="s">
        <v>74</v>
      </c>
      <c r="AO704" s="1" t="s">
        <v>6681</v>
      </c>
      <c r="AP704" s="1" t="s">
        <v>74</v>
      </c>
      <c r="AQ704" s="1" t="s">
        <v>74</v>
      </c>
      <c r="AR704" s="1" t="s">
        <v>74</v>
      </c>
      <c r="AS704" s="1" t="s">
        <v>74</v>
      </c>
      <c r="AT704" s="1" t="s">
        <v>74</v>
      </c>
      <c r="AU704" s="1">
        <v>2020.0</v>
      </c>
      <c r="AV704" s="1">
        <v>11.0</v>
      </c>
      <c r="AW704" s="1">
        <v>5.0</v>
      </c>
      <c r="AX704" s="1" t="s">
        <v>74</v>
      </c>
      <c r="AY704" s="1" t="s">
        <v>74</v>
      </c>
      <c r="AZ704" s="1" t="s">
        <v>74</v>
      </c>
      <c r="BA704" s="1" t="s">
        <v>74</v>
      </c>
      <c r="BB704" s="1" t="s">
        <v>74</v>
      </c>
      <c r="BC704" s="1" t="s">
        <v>74</v>
      </c>
      <c r="BD704" s="1" t="s">
        <v>74</v>
      </c>
      <c r="BE704" s="1" t="s">
        <v>6682</v>
      </c>
      <c r="BF704" s="2" t="str">
        <f>HYPERLINK("http://dx.doi.org/10.18254/S207987840010117-7","http://dx.doi.org/10.18254/S207987840010117-7")</f>
        <v>http://dx.doi.org/10.18254/S207987840010117-7</v>
      </c>
      <c r="BG704" s="1" t="s">
        <v>74</v>
      </c>
      <c r="BH704" s="1" t="s">
        <v>74</v>
      </c>
      <c r="BI704" s="1" t="s">
        <v>74</v>
      </c>
      <c r="BJ704" s="1" t="s">
        <v>74</v>
      </c>
      <c r="BK704" s="1" t="s">
        <v>74</v>
      </c>
      <c r="BL704" s="1" t="s">
        <v>74</v>
      </c>
      <c r="BM704" s="1" t="s">
        <v>74</v>
      </c>
      <c r="BN704" s="1" t="s">
        <v>74</v>
      </c>
      <c r="BO704" s="1" t="s">
        <v>74</v>
      </c>
      <c r="BP704" s="1" t="s">
        <v>74</v>
      </c>
      <c r="BQ704" s="1" t="s">
        <v>74</v>
      </c>
      <c r="BR704" s="1" t="s">
        <v>74</v>
      </c>
      <c r="BS704" s="1" t="s">
        <v>6683</v>
      </c>
      <c r="BT704" s="1" t="str">
        <f>HYPERLINK("https%3A%2F%2Fwww.webofscience.com%2Fwos%2Fwoscc%2Ffull-record%2FWOS:000572044500006","View Full Record in Web of Science")</f>
        <v>View Full Record in Web of Science</v>
      </c>
    </row>
    <row r="705" ht="12.75" customHeight="1">
      <c r="A705" s="1" t="s">
        <v>72</v>
      </c>
      <c r="B705" s="1" t="s">
        <v>6684</v>
      </c>
      <c r="C705" s="1" t="s">
        <v>74</v>
      </c>
      <c r="D705" s="1" t="s">
        <v>74</v>
      </c>
      <c r="E705" s="1" t="s">
        <v>74</v>
      </c>
      <c r="F705" s="1" t="s">
        <v>6685</v>
      </c>
      <c r="G705" s="1" t="s">
        <v>74</v>
      </c>
      <c r="H705" s="1" t="s">
        <v>74</v>
      </c>
      <c r="I705" s="1" t="s">
        <v>6686</v>
      </c>
      <c r="J705" s="1" t="s">
        <v>6687</v>
      </c>
      <c r="K705" s="1" t="s">
        <v>74</v>
      </c>
      <c r="L705" s="1" t="s">
        <v>74</v>
      </c>
      <c r="M705" s="1" t="s">
        <v>74</v>
      </c>
      <c r="N705" s="1" t="s">
        <v>74</v>
      </c>
      <c r="O705" s="1" t="s">
        <v>74</v>
      </c>
      <c r="P705" s="1" t="s">
        <v>74</v>
      </c>
      <c r="Q705" s="1" t="s">
        <v>74</v>
      </c>
      <c r="R705" s="1" t="s">
        <v>74</v>
      </c>
      <c r="S705" s="1" t="s">
        <v>74</v>
      </c>
      <c r="T705" s="1" t="s">
        <v>74</v>
      </c>
      <c r="U705" s="1" t="s">
        <v>74</v>
      </c>
      <c r="V705" s="1" t="s">
        <v>6688</v>
      </c>
      <c r="W705" s="1" t="s">
        <v>74</v>
      </c>
      <c r="X705" s="1" t="s">
        <v>74</v>
      </c>
      <c r="Y705" s="1" t="s">
        <v>74</v>
      </c>
      <c r="Z705" s="1" t="s">
        <v>74</v>
      </c>
      <c r="AA705" s="1" t="s">
        <v>6689</v>
      </c>
      <c r="AB705" s="1" t="s">
        <v>6690</v>
      </c>
      <c r="AC705" s="1" t="s">
        <v>74</v>
      </c>
      <c r="AD705" s="1" t="s">
        <v>74</v>
      </c>
      <c r="AE705" s="1" t="s">
        <v>74</v>
      </c>
      <c r="AF705" s="1" t="s">
        <v>74</v>
      </c>
      <c r="AG705" s="1" t="s">
        <v>74</v>
      </c>
      <c r="AH705" s="1" t="s">
        <v>74</v>
      </c>
      <c r="AI705" s="1" t="s">
        <v>74</v>
      </c>
      <c r="AJ705" s="1" t="s">
        <v>74</v>
      </c>
      <c r="AK705" s="1" t="s">
        <v>74</v>
      </c>
      <c r="AL705" s="1" t="s">
        <v>74</v>
      </c>
      <c r="AM705" s="1" t="s">
        <v>74</v>
      </c>
      <c r="AN705" s="1" t="s">
        <v>74</v>
      </c>
      <c r="AO705" s="1" t="s">
        <v>6691</v>
      </c>
      <c r="AP705" s="1" t="s">
        <v>6692</v>
      </c>
      <c r="AQ705" s="1" t="s">
        <v>74</v>
      </c>
      <c r="AR705" s="1" t="s">
        <v>74</v>
      </c>
      <c r="AS705" s="1" t="s">
        <v>74</v>
      </c>
      <c r="AT705" s="1" t="s">
        <v>1049</v>
      </c>
      <c r="AU705" s="1">
        <v>2019.0</v>
      </c>
      <c r="AV705" s="1">
        <v>55.0</v>
      </c>
      <c r="AW705" s="1">
        <v>11.0</v>
      </c>
      <c r="AX705" s="1" t="s">
        <v>74</v>
      </c>
      <c r="AY705" s="1" t="s">
        <v>74</v>
      </c>
      <c r="AZ705" s="1" t="s">
        <v>74</v>
      </c>
      <c r="BA705" s="1" t="s">
        <v>74</v>
      </c>
      <c r="BB705" s="1">
        <v>1136.0</v>
      </c>
      <c r="BC705" s="1">
        <v>1143.0</v>
      </c>
      <c r="BD705" s="1" t="s">
        <v>74</v>
      </c>
      <c r="BE705" s="1" t="s">
        <v>6693</v>
      </c>
      <c r="BF705" s="2" t="str">
        <f>HYPERLINK("http://dx.doi.org/10.1134/S1023193519110077","http://dx.doi.org/10.1134/S1023193519110077")</f>
        <v>http://dx.doi.org/10.1134/S1023193519110077</v>
      </c>
      <c r="BG705" s="1" t="s">
        <v>74</v>
      </c>
      <c r="BH705" s="1" t="s">
        <v>74</v>
      </c>
      <c r="BI705" s="1" t="s">
        <v>74</v>
      </c>
      <c r="BJ705" s="1" t="s">
        <v>74</v>
      </c>
      <c r="BK705" s="1" t="s">
        <v>74</v>
      </c>
      <c r="BL705" s="1" t="s">
        <v>74</v>
      </c>
      <c r="BM705" s="1" t="s">
        <v>74</v>
      </c>
      <c r="BN705" s="1" t="s">
        <v>74</v>
      </c>
      <c r="BO705" s="1" t="s">
        <v>74</v>
      </c>
      <c r="BP705" s="1" t="s">
        <v>74</v>
      </c>
      <c r="BQ705" s="1" t="s">
        <v>74</v>
      </c>
      <c r="BR705" s="1" t="s">
        <v>74</v>
      </c>
      <c r="BS705" s="1" t="s">
        <v>6694</v>
      </c>
      <c r="BT705" s="1" t="str">
        <f>HYPERLINK("https%3A%2F%2Fwww.webofscience.com%2Fwos%2Fwoscc%2Ffull-record%2FWOS:000510678100012","View Full Record in Web of Science")</f>
        <v>View Full Record in Web of Science</v>
      </c>
    </row>
    <row r="706" ht="12.75" customHeight="1">
      <c r="A706" s="1" t="s">
        <v>72</v>
      </c>
      <c r="B706" s="1" t="s">
        <v>6695</v>
      </c>
      <c r="C706" s="1" t="s">
        <v>74</v>
      </c>
      <c r="D706" s="1" t="s">
        <v>74</v>
      </c>
      <c r="E706" s="1" t="s">
        <v>74</v>
      </c>
      <c r="F706" s="1" t="s">
        <v>6696</v>
      </c>
      <c r="G706" s="1" t="s">
        <v>74</v>
      </c>
      <c r="H706" s="1" t="s">
        <v>74</v>
      </c>
      <c r="I706" s="1" t="s">
        <v>6697</v>
      </c>
      <c r="J706" s="1" t="s">
        <v>582</v>
      </c>
      <c r="K706" s="1" t="s">
        <v>74</v>
      </c>
      <c r="L706" s="1" t="s">
        <v>74</v>
      </c>
      <c r="M706" s="1" t="s">
        <v>74</v>
      </c>
      <c r="N706" s="1" t="s">
        <v>74</v>
      </c>
      <c r="O706" s="1" t="s">
        <v>74</v>
      </c>
      <c r="P706" s="1" t="s">
        <v>74</v>
      </c>
      <c r="Q706" s="1" t="s">
        <v>74</v>
      </c>
      <c r="R706" s="1" t="s">
        <v>74</v>
      </c>
      <c r="S706" s="1" t="s">
        <v>74</v>
      </c>
      <c r="T706" s="1" t="s">
        <v>74</v>
      </c>
      <c r="U706" s="1" t="s">
        <v>74</v>
      </c>
      <c r="V706" s="1" t="s">
        <v>6698</v>
      </c>
      <c r="W706" s="1" t="s">
        <v>74</v>
      </c>
      <c r="X706" s="1" t="s">
        <v>74</v>
      </c>
      <c r="Y706" s="1" t="s">
        <v>74</v>
      </c>
      <c r="Z706" s="1" t="s">
        <v>74</v>
      </c>
      <c r="AA706" s="1" t="s">
        <v>5747</v>
      </c>
      <c r="AB706" s="1" t="s">
        <v>74</v>
      </c>
      <c r="AC706" s="1" t="s">
        <v>74</v>
      </c>
      <c r="AD706" s="1" t="s">
        <v>74</v>
      </c>
      <c r="AE706" s="1" t="s">
        <v>74</v>
      </c>
      <c r="AF706" s="1" t="s">
        <v>74</v>
      </c>
      <c r="AG706" s="1" t="s">
        <v>74</v>
      </c>
      <c r="AH706" s="1" t="s">
        <v>74</v>
      </c>
      <c r="AI706" s="1" t="s">
        <v>74</v>
      </c>
      <c r="AJ706" s="1" t="s">
        <v>74</v>
      </c>
      <c r="AK706" s="1" t="s">
        <v>74</v>
      </c>
      <c r="AL706" s="1" t="s">
        <v>74</v>
      </c>
      <c r="AM706" s="1" t="s">
        <v>74</v>
      </c>
      <c r="AN706" s="1" t="s">
        <v>74</v>
      </c>
      <c r="AO706" s="1" t="s">
        <v>585</v>
      </c>
      <c r="AP706" s="1" t="s">
        <v>74</v>
      </c>
      <c r="AQ706" s="1" t="s">
        <v>74</v>
      </c>
      <c r="AR706" s="1" t="s">
        <v>74</v>
      </c>
      <c r="AS706" s="1" t="s">
        <v>74</v>
      </c>
      <c r="AT706" s="1" t="s">
        <v>215</v>
      </c>
      <c r="AU706" s="1">
        <v>2019.0</v>
      </c>
      <c r="AV706" s="1">
        <v>64.0</v>
      </c>
      <c r="AW706" s="1">
        <v>2.0</v>
      </c>
      <c r="AX706" s="1" t="s">
        <v>74</v>
      </c>
      <c r="AY706" s="1" t="s">
        <v>74</v>
      </c>
      <c r="AZ706" s="1" t="s">
        <v>74</v>
      </c>
      <c r="BA706" s="1" t="s">
        <v>74</v>
      </c>
      <c r="BB706" s="1">
        <v>4407.0</v>
      </c>
      <c r="BC706" s="1">
        <v>4411.0</v>
      </c>
      <c r="BD706" s="1" t="s">
        <v>74</v>
      </c>
      <c r="BE706" s="1" t="s">
        <v>6699</v>
      </c>
      <c r="BF706" s="2" t="str">
        <f>HYPERLINK("http://dx.doi.org/10.4067/S0717-97072019000204407","http://dx.doi.org/10.4067/S0717-97072019000204407")</f>
        <v>http://dx.doi.org/10.4067/S0717-97072019000204407</v>
      </c>
      <c r="BG706" s="1" t="s">
        <v>74</v>
      </c>
      <c r="BH706" s="1" t="s">
        <v>74</v>
      </c>
      <c r="BI706" s="1" t="s">
        <v>74</v>
      </c>
      <c r="BJ706" s="1" t="s">
        <v>74</v>
      </c>
      <c r="BK706" s="1" t="s">
        <v>74</v>
      </c>
      <c r="BL706" s="1" t="s">
        <v>74</v>
      </c>
      <c r="BM706" s="1" t="s">
        <v>74</v>
      </c>
      <c r="BN706" s="1" t="s">
        <v>74</v>
      </c>
      <c r="BO706" s="1" t="s">
        <v>74</v>
      </c>
      <c r="BP706" s="1" t="s">
        <v>74</v>
      </c>
      <c r="BQ706" s="1" t="s">
        <v>74</v>
      </c>
      <c r="BR706" s="1" t="s">
        <v>74</v>
      </c>
      <c r="BS706" s="1" t="s">
        <v>6700</v>
      </c>
      <c r="BT706" s="1" t="str">
        <f>HYPERLINK("https%3A%2F%2Fwww.webofscience.com%2Fwos%2Fwoscc%2Ffull-record%2FWOS:000489282100002","View Full Record in Web of Science")</f>
        <v>View Full Record in Web of Science</v>
      </c>
    </row>
    <row r="707" ht="12.75" customHeight="1">
      <c r="A707" s="1" t="s">
        <v>72</v>
      </c>
      <c r="B707" s="1" t="s">
        <v>6701</v>
      </c>
      <c r="C707" s="1" t="s">
        <v>74</v>
      </c>
      <c r="D707" s="1" t="s">
        <v>74</v>
      </c>
      <c r="E707" s="1" t="s">
        <v>74</v>
      </c>
      <c r="F707" s="1" t="s">
        <v>6702</v>
      </c>
      <c r="G707" s="1" t="s">
        <v>74</v>
      </c>
      <c r="H707" s="1" t="s">
        <v>74</v>
      </c>
      <c r="I707" s="1" t="s">
        <v>6703</v>
      </c>
      <c r="J707" s="1" t="s">
        <v>6704</v>
      </c>
      <c r="K707" s="1" t="s">
        <v>74</v>
      </c>
      <c r="L707" s="1" t="s">
        <v>74</v>
      </c>
      <c r="M707" s="1" t="s">
        <v>74</v>
      </c>
      <c r="N707" s="1" t="s">
        <v>74</v>
      </c>
      <c r="O707" s="1" t="s">
        <v>6705</v>
      </c>
      <c r="P707" s="1" t="s">
        <v>6706</v>
      </c>
      <c r="Q707" s="1" t="s">
        <v>6707</v>
      </c>
      <c r="R707" s="1" t="s">
        <v>74</v>
      </c>
      <c r="S707" s="1" t="s">
        <v>74</v>
      </c>
      <c r="T707" s="1" t="s">
        <v>74</v>
      </c>
      <c r="U707" s="1" t="s">
        <v>74</v>
      </c>
      <c r="V707" s="1" t="s">
        <v>74</v>
      </c>
      <c r="W707" s="1" t="s">
        <v>74</v>
      </c>
      <c r="X707" s="1" t="s">
        <v>74</v>
      </c>
      <c r="Y707" s="1" t="s">
        <v>74</v>
      </c>
      <c r="Z707" s="1" t="s">
        <v>74</v>
      </c>
      <c r="AA707" s="1" t="s">
        <v>6708</v>
      </c>
      <c r="AB707" s="1" t="s">
        <v>6709</v>
      </c>
      <c r="AC707" s="1" t="s">
        <v>74</v>
      </c>
      <c r="AD707" s="1" t="s">
        <v>74</v>
      </c>
      <c r="AE707" s="1" t="s">
        <v>74</v>
      </c>
      <c r="AF707" s="1" t="s">
        <v>74</v>
      </c>
      <c r="AG707" s="1" t="s">
        <v>74</v>
      </c>
      <c r="AH707" s="1" t="s">
        <v>74</v>
      </c>
      <c r="AI707" s="1" t="s">
        <v>74</v>
      </c>
      <c r="AJ707" s="1" t="s">
        <v>74</v>
      </c>
      <c r="AK707" s="1" t="s">
        <v>74</v>
      </c>
      <c r="AL707" s="1" t="s">
        <v>74</v>
      </c>
      <c r="AM707" s="1" t="s">
        <v>74</v>
      </c>
      <c r="AN707" s="1" t="s">
        <v>74</v>
      </c>
      <c r="AO707" s="1" t="s">
        <v>6710</v>
      </c>
      <c r="AP707" s="1" t="s">
        <v>6711</v>
      </c>
      <c r="AQ707" s="1" t="s">
        <v>74</v>
      </c>
      <c r="AR707" s="1" t="s">
        <v>74</v>
      </c>
      <c r="AS707" s="1" t="s">
        <v>74</v>
      </c>
      <c r="AT707" s="1" t="s">
        <v>88</v>
      </c>
      <c r="AU707" s="1">
        <v>2019.0</v>
      </c>
      <c r="AV707" s="1">
        <v>19.0</v>
      </c>
      <c r="AW707" s="1" t="s">
        <v>74</v>
      </c>
      <c r="AX707" s="1" t="s">
        <v>74</v>
      </c>
      <c r="AY707" s="1">
        <v>3.0</v>
      </c>
      <c r="AZ707" s="1" t="s">
        <v>411</v>
      </c>
      <c r="BA707" s="1" t="s">
        <v>6712</v>
      </c>
      <c r="BB707" s="1">
        <v>984.0</v>
      </c>
      <c r="BC707" s="1">
        <v>984.0</v>
      </c>
      <c r="BD707" s="1" t="s">
        <v>74</v>
      </c>
      <c r="BE707" s="1" t="s">
        <v>74</v>
      </c>
      <c r="BF707" s="1" t="s">
        <v>74</v>
      </c>
      <c r="BG707" s="1" t="s">
        <v>74</v>
      </c>
      <c r="BH707" s="1" t="s">
        <v>74</v>
      </c>
      <c r="BI707" s="1" t="s">
        <v>74</v>
      </c>
      <c r="BJ707" s="1" t="s">
        <v>74</v>
      </c>
      <c r="BK707" s="1" t="s">
        <v>74</v>
      </c>
      <c r="BL707" s="1" t="s">
        <v>74</v>
      </c>
      <c r="BM707" s="1" t="s">
        <v>74</v>
      </c>
      <c r="BN707" s="1" t="s">
        <v>74</v>
      </c>
      <c r="BO707" s="1" t="s">
        <v>74</v>
      </c>
      <c r="BP707" s="1" t="s">
        <v>74</v>
      </c>
      <c r="BQ707" s="1" t="s">
        <v>74</v>
      </c>
      <c r="BR707" s="1" t="s">
        <v>74</v>
      </c>
      <c r="BS707" s="1" t="s">
        <v>6713</v>
      </c>
      <c r="BT707" s="1" t="str">
        <f>HYPERLINK("https%3A%2F%2Fwww.webofscience.com%2Fwos%2Fwoscc%2Ffull-record%2FWOS:000474897603200","View Full Record in Web of Science")</f>
        <v>View Full Record in Web of Science</v>
      </c>
    </row>
    <row r="708" ht="12.75" customHeight="1">
      <c r="A708" s="1" t="s">
        <v>72</v>
      </c>
      <c r="B708" s="1" t="s">
        <v>6714</v>
      </c>
      <c r="C708" s="1" t="s">
        <v>74</v>
      </c>
      <c r="D708" s="1" t="s">
        <v>74</v>
      </c>
      <c r="E708" s="1" t="s">
        <v>74</v>
      </c>
      <c r="F708" s="1" t="s">
        <v>6715</v>
      </c>
      <c r="G708" s="1" t="s">
        <v>74</v>
      </c>
      <c r="H708" s="1" t="s">
        <v>74</v>
      </c>
      <c r="I708" s="1" t="s">
        <v>6716</v>
      </c>
      <c r="J708" s="1" t="s">
        <v>2054</v>
      </c>
      <c r="K708" s="1" t="s">
        <v>74</v>
      </c>
      <c r="L708" s="1" t="s">
        <v>74</v>
      </c>
      <c r="M708" s="1" t="s">
        <v>74</v>
      </c>
      <c r="N708" s="1" t="s">
        <v>74</v>
      </c>
      <c r="O708" s="1" t="s">
        <v>74</v>
      </c>
      <c r="P708" s="1" t="s">
        <v>74</v>
      </c>
      <c r="Q708" s="1" t="s">
        <v>74</v>
      </c>
      <c r="R708" s="1" t="s">
        <v>74</v>
      </c>
      <c r="S708" s="1" t="s">
        <v>74</v>
      </c>
      <c r="T708" s="1" t="s">
        <v>74</v>
      </c>
      <c r="U708" s="1" t="s">
        <v>74</v>
      </c>
      <c r="V708" s="1" t="s">
        <v>6717</v>
      </c>
      <c r="W708" s="1" t="s">
        <v>74</v>
      </c>
      <c r="X708" s="1" t="s">
        <v>74</v>
      </c>
      <c r="Y708" s="1" t="s">
        <v>74</v>
      </c>
      <c r="Z708" s="1" t="s">
        <v>74</v>
      </c>
      <c r="AA708" s="1" t="s">
        <v>6718</v>
      </c>
      <c r="AB708" s="1" t="s">
        <v>6719</v>
      </c>
      <c r="AC708" s="1" t="s">
        <v>74</v>
      </c>
      <c r="AD708" s="1" t="s">
        <v>74</v>
      </c>
      <c r="AE708" s="1" t="s">
        <v>74</v>
      </c>
      <c r="AF708" s="1" t="s">
        <v>74</v>
      </c>
      <c r="AG708" s="1" t="s">
        <v>74</v>
      </c>
      <c r="AH708" s="1" t="s">
        <v>74</v>
      </c>
      <c r="AI708" s="1" t="s">
        <v>74</v>
      </c>
      <c r="AJ708" s="1" t="s">
        <v>74</v>
      </c>
      <c r="AK708" s="1" t="s">
        <v>74</v>
      </c>
      <c r="AL708" s="1" t="s">
        <v>74</v>
      </c>
      <c r="AM708" s="1" t="s">
        <v>74</v>
      </c>
      <c r="AN708" s="1" t="s">
        <v>74</v>
      </c>
      <c r="AO708" s="1" t="s">
        <v>2058</v>
      </c>
      <c r="AP708" s="1" t="s">
        <v>2059</v>
      </c>
      <c r="AQ708" s="1" t="s">
        <v>74</v>
      </c>
      <c r="AR708" s="1" t="s">
        <v>74</v>
      </c>
      <c r="AS708" s="1" t="s">
        <v>74</v>
      </c>
      <c r="AT708" s="1" t="s">
        <v>6720</v>
      </c>
      <c r="AU708" s="1">
        <v>2019.0</v>
      </c>
      <c r="AV708" s="1">
        <v>199.0</v>
      </c>
      <c r="AW708" s="1" t="s">
        <v>74</v>
      </c>
      <c r="AX708" s="1" t="s">
        <v>74</v>
      </c>
      <c r="AY708" s="1" t="s">
        <v>74</v>
      </c>
      <c r="AZ708" s="1" t="s">
        <v>74</v>
      </c>
      <c r="BA708" s="1" t="s">
        <v>74</v>
      </c>
      <c r="BB708" s="1">
        <v>82.0</v>
      </c>
      <c r="BC708" s="1">
        <v>91.0</v>
      </c>
      <c r="BD708" s="1" t="s">
        <v>74</v>
      </c>
      <c r="BE708" s="1" t="s">
        <v>6721</v>
      </c>
      <c r="BF708" s="2" t="str">
        <f>HYPERLINK("http://dx.doi.org/10.1016/j.conbuildmat.2018.12.013","http://dx.doi.org/10.1016/j.conbuildmat.2018.12.013")</f>
        <v>http://dx.doi.org/10.1016/j.conbuildmat.2018.12.013</v>
      </c>
      <c r="BG708" s="1" t="s">
        <v>74</v>
      </c>
      <c r="BH708" s="1" t="s">
        <v>74</v>
      </c>
      <c r="BI708" s="1" t="s">
        <v>74</v>
      </c>
      <c r="BJ708" s="1" t="s">
        <v>74</v>
      </c>
      <c r="BK708" s="1" t="s">
        <v>74</v>
      </c>
      <c r="BL708" s="1" t="s">
        <v>74</v>
      </c>
      <c r="BM708" s="1" t="s">
        <v>74</v>
      </c>
      <c r="BN708" s="1" t="s">
        <v>74</v>
      </c>
      <c r="BO708" s="1" t="s">
        <v>74</v>
      </c>
      <c r="BP708" s="1" t="s">
        <v>74</v>
      </c>
      <c r="BQ708" s="1" t="s">
        <v>74</v>
      </c>
      <c r="BR708" s="1" t="s">
        <v>74</v>
      </c>
      <c r="BS708" s="1" t="s">
        <v>6722</v>
      </c>
      <c r="BT708" s="1" t="str">
        <f>HYPERLINK("https%3A%2F%2Fwww.webofscience.com%2Fwos%2Fwoscc%2Ffull-record%2FWOS:000458221600008","View Full Record in Web of Science")</f>
        <v>View Full Record in Web of Science</v>
      </c>
    </row>
    <row r="709" ht="12.75" customHeight="1">
      <c r="A709" s="1" t="s">
        <v>72</v>
      </c>
      <c r="B709" s="1" t="s">
        <v>6723</v>
      </c>
      <c r="C709" s="1" t="s">
        <v>74</v>
      </c>
      <c r="D709" s="1" t="s">
        <v>74</v>
      </c>
      <c r="E709" s="1" t="s">
        <v>74</v>
      </c>
      <c r="F709" s="1" t="s">
        <v>6724</v>
      </c>
      <c r="G709" s="1" t="s">
        <v>74</v>
      </c>
      <c r="H709" s="1" t="s">
        <v>74</v>
      </c>
      <c r="I709" s="1" t="s">
        <v>6725</v>
      </c>
      <c r="J709" s="1" t="s">
        <v>6726</v>
      </c>
      <c r="K709" s="1" t="s">
        <v>74</v>
      </c>
      <c r="L709" s="1" t="s">
        <v>74</v>
      </c>
      <c r="M709" s="1" t="s">
        <v>74</v>
      </c>
      <c r="N709" s="1" t="s">
        <v>74</v>
      </c>
      <c r="O709" s="1" t="s">
        <v>74</v>
      </c>
      <c r="P709" s="1" t="s">
        <v>74</v>
      </c>
      <c r="Q709" s="1" t="s">
        <v>74</v>
      </c>
      <c r="R709" s="1" t="s">
        <v>74</v>
      </c>
      <c r="S709" s="1" t="s">
        <v>74</v>
      </c>
      <c r="T709" s="1" t="s">
        <v>74</v>
      </c>
      <c r="U709" s="1" t="s">
        <v>74</v>
      </c>
      <c r="V709" s="1" t="s">
        <v>6727</v>
      </c>
      <c r="W709" s="1" t="s">
        <v>74</v>
      </c>
      <c r="X709" s="1" t="s">
        <v>74</v>
      </c>
      <c r="Y709" s="1" t="s">
        <v>74</v>
      </c>
      <c r="Z709" s="1" t="s">
        <v>74</v>
      </c>
      <c r="AA709" s="1" t="s">
        <v>6728</v>
      </c>
      <c r="AB709" s="1" t="s">
        <v>74</v>
      </c>
      <c r="AC709" s="1" t="s">
        <v>74</v>
      </c>
      <c r="AD709" s="1" t="s">
        <v>74</v>
      </c>
      <c r="AE709" s="1" t="s">
        <v>74</v>
      </c>
      <c r="AF709" s="1" t="s">
        <v>74</v>
      </c>
      <c r="AG709" s="1" t="s">
        <v>74</v>
      </c>
      <c r="AH709" s="1" t="s">
        <v>74</v>
      </c>
      <c r="AI709" s="1" t="s">
        <v>74</v>
      </c>
      <c r="AJ709" s="1" t="s">
        <v>74</v>
      </c>
      <c r="AK709" s="1" t="s">
        <v>74</v>
      </c>
      <c r="AL709" s="1" t="s">
        <v>74</v>
      </c>
      <c r="AM709" s="1" t="s">
        <v>74</v>
      </c>
      <c r="AN709" s="1" t="s">
        <v>74</v>
      </c>
      <c r="AO709" s="1" t="s">
        <v>6729</v>
      </c>
      <c r="AP709" s="1" t="s">
        <v>6730</v>
      </c>
      <c r="AQ709" s="1" t="s">
        <v>74</v>
      </c>
      <c r="AR709" s="1" t="s">
        <v>74</v>
      </c>
      <c r="AS709" s="1" t="s">
        <v>74</v>
      </c>
      <c r="AT709" s="1" t="s">
        <v>74</v>
      </c>
      <c r="AU709" s="1">
        <v>2019.0</v>
      </c>
      <c r="AV709" s="1">
        <v>79.0</v>
      </c>
      <c r="AW709" s="1">
        <v>277.0</v>
      </c>
      <c r="AX709" s="1" t="s">
        <v>74</v>
      </c>
      <c r="AY709" s="1" t="s">
        <v>74</v>
      </c>
      <c r="AZ709" s="1" t="s">
        <v>74</v>
      </c>
      <c r="BA709" s="1" t="s">
        <v>74</v>
      </c>
      <c r="BB709" s="1">
        <v>827.0</v>
      </c>
      <c r="BC709" s="1">
        <v>861.0</v>
      </c>
      <c r="BD709" s="1" t="s">
        <v>74</v>
      </c>
      <c r="BE709" s="1" t="s">
        <v>6731</v>
      </c>
      <c r="BF709" s="2" t="str">
        <f>HYPERLINK("http://dx.doi.org/10.3989/revindias.2019.024","http://dx.doi.org/10.3989/revindias.2019.024")</f>
        <v>http://dx.doi.org/10.3989/revindias.2019.024</v>
      </c>
      <c r="BG709" s="1" t="s">
        <v>74</v>
      </c>
      <c r="BH709" s="1" t="s">
        <v>74</v>
      </c>
      <c r="BI709" s="1" t="s">
        <v>74</v>
      </c>
      <c r="BJ709" s="1" t="s">
        <v>74</v>
      </c>
      <c r="BK709" s="1" t="s">
        <v>74</v>
      </c>
      <c r="BL709" s="1" t="s">
        <v>74</v>
      </c>
      <c r="BM709" s="1" t="s">
        <v>74</v>
      </c>
      <c r="BN709" s="1" t="s">
        <v>74</v>
      </c>
      <c r="BO709" s="1" t="s">
        <v>74</v>
      </c>
      <c r="BP709" s="1" t="s">
        <v>74</v>
      </c>
      <c r="BQ709" s="1" t="s">
        <v>74</v>
      </c>
      <c r="BR709" s="1" t="s">
        <v>74</v>
      </c>
      <c r="BS709" s="1" t="s">
        <v>6732</v>
      </c>
      <c r="BT709" s="1" t="str">
        <f>HYPERLINK("https%3A%2F%2Fwww.webofscience.com%2Fwos%2Fwoscc%2Ffull-record%2FWOS:000502242800007","View Full Record in Web of Science")</f>
        <v>View Full Record in Web of Science</v>
      </c>
    </row>
    <row r="710" ht="12.75" customHeight="1">
      <c r="A710" s="1" t="s">
        <v>72</v>
      </c>
      <c r="B710" s="1" t="s">
        <v>6733</v>
      </c>
      <c r="C710" s="1" t="s">
        <v>74</v>
      </c>
      <c r="D710" s="1" t="s">
        <v>74</v>
      </c>
      <c r="E710" s="1" t="s">
        <v>74</v>
      </c>
      <c r="F710" s="1" t="s">
        <v>6734</v>
      </c>
      <c r="G710" s="1" t="s">
        <v>74</v>
      </c>
      <c r="H710" s="1" t="s">
        <v>74</v>
      </c>
      <c r="I710" s="1" t="s">
        <v>6735</v>
      </c>
      <c r="J710" s="1" t="s">
        <v>305</v>
      </c>
      <c r="K710" s="1" t="s">
        <v>74</v>
      </c>
      <c r="L710" s="1" t="s">
        <v>74</v>
      </c>
      <c r="M710" s="1" t="s">
        <v>74</v>
      </c>
      <c r="N710" s="1" t="s">
        <v>74</v>
      </c>
      <c r="O710" s="1" t="s">
        <v>74</v>
      </c>
      <c r="P710" s="1" t="s">
        <v>74</v>
      </c>
      <c r="Q710" s="1" t="s">
        <v>74</v>
      </c>
      <c r="R710" s="1" t="s">
        <v>74</v>
      </c>
      <c r="S710" s="1" t="s">
        <v>74</v>
      </c>
      <c r="T710" s="1" t="s">
        <v>74</v>
      </c>
      <c r="U710" s="1" t="s">
        <v>74</v>
      </c>
      <c r="V710" s="1" t="s">
        <v>6736</v>
      </c>
      <c r="W710" s="1" t="s">
        <v>74</v>
      </c>
      <c r="X710" s="1" t="s">
        <v>74</v>
      </c>
      <c r="Y710" s="1" t="s">
        <v>74</v>
      </c>
      <c r="Z710" s="1" t="s">
        <v>74</v>
      </c>
      <c r="AA710" s="1" t="s">
        <v>6737</v>
      </c>
      <c r="AB710" s="1" t="s">
        <v>6738</v>
      </c>
      <c r="AC710" s="1" t="s">
        <v>74</v>
      </c>
      <c r="AD710" s="1" t="s">
        <v>74</v>
      </c>
      <c r="AE710" s="1" t="s">
        <v>74</v>
      </c>
      <c r="AF710" s="1" t="s">
        <v>74</v>
      </c>
      <c r="AG710" s="1" t="s">
        <v>74</v>
      </c>
      <c r="AH710" s="1" t="s">
        <v>74</v>
      </c>
      <c r="AI710" s="1" t="s">
        <v>74</v>
      </c>
      <c r="AJ710" s="1" t="s">
        <v>74</v>
      </c>
      <c r="AK710" s="1" t="s">
        <v>74</v>
      </c>
      <c r="AL710" s="1" t="s">
        <v>74</v>
      </c>
      <c r="AM710" s="1" t="s">
        <v>74</v>
      </c>
      <c r="AN710" s="1" t="s">
        <v>74</v>
      </c>
      <c r="AO710" s="1" t="s">
        <v>309</v>
      </c>
      <c r="AP710" s="1" t="s">
        <v>74</v>
      </c>
      <c r="AQ710" s="1" t="s">
        <v>74</v>
      </c>
      <c r="AR710" s="1" t="s">
        <v>74</v>
      </c>
      <c r="AS710" s="1" t="s">
        <v>74</v>
      </c>
      <c r="AT710" s="1" t="s">
        <v>6739</v>
      </c>
      <c r="AU710" s="1">
        <v>2019.0</v>
      </c>
      <c r="AV710" s="1">
        <v>24.0</v>
      </c>
      <c r="AW710" s="1">
        <v>1.0</v>
      </c>
      <c r="AX710" s="1" t="s">
        <v>74</v>
      </c>
      <c r="AY710" s="1" t="s">
        <v>74</v>
      </c>
      <c r="AZ710" s="1" t="s">
        <v>74</v>
      </c>
      <c r="BA710" s="1" t="s">
        <v>74</v>
      </c>
      <c r="BB710" s="1" t="s">
        <v>74</v>
      </c>
      <c r="BC710" s="1" t="s">
        <v>74</v>
      </c>
      <c r="BD710" s="1">
        <v>126.0</v>
      </c>
      <c r="BE710" s="1" t="s">
        <v>6740</v>
      </c>
      <c r="BF710" s="2" t="str">
        <f>HYPERLINK("http://dx.doi.org/10.3390/molecules24010126","http://dx.doi.org/10.3390/molecules24010126")</f>
        <v>http://dx.doi.org/10.3390/molecules24010126</v>
      </c>
      <c r="BG710" s="1" t="s">
        <v>74</v>
      </c>
      <c r="BH710" s="1" t="s">
        <v>74</v>
      </c>
      <c r="BI710" s="1" t="s">
        <v>74</v>
      </c>
      <c r="BJ710" s="1" t="s">
        <v>74</v>
      </c>
      <c r="BK710" s="1" t="s">
        <v>74</v>
      </c>
      <c r="BL710" s="1" t="s">
        <v>74</v>
      </c>
      <c r="BM710" s="1" t="s">
        <v>74</v>
      </c>
      <c r="BN710" s="1">
        <v>3.0602678E7</v>
      </c>
      <c r="BO710" s="1" t="s">
        <v>74</v>
      </c>
      <c r="BP710" s="1" t="s">
        <v>74</v>
      </c>
      <c r="BQ710" s="1" t="s">
        <v>74</v>
      </c>
      <c r="BR710" s="1" t="s">
        <v>74</v>
      </c>
      <c r="BS710" s="1" t="s">
        <v>6741</v>
      </c>
      <c r="BT710" s="1" t="str">
        <f>HYPERLINK("https%3A%2F%2Fwww.webofscience.com%2Fwos%2Fwoscc%2Ffull-record%2FWOS:000457150200126","View Full Record in Web of Science")</f>
        <v>View Full Record in Web of Science</v>
      </c>
    </row>
    <row r="711" ht="12.75" customHeight="1">
      <c r="A711" s="1" t="s">
        <v>72</v>
      </c>
      <c r="B711" s="1" t="s">
        <v>6742</v>
      </c>
      <c r="C711" s="1" t="s">
        <v>74</v>
      </c>
      <c r="D711" s="1" t="s">
        <v>74</v>
      </c>
      <c r="E711" s="1" t="s">
        <v>74</v>
      </c>
      <c r="F711" s="1" t="s">
        <v>6743</v>
      </c>
      <c r="G711" s="1" t="s">
        <v>74</v>
      </c>
      <c r="H711" s="1" t="s">
        <v>74</v>
      </c>
      <c r="I711" s="1" t="s">
        <v>6744</v>
      </c>
      <c r="J711" s="1" t="s">
        <v>5967</v>
      </c>
      <c r="K711" s="1" t="s">
        <v>74</v>
      </c>
      <c r="L711" s="1" t="s">
        <v>74</v>
      </c>
      <c r="M711" s="1" t="s">
        <v>74</v>
      </c>
      <c r="N711" s="1" t="s">
        <v>74</v>
      </c>
      <c r="O711" s="1" t="s">
        <v>74</v>
      </c>
      <c r="P711" s="1" t="s">
        <v>74</v>
      </c>
      <c r="Q711" s="1" t="s">
        <v>74</v>
      </c>
      <c r="R711" s="1" t="s">
        <v>74</v>
      </c>
      <c r="S711" s="1" t="s">
        <v>74</v>
      </c>
      <c r="T711" s="1" t="s">
        <v>74</v>
      </c>
      <c r="U711" s="1" t="s">
        <v>74</v>
      </c>
      <c r="V711" s="1" t="s">
        <v>6745</v>
      </c>
      <c r="W711" s="1" t="s">
        <v>74</v>
      </c>
      <c r="X711" s="1" t="s">
        <v>74</v>
      </c>
      <c r="Y711" s="1" t="s">
        <v>74</v>
      </c>
      <c r="Z711" s="1" t="s">
        <v>74</v>
      </c>
      <c r="AA711" s="1" t="s">
        <v>407</v>
      </c>
      <c r="AB711" s="1" t="s">
        <v>6746</v>
      </c>
      <c r="AC711" s="1" t="s">
        <v>74</v>
      </c>
      <c r="AD711" s="1" t="s">
        <v>74</v>
      </c>
      <c r="AE711" s="1" t="s">
        <v>74</v>
      </c>
      <c r="AF711" s="1" t="s">
        <v>74</v>
      </c>
      <c r="AG711" s="1" t="s">
        <v>74</v>
      </c>
      <c r="AH711" s="1" t="s">
        <v>74</v>
      </c>
      <c r="AI711" s="1" t="s">
        <v>74</v>
      </c>
      <c r="AJ711" s="1" t="s">
        <v>74</v>
      </c>
      <c r="AK711" s="1" t="s">
        <v>74</v>
      </c>
      <c r="AL711" s="1" t="s">
        <v>74</v>
      </c>
      <c r="AM711" s="1" t="s">
        <v>74</v>
      </c>
      <c r="AN711" s="1" t="s">
        <v>74</v>
      </c>
      <c r="AO711" s="1" t="s">
        <v>5971</v>
      </c>
      <c r="AP711" s="1" t="s">
        <v>74</v>
      </c>
      <c r="AQ711" s="1" t="s">
        <v>74</v>
      </c>
      <c r="AR711" s="1" t="s">
        <v>74</v>
      </c>
      <c r="AS711" s="1" t="s">
        <v>74</v>
      </c>
      <c r="AT711" s="1" t="s">
        <v>310</v>
      </c>
      <c r="AU711" s="1">
        <v>2018.0</v>
      </c>
      <c r="AV711" s="1">
        <v>11.0</v>
      </c>
      <c r="AW711" s="1">
        <v>7.0</v>
      </c>
      <c r="AX711" s="1" t="s">
        <v>74</v>
      </c>
      <c r="AY711" s="1" t="s">
        <v>74</v>
      </c>
      <c r="AZ711" s="1" t="s">
        <v>74</v>
      </c>
      <c r="BA711" s="1" t="s">
        <v>74</v>
      </c>
      <c r="BB711" s="1" t="s">
        <v>74</v>
      </c>
      <c r="BC711" s="1" t="s">
        <v>74</v>
      </c>
      <c r="BD711" s="1">
        <v>1262.0</v>
      </c>
      <c r="BE711" s="1" t="s">
        <v>6747</v>
      </c>
      <c r="BF711" s="2" t="str">
        <f>HYPERLINK("http://dx.doi.org/10.3390/ma11071262","http://dx.doi.org/10.3390/ma11071262")</f>
        <v>http://dx.doi.org/10.3390/ma11071262</v>
      </c>
      <c r="BG711" s="1" t="s">
        <v>74</v>
      </c>
      <c r="BH711" s="1" t="s">
        <v>74</v>
      </c>
      <c r="BI711" s="1" t="s">
        <v>74</v>
      </c>
      <c r="BJ711" s="1" t="s">
        <v>74</v>
      </c>
      <c r="BK711" s="1" t="s">
        <v>74</v>
      </c>
      <c r="BL711" s="1" t="s">
        <v>74</v>
      </c>
      <c r="BM711" s="1" t="s">
        <v>74</v>
      </c>
      <c r="BN711" s="1">
        <v>3.0041451E7</v>
      </c>
      <c r="BO711" s="1" t="s">
        <v>74</v>
      </c>
      <c r="BP711" s="1" t="s">
        <v>74</v>
      </c>
      <c r="BQ711" s="1" t="s">
        <v>74</v>
      </c>
      <c r="BR711" s="1" t="s">
        <v>74</v>
      </c>
      <c r="BS711" s="1" t="s">
        <v>6748</v>
      </c>
      <c r="BT711" s="1" t="str">
        <f>HYPERLINK("https%3A%2F%2Fwww.webofscience.com%2Fwos%2Fwoscc%2Ffull-record%2FWOS:000442117300213","View Full Record in Web of Science")</f>
        <v>View Full Record in Web of Science</v>
      </c>
    </row>
    <row r="712" ht="12.75" customHeight="1">
      <c r="A712" s="1" t="s">
        <v>72</v>
      </c>
      <c r="B712" s="1" t="s">
        <v>6749</v>
      </c>
      <c r="C712" s="1" t="s">
        <v>74</v>
      </c>
      <c r="D712" s="1" t="s">
        <v>74</v>
      </c>
      <c r="E712" s="1" t="s">
        <v>74</v>
      </c>
      <c r="F712" s="1" t="s">
        <v>6750</v>
      </c>
      <c r="G712" s="1" t="s">
        <v>74</v>
      </c>
      <c r="H712" s="1" t="s">
        <v>74</v>
      </c>
      <c r="I712" s="1" t="s">
        <v>6751</v>
      </c>
      <c r="J712" s="1" t="s">
        <v>6752</v>
      </c>
      <c r="K712" s="1" t="s">
        <v>74</v>
      </c>
      <c r="L712" s="1" t="s">
        <v>74</v>
      </c>
      <c r="M712" s="1" t="s">
        <v>74</v>
      </c>
      <c r="N712" s="1" t="s">
        <v>74</v>
      </c>
      <c r="O712" s="1" t="s">
        <v>74</v>
      </c>
      <c r="P712" s="1" t="s">
        <v>74</v>
      </c>
      <c r="Q712" s="1" t="s">
        <v>74</v>
      </c>
      <c r="R712" s="1" t="s">
        <v>74</v>
      </c>
      <c r="S712" s="1" t="s">
        <v>74</v>
      </c>
      <c r="T712" s="1" t="s">
        <v>74</v>
      </c>
      <c r="U712" s="1" t="s">
        <v>74</v>
      </c>
      <c r="V712" s="1" t="s">
        <v>6753</v>
      </c>
      <c r="W712" s="1" t="s">
        <v>74</v>
      </c>
      <c r="X712" s="1" t="s">
        <v>74</v>
      </c>
      <c r="Y712" s="1" t="s">
        <v>74</v>
      </c>
      <c r="Z712" s="1" t="s">
        <v>74</v>
      </c>
      <c r="AA712" s="1" t="s">
        <v>6754</v>
      </c>
      <c r="AB712" s="1" t="s">
        <v>6755</v>
      </c>
      <c r="AC712" s="1" t="s">
        <v>74</v>
      </c>
      <c r="AD712" s="1" t="s">
        <v>74</v>
      </c>
      <c r="AE712" s="1" t="s">
        <v>74</v>
      </c>
      <c r="AF712" s="1" t="s">
        <v>74</v>
      </c>
      <c r="AG712" s="1" t="s">
        <v>74</v>
      </c>
      <c r="AH712" s="1" t="s">
        <v>74</v>
      </c>
      <c r="AI712" s="1" t="s">
        <v>74</v>
      </c>
      <c r="AJ712" s="1" t="s">
        <v>74</v>
      </c>
      <c r="AK712" s="1" t="s">
        <v>74</v>
      </c>
      <c r="AL712" s="1" t="s">
        <v>74</v>
      </c>
      <c r="AM712" s="1" t="s">
        <v>74</v>
      </c>
      <c r="AN712" s="1" t="s">
        <v>74</v>
      </c>
      <c r="AO712" s="1" t="s">
        <v>6756</v>
      </c>
      <c r="AP712" s="1" t="s">
        <v>6757</v>
      </c>
      <c r="AQ712" s="1" t="s">
        <v>74</v>
      </c>
      <c r="AR712" s="1" t="s">
        <v>74</v>
      </c>
      <c r="AS712" s="1" t="s">
        <v>74</v>
      </c>
      <c r="AT712" s="1" t="s">
        <v>180</v>
      </c>
      <c r="AU712" s="1">
        <v>2018.0</v>
      </c>
      <c r="AV712" s="1">
        <v>126.0</v>
      </c>
      <c r="AW712" s="1" t="s">
        <v>74</v>
      </c>
      <c r="AX712" s="1" t="s">
        <v>74</v>
      </c>
      <c r="AY712" s="1" t="s">
        <v>74</v>
      </c>
      <c r="AZ712" s="1" t="s">
        <v>74</v>
      </c>
      <c r="BA712" s="1" t="s">
        <v>74</v>
      </c>
      <c r="BB712" s="1">
        <v>106.0</v>
      </c>
      <c r="BC712" s="1">
        <v>116.0</v>
      </c>
      <c r="BD712" s="1" t="s">
        <v>74</v>
      </c>
      <c r="BE712" s="1" t="s">
        <v>6758</v>
      </c>
      <c r="BF712" s="2" t="str">
        <f>HYPERLINK("http://dx.doi.org/10.1016/j.plaphy.2018.02.032","http://dx.doi.org/10.1016/j.plaphy.2018.02.032")</f>
        <v>http://dx.doi.org/10.1016/j.plaphy.2018.02.032</v>
      </c>
      <c r="BG712" s="1" t="s">
        <v>74</v>
      </c>
      <c r="BH712" s="1" t="s">
        <v>74</v>
      </c>
      <c r="BI712" s="1" t="s">
        <v>74</v>
      </c>
      <c r="BJ712" s="1" t="s">
        <v>74</v>
      </c>
      <c r="BK712" s="1" t="s">
        <v>74</v>
      </c>
      <c r="BL712" s="1" t="s">
        <v>74</v>
      </c>
      <c r="BM712" s="1" t="s">
        <v>74</v>
      </c>
      <c r="BN712" s="1">
        <v>2.9518656E7</v>
      </c>
      <c r="BO712" s="1" t="s">
        <v>74</v>
      </c>
      <c r="BP712" s="1" t="s">
        <v>74</v>
      </c>
      <c r="BQ712" s="1" t="s">
        <v>74</v>
      </c>
      <c r="BR712" s="1" t="s">
        <v>74</v>
      </c>
      <c r="BS712" s="1" t="s">
        <v>6759</v>
      </c>
      <c r="BT712" s="1" t="str">
        <f>HYPERLINK("https%3A%2F%2Fwww.webofscience.com%2Fwos%2Fwoscc%2Ffull-record%2FWOS:000430777100012","View Full Record in Web of Science")</f>
        <v>View Full Record in Web of Science</v>
      </c>
    </row>
    <row r="713" ht="12.75" customHeight="1">
      <c r="A713" s="1" t="s">
        <v>72</v>
      </c>
      <c r="B713" s="1" t="s">
        <v>6760</v>
      </c>
      <c r="C713" s="1" t="s">
        <v>74</v>
      </c>
      <c r="D713" s="1" t="s">
        <v>74</v>
      </c>
      <c r="E713" s="1" t="s">
        <v>74</v>
      </c>
      <c r="F713" s="1" t="s">
        <v>6761</v>
      </c>
      <c r="G713" s="1" t="s">
        <v>74</v>
      </c>
      <c r="H713" s="1" t="s">
        <v>74</v>
      </c>
      <c r="I713" s="1" t="s">
        <v>6762</v>
      </c>
      <c r="J713" s="1" t="s">
        <v>1033</v>
      </c>
      <c r="K713" s="1" t="s">
        <v>74</v>
      </c>
      <c r="L713" s="1" t="s">
        <v>74</v>
      </c>
      <c r="M713" s="1" t="s">
        <v>74</v>
      </c>
      <c r="N713" s="1" t="s">
        <v>74</v>
      </c>
      <c r="O713" s="1" t="s">
        <v>74</v>
      </c>
      <c r="P713" s="1" t="s">
        <v>74</v>
      </c>
      <c r="Q713" s="1" t="s">
        <v>74</v>
      </c>
      <c r="R713" s="1" t="s">
        <v>74</v>
      </c>
      <c r="S713" s="1" t="s">
        <v>74</v>
      </c>
      <c r="T713" s="1" t="s">
        <v>74</v>
      </c>
      <c r="U713" s="1" t="s">
        <v>74</v>
      </c>
      <c r="V713" s="1" t="s">
        <v>6763</v>
      </c>
      <c r="W713" s="1" t="s">
        <v>74</v>
      </c>
      <c r="X713" s="1" t="s">
        <v>74</v>
      </c>
      <c r="Y713" s="1" t="s">
        <v>74</v>
      </c>
      <c r="Z713" s="1" t="s">
        <v>74</v>
      </c>
      <c r="AA713" s="1" t="s">
        <v>6764</v>
      </c>
      <c r="AB713" s="1" t="s">
        <v>6765</v>
      </c>
      <c r="AC713" s="1" t="s">
        <v>74</v>
      </c>
      <c r="AD713" s="1" t="s">
        <v>74</v>
      </c>
      <c r="AE713" s="1" t="s">
        <v>74</v>
      </c>
      <c r="AF713" s="1" t="s">
        <v>74</v>
      </c>
      <c r="AG713" s="1" t="s">
        <v>74</v>
      </c>
      <c r="AH713" s="1" t="s">
        <v>74</v>
      </c>
      <c r="AI713" s="1" t="s">
        <v>74</v>
      </c>
      <c r="AJ713" s="1" t="s">
        <v>74</v>
      </c>
      <c r="AK713" s="1" t="s">
        <v>74</v>
      </c>
      <c r="AL713" s="1" t="s">
        <v>74</v>
      </c>
      <c r="AM713" s="1" t="s">
        <v>74</v>
      </c>
      <c r="AN713" s="1" t="s">
        <v>74</v>
      </c>
      <c r="AO713" s="1" t="s">
        <v>1035</v>
      </c>
      <c r="AP713" s="1" t="s">
        <v>1036</v>
      </c>
      <c r="AQ713" s="1" t="s">
        <v>74</v>
      </c>
      <c r="AR713" s="1" t="s">
        <v>74</v>
      </c>
      <c r="AS713" s="1" t="s">
        <v>74</v>
      </c>
      <c r="AT713" s="1" t="s">
        <v>650</v>
      </c>
      <c r="AU713" s="1">
        <v>2018.0</v>
      </c>
      <c r="AV713" s="1">
        <v>38.0</v>
      </c>
      <c r="AW713" s="1">
        <v>3.0</v>
      </c>
      <c r="AX713" s="1" t="s">
        <v>74</v>
      </c>
      <c r="AY713" s="1" t="s">
        <v>74</v>
      </c>
      <c r="AZ713" s="1" t="s">
        <v>74</v>
      </c>
      <c r="BA713" s="1" t="s">
        <v>74</v>
      </c>
      <c r="BB713" s="1">
        <v>1365.0</v>
      </c>
      <c r="BC713" s="1">
        <v>1403.0</v>
      </c>
      <c r="BD713" s="1" t="s">
        <v>74</v>
      </c>
      <c r="BE713" s="1" t="s">
        <v>6766</v>
      </c>
      <c r="BF713" s="2" t="str">
        <f>HYPERLINK("http://dx.doi.org/10.3934/dcds.2018056","http://dx.doi.org/10.3934/dcds.2018056")</f>
        <v>http://dx.doi.org/10.3934/dcds.2018056</v>
      </c>
      <c r="BG713" s="1" t="s">
        <v>74</v>
      </c>
      <c r="BH713" s="1" t="s">
        <v>74</v>
      </c>
      <c r="BI713" s="1" t="s">
        <v>74</v>
      </c>
      <c r="BJ713" s="1" t="s">
        <v>74</v>
      </c>
      <c r="BK713" s="1" t="s">
        <v>74</v>
      </c>
      <c r="BL713" s="1" t="s">
        <v>74</v>
      </c>
      <c r="BM713" s="1" t="s">
        <v>74</v>
      </c>
      <c r="BN713" s="1" t="s">
        <v>74</v>
      </c>
      <c r="BO713" s="1" t="s">
        <v>74</v>
      </c>
      <c r="BP713" s="1" t="s">
        <v>74</v>
      </c>
      <c r="BQ713" s="1" t="s">
        <v>74</v>
      </c>
      <c r="BR713" s="1" t="s">
        <v>74</v>
      </c>
      <c r="BS713" s="1" t="s">
        <v>6767</v>
      </c>
      <c r="BT713" s="1" t="str">
        <f>HYPERLINK("https%3A%2F%2Fwww.webofscience.com%2Fwos%2Fwoscc%2Ffull-record%2FWOS:000432845000016","View Full Record in Web of Science")</f>
        <v>View Full Record in Web of Science</v>
      </c>
    </row>
    <row r="714" ht="12.75" customHeight="1">
      <c r="A714" s="1" t="s">
        <v>242</v>
      </c>
      <c r="B714" s="1" t="s">
        <v>6768</v>
      </c>
      <c r="C714" s="1" t="s">
        <v>74</v>
      </c>
      <c r="D714" s="1" t="s">
        <v>6769</v>
      </c>
      <c r="E714" s="1" t="s">
        <v>74</v>
      </c>
      <c r="F714" s="1" t="s">
        <v>6770</v>
      </c>
      <c r="G714" s="1" t="s">
        <v>74</v>
      </c>
      <c r="H714" s="1" t="s">
        <v>74</v>
      </c>
      <c r="I714" s="1" t="s">
        <v>6771</v>
      </c>
      <c r="J714" s="1" t="s">
        <v>6772</v>
      </c>
      <c r="K714" s="1" t="s">
        <v>74</v>
      </c>
      <c r="L714" s="1" t="s">
        <v>74</v>
      </c>
      <c r="M714" s="1" t="s">
        <v>74</v>
      </c>
      <c r="N714" s="1" t="s">
        <v>74</v>
      </c>
      <c r="O714" s="1" t="s">
        <v>74</v>
      </c>
      <c r="P714" s="1" t="s">
        <v>74</v>
      </c>
      <c r="Q714" s="1" t="s">
        <v>74</v>
      </c>
      <c r="R714" s="1" t="s">
        <v>74</v>
      </c>
      <c r="S714" s="1" t="s">
        <v>74</v>
      </c>
      <c r="T714" s="1" t="s">
        <v>74</v>
      </c>
      <c r="U714" s="1" t="s">
        <v>74</v>
      </c>
      <c r="V714" s="1" t="s">
        <v>74</v>
      </c>
      <c r="W714" s="1" t="s">
        <v>74</v>
      </c>
      <c r="X714" s="1" t="s">
        <v>74</v>
      </c>
      <c r="Y714" s="1" t="s">
        <v>74</v>
      </c>
      <c r="Z714" s="1" t="s">
        <v>74</v>
      </c>
      <c r="AA714" s="1" t="s">
        <v>953</v>
      </c>
      <c r="AB714" s="1" t="s">
        <v>74</v>
      </c>
      <c r="AC714" s="1" t="s">
        <v>74</v>
      </c>
      <c r="AD714" s="1" t="s">
        <v>74</v>
      </c>
      <c r="AE714" s="1" t="s">
        <v>74</v>
      </c>
      <c r="AF714" s="1" t="s">
        <v>74</v>
      </c>
      <c r="AG714" s="1" t="s">
        <v>74</v>
      </c>
      <c r="AH714" s="1" t="s">
        <v>74</v>
      </c>
      <c r="AI714" s="1" t="s">
        <v>74</v>
      </c>
      <c r="AJ714" s="1" t="s">
        <v>74</v>
      </c>
      <c r="AK714" s="1" t="s">
        <v>74</v>
      </c>
      <c r="AL714" s="1" t="s">
        <v>74</v>
      </c>
      <c r="AM714" s="1" t="s">
        <v>74</v>
      </c>
      <c r="AN714" s="1" t="s">
        <v>74</v>
      </c>
      <c r="AO714" s="1" t="s">
        <v>74</v>
      </c>
      <c r="AP714" s="1" t="s">
        <v>74</v>
      </c>
      <c r="AQ714" s="1" t="s">
        <v>6773</v>
      </c>
      <c r="AR714" s="1" t="s">
        <v>74</v>
      </c>
      <c r="AS714" s="1" t="s">
        <v>74</v>
      </c>
      <c r="AT714" s="1" t="s">
        <v>74</v>
      </c>
      <c r="AU714" s="1">
        <v>2018.0</v>
      </c>
      <c r="AV714" s="1" t="s">
        <v>74</v>
      </c>
      <c r="AW714" s="1" t="s">
        <v>74</v>
      </c>
      <c r="AX714" s="1" t="s">
        <v>74</v>
      </c>
      <c r="AY714" s="1" t="s">
        <v>74</v>
      </c>
      <c r="AZ714" s="1" t="s">
        <v>74</v>
      </c>
      <c r="BA714" s="1" t="s">
        <v>74</v>
      </c>
      <c r="BB714" s="1">
        <v>261.0</v>
      </c>
      <c r="BC714" s="1">
        <v>275.0</v>
      </c>
      <c r="BD714" s="1" t="s">
        <v>74</v>
      </c>
      <c r="BE714" s="1" t="s">
        <v>74</v>
      </c>
      <c r="BF714" s="1" t="s">
        <v>74</v>
      </c>
      <c r="BG714" s="1" t="s">
        <v>74</v>
      </c>
      <c r="BH714" s="1" t="s">
        <v>74</v>
      </c>
      <c r="BI714" s="1" t="s">
        <v>74</v>
      </c>
      <c r="BJ714" s="1" t="s">
        <v>74</v>
      </c>
      <c r="BK714" s="1" t="s">
        <v>74</v>
      </c>
      <c r="BL714" s="1" t="s">
        <v>74</v>
      </c>
      <c r="BM714" s="1" t="s">
        <v>74</v>
      </c>
      <c r="BN714" s="1" t="s">
        <v>74</v>
      </c>
      <c r="BO714" s="1" t="s">
        <v>74</v>
      </c>
      <c r="BP714" s="1" t="s">
        <v>74</v>
      </c>
      <c r="BQ714" s="1" t="s">
        <v>74</v>
      </c>
      <c r="BR714" s="1" t="s">
        <v>74</v>
      </c>
      <c r="BS714" s="1" t="s">
        <v>6774</v>
      </c>
      <c r="BT714" s="1" t="str">
        <f>HYPERLINK("https%3A%2F%2Fwww.webofscience.com%2Fwos%2Fwoscc%2Ffull-record%2FWOS:000668284400012","View Full Record in Web of Science")</f>
        <v>View Full Record in Web of Science</v>
      </c>
    </row>
    <row r="715" ht="12.75" customHeight="1">
      <c r="A715" s="1" t="s">
        <v>251</v>
      </c>
      <c r="B715" s="1" t="s">
        <v>6775</v>
      </c>
      <c r="C715" s="1" t="s">
        <v>74</v>
      </c>
      <c r="D715" s="1" t="s">
        <v>74</v>
      </c>
      <c r="E715" s="1" t="s">
        <v>74</v>
      </c>
      <c r="F715" s="1" t="s">
        <v>6776</v>
      </c>
      <c r="G715" s="1" t="s">
        <v>74</v>
      </c>
      <c r="H715" s="1" t="s">
        <v>74</v>
      </c>
      <c r="I715" s="1" t="s">
        <v>6777</v>
      </c>
      <c r="J715" s="1" t="s">
        <v>6778</v>
      </c>
      <c r="K715" s="1" t="s">
        <v>74</v>
      </c>
      <c r="L715" s="1" t="s">
        <v>74</v>
      </c>
      <c r="M715" s="1" t="s">
        <v>74</v>
      </c>
      <c r="N715" s="1" t="s">
        <v>74</v>
      </c>
      <c r="O715" s="1" t="s">
        <v>6779</v>
      </c>
      <c r="P715" s="1" t="s">
        <v>6780</v>
      </c>
      <c r="Q715" s="1" t="s">
        <v>6781</v>
      </c>
      <c r="R715" s="1" t="s">
        <v>6782</v>
      </c>
      <c r="S715" s="1" t="s">
        <v>74</v>
      </c>
      <c r="T715" s="1" t="s">
        <v>74</v>
      </c>
      <c r="U715" s="1" t="s">
        <v>74</v>
      </c>
      <c r="V715" s="1" t="s">
        <v>6783</v>
      </c>
      <c r="W715" s="1" t="s">
        <v>74</v>
      </c>
      <c r="X715" s="1" t="s">
        <v>74</v>
      </c>
      <c r="Y715" s="1" t="s">
        <v>74</v>
      </c>
      <c r="Z715" s="1" t="s">
        <v>74</v>
      </c>
      <c r="AA715" s="1" t="s">
        <v>6784</v>
      </c>
      <c r="AB715" s="1" t="s">
        <v>6785</v>
      </c>
      <c r="AC715" s="1" t="s">
        <v>74</v>
      </c>
      <c r="AD715" s="1" t="s">
        <v>74</v>
      </c>
      <c r="AE715" s="1" t="s">
        <v>74</v>
      </c>
      <c r="AF715" s="1" t="s">
        <v>74</v>
      </c>
      <c r="AG715" s="1" t="s">
        <v>74</v>
      </c>
      <c r="AH715" s="1" t="s">
        <v>74</v>
      </c>
      <c r="AI715" s="1" t="s">
        <v>74</v>
      </c>
      <c r="AJ715" s="1" t="s">
        <v>74</v>
      </c>
      <c r="AK715" s="1" t="s">
        <v>74</v>
      </c>
      <c r="AL715" s="1" t="s">
        <v>74</v>
      </c>
      <c r="AM715" s="1" t="s">
        <v>74</v>
      </c>
      <c r="AN715" s="1" t="s">
        <v>74</v>
      </c>
      <c r="AO715" s="1" t="s">
        <v>6786</v>
      </c>
      <c r="AP715" s="1" t="s">
        <v>74</v>
      </c>
      <c r="AQ715" s="1" t="s">
        <v>74</v>
      </c>
      <c r="AR715" s="1" t="s">
        <v>74</v>
      </c>
      <c r="AS715" s="1" t="s">
        <v>74</v>
      </c>
      <c r="AT715" s="1" t="s">
        <v>74</v>
      </c>
      <c r="AU715" s="1">
        <v>2018.0</v>
      </c>
      <c r="AV715" s="1">
        <v>51.0</v>
      </c>
      <c r="AW715" s="1">
        <v>25.0</v>
      </c>
      <c r="AX715" s="1" t="s">
        <v>74</v>
      </c>
      <c r="AY715" s="1" t="s">
        <v>74</v>
      </c>
      <c r="AZ715" s="1" t="s">
        <v>74</v>
      </c>
      <c r="BA715" s="1" t="s">
        <v>74</v>
      </c>
      <c r="BB715" s="1">
        <v>78.0</v>
      </c>
      <c r="BC715" s="1">
        <v>83.0</v>
      </c>
      <c r="BD715" s="1" t="s">
        <v>74</v>
      </c>
      <c r="BE715" s="1" t="s">
        <v>6787</v>
      </c>
      <c r="BF715" s="2" t="str">
        <f>HYPERLINK("http://dx.doi.org/10.1016/j.ifacol.2018.11.085","http://dx.doi.org/10.1016/j.ifacol.2018.11.085")</f>
        <v>http://dx.doi.org/10.1016/j.ifacol.2018.11.085</v>
      </c>
      <c r="BG715" s="1" t="s">
        <v>74</v>
      </c>
      <c r="BH715" s="1" t="s">
        <v>74</v>
      </c>
      <c r="BI715" s="1" t="s">
        <v>74</v>
      </c>
      <c r="BJ715" s="1" t="s">
        <v>74</v>
      </c>
      <c r="BK715" s="1" t="s">
        <v>74</v>
      </c>
      <c r="BL715" s="1" t="s">
        <v>74</v>
      </c>
      <c r="BM715" s="1" t="s">
        <v>74</v>
      </c>
      <c r="BN715" s="1" t="s">
        <v>74</v>
      </c>
      <c r="BO715" s="1" t="s">
        <v>74</v>
      </c>
      <c r="BP715" s="1" t="s">
        <v>74</v>
      </c>
      <c r="BQ715" s="1" t="s">
        <v>74</v>
      </c>
      <c r="BR715" s="1" t="s">
        <v>74</v>
      </c>
      <c r="BS715" s="1" t="s">
        <v>6788</v>
      </c>
      <c r="BT715" s="1" t="str">
        <f>HYPERLINK("https%3A%2F%2Fwww.webofscience.com%2Fwos%2Fwoscc%2Ffull-record%2FWOS:000451094400014","View Full Record in Web of Science")</f>
        <v>View Full Record in Web of Science</v>
      </c>
    </row>
    <row r="716" ht="12.75" customHeight="1">
      <c r="A716" s="1" t="s">
        <v>72</v>
      </c>
      <c r="B716" s="1" t="s">
        <v>3049</v>
      </c>
      <c r="C716" s="1" t="s">
        <v>74</v>
      </c>
      <c r="D716" s="1" t="s">
        <v>74</v>
      </c>
      <c r="E716" s="1" t="s">
        <v>74</v>
      </c>
      <c r="F716" s="1" t="s">
        <v>3050</v>
      </c>
      <c r="G716" s="1" t="s">
        <v>74</v>
      </c>
      <c r="H716" s="1" t="s">
        <v>74</v>
      </c>
      <c r="I716" s="1" t="s">
        <v>6789</v>
      </c>
      <c r="J716" s="1" t="s">
        <v>6790</v>
      </c>
      <c r="K716" s="1" t="s">
        <v>74</v>
      </c>
      <c r="L716" s="1" t="s">
        <v>74</v>
      </c>
      <c r="M716" s="1" t="s">
        <v>74</v>
      </c>
      <c r="N716" s="1" t="s">
        <v>74</v>
      </c>
      <c r="O716" s="1" t="s">
        <v>74</v>
      </c>
      <c r="P716" s="1" t="s">
        <v>74</v>
      </c>
      <c r="Q716" s="1" t="s">
        <v>74</v>
      </c>
      <c r="R716" s="1" t="s">
        <v>74</v>
      </c>
      <c r="S716" s="1" t="s">
        <v>74</v>
      </c>
      <c r="T716" s="1" t="s">
        <v>74</v>
      </c>
      <c r="U716" s="1" t="s">
        <v>74</v>
      </c>
      <c r="V716" s="1" t="s">
        <v>6791</v>
      </c>
      <c r="W716" s="1" t="s">
        <v>74</v>
      </c>
      <c r="X716" s="1" t="s">
        <v>74</v>
      </c>
      <c r="Y716" s="1" t="s">
        <v>74</v>
      </c>
      <c r="Z716" s="1" t="s">
        <v>74</v>
      </c>
      <c r="AA716" s="1" t="s">
        <v>3054</v>
      </c>
      <c r="AB716" s="1" t="s">
        <v>74</v>
      </c>
      <c r="AC716" s="1" t="s">
        <v>74</v>
      </c>
      <c r="AD716" s="1" t="s">
        <v>74</v>
      </c>
      <c r="AE716" s="1" t="s">
        <v>74</v>
      </c>
      <c r="AF716" s="1" t="s">
        <v>74</v>
      </c>
      <c r="AG716" s="1" t="s">
        <v>74</v>
      </c>
      <c r="AH716" s="1" t="s">
        <v>74</v>
      </c>
      <c r="AI716" s="1" t="s">
        <v>74</v>
      </c>
      <c r="AJ716" s="1" t="s">
        <v>74</v>
      </c>
      <c r="AK716" s="1" t="s">
        <v>74</v>
      </c>
      <c r="AL716" s="1" t="s">
        <v>74</v>
      </c>
      <c r="AM716" s="1" t="s">
        <v>74</v>
      </c>
      <c r="AN716" s="1" t="s">
        <v>74</v>
      </c>
      <c r="AO716" s="1" t="s">
        <v>6792</v>
      </c>
      <c r="AP716" s="1" t="s">
        <v>6793</v>
      </c>
      <c r="AQ716" s="1" t="s">
        <v>74</v>
      </c>
      <c r="AR716" s="1" t="s">
        <v>74</v>
      </c>
      <c r="AS716" s="1" t="s">
        <v>74</v>
      </c>
      <c r="AT716" s="1" t="s">
        <v>215</v>
      </c>
      <c r="AU716" s="1">
        <v>2017.0</v>
      </c>
      <c r="AV716" s="1">
        <v>29.0</v>
      </c>
      <c r="AW716" s="1">
        <v>2.0</v>
      </c>
      <c r="AX716" s="1" t="s">
        <v>74</v>
      </c>
      <c r="AY716" s="1" t="s">
        <v>74</v>
      </c>
      <c r="AZ716" s="1" t="s">
        <v>74</v>
      </c>
      <c r="BA716" s="1" t="s">
        <v>74</v>
      </c>
      <c r="BB716" s="1">
        <v>615.0</v>
      </c>
      <c r="BC716" s="1">
        <v>653.0</v>
      </c>
      <c r="BD716" s="1" t="s">
        <v>74</v>
      </c>
      <c r="BE716" s="1" t="s">
        <v>6794</v>
      </c>
      <c r="BF716" s="2" t="str">
        <f>HYPERLINK("http://dx.doi.org/10.1007/s10884-015-9483-5","http://dx.doi.org/10.1007/s10884-015-9483-5")</f>
        <v>http://dx.doi.org/10.1007/s10884-015-9483-5</v>
      </c>
      <c r="BG716" s="1" t="s">
        <v>74</v>
      </c>
      <c r="BH716" s="1" t="s">
        <v>74</v>
      </c>
      <c r="BI716" s="1" t="s">
        <v>74</v>
      </c>
      <c r="BJ716" s="1" t="s">
        <v>74</v>
      </c>
      <c r="BK716" s="1" t="s">
        <v>74</v>
      </c>
      <c r="BL716" s="1" t="s">
        <v>74</v>
      </c>
      <c r="BM716" s="1" t="s">
        <v>74</v>
      </c>
      <c r="BN716" s="1" t="s">
        <v>74</v>
      </c>
      <c r="BO716" s="1" t="s">
        <v>74</v>
      </c>
      <c r="BP716" s="1" t="s">
        <v>74</v>
      </c>
      <c r="BQ716" s="1" t="s">
        <v>74</v>
      </c>
      <c r="BR716" s="1" t="s">
        <v>74</v>
      </c>
      <c r="BS716" s="1" t="s">
        <v>6795</v>
      </c>
      <c r="BT716" s="1" t="str">
        <f>HYPERLINK("https%3A%2F%2Fwww.webofscience.com%2Fwos%2Fwoscc%2Ffull-record%2FWOS:000401663600012","View Full Record in Web of Science")</f>
        <v>View Full Record in Web of Science</v>
      </c>
    </row>
    <row r="717" ht="12.75" customHeight="1">
      <c r="A717" s="1" t="s">
        <v>72</v>
      </c>
      <c r="B717" s="1" t="s">
        <v>6796</v>
      </c>
      <c r="C717" s="1" t="s">
        <v>74</v>
      </c>
      <c r="D717" s="1" t="s">
        <v>74</v>
      </c>
      <c r="E717" s="1" t="s">
        <v>74</v>
      </c>
      <c r="F717" s="1" t="s">
        <v>6797</v>
      </c>
      <c r="G717" s="1" t="s">
        <v>74</v>
      </c>
      <c r="H717" s="1" t="s">
        <v>74</v>
      </c>
      <c r="I717" s="1" t="s">
        <v>6798</v>
      </c>
      <c r="J717" s="1" t="s">
        <v>6799</v>
      </c>
      <c r="K717" s="1" t="s">
        <v>74</v>
      </c>
      <c r="L717" s="1" t="s">
        <v>74</v>
      </c>
      <c r="M717" s="1" t="s">
        <v>74</v>
      </c>
      <c r="N717" s="1" t="s">
        <v>74</v>
      </c>
      <c r="O717" s="1" t="s">
        <v>74</v>
      </c>
      <c r="P717" s="1" t="s">
        <v>74</v>
      </c>
      <c r="Q717" s="1" t="s">
        <v>74</v>
      </c>
      <c r="R717" s="1" t="s">
        <v>74</v>
      </c>
      <c r="S717" s="1" t="s">
        <v>74</v>
      </c>
      <c r="T717" s="1" t="s">
        <v>74</v>
      </c>
      <c r="U717" s="1" t="s">
        <v>74</v>
      </c>
      <c r="V717" s="1" t="s">
        <v>6800</v>
      </c>
      <c r="W717" s="1" t="s">
        <v>74</v>
      </c>
      <c r="X717" s="1" t="s">
        <v>74</v>
      </c>
      <c r="Y717" s="1" t="s">
        <v>74</v>
      </c>
      <c r="Z717" s="1" t="s">
        <v>74</v>
      </c>
      <c r="AA717" s="1" t="s">
        <v>6801</v>
      </c>
      <c r="AB717" s="1" t="s">
        <v>74</v>
      </c>
      <c r="AC717" s="1" t="s">
        <v>74</v>
      </c>
      <c r="AD717" s="1" t="s">
        <v>74</v>
      </c>
      <c r="AE717" s="1" t="s">
        <v>74</v>
      </c>
      <c r="AF717" s="1" t="s">
        <v>74</v>
      </c>
      <c r="AG717" s="1" t="s">
        <v>74</v>
      </c>
      <c r="AH717" s="1" t="s">
        <v>74</v>
      </c>
      <c r="AI717" s="1" t="s">
        <v>74</v>
      </c>
      <c r="AJ717" s="1" t="s">
        <v>74</v>
      </c>
      <c r="AK717" s="1" t="s">
        <v>74</v>
      </c>
      <c r="AL717" s="1" t="s">
        <v>74</v>
      </c>
      <c r="AM717" s="1" t="s">
        <v>74</v>
      </c>
      <c r="AN717" s="1" t="s">
        <v>74</v>
      </c>
      <c r="AO717" s="1" t="s">
        <v>6802</v>
      </c>
      <c r="AP717" s="1" t="s">
        <v>6803</v>
      </c>
      <c r="AQ717" s="1" t="s">
        <v>74</v>
      </c>
      <c r="AR717" s="1" t="s">
        <v>74</v>
      </c>
      <c r="AS717" s="1" t="s">
        <v>74</v>
      </c>
      <c r="AT717" s="1" t="s">
        <v>110</v>
      </c>
      <c r="AU717" s="1">
        <v>2016.0</v>
      </c>
      <c r="AV717" s="1">
        <v>34.0</v>
      </c>
      <c r="AW717" s="1">
        <v>3.0</v>
      </c>
      <c r="AX717" s="1" t="s">
        <v>74</v>
      </c>
      <c r="AY717" s="1" t="s">
        <v>74</v>
      </c>
      <c r="AZ717" s="1" t="s">
        <v>74</v>
      </c>
      <c r="BA717" s="1" t="s">
        <v>74</v>
      </c>
      <c r="BB717" s="1">
        <v>449.0</v>
      </c>
      <c r="BC717" s="1">
        <v>477.0</v>
      </c>
      <c r="BD717" s="1" t="s">
        <v>74</v>
      </c>
      <c r="BE717" s="1" t="s">
        <v>6804</v>
      </c>
      <c r="BF717" s="2" t="str">
        <f>HYPERLINK("http://dx.doi.org/10.1017/S0212610915000361","http://dx.doi.org/10.1017/S0212610915000361")</f>
        <v>http://dx.doi.org/10.1017/S0212610915000361</v>
      </c>
      <c r="BG717" s="1" t="s">
        <v>74</v>
      </c>
      <c r="BH717" s="1" t="s">
        <v>74</v>
      </c>
      <c r="BI717" s="1" t="s">
        <v>74</v>
      </c>
      <c r="BJ717" s="1" t="s">
        <v>74</v>
      </c>
      <c r="BK717" s="1" t="s">
        <v>74</v>
      </c>
      <c r="BL717" s="1" t="s">
        <v>74</v>
      </c>
      <c r="BM717" s="1" t="s">
        <v>74</v>
      </c>
      <c r="BN717" s="1" t="s">
        <v>74</v>
      </c>
      <c r="BO717" s="1" t="s">
        <v>74</v>
      </c>
      <c r="BP717" s="1" t="s">
        <v>74</v>
      </c>
      <c r="BQ717" s="1" t="s">
        <v>74</v>
      </c>
      <c r="BR717" s="1" t="s">
        <v>74</v>
      </c>
      <c r="BS717" s="1" t="s">
        <v>6805</v>
      </c>
      <c r="BT717" s="1" t="str">
        <f>HYPERLINK("https%3A%2F%2Fwww.webofscience.com%2Fwos%2Fwoscc%2Ffull-record%2FWOS:000388318500005","View Full Record in Web of Science")</f>
        <v>View Full Record in Web of Science</v>
      </c>
    </row>
    <row r="718" ht="12.75" customHeight="1">
      <c r="A718" s="1" t="s">
        <v>72</v>
      </c>
      <c r="B718" s="1" t="s">
        <v>6806</v>
      </c>
      <c r="C718" s="1" t="s">
        <v>74</v>
      </c>
      <c r="D718" s="1" t="s">
        <v>74</v>
      </c>
      <c r="E718" s="1" t="s">
        <v>74</v>
      </c>
      <c r="F718" s="1" t="s">
        <v>6807</v>
      </c>
      <c r="G718" s="1" t="s">
        <v>74</v>
      </c>
      <c r="H718" s="1" t="s">
        <v>74</v>
      </c>
      <c r="I718" s="1" t="s">
        <v>6808</v>
      </c>
      <c r="J718" s="1" t="s">
        <v>6809</v>
      </c>
      <c r="K718" s="1" t="s">
        <v>74</v>
      </c>
      <c r="L718" s="1" t="s">
        <v>74</v>
      </c>
      <c r="M718" s="1" t="s">
        <v>74</v>
      </c>
      <c r="N718" s="1" t="s">
        <v>74</v>
      </c>
      <c r="O718" s="1" t="s">
        <v>74</v>
      </c>
      <c r="P718" s="1" t="s">
        <v>74</v>
      </c>
      <c r="Q718" s="1" t="s">
        <v>74</v>
      </c>
      <c r="R718" s="1" t="s">
        <v>74</v>
      </c>
      <c r="S718" s="1" t="s">
        <v>74</v>
      </c>
      <c r="T718" s="1" t="s">
        <v>74</v>
      </c>
      <c r="U718" s="1" t="s">
        <v>74</v>
      </c>
      <c r="V718" s="1" t="s">
        <v>6810</v>
      </c>
      <c r="W718" s="1" t="s">
        <v>74</v>
      </c>
      <c r="X718" s="1" t="s">
        <v>74</v>
      </c>
      <c r="Y718" s="1" t="s">
        <v>74</v>
      </c>
      <c r="Z718" s="1" t="s">
        <v>74</v>
      </c>
      <c r="AA718" s="1" t="s">
        <v>6811</v>
      </c>
      <c r="AB718" s="1" t="s">
        <v>74</v>
      </c>
      <c r="AC718" s="1" t="s">
        <v>74</v>
      </c>
      <c r="AD718" s="1" t="s">
        <v>74</v>
      </c>
      <c r="AE718" s="1" t="s">
        <v>74</v>
      </c>
      <c r="AF718" s="1" t="s">
        <v>74</v>
      </c>
      <c r="AG718" s="1" t="s">
        <v>74</v>
      </c>
      <c r="AH718" s="1" t="s">
        <v>74</v>
      </c>
      <c r="AI718" s="1" t="s">
        <v>74</v>
      </c>
      <c r="AJ718" s="1" t="s">
        <v>74</v>
      </c>
      <c r="AK718" s="1" t="s">
        <v>74</v>
      </c>
      <c r="AL718" s="1" t="s">
        <v>74</v>
      </c>
      <c r="AM718" s="1" t="s">
        <v>74</v>
      </c>
      <c r="AN718" s="1" t="s">
        <v>74</v>
      </c>
      <c r="AO718" s="1" t="s">
        <v>6812</v>
      </c>
      <c r="AP718" s="1" t="s">
        <v>6813</v>
      </c>
      <c r="AQ718" s="1" t="s">
        <v>74</v>
      </c>
      <c r="AR718" s="1" t="s">
        <v>74</v>
      </c>
      <c r="AS718" s="1" t="s">
        <v>74</v>
      </c>
      <c r="AT718" s="1" t="s">
        <v>459</v>
      </c>
      <c r="AU718" s="1">
        <v>2016.0</v>
      </c>
      <c r="AV718" s="1">
        <v>11.0</v>
      </c>
      <c r="AW718" s="1">
        <v>9.0</v>
      </c>
      <c r="AX718" s="1" t="s">
        <v>74</v>
      </c>
      <c r="AY718" s="1" t="s">
        <v>74</v>
      </c>
      <c r="AZ718" s="1" t="s">
        <v>74</v>
      </c>
      <c r="BA718" s="1" t="s">
        <v>74</v>
      </c>
      <c r="BB718" s="1">
        <v>1367.0</v>
      </c>
      <c r="BC718" s="1">
        <v>1372.0</v>
      </c>
      <c r="BD718" s="1" t="s">
        <v>74</v>
      </c>
      <c r="BE718" s="1" t="s">
        <v>74</v>
      </c>
      <c r="BF718" s="1" t="s">
        <v>74</v>
      </c>
      <c r="BG718" s="1" t="s">
        <v>74</v>
      </c>
      <c r="BH718" s="1" t="s">
        <v>74</v>
      </c>
      <c r="BI718" s="1" t="s">
        <v>74</v>
      </c>
      <c r="BJ718" s="1" t="s">
        <v>74</v>
      </c>
      <c r="BK718" s="1" t="s">
        <v>74</v>
      </c>
      <c r="BL718" s="1" t="s">
        <v>74</v>
      </c>
      <c r="BM718" s="1" t="s">
        <v>74</v>
      </c>
      <c r="BN718" s="1">
        <v>3.0807044E7</v>
      </c>
      <c r="BO718" s="1" t="s">
        <v>74</v>
      </c>
      <c r="BP718" s="1" t="s">
        <v>74</v>
      </c>
      <c r="BQ718" s="1" t="s">
        <v>74</v>
      </c>
      <c r="BR718" s="1" t="s">
        <v>74</v>
      </c>
      <c r="BS718" s="1" t="s">
        <v>6814</v>
      </c>
      <c r="BT718" s="1" t="str">
        <f>HYPERLINK("https%3A%2F%2Fwww.webofscience.com%2Fwos%2Fwoscc%2Ffull-record%2FWOS:000384513600045","View Full Record in Web of Science")</f>
        <v>View Full Record in Web of Science</v>
      </c>
    </row>
    <row r="719" ht="12.75" customHeight="1">
      <c r="A719" s="1" t="s">
        <v>72</v>
      </c>
      <c r="B719" s="1" t="s">
        <v>6815</v>
      </c>
      <c r="C719" s="1" t="s">
        <v>74</v>
      </c>
      <c r="D719" s="1" t="s">
        <v>74</v>
      </c>
      <c r="E719" s="1" t="s">
        <v>74</v>
      </c>
      <c r="F719" s="1" t="s">
        <v>6816</v>
      </c>
      <c r="G719" s="1" t="s">
        <v>74</v>
      </c>
      <c r="H719" s="1" t="s">
        <v>74</v>
      </c>
      <c r="I719" s="1" t="s">
        <v>6817</v>
      </c>
      <c r="J719" s="1" t="s">
        <v>6818</v>
      </c>
      <c r="K719" s="1" t="s">
        <v>74</v>
      </c>
      <c r="L719" s="1" t="s">
        <v>74</v>
      </c>
      <c r="M719" s="1" t="s">
        <v>74</v>
      </c>
      <c r="N719" s="1" t="s">
        <v>74</v>
      </c>
      <c r="O719" s="1" t="s">
        <v>74</v>
      </c>
      <c r="P719" s="1" t="s">
        <v>74</v>
      </c>
      <c r="Q719" s="1" t="s">
        <v>74</v>
      </c>
      <c r="R719" s="1" t="s">
        <v>74</v>
      </c>
      <c r="S719" s="1" t="s">
        <v>74</v>
      </c>
      <c r="T719" s="1" t="s">
        <v>74</v>
      </c>
      <c r="U719" s="1" t="s">
        <v>74</v>
      </c>
      <c r="V719" s="1" t="s">
        <v>6819</v>
      </c>
      <c r="W719" s="1" t="s">
        <v>74</v>
      </c>
      <c r="X719" s="1" t="s">
        <v>74</v>
      </c>
      <c r="Y719" s="1" t="s">
        <v>74</v>
      </c>
      <c r="Z719" s="1" t="s">
        <v>74</v>
      </c>
      <c r="AA719" s="1" t="s">
        <v>6820</v>
      </c>
      <c r="AB719" s="1" t="s">
        <v>6821</v>
      </c>
      <c r="AC719" s="1" t="s">
        <v>74</v>
      </c>
      <c r="AD719" s="1" t="s">
        <v>74</v>
      </c>
      <c r="AE719" s="1" t="s">
        <v>74</v>
      </c>
      <c r="AF719" s="1" t="s">
        <v>74</v>
      </c>
      <c r="AG719" s="1" t="s">
        <v>74</v>
      </c>
      <c r="AH719" s="1" t="s">
        <v>74</v>
      </c>
      <c r="AI719" s="1" t="s">
        <v>74</v>
      </c>
      <c r="AJ719" s="1" t="s">
        <v>74</v>
      </c>
      <c r="AK719" s="1" t="s">
        <v>74</v>
      </c>
      <c r="AL719" s="1" t="s">
        <v>74</v>
      </c>
      <c r="AM719" s="1" t="s">
        <v>74</v>
      </c>
      <c r="AN719" s="1" t="s">
        <v>74</v>
      </c>
      <c r="AO719" s="1" t="s">
        <v>6822</v>
      </c>
      <c r="AP719" s="1" t="s">
        <v>74</v>
      </c>
      <c r="AQ719" s="1" t="s">
        <v>74</v>
      </c>
      <c r="AR719" s="1" t="s">
        <v>74</v>
      </c>
      <c r="AS719" s="1" t="s">
        <v>74</v>
      </c>
      <c r="AT719" s="1" t="s">
        <v>650</v>
      </c>
      <c r="AU719" s="1">
        <v>2015.0</v>
      </c>
      <c r="AV719" s="1">
        <v>14.0</v>
      </c>
      <c r="AW719" s="1">
        <v>2.0</v>
      </c>
      <c r="AX719" s="1" t="s">
        <v>74</v>
      </c>
      <c r="AY719" s="1" t="s">
        <v>74</v>
      </c>
      <c r="AZ719" s="1" t="s">
        <v>74</v>
      </c>
      <c r="BA719" s="1" t="s">
        <v>74</v>
      </c>
      <c r="BB719" s="1">
        <v>113.0</v>
      </c>
      <c r="BC719" s="1">
        <v>117.0</v>
      </c>
      <c r="BD719" s="1" t="s">
        <v>74</v>
      </c>
      <c r="BE719" s="1" t="s">
        <v>74</v>
      </c>
      <c r="BF719" s="1" t="s">
        <v>74</v>
      </c>
      <c r="BG719" s="1" t="s">
        <v>74</v>
      </c>
      <c r="BH719" s="1" t="s">
        <v>74</v>
      </c>
      <c r="BI719" s="1" t="s">
        <v>74</v>
      </c>
      <c r="BJ719" s="1" t="s">
        <v>74</v>
      </c>
      <c r="BK719" s="1" t="s">
        <v>74</v>
      </c>
      <c r="BL719" s="1" t="s">
        <v>74</v>
      </c>
      <c r="BM719" s="1" t="s">
        <v>74</v>
      </c>
      <c r="BN719" s="1" t="s">
        <v>74</v>
      </c>
      <c r="BO719" s="1" t="s">
        <v>74</v>
      </c>
      <c r="BP719" s="1" t="s">
        <v>74</v>
      </c>
      <c r="BQ719" s="1" t="s">
        <v>74</v>
      </c>
      <c r="BR719" s="1" t="s">
        <v>74</v>
      </c>
      <c r="BS719" s="1" t="s">
        <v>6823</v>
      </c>
      <c r="BT719" s="1" t="str">
        <f>HYPERLINK("https%3A%2F%2Fwww.webofscience.com%2Fwos%2Fwoscc%2Ffull-record%2FWOS:000351495000005","View Full Record in Web of Science")</f>
        <v>View Full Record in Web of Science</v>
      </c>
    </row>
    <row r="720" ht="12.75" customHeight="1">
      <c r="A720" s="1" t="s">
        <v>72</v>
      </c>
      <c r="B720" s="1" t="s">
        <v>6824</v>
      </c>
      <c r="C720" s="1" t="s">
        <v>74</v>
      </c>
      <c r="D720" s="1" t="s">
        <v>74</v>
      </c>
      <c r="E720" s="1" t="s">
        <v>74</v>
      </c>
      <c r="F720" s="1" t="s">
        <v>6825</v>
      </c>
      <c r="G720" s="1" t="s">
        <v>74</v>
      </c>
      <c r="H720" s="1" t="s">
        <v>74</v>
      </c>
      <c r="I720" s="1" t="s">
        <v>6826</v>
      </c>
      <c r="J720" s="1" t="s">
        <v>1572</v>
      </c>
      <c r="K720" s="1" t="s">
        <v>74</v>
      </c>
      <c r="L720" s="1" t="s">
        <v>74</v>
      </c>
      <c r="M720" s="1" t="s">
        <v>74</v>
      </c>
      <c r="N720" s="1" t="s">
        <v>74</v>
      </c>
      <c r="O720" s="1" t="s">
        <v>74</v>
      </c>
      <c r="P720" s="1" t="s">
        <v>74</v>
      </c>
      <c r="Q720" s="1" t="s">
        <v>74</v>
      </c>
      <c r="R720" s="1" t="s">
        <v>74</v>
      </c>
      <c r="S720" s="1" t="s">
        <v>74</v>
      </c>
      <c r="T720" s="1" t="s">
        <v>74</v>
      </c>
      <c r="U720" s="1" t="s">
        <v>74</v>
      </c>
      <c r="V720" s="1" t="s">
        <v>6827</v>
      </c>
      <c r="W720" s="1" t="s">
        <v>74</v>
      </c>
      <c r="X720" s="1" t="s">
        <v>74</v>
      </c>
      <c r="Y720" s="1" t="s">
        <v>74</v>
      </c>
      <c r="Z720" s="1" t="s">
        <v>74</v>
      </c>
      <c r="AA720" s="1" t="s">
        <v>6828</v>
      </c>
      <c r="AB720" s="1" t="s">
        <v>6829</v>
      </c>
      <c r="AC720" s="1" t="s">
        <v>74</v>
      </c>
      <c r="AD720" s="1" t="s">
        <v>74</v>
      </c>
      <c r="AE720" s="1" t="s">
        <v>74</v>
      </c>
      <c r="AF720" s="1" t="s">
        <v>74</v>
      </c>
      <c r="AG720" s="1" t="s">
        <v>74</v>
      </c>
      <c r="AH720" s="1" t="s">
        <v>74</v>
      </c>
      <c r="AI720" s="1" t="s">
        <v>74</v>
      </c>
      <c r="AJ720" s="1" t="s">
        <v>74</v>
      </c>
      <c r="AK720" s="1" t="s">
        <v>74</v>
      </c>
      <c r="AL720" s="1" t="s">
        <v>74</v>
      </c>
      <c r="AM720" s="1" t="s">
        <v>74</v>
      </c>
      <c r="AN720" s="1" t="s">
        <v>74</v>
      </c>
      <c r="AO720" s="1" t="s">
        <v>1574</v>
      </c>
      <c r="AP720" s="1" t="s">
        <v>1575</v>
      </c>
      <c r="AQ720" s="1" t="s">
        <v>74</v>
      </c>
      <c r="AR720" s="1" t="s">
        <v>74</v>
      </c>
      <c r="AS720" s="1" t="s">
        <v>74</v>
      </c>
      <c r="AT720" s="1" t="s">
        <v>2282</v>
      </c>
      <c r="AU720" s="1">
        <v>2015.0</v>
      </c>
      <c r="AV720" s="1">
        <v>737.0</v>
      </c>
      <c r="AW720" s="1" t="s">
        <v>74</v>
      </c>
      <c r="AX720" s="1" t="s">
        <v>74</v>
      </c>
      <c r="AY720" s="1" t="s">
        <v>74</v>
      </c>
      <c r="AZ720" s="1" t="s">
        <v>411</v>
      </c>
      <c r="BA720" s="1" t="s">
        <v>74</v>
      </c>
      <c r="BB720" s="1">
        <v>212.0</v>
      </c>
      <c r="BC720" s="1">
        <v>217.0</v>
      </c>
      <c r="BD720" s="1" t="s">
        <v>74</v>
      </c>
      <c r="BE720" s="1" t="s">
        <v>6830</v>
      </c>
      <c r="BF720" s="2" t="str">
        <f>HYPERLINK("http://dx.doi.org/10.1016/j.jelechem.2014.08.015","http://dx.doi.org/10.1016/j.jelechem.2014.08.015")</f>
        <v>http://dx.doi.org/10.1016/j.jelechem.2014.08.015</v>
      </c>
      <c r="BG720" s="1" t="s">
        <v>74</v>
      </c>
      <c r="BH720" s="1" t="s">
        <v>74</v>
      </c>
      <c r="BI720" s="1" t="s">
        <v>74</v>
      </c>
      <c r="BJ720" s="1" t="s">
        <v>74</v>
      </c>
      <c r="BK720" s="1" t="s">
        <v>74</v>
      </c>
      <c r="BL720" s="1" t="s">
        <v>74</v>
      </c>
      <c r="BM720" s="1" t="s">
        <v>74</v>
      </c>
      <c r="BN720" s="1" t="s">
        <v>74</v>
      </c>
      <c r="BO720" s="1" t="s">
        <v>74</v>
      </c>
      <c r="BP720" s="1" t="s">
        <v>74</v>
      </c>
      <c r="BQ720" s="1" t="s">
        <v>74</v>
      </c>
      <c r="BR720" s="1" t="s">
        <v>74</v>
      </c>
      <c r="BS720" s="1" t="s">
        <v>6831</v>
      </c>
      <c r="BT720" s="1" t="str">
        <f>HYPERLINK("https%3A%2F%2Fwww.webofscience.com%2Fwos%2Fwoscc%2Ffull-record%2FWOS:000349508300024","View Full Record in Web of Science")</f>
        <v>View Full Record in Web of Science</v>
      </c>
    </row>
    <row r="721" ht="12.75" customHeight="1">
      <c r="A721" s="1" t="s">
        <v>242</v>
      </c>
      <c r="B721" s="1" t="s">
        <v>1289</v>
      </c>
      <c r="C721" s="1" t="s">
        <v>1290</v>
      </c>
      <c r="D721" s="1" t="s">
        <v>74</v>
      </c>
      <c r="E721" s="1" t="s">
        <v>74</v>
      </c>
      <c r="F721" s="1" t="s">
        <v>1291</v>
      </c>
      <c r="G721" s="1" t="s">
        <v>1290</v>
      </c>
      <c r="H721" s="1" t="s">
        <v>74</v>
      </c>
      <c r="I721" s="1" t="s">
        <v>6832</v>
      </c>
      <c r="J721" s="1" t="s">
        <v>1293</v>
      </c>
      <c r="K721" s="1" t="s">
        <v>74</v>
      </c>
      <c r="L721" s="1" t="s">
        <v>74</v>
      </c>
      <c r="M721" s="1" t="s">
        <v>74</v>
      </c>
      <c r="N721" s="1" t="s">
        <v>74</v>
      </c>
      <c r="O721" s="1" t="s">
        <v>74</v>
      </c>
      <c r="P721" s="1" t="s">
        <v>74</v>
      </c>
      <c r="Q721" s="1" t="s">
        <v>74</v>
      </c>
      <c r="R721" s="1" t="s">
        <v>74</v>
      </c>
      <c r="S721" s="1" t="s">
        <v>74</v>
      </c>
      <c r="T721" s="1" t="s">
        <v>74</v>
      </c>
      <c r="U721" s="1" t="s">
        <v>74</v>
      </c>
      <c r="V721" s="1" t="s">
        <v>74</v>
      </c>
      <c r="W721" s="1" t="s">
        <v>74</v>
      </c>
      <c r="X721" s="1" t="s">
        <v>74</v>
      </c>
      <c r="Y721" s="1" t="s">
        <v>74</v>
      </c>
      <c r="Z721" s="1" t="s">
        <v>74</v>
      </c>
      <c r="AA721" s="1" t="s">
        <v>74</v>
      </c>
      <c r="AB721" s="1" t="s">
        <v>74</v>
      </c>
      <c r="AC721" s="1" t="s">
        <v>74</v>
      </c>
      <c r="AD721" s="1" t="s">
        <v>74</v>
      </c>
      <c r="AE721" s="1" t="s">
        <v>74</v>
      </c>
      <c r="AF721" s="1" t="s">
        <v>74</v>
      </c>
      <c r="AG721" s="1" t="s">
        <v>74</v>
      </c>
      <c r="AH721" s="1" t="s">
        <v>74</v>
      </c>
      <c r="AI721" s="1" t="s">
        <v>74</v>
      </c>
      <c r="AJ721" s="1" t="s">
        <v>74</v>
      </c>
      <c r="AK721" s="1" t="s">
        <v>74</v>
      </c>
      <c r="AL721" s="1" t="s">
        <v>74</v>
      </c>
      <c r="AM721" s="1" t="s">
        <v>74</v>
      </c>
      <c r="AN721" s="1" t="s">
        <v>74</v>
      </c>
      <c r="AO721" s="1" t="s">
        <v>74</v>
      </c>
      <c r="AP721" s="1" t="s">
        <v>74</v>
      </c>
      <c r="AQ721" s="1" t="s">
        <v>1294</v>
      </c>
      <c r="AR721" s="1" t="s">
        <v>74</v>
      </c>
      <c r="AS721" s="1" t="s">
        <v>74</v>
      </c>
      <c r="AT721" s="1" t="s">
        <v>74</v>
      </c>
      <c r="AU721" s="1">
        <v>2015.0</v>
      </c>
      <c r="AV721" s="1" t="s">
        <v>74</v>
      </c>
      <c r="AW721" s="1" t="s">
        <v>74</v>
      </c>
      <c r="AX721" s="1" t="s">
        <v>74</v>
      </c>
      <c r="AY721" s="1" t="s">
        <v>74</v>
      </c>
      <c r="AZ721" s="1" t="s">
        <v>74</v>
      </c>
      <c r="BA721" s="1" t="s">
        <v>74</v>
      </c>
      <c r="BB721" s="1">
        <v>95.0</v>
      </c>
      <c r="BC721" s="1">
        <v>100.0</v>
      </c>
      <c r="BD721" s="1" t="s">
        <v>74</v>
      </c>
      <c r="BE721" s="1" t="s">
        <v>74</v>
      </c>
      <c r="BF721" s="1" t="s">
        <v>74</v>
      </c>
      <c r="BG721" s="1" t="s">
        <v>74</v>
      </c>
      <c r="BH721" s="1" t="s">
        <v>74</v>
      </c>
      <c r="BI721" s="1" t="s">
        <v>74</v>
      </c>
      <c r="BJ721" s="1" t="s">
        <v>74</v>
      </c>
      <c r="BK721" s="1" t="s">
        <v>74</v>
      </c>
      <c r="BL721" s="1" t="s">
        <v>74</v>
      </c>
      <c r="BM721" s="1" t="s">
        <v>74</v>
      </c>
      <c r="BN721" s="1" t="s">
        <v>74</v>
      </c>
      <c r="BO721" s="1" t="s">
        <v>74</v>
      </c>
      <c r="BP721" s="1" t="s">
        <v>74</v>
      </c>
      <c r="BQ721" s="1" t="s">
        <v>74</v>
      </c>
      <c r="BR721" s="1" t="s">
        <v>74</v>
      </c>
      <c r="BS721" s="1" t="s">
        <v>6833</v>
      </c>
      <c r="BT721" s="1" t="str">
        <f>HYPERLINK("https%3A%2F%2Fwww.webofscience.com%2Fwos%2Fwoscc%2Ffull-record%2FWOS:000541676300007","View Full Record in Web of Science")</f>
        <v>View Full Record in Web of Science</v>
      </c>
    </row>
    <row r="722" ht="12.75" customHeight="1">
      <c r="A722" s="1" t="s">
        <v>72</v>
      </c>
      <c r="B722" s="1" t="s">
        <v>6834</v>
      </c>
      <c r="C722" s="1" t="s">
        <v>74</v>
      </c>
      <c r="D722" s="1" t="s">
        <v>74</v>
      </c>
      <c r="E722" s="1" t="s">
        <v>74</v>
      </c>
      <c r="F722" s="1" t="s">
        <v>6835</v>
      </c>
      <c r="G722" s="1" t="s">
        <v>74</v>
      </c>
      <c r="H722" s="1" t="s">
        <v>74</v>
      </c>
      <c r="I722" s="1" t="s">
        <v>6836</v>
      </c>
      <c r="J722" s="1" t="s">
        <v>3605</v>
      </c>
      <c r="K722" s="1" t="s">
        <v>74</v>
      </c>
      <c r="L722" s="1" t="s">
        <v>74</v>
      </c>
      <c r="M722" s="1" t="s">
        <v>74</v>
      </c>
      <c r="N722" s="1" t="s">
        <v>74</v>
      </c>
      <c r="O722" s="1" t="s">
        <v>74</v>
      </c>
      <c r="P722" s="1" t="s">
        <v>74</v>
      </c>
      <c r="Q722" s="1" t="s">
        <v>74</v>
      </c>
      <c r="R722" s="1" t="s">
        <v>74</v>
      </c>
      <c r="S722" s="1" t="s">
        <v>74</v>
      </c>
      <c r="T722" s="1" t="s">
        <v>74</v>
      </c>
      <c r="U722" s="1" t="s">
        <v>74</v>
      </c>
      <c r="V722" s="1" t="s">
        <v>6837</v>
      </c>
      <c r="W722" s="1" t="s">
        <v>74</v>
      </c>
      <c r="X722" s="1" t="s">
        <v>74</v>
      </c>
      <c r="Y722" s="1" t="s">
        <v>74</v>
      </c>
      <c r="Z722" s="1" t="s">
        <v>74</v>
      </c>
      <c r="AA722" s="1" t="s">
        <v>6838</v>
      </c>
      <c r="AB722" s="1" t="s">
        <v>6839</v>
      </c>
      <c r="AC722" s="1" t="s">
        <v>74</v>
      </c>
      <c r="AD722" s="1" t="s">
        <v>74</v>
      </c>
      <c r="AE722" s="1" t="s">
        <v>74</v>
      </c>
      <c r="AF722" s="1" t="s">
        <v>74</v>
      </c>
      <c r="AG722" s="1" t="s">
        <v>74</v>
      </c>
      <c r="AH722" s="1" t="s">
        <v>74</v>
      </c>
      <c r="AI722" s="1" t="s">
        <v>74</v>
      </c>
      <c r="AJ722" s="1" t="s">
        <v>74</v>
      </c>
      <c r="AK722" s="1" t="s">
        <v>74</v>
      </c>
      <c r="AL722" s="1" t="s">
        <v>74</v>
      </c>
      <c r="AM722" s="1" t="s">
        <v>74</v>
      </c>
      <c r="AN722" s="1" t="s">
        <v>74</v>
      </c>
      <c r="AO722" s="1" t="s">
        <v>3609</v>
      </c>
      <c r="AP722" s="1" t="s">
        <v>74</v>
      </c>
      <c r="AQ722" s="1" t="s">
        <v>74</v>
      </c>
      <c r="AR722" s="1" t="s">
        <v>74</v>
      </c>
      <c r="AS722" s="1" t="s">
        <v>74</v>
      </c>
      <c r="AT722" s="1" t="s">
        <v>6537</v>
      </c>
      <c r="AU722" s="1">
        <v>2014.0</v>
      </c>
      <c r="AV722" s="1">
        <v>17.0</v>
      </c>
      <c r="AW722" s="1">
        <v>2.0</v>
      </c>
      <c r="AX722" s="1" t="s">
        <v>74</v>
      </c>
      <c r="AY722" s="1" t="s">
        <v>74</v>
      </c>
      <c r="AZ722" s="1" t="s">
        <v>74</v>
      </c>
      <c r="BA722" s="1" t="s">
        <v>74</v>
      </c>
      <c r="BB722" s="1" t="s">
        <v>74</v>
      </c>
      <c r="BC722" s="1" t="s">
        <v>74</v>
      </c>
      <c r="BD722" s="1" t="s">
        <v>74</v>
      </c>
      <c r="BE722" s="1" t="s">
        <v>6840</v>
      </c>
      <c r="BF722" s="2" t="str">
        <f>HYPERLINK("http://dx.doi.org/10.1016/j.ejbt.2014.01.003","http://dx.doi.org/10.1016/j.ejbt.2014.01.003")</f>
        <v>http://dx.doi.org/10.1016/j.ejbt.2014.01.003</v>
      </c>
      <c r="BG722" s="1" t="s">
        <v>74</v>
      </c>
      <c r="BH722" s="1" t="s">
        <v>74</v>
      </c>
      <c r="BI722" s="1" t="s">
        <v>74</v>
      </c>
      <c r="BJ722" s="1" t="s">
        <v>74</v>
      </c>
      <c r="BK722" s="1" t="s">
        <v>74</v>
      </c>
      <c r="BL722" s="1" t="s">
        <v>74</v>
      </c>
      <c r="BM722" s="1" t="s">
        <v>74</v>
      </c>
      <c r="BN722" s="1" t="s">
        <v>74</v>
      </c>
      <c r="BO722" s="1" t="s">
        <v>74</v>
      </c>
      <c r="BP722" s="1" t="s">
        <v>74</v>
      </c>
      <c r="BQ722" s="1" t="s">
        <v>74</v>
      </c>
      <c r="BR722" s="1" t="s">
        <v>74</v>
      </c>
      <c r="BS722" s="1" t="s">
        <v>6841</v>
      </c>
      <c r="BT722" s="1" t="str">
        <f>HYPERLINK("https%3A%2F%2Fwww.webofscience.com%2Fwos%2Fwoscc%2Ffull-record%2FWOS:000334441800001","View Full Record in Web of Science")</f>
        <v>View Full Record in Web of Science</v>
      </c>
    </row>
    <row r="723" ht="12.75" customHeight="1">
      <c r="A723" s="1" t="s">
        <v>72</v>
      </c>
      <c r="B723" s="1" t="s">
        <v>6842</v>
      </c>
      <c r="C723" s="1" t="s">
        <v>74</v>
      </c>
      <c r="D723" s="1" t="s">
        <v>74</v>
      </c>
      <c r="E723" s="1" t="s">
        <v>74</v>
      </c>
      <c r="F723" s="1" t="s">
        <v>6843</v>
      </c>
      <c r="G723" s="1" t="s">
        <v>74</v>
      </c>
      <c r="H723" s="1" t="s">
        <v>74</v>
      </c>
      <c r="I723" s="1" t="s">
        <v>6844</v>
      </c>
      <c r="J723" s="1" t="s">
        <v>6845</v>
      </c>
      <c r="K723" s="1" t="s">
        <v>74</v>
      </c>
      <c r="L723" s="1" t="s">
        <v>74</v>
      </c>
      <c r="M723" s="1" t="s">
        <v>74</v>
      </c>
      <c r="N723" s="1" t="s">
        <v>74</v>
      </c>
      <c r="O723" s="1" t="s">
        <v>74</v>
      </c>
      <c r="P723" s="1" t="s">
        <v>74</v>
      </c>
      <c r="Q723" s="1" t="s">
        <v>74</v>
      </c>
      <c r="R723" s="1" t="s">
        <v>74</v>
      </c>
      <c r="S723" s="1" t="s">
        <v>74</v>
      </c>
      <c r="T723" s="1" t="s">
        <v>74</v>
      </c>
      <c r="U723" s="1" t="s">
        <v>74</v>
      </c>
      <c r="V723" s="1" t="s">
        <v>6846</v>
      </c>
      <c r="W723" s="1" t="s">
        <v>74</v>
      </c>
      <c r="X723" s="1" t="s">
        <v>74</v>
      </c>
      <c r="Y723" s="1" t="s">
        <v>74</v>
      </c>
      <c r="Z723" s="1" t="s">
        <v>74</v>
      </c>
      <c r="AA723" s="1" t="s">
        <v>5803</v>
      </c>
      <c r="AB723" s="1" t="s">
        <v>5804</v>
      </c>
      <c r="AC723" s="1" t="s">
        <v>74</v>
      </c>
      <c r="AD723" s="1" t="s">
        <v>74</v>
      </c>
      <c r="AE723" s="1" t="s">
        <v>74</v>
      </c>
      <c r="AF723" s="1" t="s">
        <v>74</v>
      </c>
      <c r="AG723" s="1" t="s">
        <v>74</v>
      </c>
      <c r="AH723" s="1" t="s">
        <v>74</v>
      </c>
      <c r="AI723" s="1" t="s">
        <v>74</v>
      </c>
      <c r="AJ723" s="1" t="s">
        <v>74</v>
      </c>
      <c r="AK723" s="1" t="s">
        <v>74</v>
      </c>
      <c r="AL723" s="1" t="s">
        <v>74</v>
      </c>
      <c r="AM723" s="1" t="s">
        <v>74</v>
      </c>
      <c r="AN723" s="1" t="s">
        <v>74</v>
      </c>
      <c r="AO723" s="1" t="s">
        <v>6847</v>
      </c>
      <c r="AP723" s="1" t="s">
        <v>6848</v>
      </c>
      <c r="AQ723" s="1" t="s">
        <v>74</v>
      </c>
      <c r="AR723" s="1" t="s">
        <v>74</v>
      </c>
      <c r="AS723" s="1" t="s">
        <v>74</v>
      </c>
      <c r="AT723" s="1" t="s">
        <v>2282</v>
      </c>
      <c r="AU723" s="1">
        <v>2014.0</v>
      </c>
      <c r="AV723" s="1">
        <v>115.0</v>
      </c>
      <c r="AW723" s="1" t="s">
        <v>74</v>
      </c>
      <c r="AX723" s="1" t="s">
        <v>74</v>
      </c>
      <c r="AY723" s="1" t="s">
        <v>74</v>
      </c>
      <c r="AZ723" s="1" t="s">
        <v>74</v>
      </c>
      <c r="BA723" s="1" t="s">
        <v>74</v>
      </c>
      <c r="BB723" s="1">
        <v>42.0</v>
      </c>
      <c r="BC723" s="1">
        <v>44.0</v>
      </c>
      <c r="BD723" s="1" t="s">
        <v>74</v>
      </c>
      <c r="BE723" s="1" t="s">
        <v>6849</v>
      </c>
      <c r="BF723" s="2" t="str">
        <f>HYPERLINK("http://dx.doi.org/10.1016/j.matlet.2013.10.020","http://dx.doi.org/10.1016/j.matlet.2013.10.020")</f>
        <v>http://dx.doi.org/10.1016/j.matlet.2013.10.020</v>
      </c>
      <c r="BG723" s="1" t="s">
        <v>74</v>
      </c>
      <c r="BH723" s="1" t="s">
        <v>74</v>
      </c>
      <c r="BI723" s="1" t="s">
        <v>74</v>
      </c>
      <c r="BJ723" s="1" t="s">
        <v>74</v>
      </c>
      <c r="BK723" s="1" t="s">
        <v>74</v>
      </c>
      <c r="BL723" s="1" t="s">
        <v>74</v>
      </c>
      <c r="BM723" s="1" t="s">
        <v>74</v>
      </c>
      <c r="BN723" s="1" t="s">
        <v>74</v>
      </c>
      <c r="BO723" s="1" t="s">
        <v>74</v>
      </c>
      <c r="BP723" s="1" t="s">
        <v>74</v>
      </c>
      <c r="BQ723" s="1" t="s">
        <v>74</v>
      </c>
      <c r="BR723" s="1" t="s">
        <v>74</v>
      </c>
      <c r="BS723" s="1" t="s">
        <v>6850</v>
      </c>
      <c r="BT723" s="1" t="str">
        <f>HYPERLINK("https%3A%2F%2Fwww.webofscience.com%2Fwos%2Fwoscc%2Ffull-record%2FWOS:000329563400011","View Full Record in Web of Science")</f>
        <v>View Full Record in Web of Science</v>
      </c>
    </row>
    <row r="724" ht="12.75" customHeight="1">
      <c r="A724" s="1" t="s">
        <v>72</v>
      </c>
      <c r="B724" s="1" t="s">
        <v>6851</v>
      </c>
      <c r="C724" s="1" t="s">
        <v>74</v>
      </c>
      <c r="D724" s="1" t="s">
        <v>74</v>
      </c>
      <c r="E724" s="1" t="s">
        <v>74</v>
      </c>
      <c r="F724" s="1" t="s">
        <v>6852</v>
      </c>
      <c r="G724" s="1" t="s">
        <v>74</v>
      </c>
      <c r="H724" s="1" t="s">
        <v>74</v>
      </c>
      <c r="I724" s="1" t="s">
        <v>6853</v>
      </c>
      <c r="J724" s="1" t="s">
        <v>602</v>
      </c>
      <c r="K724" s="1" t="s">
        <v>74</v>
      </c>
      <c r="L724" s="1" t="s">
        <v>74</v>
      </c>
      <c r="M724" s="1" t="s">
        <v>74</v>
      </c>
      <c r="N724" s="1" t="s">
        <v>74</v>
      </c>
      <c r="O724" s="1" t="s">
        <v>74</v>
      </c>
      <c r="P724" s="1" t="s">
        <v>74</v>
      </c>
      <c r="Q724" s="1" t="s">
        <v>74</v>
      </c>
      <c r="R724" s="1" t="s">
        <v>74</v>
      </c>
      <c r="S724" s="1" t="s">
        <v>74</v>
      </c>
      <c r="T724" s="1" t="s">
        <v>74</v>
      </c>
      <c r="U724" s="1" t="s">
        <v>74</v>
      </c>
      <c r="V724" s="1" t="s">
        <v>6854</v>
      </c>
      <c r="W724" s="1" t="s">
        <v>74</v>
      </c>
      <c r="X724" s="1" t="s">
        <v>74</v>
      </c>
      <c r="Y724" s="1" t="s">
        <v>74</v>
      </c>
      <c r="Z724" s="1" t="s">
        <v>74</v>
      </c>
      <c r="AA724" s="1" t="s">
        <v>74</v>
      </c>
      <c r="AB724" s="1" t="s">
        <v>74</v>
      </c>
      <c r="AC724" s="1" t="s">
        <v>74</v>
      </c>
      <c r="AD724" s="1" t="s">
        <v>74</v>
      </c>
      <c r="AE724" s="1" t="s">
        <v>74</v>
      </c>
      <c r="AF724" s="1" t="s">
        <v>74</v>
      </c>
      <c r="AG724" s="1" t="s">
        <v>74</v>
      </c>
      <c r="AH724" s="1" t="s">
        <v>74</v>
      </c>
      <c r="AI724" s="1" t="s">
        <v>74</v>
      </c>
      <c r="AJ724" s="1" t="s">
        <v>74</v>
      </c>
      <c r="AK724" s="1" t="s">
        <v>74</v>
      </c>
      <c r="AL724" s="1" t="s">
        <v>74</v>
      </c>
      <c r="AM724" s="1" t="s">
        <v>74</v>
      </c>
      <c r="AN724" s="1" t="s">
        <v>74</v>
      </c>
      <c r="AO724" s="1" t="s">
        <v>605</v>
      </c>
      <c r="AP724" s="1" t="s">
        <v>74</v>
      </c>
      <c r="AQ724" s="1" t="s">
        <v>74</v>
      </c>
      <c r="AR724" s="1" t="s">
        <v>74</v>
      </c>
      <c r="AS724" s="1" t="s">
        <v>74</v>
      </c>
      <c r="AT724" s="1" t="s">
        <v>110</v>
      </c>
      <c r="AU724" s="1">
        <v>2011.0</v>
      </c>
      <c r="AV724" s="1" t="s">
        <v>74</v>
      </c>
      <c r="AW724" s="1">
        <v>33.0</v>
      </c>
      <c r="AX724" s="1" t="s">
        <v>74</v>
      </c>
      <c r="AY724" s="1" t="s">
        <v>74</v>
      </c>
      <c r="AZ724" s="1" t="s">
        <v>74</v>
      </c>
      <c r="BA724" s="1" t="s">
        <v>74</v>
      </c>
      <c r="BB724" s="1">
        <v>147.0</v>
      </c>
      <c r="BC724" s="1">
        <v>158.0</v>
      </c>
      <c r="BD724" s="1" t="s">
        <v>74</v>
      </c>
      <c r="BE724" s="1" t="s">
        <v>74</v>
      </c>
      <c r="BF724" s="1" t="s">
        <v>74</v>
      </c>
      <c r="BG724" s="1" t="s">
        <v>74</v>
      </c>
      <c r="BH724" s="1" t="s">
        <v>74</v>
      </c>
      <c r="BI724" s="1" t="s">
        <v>74</v>
      </c>
      <c r="BJ724" s="1" t="s">
        <v>74</v>
      </c>
      <c r="BK724" s="1" t="s">
        <v>74</v>
      </c>
      <c r="BL724" s="1" t="s">
        <v>74</v>
      </c>
      <c r="BM724" s="1" t="s">
        <v>74</v>
      </c>
      <c r="BN724" s="1" t="s">
        <v>74</v>
      </c>
      <c r="BO724" s="1" t="s">
        <v>74</v>
      </c>
      <c r="BP724" s="1" t="s">
        <v>74</v>
      </c>
      <c r="BQ724" s="1" t="s">
        <v>74</v>
      </c>
      <c r="BR724" s="1" t="s">
        <v>74</v>
      </c>
      <c r="BS724" s="1" t="s">
        <v>6855</v>
      </c>
      <c r="BT724" s="1" t="str">
        <f>HYPERLINK("https%3A%2F%2Fwww.webofscience.com%2Fwos%2Fwoscc%2Ffull-record%2FWOS:000305983000010","View Full Record in Web of Science")</f>
        <v>View Full Record in Web of Science</v>
      </c>
    </row>
    <row r="725" ht="12.75" customHeight="1">
      <c r="A725" s="1" t="s">
        <v>72</v>
      </c>
      <c r="B725" s="1" t="s">
        <v>6856</v>
      </c>
      <c r="C725" s="1" t="s">
        <v>74</v>
      </c>
      <c r="D725" s="1" t="s">
        <v>74</v>
      </c>
      <c r="E725" s="1" t="s">
        <v>74</v>
      </c>
      <c r="F725" s="1" t="s">
        <v>6857</v>
      </c>
      <c r="G725" s="1" t="s">
        <v>74</v>
      </c>
      <c r="H725" s="1" t="s">
        <v>74</v>
      </c>
      <c r="I725" s="1" t="s">
        <v>6858</v>
      </c>
      <c r="J725" s="1" t="s">
        <v>6859</v>
      </c>
      <c r="K725" s="1" t="s">
        <v>74</v>
      </c>
      <c r="L725" s="1" t="s">
        <v>74</v>
      </c>
      <c r="M725" s="1" t="s">
        <v>74</v>
      </c>
      <c r="N725" s="1" t="s">
        <v>74</v>
      </c>
      <c r="O725" s="1" t="s">
        <v>74</v>
      </c>
      <c r="P725" s="1" t="s">
        <v>74</v>
      </c>
      <c r="Q725" s="1" t="s">
        <v>74</v>
      </c>
      <c r="R725" s="1" t="s">
        <v>74</v>
      </c>
      <c r="S725" s="1" t="s">
        <v>74</v>
      </c>
      <c r="T725" s="1" t="s">
        <v>74</v>
      </c>
      <c r="U725" s="1" t="s">
        <v>74</v>
      </c>
      <c r="V725" s="1" t="s">
        <v>6860</v>
      </c>
      <c r="W725" s="1" t="s">
        <v>74</v>
      </c>
      <c r="X725" s="1" t="s">
        <v>74</v>
      </c>
      <c r="Y725" s="1" t="s">
        <v>74</v>
      </c>
      <c r="Z725" s="1" t="s">
        <v>74</v>
      </c>
      <c r="AA725" s="1" t="s">
        <v>74</v>
      </c>
      <c r="AB725" s="1" t="s">
        <v>6861</v>
      </c>
      <c r="AC725" s="1" t="s">
        <v>74</v>
      </c>
      <c r="AD725" s="1" t="s">
        <v>74</v>
      </c>
      <c r="AE725" s="1" t="s">
        <v>74</v>
      </c>
      <c r="AF725" s="1" t="s">
        <v>74</v>
      </c>
      <c r="AG725" s="1" t="s">
        <v>74</v>
      </c>
      <c r="AH725" s="1" t="s">
        <v>74</v>
      </c>
      <c r="AI725" s="1" t="s">
        <v>74</v>
      </c>
      <c r="AJ725" s="1" t="s">
        <v>74</v>
      </c>
      <c r="AK725" s="1" t="s">
        <v>74</v>
      </c>
      <c r="AL725" s="1" t="s">
        <v>74</v>
      </c>
      <c r="AM725" s="1" t="s">
        <v>74</v>
      </c>
      <c r="AN725" s="1" t="s">
        <v>74</v>
      </c>
      <c r="AO725" s="1" t="s">
        <v>6862</v>
      </c>
      <c r="AP725" s="1" t="s">
        <v>74</v>
      </c>
      <c r="AQ725" s="1" t="s">
        <v>74</v>
      </c>
      <c r="AR725" s="1" t="s">
        <v>74</v>
      </c>
      <c r="AS725" s="1" t="s">
        <v>74</v>
      </c>
      <c r="AT725" s="1" t="s">
        <v>1049</v>
      </c>
      <c r="AU725" s="1">
        <v>2011.0</v>
      </c>
      <c r="AV725" s="1">
        <v>37.0</v>
      </c>
      <c r="AW725" s="1">
        <v>4.0</v>
      </c>
      <c r="AX725" s="1" t="s">
        <v>74</v>
      </c>
      <c r="AY725" s="1" t="s">
        <v>74</v>
      </c>
      <c r="AZ725" s="1" t="s">
        <v>74</v>
      </c>
      <c r="BA725" s="1" t="s">
        <v>74</v>
      </c>
      <c r="BB725" s="1">
        <v>384.0</v>
      </c>
      <c r="BC725" s="1">
        <v>391.0</v>
      </c>
      <c r="BD725" s="1" t="s">
        <v>74</v>
      </c>
      <c r="BE725" s="1" t="s">
        <v>6863</v>
      </c>
      <c r="BF725" s="2" t="str">
        <f>HYPERLINK("http://dx.doi.org/10.1016/j.pubrev.2011.08.014","http://dx.doi.org/10.1016/j.pubrev.2011.08.014")</f>
        <v>http://dx.doi.org/10.1016/j.pubrev.2011.08.014</v>
      </c>
      <c r="BG725" s="1" t="s">
        <v>74</v>
      </c>
      <c r="BH725" s="1" t="s">
        <v>74</v>
      </c>
      <c r="BI725" s="1" t="s">
        <v>74</v>
      </c>
      <c r="BJ725" s="1" t="s">
        <v>74</v>
      </c>
      <c r="BK725" s="1" t="s">
        <v>74</v>
      </c>
      <c r="BL725" s="1" t="s">
        <v>74</v>
      </c>
      <c r="BM725" s="1" t="s">
        <v>74</v>
      </c>
      <c r="BN725" s="1" t="s">
        <v>74</v>
      </c>
      <c r="BO725" s="1" t="s">
        <v>74</v>
      </c>
      <c r="BP725" s="1" t="s">
        <v>74</v>
      </c>
      <c r="BQ725" s="1" t="s">
        <v>74</v>
      </c>
      <c r="BR725" s="1" t="s">
        <v>74</v>
      </c>
      <c r="BS725" s="1" t="s">
        <v>6864</v>
      </c>
      <c r="BT725" s="1" t="str">
        <f>HYPERLINK("https%3A%2F%2Fwww.webofscience.com%2Fwos%2Fwoscc%2Ffull-record%2FWOS:000295425500008","View Full Record in Web of Science")</f>
        <v>View Full Record in Web of Science</v>
      </c>
    </row>
    <row r="726" ht="12.75" customHeight="1">
      <c r="A726" s="1" t="s">
        <v>72</v>
      </c>
      <c r="B726" s="1" t="s">
        <v>6865</v>
      </c>
      <c r="C726" s="1" t="s">
        <v>74</v>
      </c>
      <c r="D726" s="1" t="s">
        <v>74</v>
      </c>
      <c r="E726" s="1" t="s">
        <v>74</v>
      </c>
      <c r="F726" s="1" t="s">
        <v>6866</v>
      </c>
      <c r="G726" s="1" t="s">
        <v>74</v>
      </c>
      <c r="H726" s="1" t="s">
        <v>74</v>
      </c>
      <c r="I726" s="1" t="s">
        <v>6867</v>
      </c>
      <c r="J726" s="1" t="s">
        <v>3672</v>
      </c>
      <c r="K726" s="1" t="s">
        <v>74</v>
      </c>
      <c r="L726" s="1" t="s">
        <v>74</v>
      </c>
      <c r="M726" s="1" t="s">
        <v>74</v>
      </c>
      <c r="N726" s="1" t="s">
        <v>74</v>
      </c>
      <c r="O726" s="1" t="s">
        <v>74</v>
      </c>
      <c r="P726" s="1" t="s">
        <v>74</v>
      </c>
      <c r="Q726" s="1" t="s">
        <v>74</v>
      </c>
      <c r="R726" s="1" t="s">
        <v>74</v>
      </c>
      <c r="S726" s="1" t="s">
        <v>74</v>
      </c>
      <c r="T726" s="1" t="s">
        <v>74</v>
      </c>
      <c r="U726" s="1" t="s">
        <v>74</v>
      </c>
      <c r="V726" s="1" t="s">
        <v>6868</v>
      </c>
      <c r="W726" s="1" t="s">
        <v>74</v>
      </c>
      <c r="X726" s="1" t="s">
        <v>74</v>
      </c>
      <c r="Y726" s="1" t="s">
        <v>74</v>
      </c>
      <c r="Z726" s="1" t="s">
        <v>74</v>
      </c>
      <c r="AA726" s="1" t="s">
        <v>74</v>
      </c>
      <c r="AB726" s="1" t="s">
        <v>74</v>
      </c>
      <c r="AC726" s="1" t="s">
        <v>74</v>
      </c>
      <c r="AD726" s="1" t="s">
        <v>74</v>
      </c>
      <c r="AE726" s="1" t="s">
        <v>74</v>
      </c>
      <c r="AF726" s="1" t="s">
        <v>74</v>
      </c>
      <c r="AG726" s="1" t="s">
        <v>74</v>
      </c>
      <c r="AH726" s="1" t="s">
        <v>74</v>
      </c>
      <c r="AI726" s="1" t="s">
        <v>74</v>
      </c>
      <c r="AJ726" s="1" t="s">
        <v>74</v>
      </c>
      <c r="AK726" s="1" t="s">
        <v>74</v>
      </c>
      <c r="AL726" s="1" t="s">
        <v>74</v>
      </c>
      <c r="AM726" s="1" t="s">
        <v>74</v>
      </c>
      <c r="AN726" s="1" t="s">
        <v>74</v>
      </c>
      <c r="AO726" s="1" t="s">
        <v>3676</v>
      </c>
      <c r="AP726" s="1" t="s">
        <v>74</v>
      </c>
      <c r="AQ726" s="1" t="s">
        <v>74</v>
      </c>
      <c r="AR726" s="1" t="s">
        <v>74</v>
      </c>
      <c r="AS726" s="1" t="s">
        <v>74</v>
      </c>
      <c r="AT726" s="1" t="s">
        <v>732</v>
      </c>
      <c r="AU726" s="1">
        <v>2011.0</v>
      </c>
      <c r="AV726" s="1">
        <v>47.0</v>
      </c>
      <c r="AW726" s="1">
        <v>4.0</v>
      </c>
      <c r="AX726" s="1" t="s">
        <v>74</v>
      </c>
      <c r="AY726" s="1" t="s">
        <v>74</v>
      </c>
      <c r="AZ726" s="1" t="s">
        <v>74</v>
      </c>
      <c r="BA726" s="1" t="s">
        <v>74</v>
      </c>
      <c r="BB726" s="1">
        <v>293.0</v>
      </c>
      <c r="BC726" s="1">
        <v>306.0</v>
      </c>
      <c r="BD726" s="1" t="s">
        <v>74</v>
      </c>
      <c r="BE726" s="1" t="s">
        <v>6869</v>
      </c>
      <c r="BF726" s="2" t="str">
        <f>HYPERLINK("http://dx.doi.org/10.3989/revmetalm.1041","http://dx.doi.org/10.3989/revmetalm.1041")</f>
        <v>http://dx.doi.org/10.3989/revmetalm.1041</v>
      </c>
      <c r="BG726" s="1" t="s">
        <v>74</v>
      </c>
      <c r="BH726" s="1" t="s">
        <v>74</v>
      </c>
      <c r="BI726" s="1" t="s">
        <v>74</v>
      </c>
      <c r="BJ726" s="1" t="s">
        <v>74</v>
      </c>
      <c r="BK726" s="1" t="s">
        <v>74</v>
      </c>
      <c r="BL726" s="1" t="s">
        <v>74</v>
      </c>
      <c r="BM726" s="1" t="s">
        <v>74</v>
      </c>
      <c r="BN726" s="1" t="s">
        <v>74</v>
      </c>
      <c r="BO726" s="1" t="s">
        <v>74</v>
      </c>
      <c r="BP726" s="1" t="s">
        <v>74</v>
      </c>
      <c r="BQ726" s="1" t="s">
        <v>74</v>
      </c>
      <c r="BR726" s="1" t="s">
        <v>74</v>
      </c>
      <c r="BS726" s="1" t="s">
        <v>6870</v>
      </c>
      <c r="BT726" s="1" t="str">
        <f>HYPERLINK("https%3A%2F%2Fwww.webofscience.com%2Fwos%2Fwoscc%2Ffull-record%2FWOS:000295752300001","View Full Record in Web of Science")</f>
        <v>View Full Record in Web of Science</v>
      </c>
    </row>
    <row r="727" ht="12.75" customHeight="1">
      <c r="A727" s="1" t="s">
        <v>72</v>
      </c>
      <c r="B727" s="1" t="s">
        <v>3042</v>
      </c>
      <c r="C727" s="1" t="s">
        <v>74</v>
      </c>
      <c r="D727" s="1" t="s">
        <v>74</v>
      </c>
      <c r="E727" s="1" t="s">
        <v>74</v>
      </c>
      <c r="F727" s="1" t="s">
        <v>3043</v>
      </c>
      <c r="G727" s="1" t="s">
        <v>74</v>
      </c>
      <c r="H727" s="1" t="s">
        <v>74</v>
      </c>
      <c r="I727" s="1" t="s">
        <v>6871</v>
      </c>
      <c r="J727" s="1" t="s">
        <v>84</v>
      </c>
      <c r="K727" s="1" t="s">
        <v>74</v>
      </c>
      <c r="L727" s="1" t="s">
        <v>74</v>
      </c>
      <c r="M727" s="1" t="s">
        <v>74</v>
      </c>
      <c r="N727" s="1" t="s">
        <v>74</v>
      </c>
      <c r="O727" s="1" t="s">
        <v>74</v>
      </c>
      <c r="P727" s="1" t="s">
        <v>74</v>
      </c>
      <c r="Q727" s="1" t="s">
        <v>74</v>
      </c>
      <c r="R727" s="1" t="s">
        <v>74</v>
      </c>
      <c r="S727" s="1" t="s">
        <v>74</v>
      </c>
      <c r="T727" s="1" t="s">
        <v>74</v>
      </c>
      <c r="U727" s="1" t="s">
        <v>74</v>
      </c>
      <c r="V727" s="1" t="s">
        <v>74</v>
      </c>
      <c r="W727" s="1" t="s">
        <v>74</v>
      </c>
      <c r="X727" s="1" t="s">
        <v>74</v>
      </c>
      <c r="Y727" s="1" t="s">
        <v>74</v>
      </c>
      <c r="Z727" s="1" t="s">
        <v>74</v>
      </c>
      <c r="AA727" s="1" t="s">
        <v>6872</v>
      </c>
      <c r="AB727" s="1" t="s">
        <v>74</v>
      </c>
      <c r="AC727" s="1" t="s">
        <v>74</v>
      </c>
      <c r="AD727" s="1" t="s">
        <v>74</v>
      </c>
      <c r="AE727" s="1" t="s">
        <v>74</v>
      </c>
      <c r="AF727" s="1" t="s">
        <v>74</v>
      </c>
      <c r="AG727" s="1" t="s">
        <v>74</v>
      </c>
      <c r="AH727" s="1" t="s">
        <v>74</v>
      </c>
      <c r="AI727" s="1" t="s">
        <v>74</v>
      </c>
      <c r="AJ727" s="1" t="s">
        <v>74</v>
      </c>
      <c r="AK727" s="1" t="s">
        <v>74</v>
      </c>
      <c r="AL727" s="1" t="s">
        <v>74</v>
      </c>
      <c r="AM727" s="1" t="s">
        <v>74</v>
      </c>
      <c r="AN727" s="1" t="s">
        <v>74</v>
      </c>
      <c r="AO727" s="1" t="s">
        <v>86</v>
      </c>
      <c r="AP727" s="1" t="s">
        <v>74</v>
      </c>
      <c r="AQ727" s="1" t="s">
        <v>74</v>
      </c>
      <c r="AR727" s="1" t="s">
        <v>74</v>
      </c>
      <c r="AS727" s="1" t="s">
        <v>74</v>
      </c>
      <c r="AT727" s="1" t="s">
        <v>215</v>
      </c>
      <c r="AU727" s="1">
        <v>2011.0</v>
      </c>
      <c r="AV727" s="1">
        <v>6.0</v>
      </c>
      <c r="AW727" s="1">
        <v>2.0</v>
      </c>
      <c r="AX727" s="1" t="s">
        <v>74</v>
      </c>
      <c r="AY727" s="1" t="s">
        <v>74</v>
      </c>
      <c r="AZ727" s="1" t="s">
        <v>74</v>
      </c>
      <c r="BA727" s="1" t="s">
        <v>74</v>
      </c>
      <c r="BB727" s="1">
        <v>375.0</v>
      </c>
      <c r="BC727" s="1">
        <v>375.0</v>
      </c>
      <c r="BD727" s="1" t="s">
        <v>74</v>
      </c>
      <c r="BE727" s="1" t="s">
        <v>74</v>
      </c>
      <c r="BF727" s="1" t="s">
        <v>74</v>
      </c>
      <c r="BG727" s="1" t="s">
        <v>74</v>
      </c>
      <c r="BH727" s="1" t="s">
        <v>74</v>
      </c>
      <c r="BI727" s="1" t="s">
        <v>74</v>
      </c>
      <c r="BJ727" s="1" t="s">
        <v>74</v>
      </c>
      <c r="BK727" s="1" t="s">
        <v>74</v>
      </c>
      <c r="BL727" s="1" t="s">
        <v>74</v>
      </c>
      <c r="BM727" s="1" t="s">
        <v>74</v>
      </c>
      <c r="BN727" s="1" t="s">
        <v>74</v>
      </c>
      <c r="BO727" s="1" t="s">
        <v>74</v>
      </c>
      <c r="BP727" s="1" t="s">
        <v>74</v>
      </c>
      <c r="BQ727" s="1" t="s">
        <v>74</v>
      </c>
      <c r="BR727" s="1" t="s">
        <v>74</v>
      </c>
      <c r="BS727" s="1" t="s">
        <v>6873</v>
      </c>
      <c r="BT727" s="1" t="str">
        <f>HYPERLINK("https%3A%2F%2Fwww.webofscience.com%2Fwos%2Fwoscc%2Ffull-record%2FWOS:000289028900018","View Full Record in Web of Science")</f>
        <v>View Full Record in Web of Science</v>
      </c>
    </row>
    <row r="728" ht="12.75" customHeight="1">
      <c r="A728" s="1" t="s">
        <v>72</v>
      </c>
      <c r="B728" s="1" t="s">
        <v>6874</v>
      </c>
      <c r="C728" s="1" t="s">
        <v>74</v>
      </c>
      <c r="D728" s="1" t="s">
        <v>74</v>
      </c>
      <c r="E728" s="1" t="s">
        <v>74</v>
      </c>
      <c r="F728" s="1" t="s">
        <v>6875</v>
      </c>
      <c r="G728" s="1" t="s">
        <v>74</v>
      </c>
      <c r="H728" s="1" t="s">
        <v>74</v>
      </c>
      <c r="I728" s="1" t="s">
        <v>6876</v>
      </c>
      <c r="J728" s="1" t="s">
        <v>4192</v>
      </c>
      <c r="K728" s="1" t="s">
        <v>74</v>
      </c>
      <c r="L728" s="1" t="s">
        <v>74</v>
      </c>
      <c r="M728" s="1" t="s">
        <v>74</v>
      </c>
      <c r="N728" s="1" t="s">
        <v>74</v>
      </c>
      <c r="O728" s="1" t="s">
        <v>74</v>
      </c>
      <c r="P728" s="1" t="s">
        <v>74</v>
      </c>
      <c r="Q728" s="1" t="s">
        <v>74</v>
      </c>
      <c r="R728" s="1" t="s">
        <v>74</v>
      </c>
      <c r="S728" s="1" t="s">
        <v>74</v>
      </c>
      <c r="T728" s="1" t="s">
        <v>74</v>
      </c>
      <c r="U728" s="1" t="s">
        <v>74</v>
      </c>
      <c r="V728" s="1" t="s">
        <v>6877</v>
      </c>
      <c r="W728" s="1" t="s">
        <v>74</v>
      </c>
      <c r="X728" s="1" t="s">
        <v>74</v>
      </c>
      <c r="Y728" s="1" t="s">
        <v>74</v>
      </c>
      <c r="Z728" s="1" t="s">
        <v>74</v>
      </c>
      <c r="AA728" s="1" t="s">
        <v>74</v>
      </c>
      <c r="AB728" s="1" t="s">
        <v>74</v>
      </c>
      <c r="AC728" s="1" t="s">
        <v>74</v>
      </c>
      <c r="AD728" s="1" t="s">
        <v>74</v>
      </c>
      <c r="AE728" s="1" t="s">
        <v>74</v>
      </c>
      <c r="AF728" s="1" t="s">
        <v>74</v>
      </c>
      <c r="AG728" s="1" t="s">
        <v>74</v>
      </c>
      <c r="AH728" s="1" t="s">
        <v>74</v>
      </c>
      <c r="AI728" s="1" t="s">
        <v>74</v>
      </c>
      <c r="AJ728" s="1" t="s">
        <v>74</v>
      </c>
      <c r="AK728" s="1" t="s">
        <v>74</v>
      </c>
      <c r="AL728" s="1" t="s">
        <v>74</v>
      </c>
      <c r="AM728" s="1" t="s">
        <v>74</v>
      </c>
      <c r="AN728" s="1" t="s">
        <v>74</v>
      </c>
      <c r="AO728" s="1" t="s">
        <v>4196</v>
      </c>
      <c r="AP728" s="1" t="s">
        <v>4197</v>
      </c>
      <c r="AQ728" s="1" t="s">
        <v>74</v>
      </c>
      <c r="AR728" s="1" t="s">
        <v>74</v>
      </c>
      <c r="AS728" s="1" t="s">
        <v>74</v>
      </c>
      <c r="AT728" s="1" t="s">
        <v>74</v>
      </c>
      <c r="AU728" s="1">
        <v>2011.0</v>
      </c>
      <c r="AV728" s="1">
        <v>64.0</v>
      </c>
      <c r="AW728" s="1">
        <v>3.0</v>
      </c>
      <c r="AX728" s="1" t="s">
        <v>74</v>
      </c>
      <c r="AY728" s="1" t="s">
        <v>74</v>
      </c>
      <c r="AZ728" s="1" t="s">
        <v>74</v>
      </c>
      <c r="BA728" s="1" t="s">
        <v>74</v>
      </c>
      <c r="BB728" s="1">
        <v>377.0</v>
      </c>
      <c r="BC728" s="1">
        <v>389.0</v>
      </c>
      <c r="BD728" s="1" t="s">
        <v>6878</v>
      </c>
      <c r="BE728" s="1" t="s">
        <v>6879</v>
      </c>
      <c r="BF728" s="2" t="str">
        <f>HYPERLINK("http://dx.doi.org/10.1080/00958972.2010.544724","http://dx.doi.org/10.1080/00958972.2010.544724")</f>
        <v>http://dx.doi.org/10.1080/00958972.2010.544724</v>
      </c>
      <c r="BG728" s="1" t="s">
        <v>74</v>
      </c>
      <c r="BH728" s="1" t="s">
        <v>74</v>
      </c>
      <c r="BI728" s="1" t="s">
        <v>74</v>
      </c>
      <c r="BJ728" s="1" t="s">
        <v>74</v>
      </c>
      <c r="BK728" s="1" t="s">
        <v>74</v>
      </c>
      <c r="BL728" s="1" t="s">
        <v>74</v>
      </c>
      <c r="BM728" s="1" t="s">
        <v>74</v>
      </c>
      <c r="BN728" s="1" t="s">
        <v>74</v>
      </c>
      <c r="BO728" s="1" t="s">
        <v>74</v>
      </c>
      <c r="BP728" s="1" t="s">
        <v>74</v>
      </c>
      <c r="BQ728" s="1" t="s">
        <v>74</v>
      </c>
      <c r="BR728" s="1" t="s">
        <v>74</v>
      </c>
      <c r="BS728" s="1" t="s">
        <v>6880</v>
      </c>
      <c r="BT728" s="1" t="str">
        <f>HYPERLINK("https%3A%2F%2Fwww.webofscience.com%2Fwos%2Fwoscc%2Ffull-record%2FWOS:000287028700001","View Full Record in Web of Science")</f>
        <v>View Full Record in Web of Science</v>
      </c>
    </row>
    <row r="729" ht="12.75" customHeight="1">
      <c r="A729" s="1" t="s">
        <v>72</v>
      </c>
      <c r="B729" s="1" t="s">
        <v>6881</v>
      </c>
      <c r="C729" s="1" t="s">
        <v>74</v>
      </c>
      <c r="D729" s="1" t="s">
        <v>74</v>
      </c>
      <c r="E729" s="1" t="s">
        <v>74</v>
      </c>
      <c r="F729" s="1" t="s">
        <v>6882</v>
      </c>
      <c r="G729" s="1" t="s">
        <v>74</v>
      </c>
      <c r="H729" s="1" t="s">
        <v>74</v>
      </c>
      <c r="I729" s="1" t="s">
        <v>6883</v>
      </c>
      <c r="J729" s="1" t="s">
        <v>6884</v>
      </c>
      <c r="K729" s="1" t="s">
        <v>74</v>
      </c>
      <c r="L729" s="1" t="s">
        <v>74</v>
      </c>
      <c r="M729" s="1" t="s">
        <v>74</v>
      </c>
      <c r="N729" s="1" t="s">
        <v>74</v>
      </c>
      <c r="O729" s="1" t="s">
        <v>74</v>
      </c>
      <c r="P729" s="1" t="s">
        <v>74</v>
      </c>
      <c r="Q729" s="1" t="s">
        <v>74</v>
      </c>
      <c r="R729" s="1" t="s">
        <v>74</v>
      </c>
      <c r="S729" s="1" t="s">
        <v>74</v>
      </c>
      <c r="T729" s="1" t="s">
        <v>74</v>
      </c>
      <c r="U729" s="1" t="s">
        <v>74</v>
      </c>
      <c r="V729" s="1" t="s">
        <v>6885</v>
      </c>
      <c r="W729" s="1" t="s">
        <v>74</v>
      </c>
      <c r="X729" s="1" t="s">
        <v>74</v>
      </c>
      <c r="Y729" s="1" t="s">
        <v>74</v>
      </c>
      <c r="Z729" s="1" t="s">
        <v>74</v>
      </c>
      <c r="AA729" s="1" t="s">
        <v>74</v>
      </c>
      <c r="AB729" s="1" t="s">
        <v>74</v>
      </c>
      <c r="AC729" s="1" t="s">
        <v>74</v>
      </c>
      <c r="AD729" s="1" t="s">
        <v>74</v>
      </c>
      <c r="AE729" s="1" t="s">
        <v>74</v>
      </c>
      <c r="AF729" s="1" t="s">
        <v>74</v>
      </c>
      <c r="AG729" s="1" t="s">
        <v>74</v>
      </c>
      <c r="AH729" s="1" t="s">
        <v>74</v>
      </c>
      <c r="AI729" s="1" t="s">
        <v>74</v>
      </c>
      <c r="AJ729" s="1" t="s">
        <v>74</v>
      </c>
      <c r="AK729" s="1" t="s">
        <v>74</v>
      </c>
      <c r="AL729" s="1" t="s">
        <v>74</v>
      </c>
      <c r="AM729" s="1" t="s">
        <v>74</v>
      </c>
      <c r="AN729" s="1" t="s">
        <v>74</v>
      </c>
      <c r="AO729" s="1" t="s">
        <v>6886</v>
      </c>
      <c r="AP729" s="1" t="s">
        <v>74</v>
      </c>
      <c r="AQ729" s="1" t="s">
        <v>74</v>
      </c>
      <c r="AR729" s="1" t="s">
        <v>74</v>
      </c>
      <c r="AS729" s="1" t="s">
        <v>74</v>
      </c>
      <c r="AT729" s="1" t="s">
        <v>110</v>
      </c>
      <c r="AU729" s="1">
        <v>2010.0</v>
      </c>
      <c r="AV729" s="1" t="s">
        <v>74</v>
      </c>
      <c r="AW729" s="1">
        <v>37.0</v>
      </c>
      <c r="AX729" s="1" t="s">
        <v>74</v>
      </c>
      <c r="AY729" s="1" t="s">
        <v>74</v>
      </c>
      <c r="AZ729" s="1" t="s">
        <v>74</v>
      </c>
      <c r="BA729" s="1" t="s">
        <v>74</v>
      </c>
      <c r="BB729" s="1">
        <v>106.0</v>
      </c>
      <c r="BC729" s="1">
        <v>120.0</v>
      </c>
      <c r="BD729" s="1" t="s">
        <v>74</v>
      </c>
      <c r="BE729" s="1" t="s">
        <v>74</v>
      </c>
      <c r="BF729" s="1" t="s">
        <v>74</v>
      </c>
      <c r="BG729" s="1" t="s">
        <v>74</v>
      </c>
      <c r="BH729" s="1" t="s">
        <v>74</v>
      </c>
      <c r="BI729" s="1" t="s">
        <v>74</v>
      </c>
      <c r="BJ729" s="1" t="s">
        <v>74</v>
      </c>
      <c r="BK729" s="1" t="s">
        <v>74</v>
      </c>
      <c r="BL729" s="1" t="s">
        <v>74</v>
      </c>
      <c r="BM729" s="1" t="s">
        <v>74</v>
      </c>
      <c r="BN729" s="1" t="s">
        <v>74</v>
      </c>
      <c r="BO729" s="1" t="s">
        <v>74</v>
      </c>
      <c r="BP729" s="1" t="s">
        <v>74</v>
      </c>
      <c r="BQ729" s="1" t="s">
        <v>74</v>
      </c>
      <c r="BR729" s="1" t="s">
        <v>74</v>
      </c>
      <c r="BS729" s="1" t="s">
        <v>6887</v>
      </c>
      <c r="BT729" s="1" t="str">
        <f>HYPERLINK("https%3A%2F%2Fwww.webofscience.com%2Fwos%2Fwoscc%2Ffull-record%2FWOS:000285219000006","View Full Record in Web of Science")</f>
        <v>View Full Record in Web of Science</v>
      </c>
    </row>
    <row r="730" ht="12.75" customHeight="1">
      <c r="A730" s="1" t="s">
        <v>251</v>
      </c>
      <c r="B730" s="1" t="s">
        <v>4332</v>
      </c>
      <c r="C730" s="1" t="s">
        <v>74</v>
      </c>
      <c r="D730" s="1" t="s">
        <v>6888</v>
      </c>
      <c r="E730" s="1" t="s">
        <v>74</v>
      </c>
      <c r="F730" s="1" t="s">
        <v>4333</v>
      </c>
      <c r="G730" s="1" t="s">
        <v>74</v>
      </c>
      <c r="H730" s="1" t="s">
        <v>74</v>
      </c>
      <c r="I730" s="1" t="s">
        <v>6889</v>
      </c>
      <c r="J730" s="1" t="s">
        <v>6890</v>
      </c>
      <c r="K730" s="1" t="s">
        <v>6891</v>
      </c>
      <c r="L730" s="1" t="s">
        <v>74</v>
      </c>
      <c r="M730" s="1" t="s">
        <v>74</v>
      </c>
      <c r="N730" s="1" t="s">
        <v>74</v>
      </c>
      <c r="O730" s="1" t="s">
        <v>6892</v>
      </c>
      <c r="P730" s="1" t="s">
        <v>6893</v>
      </c>
      <c r="Q730" s="1" t="s">
        <v>6894</v>
      </c>
      <c r="R730" s="1" t="s">
        <v>6895</v>
      </c>
      <c r="S730" s="1" t="s">
        <v>74</v>
      </c>
      <c r="T730" s="1" t="s">
        <v>74</v>
      </c>
      <c r="U730" s="1" t="s">
        <v>74</v>
      </c>
      <c r="V730" s="1" t="s">
        <v>6896</v>
      </c>
      <c r="W730" s="1" t="s">
        <v>74</v>
      </c>
      <c r="X730" s="1" t="s">
        <v>74</v>
      </c>
      <c r="Y730" s="1" t="s">
        <v>74</v>
      </c>
      <c r="Z730" s="1" t="s">
        <v>74</v>
      </c>
      <c r="AA730" s="1" t="s">
        <v>74</v>
      </c>
      <c r="AB730" s="1" t="s">
        <v>74</v>
      </c>
      <c r="AC730" s="1" t="s">
        <v>74</v>
      </c>
      <c r="AD730" s="1" t="s">
        <v>74</v>
      </c>
      <c r="AE730" s="1" t="s">
        <v>74</v>
      </c>
      <c r="AF730" s="1" t="s">
        <v>74</v>
      </c>
      <c r="AG730" s="1" t="s">
        <v>74</v>
      </c>
      <c r="AH730" s="1" t="s">
        <v>74</v>
      </c>
      <c r="AI730" s="1" t="s">
        <v>74</v>
      </c>
      <c r="AJ730" s="1" t="s">
        <v>74</v>
      </c>
      <c r="AK730" s="1" t="s">
        <v>74</v>
      </c>
      <c r="AL730" s="1" t="s">
        <v>74</v>
      </c>
      <c r="AM730" s="1" t="s">
        <v>74</v>
      </c>
      <c r="AN730" s="1" t="s">
        <v>74</v>
      </c>
      <c r="AO730" s="1" t="s">
        <v>6897</v>
      </c>
      <c r="AP730" s="1" t="s">
        <v>74</v>
      </c>
      <c r="AQ730" s="1" t="s">
        <v>6898</v>
      </c>
      <c r="AR730" s="1" t="s">
        <v>74</v>
      </c>
      <c r="AS730" s="1" t="s">
        <v>74</v>
      </c>
      <c r="AT730" s="1" t="s">
        <v>74</v>
      </c>
      <c r="AU730" s="1">
        <v>2008.0</v>
      </c>
      <c r="AV730" s="1">
        <v>1027.0</v>
      </c>
      <c r="AW730" s="1" t="s">
        <v>74</v>
      </c>
      <c r="AX730" s="1" t="s">
        <v>74</v>
      </c>
      <c r="AY730" s="1" t="s">
        <v>74</v>
      </c>
      <c r="AZ730" s="1" t="s">
        <v>74</v>
      </c>
      <c r="BA730" s="1" t="s">
        <v>74</v>
      </c>
      <c r="BB730" s="1">
        <v>78.0</v>
      </c>
      <c r="BC730" s="1" t="s">
        <v>576</v>
      </c>
      <c r="BD730" s="1" t="s">
        <v>74</v>
      </c>
      <c r="BE730" s="1" t="s">
        <v>74</v>
      </c>
      <c r="BF730" s="1" t="s">
        <v>74</v>
      </c>
      <c r="BG730" s="1" t="s">
        <v>74</v>
      </c>
      <c r="BH730" s="1" t="s">
        <v>74</v>
      </c>
      <c r="BI730" s="1" t="s">
        <v>74</v>
      </c>
      <c r="BJ730" s="1" t="s">
        <v>74</v>
      </c>
      <c r="BK730" s="1" t="s">
        <v>74</v>
      </c>
      <c r="BL730" s="1" t="s">
        <v>74</v>
      </c>
      <c r="BM730" s="1" t="s">
        <v>74</v>
      </c>
      <c r="BN730" s="1" t="s">
        <v>74</v>
      </c>
      <c r="BO730" s="1" t="s">
        <v>74</v>
      </c>
      <c r="BP730" s="1" t="s">
        <v>74</v>
      </c>
      <c r="BQ730" s="1" t="s">
        <v>74</v>
      </c>
      <c r="BR730" s="1" t="s">
        <v>74</v>
      </c>
      <c r="BS730" s="1" t="s">
        <v>6899</v>
      </c>
      <c r="BT730" s="1" t="str">
        <f>HYPERLINK("https%3A%2F%2Fwww.webofscience.com%2Fwos%2Fwoscc%2Ffull-record%2FWOS:000257623000026","View Full Record in Web of Science")</f>
        <v>View Full Record in Web of Science</v>
      </c>
    </row>
    <row r="731" ht="12.75" customHeight="1">
      <c r="A731" s="1" t="s">
        <v>72</v>
      </c>
      <c r="B731" s="1" t="s">
        <v>6900</v>
      </c>
      <c r="C731" s="1" t="s">
        <v>74</v>
      </c>
      <c r="D731" s="1" t="s">
        <v>74</v>
      </c>
      <c r="E731" s="1" t="s">
        <v>74</v>
      </c>
      <c r="F731" s="1" t="s">
        <v>6901</v>
      </c>
      <c r="G731" s="1" t="s">
        <v>74</v>
      </c>
      <c r="H731" s="1" t="s">
        <v>74</v>
      </c>
      <c r="I731" s="1" t="s">
        <v>6902</v>
      </c>
      <c r="J731" s="1" t="s">
        <v>6903</v>
      </c>
      <c r="K731" s="1" t="s">
        <v>74</v>
      </c>
      <c r="L731" s="1" t="s">
        <v>74</v>
      </c>
      <c r="M731" s="1" t="s">
        <v>74</v>
      </c>
      <c r="N731" s="1" t="s">
        <v>74</v>
      </c>
      <c r="O731" s="1" t="s">
        <v>6904</v>
      </c>
      <c r="P731" s="1" t="s">
        <v>6905</v>
      </c>
      <c r="Q731" s="1" t="s">
        <v>964</v>
      </c>
      <c r="R731" s="1" t="s">
        <v>74</v>
      </c>
      <c r="S731" s="1" t="s">
        <v>74</v>
      </c>
      <c r="T731" s="1" t="s">
        <v>74</v>
      </c>
      <c r="U731" s="1" t="s">
        <v>74</v>
      </c>
      <c r="V731" s="1" t="s">
        <v>74</v>
      </c>
      <c r="W731" s="1" t="s">
        <v>74</v>
      </c>
      <c r="X731" s="1" t="s">
        <v>74</v>
      </c>
      <c r="Y731" s="1" t="s">
        <v>74</v>
      </c>
      <c r="Z731" s="1" t="s">
        <v>74</v>
      </c>
      <c r="AA731" s="1" t="s">
        <v>6906</v>
      </c>
      <c r="AB731" s="1" t="s">
        <v>74</v>
      </c>
      <c r="AC731" s="1" t="s">
        <v>74</v>
      </c>
      <c r="AD731" s="1" t="s">
        <v>74</v>
      </c>
      <c r="AE731" s="1" t="s">
        <v>74</v>
      </c>
      <c r="AF731" s="1" t="s">
        <v>74</v>
      </c>
      <c r="AG731" s="1" t="s">
        <v>74</v>
      </c>
      <c r="AH731" s="1" t="s">
        <v>74</v>
      </c>
      <c r="AI731" s="1" t="s">
        <v>74</v>
      </c>
      <c r="AJ731" s="1" t="s">
        <v>74</v>
      </c>
      <c r="AK731" s="1" t="s">
        <v>74</v>
      </c>
      <c r="AL731" s="1" t="s">
        <v>74</v>
      </c>
      <c r="AM731" s="1" t="s">
        <v>74</v>
      </c>
      <c r="AN731" s="1" t="s">
        <v>74</v>
      </c>
      <c r="AO731" s="1" t="s">
        <v>6907</v>
      </c>
      <c r="AP731" s="1" t="s">
        <v>74</v>
      </c>
      <c r="AQ731" s="1" t="s">
        <v>74</v>
      </c>
      <c r="AR731" s="1" t="s">
        <v>74</v>
      </c>
      <c r="AS731" s="1" t="s">
        <v>74</v>
      </c>
      <c r="AT731" s="1" t="s">
        <v>88</v>
      </c>
      <c r="AU731" s="1">
        <v>2007.0</v>
      </c>
      <c r="AV731" s="1">
        <v>21.0</v>
      </c>
      <c r="AW731" s="1">
        <v>6.0</v>
      </c>
      <c r="AX731" s="1" t="s">
        <v>74</v>
      </c>
      <c r="AY731" s="1" t="s">
        <v>74</v>
      </c>
      <c r="AZ731" s="1" t="s">
        <v>74</v>
      </c>
      <c r="BA731" s="1" t="s">
        <v>74</v>
      </c>
      <c r="BB731" s="1" t="s">
        <v>6908</v>
      </c>
      <c r="BC731" s="1" t="s">
        <v>6908</v>
      </c>
      <c r="BD731" s="1" t="s">
        <v>74</v>
      </c>
      <c r="BE731" s="1" t="s">
        <v>74</v>
      </c>
      <c r="BF731" s="1" t="s">
        <v>74</v>
      </c>
      <c r="BG731" s="1" t="s">
        <v>74</v>
      </c>
      <c r="BH731" s="1" t="s">
        <v>74</v>
      </c>
      <c r="BI731" s="1" t="s">
        <v>74</v>
      </c>
      <c r="BJ731" s="1" t="s">
        <v>74</v>
      </c>
      <c r="BK731" s="1" t="s">
        <v>74</v>
      </c>
      <c r="BL731" s="1" t="s">
        <v>74</v>
      </c>
      <c r="BM731" s="1" t="s">
        <v>74</v>
      </c>
      <c r="BN731" s="1" t="s">
        <v>74</v>
      </c>
      <c r="BO731" s="1" t="s">
        <v>74</v>
      </c>
      <c r="BP731" s="1" t="s">
        <v>74</v>
      </c>
      <c r="BQ731" s="1" t="s">
        <v>74</v>
      </c>
      <c r="BR731" s="1" t="s">
        <v>74</v>
      </c>
      <c r="BS731" s="1" t="s">
        <v>6909</v>
      </c>
      <c r="BT731" s="1" t="str">
        <f>HYPERLINK("https%3A%2F%2Fwww.webofscience.com%2Fwos%2Fwoscc%2Ffull-record%2FWOS:000245708702186","View Full Record in Web of Science")</f>
        <v>View Full Record in Web of Science</v>
      </c>
    </row>
    <row r="732" ht="12.75" customHeight="1">
      <c r="A732" s="1" t="s">
        <v>72</v>
      </c>
      <c r="B732" s="1" t="s">
        <v>6910</v>
      </c>
      <c r="C732" s="1" t="s">
        <v>74</v>
      </c>
      <c r="D732" s="1" t="s">
        <v>74</v>
      </c>
      <c r="E732" s="1" t="s">
        <v>74</v>
      </c>
      <c r="F732" s="1" t="s">
        <v>6910</v>
      </c>
      <c r="G732" s="1" t="s">
        <v>74</v>
      </c>
      <c r="H732" s="1" t="s">
        <v>74</v>
      </c>
      <c r="I732" s="1" t="s">
        <v>6911</v>
      </c>
      <c r="J732" s="1" t="s">
        <v>2371</v>
      </c>
      <c r="K732" s="1" t="s">
        <v>74</v>
      </c>
      <c r="L732" s="1" t="s">
        <v>74</v>
      </c>
      <c r="M732" s="1" t="s">
        <v>74</v>
      </c>
      <c r="N732" s="1" t="s">
        <v>74</v>
      </c>
      <c r="O732" s="1" t="s">
        <v>74</v>
      </c>
      <c r="P732" s="1" t="s">
        <v>74</v>
      </c>
      <c r="Q732" s="1" t="s">
        <v>74</v>
      </c>
      <c r="R732" s="1" t="s">
        <v>74</v>
      </c>
      <c r="S732" s="1" t="s">
        <v>74</v>
      </c>
      <c r="T732" s="1" t="s">
        <v>74</v>
      </c>
      <c r="U732" s="1" t="s">
        <v>74</v>
      </c>
      <c r="V732" s="1" t="s">
        <v>6912</v>
      </c>
      <c r="W732" s="1" t="s">
        <v>74</v>
      </c>
      <c r="X732" s="1" t="s">
        <v>74</v>
      </c>
      <c r="Y732" s="1" t="s">
        <v>74</v>
      </c>
      <c r="Z732" s="1" t="s">
        <v>74</v>
      </c>
      <c r="AA732" s="1" t="s">
        <v>74</v>
      </c>
      <c r="AB732" s="1" t="s">
        <v>74</v>
      </c>
      <c r="AC732" s="1" t="s">
        <v>74</v>
      </c>
      <c r="AD732" s="1" t="s">
        <v>74</v>
      </c>
      <c r="AE732" s="1" t="s">
        <v>74</v>
      </c>
      <c r="AF732" s="1" t="s">
        <v>74</v>
      </c>
      <c r="AG732" s="1" t="s">
        <v>74</v>
      </c>
      <c r="AH732" s="1" t="s">
        <v>74</v>
      </c>
      <c r="AI732" s="1" t="s">
        <v>74</v>
      </c>
      <c r="AJ732" s="1" t="s">
        <v>74</v>
      </c>
      <c r="AK732" s="1" t="s">
        <v>74</v>
      </c>
      <c r="AL732" s="1" t="s">
        <v>74</v>
      </c>
      <c r="AM732" s="1" t="s">
        <v>74</v>
      </c>
      <c r="AN732" s="1" t="s">
        <v>74</v>
      </c>
      <c r="AO732" s="1" t="s">
        <v>2372</v>
      </c>
      <c r="AP732" s="1" t="s">
        <v>4363</v>
      </c>
      <c r="AQ732" s="1" t="s">
        <v>74</v>
      </c>
      <c r="AR732" s="1" t="s">
        <v>74</v>
      </c>
      <c r="AS732" s="1" t="s">
        <v>74</v>
      </c>
      <c r="AT732" s="1" t="s">
        <v>459</v>
      </c>
      <c r="AU732" s="1">
        <v>2004.0</v>
      </c>
      <c r="AV732" s="1">
        <v>58.0</v>
      </c>
      <c r="AW732" s="1" t="s">
        <v>6913</v>
      </c>
      <c r="AX732" s="1" t="s">
        <v>74</v>
      </c>
      <c r="AY732" s="1" t="s">
        <v>74</v>
      </c>
      <c r="AZ732" s="1" t="s">
        <v>74</v>
      </c>
      <c r="BA732" s="1" t="s">
        <v>74</v>
      </c>
      <c r="BB732" s="1">
        <v>961.0</v>
      </c>
      <c r="BC732" s="1">
        <v>968.0</v>
      </c>
      <c r="BD732" s="1" t="s">
        <v>74</v>
      </c>
      <c r="BE732" s="1" t="s">
        <v>6914</v>
      </c>
      <c r="BF732" s="2" t="str">
        <f>HYPERLINK("http://dx.doi.org/10.1016/j.na.2004.03.034","http://dx.doi.org/10.1016/j.na.2004.03.034")</f>
        <v>http://dx.doi.org/10.1016/j.na.2004.03.034</v>
      </c>
      <c r="BG732" s="1" t="s">
        <v>74</v>
      </c>
      <c r="BH732" s="1" t="s">
        <v>74</v>
      </c>
      <c r="BI732" s="1" t="s">
        <v>74</v>
      </c>
      <c r="BJ732" s="1" t="s">
        <v>74</v>
      </c>
      <c r="BK732" s="1" t="s">
        <v>74</v>
      </c>
      <c r="BL732" s="1" t="s">
        <v>74</v>
      </c>
      <c r="BM732" s="1" t="s">
        <v>74</v>
      </c>
      <c r="BN732" s="1" t="s">
        <v>74</v>
      </c>
      <c r="BO732" s="1" t="s">
        <v>74</v>
      </c>
      <c r="BP732" s="1" t="s">
        <v>74</v>
      </c>
      <c r="BQ732" s="1" t="s">
        <v>74</v>
      </c>
      <c r="BR732" s="1" t="s">
        <v>74</v>
      </c>
      <c r="BS732" s="1" t="s">
        <v>6915</v>
      </c>
      <c r="BT732" s="1" t="str">
        <f>HYPERLINK("https%3A%2F%2Fwww.webofscience.com%2Fwos%2Fwoscc%2Ffull-record%2FWOS:000223830300013","View Full Record in Web of Science")</f>
        <v>View Full Record in Web of Science</v>
      </c>
    </row>
    <row r="733" ht="12.75" customHeight="1">
      <c r="A733" s="1" t="s">
        <v>72</v>
      </c>
      <c r="B733" s="1" t="s">
        <v>6916</v>
      </c>
      <c r="C733" s="1" t="s">
        <v>74</v>
      </c>
      <c r="D733" s="1" t="s">
        <v>74</v>
      </c>
      <c r="E733" s="1" t="s">
        <v>74</v>
      </c>
      <c r="F733" s="1" t="s">
        <v>6916</v>
      </c>
      <c r="G733" s="1" t="s">
        <v>74</v>
      </c>
      <c r="H733" s="1" t="s">
        <v>74</v>
      </c>
      <c r="I733" s="1" t="s">
        <v>6917</v>
      </c>
      <c r="J733" s="1" t="s">
        <v>5556</v>
      </c>
      <c r="K733" s="1" t="s">
        <v>74</v>
      </c>
      <c r="L733" s="1" t="s">
        <v>74</v>
      </c>
      <c r="M733" s="1" t="s">
        <v>74</v>
      </c>
      <c r="N733" s="1" t="s">
        <v>74</v>
      </c>
      <c r="O733" s="1" t="s">
        <v>74</v>
      </c>
      <c r="P733" s="1" t="s">
        <v>74</v>
      </c>
      <c r="Q733" s="1" t="s">
        <v>74</v>
      </c>
      <c r="R733" s="1" t="s">
        <v>74</v>
      </c>
      <c r="S733" s="1" t="s">
        <v>74</v>
      </c>
      <c r="T733" s="1" t="s">
        <v>74</v>
      </c>
      <c r="U733" s="1" t="s">
        <v>74</v>
      </c>
      <c r="V733" s="1" t="s">
        <v>6918</v>
      </c>
      <c r="W733" s="1" t="s">
        <v>74</v>
      </c>
      <c r="X733" s="1" t="s">
        <v>74</v>
      </c>
      <c r="Y733" s="1" t="s">
        <v>74</v>
      </c>
      <c r="Z733" s="1" t="s">
        <v>74</v>
      </c>
      <c r="AA733" s="1" t="s">
        <v>1311</v>
      </c>
      <c r="AB733" s="1" t="s">
        <v>74</v>
      </c>
      <c r="AC733" s="1" t="s">
        <v>74</v>
      </c>
      <c r="AD733" s="1" t="s">
        <v>74</v>
      </c>
      <c r="AE733" s="1" t="s">
        <v>74</v>
      </c>
      <c r="AF733" s="1" t="s">
        <v>74</v>
      </c>
      <c r="AG733" s="1" t="s">
        <v>74</v>
      </c>
      <c r="AH733" s="1" t="s">
        <v>74</v>
      </c>
      <c r="AI733" s="1" t="s">
        <v>74</v>
      </c>
      <c r="AJ733" s="1" t="s">
        <v>74</v>
      </c>
      <c r="AK733" s="1" t="s">
        <v>74</v>
      </c>
      <c r="AL733" s="1" t="s">
        <v>74</v>
      </c>
      <c r="AM733" s="1" t="s">
        <v>74</v>
      </c>
      <c r="AN733" s="1" t="s">
        <v>74</v>
      </c>
      <c r="AO733" s="1" t="s">
        <v>5560</v>
      </c>
      <c r="AP733" s="1" t="s">
        <v>5561</v>
      </c>
      <c r="AQ733" s="1" t="s">
        <v>74</v>
      </c>
      <c r="AR733" s="1" t="s">
        <v>74</v>
      </c>
      <c r="AS733" s="1" t="s">
        <v>74</v>
      </c>
      <c r="AT733" s="1" t="s">
        <v>694</v>
      </c>
      <c r="AU733" s="1">
        <v>2004.0</v>
      </c>
      <c r="AV733" s="1">
        <v>154.0</v>
      </c>
      <c r="AW733" s="1">
        <v>3.0</v>
      </c>
      <c r="AX733" s="1" t="s">
        <v>74</v>
      </c>
      <c r="AY733" s="1" t="s">
        <v>74</v>
      </c>
      <c r="AZ733" s="1" t="s">
        <v>74</v>
      </c>
      <c r="BA733" s="1" t="s">
        <v>74</v>
      </c>
      <c r="BB733" s="1">
        <v>735.0</v>
      </c>
      <c r="BC733" s="1">
        <v>746.0</v>
      </c>
      <c r="BD733" s="1" t="s">
        <v>74</v>
      </c>
      <c r="BE733" s="1" t="s">
        <v>6919</v>
      </c>
      <c r="BF733" s="2" t="str">
        <f>HYPERLINK("http://dx.doi.org/10.1016/S0096-3003(03)00747-1","http://dx.doi.org/10.1016/S0096-3003(03)00747-1")</f>
        <v>http://dx.doi.org/10.1016/S0096-3003(03)00747-1</v>
      </c>
      <c r="BG733" s="1" t="s">
        <v>74</v>
      </c>
      <c r="BH733" s="1" t="s">
        <v>74</v>
      </c>
      <c r="BI733" s="1" t="s">
        <v>74</v>
      </c>
      <c r="BJ733" s="1" t="s">
        <v>74</v>
      </c>
      <c r="BK733" s="1" t="s">
        <v>74</v>
      </c>
      <c r="BL733" s="1" t="s">
        <v>74</v>
      </c>
      <c r="BM733" s="1" t="s">
        <v>74</v>
      </c>
      <c r="BN733" s="1" t="s">
        <v>74</v>
      </c>
      <c r="BO733" s="1" t="s">
        <v>74</v>
      </c>
      <c r="BP733" s="1" t="s">
        <v>74</v>
      </c>
      <c r="BQ733" s="1" t="s">
        <v>74</v>
      </c>
      <c r="BR733" s="1" t="s">
        <v>74</v>
      </c>
      <c r="BS733" s="1" t="s">
        <v>6920</v>
      </c>
      <c r="BT733" s="1" t="str">
        <f>HYPERLINK("https%3A%2F%2Fwww.webofscience.com%2Fwos%2Fwoscc%2Ffull-record%2FWOS:000223013900011","View Full Record in Web of Science")</f>
        <v>View Full Record in Web of Science</v>
      </c>
    </row>
    <row r="734" ht="12.75" customHeight="1">
      <c r="A734" s="1" t="s">
        <v>72</v>
      </c>
      <c r="B734" s="1" t="s">
        <v>6921</v>
      </c>
      <c r="C734" s="1" t="s">
        <v>74</v>
      </c>
      <c r="D734" s="1" t="s">
        <v>74</v>
      </c>
      <c r="E734" s="1" t="s">
        <v>74</v>
      </c>
      <c r="F734" s="1" t="s">
        <v>6921</v>
      </c>
      <c r="G734" s="1" t="s">
        <v>74</v>
      </c>
      <c r="H734" s="1" t="s">
        <v>74</v>
      </c>
      <c r="I734" s="1" t="s">
        <v>6922</v>
      </c>
      <c r="J734" s="1" t="s">
        <v>6923</v>
      </c>
      <c r="K734" s="1" t="s">
        <v>74</v>
      </c>
      <c r="L734" s="1" t="s">
        <v>74</v>
      </c>
      <c r="M734" s="1" t="s">
        <v>74</v>
      </c>
      <c r="N734" s="1" t="s">
        <v>74</v>
      </c>
      <c r="O734" s="1" t="s">
        <v>74</v>
      </c>
      <c r="P734" s="1" t="s">
        <v>74</v>
      </c>
      <c r="Q734" s="1" t="s">
        <v>74</v>
      </c>
      <c r="R734" s="1" t="s">
        <v>74</v>
      </c>
      <c r="S734" s="1" t="s">
        <v>74</v>
      </c>
      <c r="T734" s="1" t="s">
        <v>74</v>
      </c>
      <c r="U734" s="1" t="s">
        <v>74</v>
      </c>
      <c r="V734" s="1" t="s">
        <v>6924</v>
      </c>
      <c r="W734" s="1" t="s">
        <v>74</v>
      </c>
      <c r="X734" s="1" t="s">
        <v>74</v>
      </c>
      <c r="Y734" s="1" t="s">
        <v>74</v>
      </c>
      <c r="Z734" s="1" t="s">
        <v>74</v>
      </c>
      <c r="AA734" s="1" t="s">
        <v>74</v>
      </c>
      <c r="AB734" s="1" t="s">
        <v>6925</v>
      </c>
      <c r="AC734" s="1" t="s">
        <v>74</v>
      </c>
      <c r="AD734" s="1" t="s">
        <v>74</v>
      </c>
      <c r="AE734" s="1" t="s">
        <v>74</v>
      </c>
      <c r="AF734" s="1" t="s">
        <v>74</v>
      </c>
      <c r="AG734" s="1" t="s">
        <v>74</v>
      </c>
      <c r="AH734" s="1" t="s">
        <v>74</v>
      </c>
      <c r="AI734" s="1" t="s">
        <v>74</v>
      </c>
      <c r="AJ734" s="1" t="s">
        <v>74</v>
      </c>
      <c r="AK734" s="1" t="s">
        <v>74</v>
      </c>
      <c r="AL734" s="1" t="s">
        <v>74</v>
      </c>
      <c r="AM734" s="1" t="s">
        <v>74</v>
      </c>
      <c r="AN734" s="1" t="s">
        <v>74</v>
      </c>
      <c r="AO734" s="1" t="s">
        <v>6926</v>
      </c>
      <c r="AP734" s="1" t="s">
        <v>6927</v>
      </c>
      <c r="AQ734" s="1" t="s">
        <v>74</v>
      </c>
      <c r="AR734" s="1" t="s">
        <v>74</v>
      </c>
      <c r="AS734" s="1" t="s">
        <v>74</v>
      </c>
      <c r="AT734" s="1" t="s">
        <v>215</v>
      </c>
      <c r="AU734" s="1">
        <v>2003.0</v>
      </c>
      <c r="AV734" s="1">
        <v>7.0</v>
      </c>
      <c r="AW734" s="1">
        <v>9.0</v>
      </c>
      <c r="AX734" s="1" t="s">
        <v>74</v>
      </c>
      <c r="AY734" s="1" t="s">
        <v>74</v>
      </c>
      <c r="AZ734" s="1" t="s">
        <v>74</v>
      </c>
      <c r="BA734" s="1" t="s">
        <v>74</v>
      </c>
      <c r="BB734" s="1">
        <v>799.0</v>
      </c>
      <c r="BC734" s="1">
        <v>819.0</v>
      </c>
      <c r="BD734" s="1" t="s">
        <v>74</v>
      </c>
      <c r="BE734" s="1" t="s">
        <v>6928</v>
      </c>
      <c r="BF734" s="2" t="str">
        <f>HYPERLINK("http://dx.doi.org/10.2174/1385272033486657","http://dx.doi.org/10.2174/1385272033486657")</f>
        <v>http://dx.doi.org/10.2174/1385272033486657</v>
      </c>
      <c r="BG734" s="1" t="s">
        <v>74</v>
      </c>
      <c r="BH734" s="1" t="s">
        <v>74</v>
      </c>
      <c r="BI734" s="1" t="s">
        <v>74</v>
      </c>
      <c r="BJ734" s="1" t="s">
        <v>74</v>
      </c>
      <c r="BK734" s="1" t="s">
        <v>74</v>
      </c>
      <c r="BL734" s="1" t="s">
        <v>74</v>
      </c>
      <c r="BM734" s="1" t="s">
        <v>74</v>
      </c>
      <c r="BN734" s="1" t="s">
        <v>74</v>
      </c>
      <c r="BO734" s="1" t="s">
        <v>74</v>
      </c>
      <c r="BP734" s="1" t="s">
        <v>74</v>
      </c>
      <c r="BQ734" s="1" t="s">
        <v>74</v>
      </c>
      <c r="BR734" s="1" t="s">
        <v>74</v>
      </c>
      <c r="BS734" s="1" t="s">
        <v>6929</v>
      </c>
      <c r="BT734" s="1" t="str">
        <f>HYPERLINK("https%3A%2F%2Fwww.webofscience.com%2Fwos%2Fwoscc%2Ffull-record%2FWOS:000182837600001","View Full Record in Web of Science")</f>
        <v>View Full Record in Web of Science</v>
      </c>
    </row>
    <row r="735" ht="12.75" customHeight="1">
      <c r="A735" s="1" t="s">
        <v>72</v>
      </c>
      <c r="B735" s="1" t="s">
        <v>6930</v>
      </c>
      <c r="C735" s="1" t="s">
        <v>74</v>
      </c>
      <c r="D735" s="1" t="s">
        <v>74</v>
      </c>
      <c r="E735" s="1" t="s">
        <v>74</v>
      </c>
      <c r="F735" s="1" t="s">
        <v>6930</v>
      </c>
      <c r="G735" s="1" t="s">
        <v>74</v>
      </c>
      <c r="H735" s="1" t="s">
        <v>74</v>
      </c>
      <c r="I735" s="1" t="s">
        <v>6931</v>
      </c>
      <c r="J735" s="1" t="s">
        <v>6932</v>
      </c>
      <c r="K735" s="1" t="s">
        <v>74</v>
      </c>
      <c r="L735" s="1" t="s">
        <v>74</v>
      </c>
      <c r="M735" s="1" t="s">
        <v>74</v>
      </c>
      <c r="N735" s="1" t="s">
        <v>74</v>
      </c>
      <c r="O735" s="1" t="s">
        <v>74</v>
      </c>
      <c r="P735" s="1" t="s">
        <v>74</v>
      </c>
      <c r="Q735" s="1" t="s">
        <v>74</v>
      </c>
      <c r="R735" s="1" t="s">
        <v>74</v>
      </c>
      <c r="S735" s="1" t="s">
        <v>74</v>
      </c>
      <c r="T735" s="1" t="s">
        <v>74</v>
      </c>
      <c r="U735" s="1" t="s">
        <v>74</v>
      </c>
      <c r="V735" s="1" t="s">
        <v>6933</v>
      </c>
      <c r="W735" s="1" t="s">
        <v>74</v>
      </c>
      <c r="X735" s="1" t="s">
        <v>74</v>
      </c>
      <c r="Y735" s="1" t="s">
        <v>74</v>
      </c>
      <c r="Z735" s="1" t="s">
        <v>74</v>
      </c>
      <c r="AA735" s="1" t="s">
        <v>6934</v>
      </c>
      <c r="AB735" s="1" t="s">
        <v>6935</v>
      </c>
      <c r="AC735" s="1" t="s">
        <v>74</v>
      </c>
      <c r="AD735" s="1" t="s">
        <v>74</v>
      </c>
      <c r="AE735" s="1" t="s">
        <v>74</v>
      </c>
      <c r="AF735" s="1" t="s">
        <v>74</v>
      </c>
      <c r="AG735" s="1" t="s">
        <v>74</v>
      </c>
      <c r="AH735" s="1" t="s">
        <v>74</v>
      </c>
      <c r="AI735" s="1" t="s">
        <v>74</v>
      </c>
      <c r="AJ735" s="1" t="s">
        <v>74</v>
      </c>
      <c r="AK735" s="1" t="s">
        <v>74</v>
      </c>
      <c r="AL735" s="1" t="s">
        <v>74</v>
      </c>
      <c r="AM735" s="1" t="s">
        <v>74</v>
      </c>
      <c r="AN735" s="1" t="s">
        <v>74</v>
      </c>
      <c r="AO735" s="1" t="s">
        <v>6936</v>
      </c>
      <c r="AP735" s="1" t="s">
        <v>6937</v>
      </c>
      <c r="AQ735" s="1" t="s">
        <v>74</v>
      </c>
      <c r="AR735" s="1" t="s">
        <v>74</v>
      </c>
      <c r="AS735" s="1" t="s">
        <v>74</v>
      </c>
      <c r="AT735" s="1" t="s">
        <v>180</v>
      </c>
      <c r="AU735" s="1">
        <v>2003.0</v>
      </c>
      <c r="AV735" s="1">
        <v>17.0</v>
      </c>
      <c r="AW735" s="1">
        <v>4.0</v>
      </c>
      <c r="AX735" s="1" t="s">
        <v>74</v>
      </c>
      <c r="AY735" s="1" t="s">
        <v>74</v>
      </c>
      <c r="AZ735" s="1" t="s">
        <v>74</v>
      </c>
      <c r="BA735" s="1" t="s">
        <v>74</v>
      </c>
      <c r="BB735" s="1">
        <v>313.0</v>
      </c>
      <c r="BC735" s="1">
        <v>332.0</v>
      </c>
      <c r="BD735" s="1" t="s">
        <v>74</v>
      </c>
      <c r="BE735" s="1" t="s">
        <v>6938</v>
      </c>
      <c r="BF735" s="2" t="str">
        <f>HYPERLINK("http://dx.doi.org/10.1002/acs.749","http://dx.doi.org/10.1002/acs.749")</f>
        <v>http://dx.doi.org/10.1002/acs.749</v>
      </c>
      <c r="BG735" s="1" t="s">
        <v>74</v>
      </c>
      <c r="BH735" s="1" t="s">
        <v>74</v>
      </c>
      <c r="BI735" s="1" t="s">
        <v>74</v>
      </c>
      <c r="BJ735" s="1" t="s">
        <v>74</v>
      </c>
      <c r="BK735" s="1" t="s">
        <v>74</v>
      </c>
      <c r="BL735" s="1" t="s">
        <v>74</v>
      </c>
      <c r="BM735" s="1" t="s">
        <v>74</v>
      </c>
      <c r="BN735" s="1" t="s">
        <v>74</v>
      </c>
      <c r="BO735" s="1" t="s">
        <v>74</v>
      </c>
      <c r="BP735" s="1" t="s">
        <v>74</v>
      </c>
      <c r="BQ735" s="1" t="s">
        <v>74</v>
      </c>
      <c r="BR735" s="1" t="s">
        <v>74</v>
      </c>
      <c r="BS735" s="1" t="s">
        <v>6939</v>
      </c>
      <c r="BT735" s="1" t="str">
        <f>HYPERLINK("https%3A%2F%2Fwww.webofscience.com%2Fwos%2Fwoscc%2Ffull-record%2FWOS:000182971000003","View Full Record in Web of Science")</f>
        <v>View Full Record in Web of Science</v>
      </c>
    </row>
    <row r="736" ht="12.75" customHeight="1">
      <c r="A736" s="1" t="s">
        <v>72</v>
      </c>
      <c r="B736" s="1" t="s">
        <v>6940</v>
      </c>
      <c r="C736" s="1" t="s">
        <v>74</v>
      </c>
      <c r="D736" s="1" t="s">
        <v>74</v>
      </c>
      <c r="E736" s="1" t="s">
        <v>74</v>
      </c>
      <c r="F736" s="1" t="s">
        <v>6940</v>
      </c>
      <c r="G736" s="1" t="s">
        <v>74</v>
      </c>
      <c r="H736" s="1" t="s">
        <v>74</v>
      </c>
      <c r="I736" s="1" t="s">
        <v>6941</v>
      </c>
      <c r="J736" s="1" t="s">
        <v>1516</v>
      </c>
      <c r="K736" s="1" t="s">
        <v>74</v>
      </c>
      <c r="L736" s="1" t="s">
        <v>74</v>
      </c>
      <c r="M736" s="1" t="s">
        <v>74</v>
      </c>
      <c r="N736" s="1" t="s">
        <v>74</v>
      </c>
      <c r="O736" s="1" t="s">
        <v>74</v>
      </c>
      <c r="P736" s="1" t="s">
        <v>74</v>
      </c>
      <c r="Q736" s="1" t="s">
        <v>74</v>
      </c>
      <c r="R736" s="1" t="s">
        <v>74</v>
      </c>
      <c r="S736" s="1" t="s">
        <v>74</v>
      </c>
      <c r="T736" s="1" t="s">
        <v>74</v>
      </c>
      <c r="U736" s="1" t="s">
        <v>74</v>
      </c>
      <c r="V736" s="1" t="s">
        <v>6942</v>
      </c>
      <c r="W736" s="1" t="s">
        <v>74</v>
      </c>
      <c r="X736" s="1" t="s">
        <v>74</v>
      </c>
      <c r="Y736" s="1" t="s">
        <v>74</v>
      </c>
      <c r="Z736" s="1" t="s">
        <v>74</v>
      </c>
      <c r="AA736" s="1" t="s">
        <v>1518</v>
      </c>
      <c r="AB736" s="1" t="s">
        <v>1519</v>
      </c>
      <c r="AC736" s="1" t="s">
        <v>74</v>
      </c>
      <c r="AD736" s="1" t="s">
        <v>74</v>
      </c>
      <c r="AE736" s="1" t="s">
        <v>74</v>
      </c>
      <c r="AF736" s="1" t="s">
        <v>74</v>
      </c>
      <c r="AG736" s="1" t="s">
        <v>74</v>
      </c>
      <c r="AH736" s="1" t="s">
        <v>74</v>
      </c>
      <c r="AI736" s="1" t="s">
        <v>74</v>
      </c>
      <c r="AJ736" s="1" t="s">
        <v>74</v>
      </c>
      <c r="AK736" s="1" t="s">
        <v>74</v>
      </c>
      <c r="AL736" s="1" t="s">
        <v>74</v>
      </c>
      <c r="AM736" s="1" t="s">
        <v>74</v>
      </c>
      <c r="AN736" s="1" t="s">
        <v>74</v>
      </c>
      <c r="AO736" s="1" t="s">
        <v>1520</v>
      </c>
      <c r="AP736" s="1" t="s">
        <v>74</v>
      </c>
      <c r="AQ736" s="1" t="s">
        <v>74</v>
      </c>
      <c r="AR736" s="1" t="s">
        <v>74</v>
      </c>
      <c r="AS736" s="1" t="s">
        <v>74</v>
      </c>
      <c r="AT736" s="1" t="s">
        <v>123</v>
      </c>
      <c r="AU736" s="1">
        <v>2002.0</v>
      </c>
      <c r="AV736" s="1">
        <v>8.0</v>
      </c>
      <c r="AW736" s="1">
        <v>5.0</v>
      </c>
      <c r="AX736" s="1" t="s">
        <v>74</v>
      </c>
      <c r="AY736" s="1" t="s">
        <v>74</v>
      </c>
      <c r="AZ736" s="1" t="s">
        <v>74</v>
      </c>
      <c r="BA736" s="1" t="s">
        <v>74</v>
      </c>
      <c r="BB736" s="1">
        <v>295.0</v>
      </c>
      <c r="BC736" s="1">
        <v>301.0</v>
      </c>
      <c r="BD736" s="1" t="s">
        <v>74</v>
      </c>
      <c r="BE736" s="1" t="s">
        <v>6943</v>
      </c>
      <c r="BF736" s="2" t="str">
        <f>HYPERLINK("http://dx.doi.org/10.1106/108201302029183","http://dx.doi.org/10.1106/108201302029183")</f>
        <v>http://dx.doi.org/10.1106/108201302029183</v>
      </c>
      <c r="BG736" s="1" t="s">
        <v>74</v>
      </c>
      <c r="BH736" s="1" t="s">
        <v>74</v>
      </c>
      <c r="BI736" s="1" t="s">
        <v>74</v>
      </c>
      <c r="BJ736" s="1" t="s">
        <v>74</v>
      </c>
      <c r="BK736" s="1" t="s">
        <v>74</v>
      </c>
      <c r="BL736" s="1" t="s">
        <v>74</v>
      </c>
      <c r="BM736" s="1" t="s">
        <v>74</v>
      </c>
      <c r="BN736" s="1" t="s">
        <v>74</v>
      </c>
      <c r="BO736" s="1" t="s">
        <v>74</v>
      </c>
      <c r="BP736" s="1" t="s">
        <v>74</v>
      </c>
      <c r="BQ736" s="1" t="s">
        <v>74</v>
      </c>
      <c r="BR736" s="1" t="s">
        <v>74</v>
      </c>
      <c r="BS736" s="1" t="s">
        <v>6944</v>
      </c>
      <c r="BT736" s="1" t="str">
        <f>HYPERLINK("https%3A%2F%2Fwww.webofscience.com%2Fwos%2Fwoscc%2Ffull-record%2FWOS:000181048200004","View Full Record in Web of Science")</f>
        <v>View Full Record in Web of Science</v>
      </c>
    </row>
    <row r="737" ht="12.75" customHeight="1">
      <c r="A737" s="1" t="s">
        <v>72</v>
      </c>
      <c r="B737" s="1" t="s">
        <v>6945</v>
      </c>
      <c r="C737" s="1" t="s">
        <v>74</v>
      </c>
      <c r="D737" s="1" t="s">
        <v>74</v>
      </c>
      <c r="E737" s="1" t="s">
        <v>74</v>
      </c>
      <c r="F737" s="1" t="s">
        <v>6945</v>
      </c>
      <c r="G737" s="1" t="s">
        <v>74</v>
      </c>
      <c r="H737" s="1" t="s">
        <v>74</v>
      </c>
      <c r="I737" s="1" t="s">
        <v>6946</v>
      </c>
      <c r="J737" s="1" t="s">
        <v>6947</v>
      </c>
      <c r="K737" s="1" t="s">
        <v>74</v>
      </c>
      <c r="L737" s="1" t="s">
        <v>74</v>
      </c>
      <c r="M737" s="1" t="s">
        <v>74</v>
      </c>
      <c r="N737" s="1" t="s">
        <v>74</v>
      </c>
      <c r="O737" s="1" t="s">
        <v>74</v>
      </c>
      <c r="P737" s="1" t="s">
        <v>74</v>
      </c>
      <c r="Q737" s="1" t="s">
        <v>74</v>
      </c>
      <c r="R737" s="1" t="s">
        <v>74</v>
      </c>
      <c r="S737" s="1" t="s">
        <v>74</v>
      </c>
      <c r="T737" s="1" t="s">
        <v>74</v>
      </c>
      <c r="U737" s="1" t="s">
        <v>74</v>
      </c>
      <c r="V737" s="1" t="s">
        <v>6948</v>
      </c>
      <c r="W737" s="1" t="s">
        <v>74</v>
      </c>
      <c r="X737" s="1" t="s">
        <v>74</v>
      </c>
      <c r="Y737" s="1" t="s">
        <v>74</v>
      </c>
      <c r="Z737" s="1" t="s">
        <v>74</v>
      </c>
      <c r="AA737" s="1" t="s">
        <v>6949</v>
      </c>
      <c r="AB737" s="1" t="s">
        <v>74</v>
      </c>
      <c r="AC737" s="1" t="s">
        <v>74</v>
      </c>
      <c r="AD737" s="1" t="s">
        <v>74</v>
      </c>
      <c r="AE737" s="1" t="s">
        <v>74</v>
      </c>
      <c r="AF737" s="1" t="s">
        <v>74</v>
      </c>
      <c r="AG737" s="1" t="s">
        <v>74</v>
      </c>
      <c r="AH737" s="1" t="s">
        <v>74</v>
      </c>
      <c r="AI737" s="1" t="s">
        <v>74</v>
      </c>
      <c r="AJ737" s="1" t="s">
        <v>74</v>
      </c>
      <c r="AK737" s="1" t="s">
        <v>74</v>
      </c>
      <c r="AL737" s="1" t="s">
        <v>74</v>
      </c>
      <c r="AM737" s="1" t="s">
        <v>74</v>
      </c>
      <c r="AN737" s="1" t="s">
        <v>74</v>
      </c>
      <c r="AO737" s="1" t="s">
        <v>6950</v>
      </c>
      <c r="AP737" s="1" t="s">
        <v>6951</v>
      </c>
      <c r="AQ737" s="1" t="s">
        <v>74</v>
      </c>
      <c r="AR737" s="1" t="s">
        <v>74</v>
      </c>
      <c r="AS737" s="1" t="s">
        <v>74</v>
      </c>
      <c r="AT737" s="1" t="s">
        <v>360</v>
      </c>
      <c r="AU737" s="1">
        <v>2001.0</v>
      </c>
      <c r="AV737" s="1">
        <v>125.0</v>
      </c>
      <c r="AW737" s="1">
        <v>2.0</v>
      </c>
      <c r="AX737" s="1" t="s">
        <v>74</v>
      </c>
      <c r="AY737" s="1" t="s">
        <v>74</v>
      </c>
      <c r="AZ737" s="1" t="s">
        <v>74</v>
      </c>
      <c r="BA737" s="1" t="s">
        <v>74</v>
      </c>
      <c r="BB737" s="1">
        <v>218.0</v>
      </c>
      <c r="BC737" s="1">
        <v>223.0</v>
      </c>
      <c r="BD737" s="1" t="s">
        <v>74</v>
      </c>
      <c r="BE737" s="1" t="s">
        <v>74</v>
      </c>
      <c r="BF737" s="1" t="s">
        <v>74</v>
      </c>
      <c r="BG737" s="1" t="s">
        <v>74</v>
      </c>
      <c r="BH737" s="1" t="s">
        <v>74</v>
      </c>
      <c r="BI737" s="1" t="s">
        <v>74</v>
      </c>
      <c r="BJ737" s="1" t="s">
        <v>74</v>
      </c>
      <c r="BK737" s="1" t="s">
        <v>74</v>
      </c>
      <c r="BL737" s="1" t="s">
        <v>74</v>
      </c>
      <c r="BM737" s="1" t="s">
        <v>74</v>
      </c>
      <c r="BN737" s="1">
        <v>1.1175638E7</v>
      </c>
      <c r="BO737" s="1" t="s">
        <v>74</v>
      </c>
      <c r="BP737" s="1" t="s">
        <v>74</v>
      </c>
      <c r="BQ737" s="1" t="s">
        <v>74</v>
      </c>
      <c r="BR737" s="1" t="s">
        <v>74</v>
      </c>
      <c r="BS737" s="1" t="s">
        <v>6952</v>
      </c>
      <c r="BT737" s="1" t="str">
        <f>HYPERLINK("https%3A%2F%2Fwww.webofscience.com%2Fwos%2Fwoscc%2Ffull-record%2FWOS:000167012300012","View Full Record in Web of Science")</f>
        <v>View Full Record in Web of Science</v>
      </c>
    </row>
    <row r="738" ht="12.75" customHeight="1">
      <c r="A738" s="1" t="s">
        <v>72</v>
      </c>
      <c r="B738" s="1" t="s">
        <v>6953</v>
      </c>
      <c r="C738" s="1" t="s">
        <v>74</v>
      </c>
      <c r="D738" s="1" t="s">
        <v>74</v>
      </c>
      <c r="E738" s="1" t="s">
        <v>74</v>
      </c>
      <c r="F738" s="1" t="s">
        <v>6953</v>
      </c>
      <c r="G738" s="1" t="s">
        <v>74</v>
      </c>
      <c r="H738" s="1" t="s">
        <v>74</v>
      </c>
      <c r="I738" s="1" t="s">
        <v>6954</v>
      </c>
      <c r="J738" s="1" t="s">
        <v>2253</v>
      </c>
      <c r="K738" s="1" t="s">
        <v>74</v>
      </c>
      <c r="L738" s="1" t="s">
        <v>74</v>
      </c>
      <c r="M738" s="1" t="s">
        <v>74</v>
      </c>
      <c r="N738" s="1" t="s">
        <v>74</v>
      </c>
      <c r="O738" s="1" t="s">
        <v>74</v>
      </c>
      <c r="P738" s="1" t="s">
        <v>74</v>
      </c>
      <c r="Q738" s="1" t="s">
        <v>74</v>
      </c>
      <c r="R738" s="1" t="s">
        <v>74</v>
      </c>
      <c r="S738" s="1" t="s">
        <v>74</v>
      </c>
      <c r="T738" s="1" t="s">
        <v>74</v>
      </c>
      <c r="U738" s="1" t="s">
        <v>74</v>
      </c>
      <c r="V738" s="1" t="s">
        <v>6955</v>
      </c>
      <c r="W738" s="1" t="s">
        <v>74</v>
      </c>
      <c r="X738" s="1" t="s">
        <v>74</v>
      </c>
      <c r="Y738" s="1" t="s">
        <v>74</v>
      </c>
      <c r="Z738" s="1" t="s">
        <v>74</v>
      </c>
      <c r="AA738" s="1" t="s">
        <v>74</v>
      </c>
      <c r="AB738" s="1" t="s">
        <v>74</v>
      </c>
      <c r="AC738" s="1" t="s">
        <v>74</v>
      </c>
      <c r="AD738" s="1" t="s">
        <v>74</v>
      </c>
      <c r="AE738" s="1" t="s">
        <v>74</v>
      </c>
      <c r="AF738" s="1" t="s">
        <v>74</v>
      </c>
      <c r="AG738" s="1" t="s">
        <v>74</v>
      </c>
      <c r="AH738" s="1" t="s">
        <v>74</v>
      </c>
      <c r="AI738" s="1" t="s">
        <v>74</v>
      </c>
      <c r="AJ738" s="1" t="s">
        <v>74</v>
      </c>
      <c r="AK738" s="1" t="s">
        <v>74</v>
      </c>
      <c r="AL738" s="1" t="s">
        <v>74</v>
      </c>
      <c r="AM738" s="1" t="s">
        <v>74</v>
      </c>
      <c r="AN738" s="1" t="s">
        <v>74</v>
      </c>
      <c r="AO738" s="1" t="s">
        <v>2257</v>
      </c>
      <c r="AP738" s="1" t="s">
        <v>74</v>
      </c>
      <c r="AQ738" s="1" t="s">
        <v>74</v>
      </c>
      <c r="AR738" s="1" t="s">
        <v>74</v>
      </c>
      <c r="AS738" s="1" t="s">
        <v>74</v>
      </c>
      <c r="AT738" s="1" t="s">
        <v>74</v>
      </c>
      <c r="AU738" s="1">
        <v>2000.0</v>
      </c>
      <c r="AV738" s="1">
        <v>18.0</v>
      </c>
      <c r="AW738" s="1">
        <v>10.0</v>
      </c>
      <c r="AX738" s="1" t="s">
        <v>74</v>
      </c>
      <c r="AY738" s="1" t="s">
        <v>74</v>
      </c>
      <c r="AZ738" s="1" t="s">
        <v>74</v>
      </c>
      <c r="BA738" s="1" t="s">
        <v>74</v>
      </c>
      <c r="BB738" s="1">
        <v>2351.0</v>
      </c>
      <c r="BC738" s="1">
        <v>2367.0</v>
      </c>
      <c r="BD738" s="1" t="s">
        <v>74</v>
      </c>
      <c r="BE738" s="1" t="s">
        <v>6956</v>
      </c>
      <c r="BF738" s="2" t="str">
        <f>HYPERLINK("http://dx.doi.org/10.1080/07373930008917846","http://dx.doi.org/10.1080/07373930008917846")</f>
        <v>http://dx.doi.org/10.1080/07373930008917846</v>
      </c>
      <c r="BG738" s="1" t="s">
        <v>74</v>
      </c>
      <c r="BH738" s="1" t="s">
        <v>74</v>
      </c>
      <c r="BI738" s="1" t="s">
        <v>74</v>
      </c>
      <c r="BJ738" s="1" t="s">
        <v>74</v>
      </c>
      <c r="BK738" s="1" t="s">
        <v>74</v>
      </c>
      <c r="BL738" s="1" t="s">
        <v>74</v>
      </c>
      <c r="BM738" s="1" t="s">
        <v>74</v>
      </c>
      <c r="BN738" s="1" t="s">
        <v>74</v>
      </c>
      <c r="BO738" s="1" t="s">
        <v>74</v>
      </c>
      <c r="BP738" s="1" t="s">
        <v>74</v>
      </c>
      <c r="BQ738" s="1" t="s">
        <v>74</v>
      </c>
      <c r="BR738" s="1" t="s">
        <v>74</v>
      </c>
      <c r="BS738" s="1" t="s">
        <v>6957</v>
      </c>
      <c r="BT738" s="1" t="str">
        <f>HYPERLINK("https%3A%2F%2Fwww.webofscience.com%2Fwos%2Fwoscc%2Ffull-record%2FWOS:000165121500011","View Full Record in Web of Science")</f>
        <v>View Full Record in Web of Science</v>
      </c>
    </row>
    <row r="739" ht="12.75" customHeight="1">
      <c r="A739" s="1" t="s">
        <v>72</v>
      </c>
      <c r="B739" s="1" t="s">
        <v>6958</v>
      </c>
      <c r="C739" s="1" t="s">
        <v>74</v>
      </c>
      <c r="D739" s="1" t="s">
        <v>74</v>
      </c>
      <c r="E739" s="1" t="s">
        <v>74</v>
      </c>
      <c r="F739" s="1" t="s">
        <v>6958</v>
      </c>
      <c r="G739" s="1" t="s">
        <v>74</v>
      </c>
      <c r="H739" s="1" t="s">
        <v>74</v>
      </c>
      <c r="I739" s="1" t="s">
        <v>6959</v>
      </c>
      <c r="J739" s="1" t="s">
        <v>1651</v>
      </c>
      <c r="K739" s="1" t="s">
        <v>74</v>
      </c>
      <c r="L739" s="1" t="s">
        <v>74</v>
      </c>
      <c r="M739" s="1" t="s">
        <v>74</v>
      </c>
      <c r="N739" s="1" t="s">
        <v>74</v>
      </c>
      <c r="O739" s="1" t="s">
        <v>74</v>
      </c>
      <c r="P739" s="1" t="s">
        <v>74</v>
      </c>
      <c r="Q739" s="1" t="s">
        <v>74</v>
      </c>
      <c r="R739" s="1" t="s">
        <v>74</v>
      </c>
      <c r="S739" s="1" t="s">
        <v>74</v>
      </c>
      <c r="T739" s="1" t="s">
        <v>74</v>
      </c>
      <c r="U739" s="1" t="s">
        <v>74</v>
      </c>
      <c r="V739" s="1" t="s">
        <v>6960</v>
      </c>
      <c r="W739" s="1" t="s">
        <v>74</v>
      </c>
      <c r="X739" s="1" t="s">
        <v>74</v>
      </c>
      <c r="Y739" s="1" t="s">
        <v>74</v>
      </c>
      <c r="Z739" s="1" t="s">
        <v>74</v>
      </c>
      <c r="AA739" s="1" t="s">
        <v>74</v>
      </c>
      <c r="AB739" s="1" t="s">
        <v>74</v>
      </c>
      <c r="AC739" s="1" t="s">
        <v>74</v>
      </c>
      <c r="AD739" s="1" t="s">
        <v>74</v>
      </c>
      <c r="AE739" s="1" t="s">
        <v>74</v>
      </c>
      <c r="AF739" s="1" t="s">
        <v>74</v>
      </c>
      <c r="AG739" s="1" t="s">
        <v>74</v>
      </c>
      <c r="AH739" s="1" t="s">
        <v>74</v>
      </c>
      <c r="AI739" s="1" t="s">
        <v>74</v>
      </c>
      <c r="AJ739" s="1" t="s">
        <v>74</v>
      </c>
      <c r="AK739" s="1" t="s">
        <v>74</v>
      </c>
      <c r="AL739" s="1" t="s">
        <v>74</v>
      </c>
      <c r="AM739" s="1" t="s">
        <v>74</v>
      </c>
      <c r="AN739" s="1" t="s">
        <v>74</v>
      </c>
      <c r="AO739" s="1" t="s">
        <v>1653</v>
      </c>
      <c r="AP739" s="1" t="s">
        <v>74</v>
      </c>
      <c r="AQ739" s="1" t="s">
        <v>74</v>
      </c>
      <c r="AR739" s="1" t="s">
        <v>74</v>
      </c>
      <c r="AS739" s="1" t="s">
        <v>74</v>
      </c>
      <c r="AT739" s="1" t="s">
        <v>215</v>
      </c>
      <c r="AU739" s="1">
        <v>1999.0</v>
      </c>
      <c r="AV739" s="1">
        <v>44.0</v>
      </c>
      <c r="AW739" s="1">
        <v>2.0</v>
      </c>
      <c r="AX739" s="1" t="s">
        <v>74</v>
      </c>
      <c r="AY739" s="1" t="s">
        <v>74</v>
      </c>
      <c r="AZ739" s="1" t="s">
        <v>74</v>
      </c>
      <c r="BA739" s="1" t="s">
        <v>74</v>
      </c>
      <c r="BB739" s="1">
        <v>209.0</v>
      </c>
      <c r="BC739" s="1">
        <v>216.0</v>
      </c>
      <c r="BD739" s="1" t="s">
        <v>74</v>
      </c>
      <c r="BE739" s="1" t="s">
        <v>74</v>
      </c>
      <c r="BF739" s="1" t="s">
        <v>74</v>
      </c>
      <c r="BG739" s="1" t="s">
        <v>74</v>
      </c>
      <c r="BH739" s="1" t="s">
        <v>74</v>
      </c>
      <c r="BI739" s="1" t="s">
        <v>74</v>
      </c>
      <c r="BJ739" s="1" t="s">
        <v>74</v>
      </c>
      <c r="BK739" s="1" t="s">
        <v>74</v>
      </c>
      <c r="BL739" s="1" t="s">
        <v>74</v>
      </c>
      <c r="BM739" s="1" t="s">
        <v>74</v>
      </c>
      <c r="BN739" s="1" t="s">
        <v>74</v>
      </c>
      <c r="BO739" s="1" t="s">
        <v>74</v>
      </c>
      <c r="BP739" s="1" t="s">
        <v>74</v>
      </c>
      <c r="BQ739" s="1" t="s">
        <v>74</v>
      </c>
      <c r="BR739" s="1" t="s">
        <v>74</v>
      </c>
      <c r="BS739" s="1" t="s">
        <v>6961</v>
      </c>
      <c r="BT739" s="1" t="str">
        <f>HYPERLINK("https%3A%2F%2Fwww.webofscience.com%2Fwos%2Fwoscc%2Ffull-record%2FWOS:000081380600011","View Full Record in Web of Science")</f>
        <v>View Full Record in Web of Science</v>
      </c>
    </row>
    <row r="740" ht="12.75" customHeight="1">
      <c r="A740" s="1" t="s">
        <v>72</v>
      </c>
      <c r="B740" s="1" t="s">
        <v>6962</v>
      </c>
      <c r="C740" s="1" t="s">
        <v>74</v>
      </c>
      <c r="D740" s="1" t="s">
        <v>74</v>
      </c>
      <c r="E740" s="1" t="s">
        <v>74</v>
      </c>
      <c r="F740" s="1" t="s">
        <v>6962</v>
      </c>
      <c r="G740" s="1" t="s">
        <v>74</v>
      </c>
      <c r="H740" s="1" t="s">
        <v>74</v>
      </c>
      <c r="I740" s="1" t="s">
        <v>6963</v>
      </c>
      <c r="J740" s="1" t="s">
        <v>1651</v>
      </c>
      <c r="K740" s="1" t="s">
        <v>74</v>
      </c>
      <c r="L740" s="1" t="s">
        <v>74</v>
      </c>
      <c r="M740" s="1" t="s">
        <v>74</v>
      </c>
      <c r="N740" s="1" t="s">
        <v>74</v>
      </c>
      <c r="O740" s="1" t="s">
        <v>74</v>
      </c>
      <c r="P740" s="1" t="s">
        <v>74</v>
      </c>
      <c r="Q740" s="1" t="s">
        <v>74</v>
      </c>
      <c r="R740" s="1" t="s">
        <v>74</v>
      </c>
      <c r="S740" s="1" t="s">
        <v>74</v>
      </c>
      <c r="T740" s="1" t="s">
        <v>74</v>
      </c>
      <c r="U740" s="1" t="s">
        <v>74</v>
      </c>
      <c r="V740" s="1" t="s">
        <v>6964</v>
      </c>
      <c r="W740" s="1" t="s">
        <v>74</v>
      </c>
      <c r="X740" s="1" t="s">
        <v>74</v>
      </c>
      <c r="Y740" s="1" t="s">
        <v>74</v>
      </c>
      <c r="Z740" s="1" t="s">
        <v>74</v>
      </c>
      <c r="AA740" s="1" t="s">
        <v>6965</v>
      </c>
      <c r="AB740" s="1" t="s">
        <v>74</v>
      </c>
      <c r="AC740" s="1" t="s">
        <v>74</v>
      </c>
      <c r="AD740" s="1" t="s">
        <v>74</v>
      </c>
      <c r="AE740" s="1" t="s">
        <v>74</v>
      </c>
      <c r="AF740" s="1" t="s">
        <v>74</v>
      </c>
      <c r="AG740" s="1" t="s">
        <v>74</v>
      </c>
      <c r="AH740" s="1" t="s">
        <v>74</v>
      </c>
      <c r="AI740" s="1" t="s">
        <v>74</v>
      </c>
      <c r="AJ740" s="1" t="s">
        <v>74</v>
      </c>
      <c r="AK740" s="1" t="s">
        <v>74</v>
      </c>
      <c r="AL740" s="1" t="s">
        <v>74</v>
      </c>
      <c r="AM740" s="1" t="s">
        <v>74</v>
      </c>
      <c r="AN740" s="1" t="s">
        <v>74</v>
      </c>
      <c r="AO740" s="1" t="s">
        <v>1653</v>
      </c>
      <c r="AP740" s="1" t="s">
        <v>74</v>
      </c>
      <c r="AQ740" s="1" t="s">
        <v>74</v>
      </c>
      <c r="AR740" s="1" t="s">
        <v>74</v>
      </c>
      <c r="AS740" s="1" t="s">
        <v>74</v>
      </c>
      <c r="AT740" s="1" t="s">
        <v>110</v>
      </c>
      <c r="AU740" s="1">
        <v>1996.0</v>
      </c>
      <c r="AV740" s="1">
        <v>41.0</v>
      </c>
      <c r="AW740" s="1">
        <v>4.0</v>
      </c>
      <c r="AX740" s="1" t="s">
        <v>74</v>
      </c>
      <c r="AY740" s="1" t="s">
        <v>74</v>
      </c>
      <c r="AZ740" s="1" t="s">
        <v>74</v>
      </c>
      <c r="BA740" s="1" t="s">
        <v>74</v>
      </c>
      <c r="BB740" s="1">
        <v>371.0</v>
      </c>
      <c r="BC740" s="1">
        <v>375.0</v>
      </c>
      <c r="BD740" s="1" t="s">
        <v>74</v>
      </c>
      <c r="BE740" s="1" t="s">
        <v>74</v>
      </c>
      <c r="BF740" s="1" t="s">
        <v>74</v>
      </c>
      <c r="BG740" s="1" t="s">
        <v>74</v>
      </c>
      <c r="BH740" s="1" t="s">
        <v>74</v>
      </c>
      <c r="BI740" s="1" t="s">
        <v>74</v>
      </c>
      <c r="BJ740" s="1" t="s">
        <v>74</v>
      </c>
      <c r="BK740" s="1" t="s">
        <v>74</v>
      </c>
      <c r="BL740" s="1" t="s">
        <v>74</v>
      </c>
      <c r="BM740" s="1" t="s">
        <v>74</v>
      </c>
      <c r="BN740" s="1" t="s">
        <v>74</v>
      </c>
      <c r="BO740" s="1" t="s">
        <v>74</v>
      </c>
      <c r="BP740" s="1" t="s">
        <v>74</v>
      </c>
      <c r="BQ740" s="1" t="s">
        <v>74</v>
      </c>
      <c r="BR740" s="1" t="s">
        <v>74</v>
      </c>
      <c r="BS740" s="1" t="s">
        <v>6966</v>
      </c>
      <c r="BT740" s="1" t="str">
        <f>HYPERLINK("https%3A%2F%2Fwww.webofscience.com%2Fwos%2Fwoscc%2Ffull-record%2FWOS:A1996VZ85600009","View Full Record in Web of Science")</f>
        <v>View Full Record in Web of Science</v>
      </c>
    </row>
    <row r="741" ht="12.75" customHeight="1">
      <c r="A741" s="1" t="s">
        <v>72</v>
      </c>
      <c r="B741" s="1" t="s">
        <v>6967</v>
      </c>
      <c r="C741" s="1" t="s">
        <v>74</v>
      </c>
      <c r="D741" s="1" t="s">
        <v>74</v>
      </c>
      <c r="E741" s="1" t="s">
        <v>74</v>
      </c>
      <c r="F741" s="1" t="s">
        <v>6967</v>
      </c>
      <c r="G741" s="1" t="s">
        <v>74</v>
      </c>
      <c r="H741" s="1" t="s">
        <v>74</v>
      </c>
      <c r="I741" s="1" t="s">
        <v>6968</v>
      </c>
      <c r="J741" s="1" t="s">
        <v>4886</v>
      </c>
      <c r="K741" s="1" t="s">
        <v>74</v>
      </c>
      <c r="L741" s="1" t="s">
        <v>74</v>
      </c>
      <c r="M741" s="1" t="s">
        <v>74</v>
      </c>
      <c r="N741" s="1" t="s">
        <v>74</v>
      </c>
      <c r="O741" s="1" t="s">
        <v>74</v>
      </c>
      <c r="P741" s="1" t="s">
        <v>74</v>
      </c>
      <c r="Q741" s="1" t="s">
        <v>74</v>
      </c>
      <c r="R741" s="1" t="s">
        <v>74</v>
      </c>
      <c r="S741" s="1" t="s">
        <v>74</v>
      </c>
      <c r="T741" s="1" t="s">
        <v>74</v>
      </c>
      <c r="U741" s="1" t="s">
        <v>74</v>
      </c>
      <c r="V741" s="1" t="s">
        <v>6969</v>
      </c>
      <c r="W741" s="1" t="s">
        <v>74</v>
      </c>
      <c r="X741" s="1" t="s">
        <v>74</v>
      </c>
      <c r="Y741" s="1" t="s">
        <v>74</v>
      </c>
      <c r="Z741" s="1" t="s">
        <v>74</v>
      </c>
      <c r="AA741" s="1" t="s">
        <v>74</v>
      </c>
      <c r="AB741" s="1" t="s">
        <v>6970</v>
      </c>
      <c r="AC741" s="1" t="s">
        <v>74</v>
      </c>
      <c r="AD741" s="1" t="s">
        <v>74</v>
      </c>
      <c r="AE741" s="1" t="s">
        <v>74</v>
      </c>
      <c r="AF741" s="1" t="s">
        <v>74</v>
      </c>
      <c r="AG741" s="1" t="s">
        <v>74</v>
      </c>
      <c r="AH741" s="1" t="s">
        <v>74</v>
      </c>
      <c r="AI741" s="1" t="s">
        <v>74</v>
      </c>
      <c r="AJ741" s="1" t="s">
        <v>74</v>
      </c>
      <c r="AK741" s="1" t="s">
        <v>74</v>
      </c>
      <c r="AL741" s="1" t="s">
        <v>74</v>
      </c>
      <c r="AM741" s="1" t="s">
        <v>74</v>
      </c>
      <c r="AN741" s="1" t="s">
        <v>74</v>
      </c>
      <c r="AO741" s="1" t="s">
        <v>4890</v>
      </c>
      <c r="AP741" s="1" t="s">
        <v>74</v>
      </c>
      <c r="AQ741" s="1" t="s">
        <v>74</v>
      </c>
      <c r="AR741" s="1" t="s">
        <v>74</v>
      </c>
      <c r="AS741" s="1" t="s">
        <v>74</v>
      </c>
      <c r="AT741" s="1" t="s">
        <v>310</v>
      </c>
      <c r="AU741" s="1">
        <v>1996.0</v>
      </c>
      <c r="AV741" s="1">
        <v>37.0</v>
      </c>
      <c r="AW741" s="1">
        <v>1.0</v>
      </c>
      <c r="AX741" s="1" t="s">
        <v>74</v>
      </c>
      <c r="AY741" s="1" t="s">
        <v>74</v>
      </c>
      <c r="AZ741" s="1" t="s">
        <v>74</v>
      </c>
      <c r="BA741" s="1" t="s">
        <v>74</v>
      </c>
      <c r="BB741" s="1">
        <v>13.0</v>
      </c>
      <c r="BC741" s="1">
        <v>19.0</v>
      </c>
      <c r="BD741" s="1" t="s">
        <v>74</v>
      </c>
      <c r="BE741" s="1" t="s">
        <v>6971</v>
      </c>
      <c r="BF741" s="2" t="str">
        <f>HYPERLINK("http://dx.doi.org/10.1007/BF00313813","http://dx.doi.org/10.1007/BF00313813")</f>
        <v>http://dx.doi.org/10.1007/BF00313813</v>
      </c>
      <c r="BG741" s="1" t="s">
        <v>74</v>
      </c>
      <c r="BH741" s="1" t="s">
        <v>74</v>
      </c>
      <c r="BI741" s="1" t="s">
        <v>74</v>
      </c>
      <c r="BJ741" s="1" t="s">
        <v>74</v>
      </c>
      <c r="BK741" s="1" t="s">
        <v>74</v>
      </c>
      <c r="BL741" s="1" t="s">
        <v>74</v>
      </c>
      <c r="BM741" s="1" t="s">
        <v>74</v>
      </c>
      <c r="BN741" s="1" t="s">
        <v>74</v>
      </c>
      <c r="BO741" s="1" t="s">
        <v>74</v>
      </c>
      <c r="BP741" s="1" t="s">
        <v>74</v>
      </c>
      <c r="BQ741" s="1" t="s">
        <v>74</v>
      </c>
      <c r="BR741" s="1" t="s">
        <v>74</v>
      </c>
      <c r="BS741" s="1" t="s">
        <v>6972</v>
      </c>
      <c r="BT741" s="1" t="str">
        <f>HYPERLINK("https%3A%2F%2Fwww.webofscience.com%2Fwos%2Fwoscc%2Ffull-record%2FWOS:A1996UT55200003","View Full Record in Web of Science")</f>
        <v>View Full Record in Web of Science</v>
      </c>
    </row>
    <row r="742" ht="12.75" customHeight="1">
      <c r="A742" s="1" t="s">
        <v>72</v>
      </c>
      <c r="B742" s="1" t="s">
        <v>6973</v>
      </c>
      <c r="C742" s="1" t="s">
        <v>74</v>
      </c>
      <c r="D742" s="1" t="s">
        <v>74</v>
      </c>
      <c r="E742" s="1" t="s">
        <v>74</v>
      </c>
      <c r="F742" s="1" t="s">
        <v>6973</v>
      </c>
      <c r="G742" s="1" t="s">
        <v>74</v>
      </c>
      <c r="H742" s="1" t="s">
        <v>74</v>
      </c>
      <c r="I742" s="1" t="s">
        <v>6974</v>
      </c>
      <c r="J742" s="1" t="s">
        <v>6975</v>
      </c>
      <c r="K742" s="1" t="s">
        <v>74</v>
      </c>
      <c r="L742" s="1" t="s">
        <v>74</v>
      </c>
      <c r="M742" s="1" t="s">
        <v>74</v>
      </c>
      <c r="N742" s="1" t="s">
        <v>74</v>
      </c>
      <c r="O742" s="1" t="s">
        <v>74</v>
      </c>
      <c r="P742" s="1" t="s">
        <v>74</v>
      </c>
      <c r="Q742" s="1" t="s">
        <v>74</v>
      </c>
      <c r="R742" s="1" t="s">
        <v>74</v>
      </c>
      <c r="S742" s="1" t="s">
        <v>74</v>
      </c>
      <c r="T742" s="1" t="s">
        <v>74</v>
      </c>
      <c r="U742" s="1" t="s">
        <v>74</v>
      </c>
      <c r="V742" s="1" t="s">
        <v>74</v>
      </c>
      <c r="W742" s="1" t="s">
        <v>74</v>
      </c>
      <c r="X742" s="1" t="s">
        <v>74</v>
      </c>
      <c r="Y742" s="1" t="s">
        <v>74</v>
      </c>
      <c r="Z742" s="1" t="s">
        <v>74</v>
      </c>
      <c r="AA742" s="1" t="s">
        <v>6976</v>
      </c>
      <c r="AB742" s="1" t="s">
        <v>3809</v>
      </c>
      <c r="AC742" s="1" t="s">
        <v>74</v>
      </c>
      <c r="AD742" s="1" t="s">
        <v>74</v>
      </c>
      <c r="AE742" s="1" t="s">
        <v>74</v>
      </c>
      <c r="AF742" s="1" t="s">
        <v>74</v>
      </c>
      <c r="AG742" s="1" t="s">
        <v>74</v>
      </c>
      <c r="AH742" s="1" t="s">
        <v>74</v>
      </c>
      <c r="AI742" s="1" t="s">
        <v>74</v>
      </c>
      <c r="AJ742" s="1" t="s">
        <v>74</v>
      </c>
      <c r="AK742" s="1" t="s">
        <v>74</v>
      </c>
      <c r="AL742" s="1" t="s">
        <v>74</v>
      </c>
      <c r="AM742" s="1" t="s">
        <v>74</v>
      </c>
      <c r="AN742" s="1" t="s">
        <v>74</v>
      </c>
      <c r="AO742" s="1" t="s">
        <v>6977</v>
      </c>
      <c r="AP742" s="1" t="s">
        <v>74</v>
      </c>
      <c r="AQ742" s="1" t="s">
        <v>74</v>
      </c>
      <c r="AR742" s="1" t="s">
        <v>74</v>
      </c>
      <c r="AS742" s="1" t="s">
        <v>74</v>
      </c>
      <c r="AT742" s="1" t="s">
        <v>123</v>
      </c>
      <c r="AU742" s="1">
        <v>1993.0</v>
      </c>
      <c r="AV742" s="1">
        <v>179.0</v>
      </c>
      <c r="AW742" s="1">
        <v>2.0</v>
      </c>
      <c r="AX742" s="1" t="s">
        <v>74</v>
      </c>
      <c r="AY742" s="1" t="s">
        <v>74</v>
      </c>
      <c r="AZ742" s="1" t="s">
        <v>74</v>
      </c>
      <c r="BA742" s="1" t="s">
        <v>74</v>
      </c>
      <c r="BB742" s="1" t="s">
        <v>6978</v>
      </c>
      <c r="BC742" s="1" t="s">
        <v>6979</v>
      </c>
      <c r="BD742" s="1" t="s">
        <v>74</v>
      </c>
      <c r="BE742" s="1" t="s">
        <v>6980</v>
      </c>
      <c r="BF742" s="2" t="str">
        <f>HYPERLINK("http://dx.doi.org/10.1002/pssb.2221790238","http://dx.doi.org/10.1002/pssb.2221790238")</f>
        <v>http://dx.doi.org/10.1002/pssb.2221790238</v>
      </c>
      <c r="BG742" s="1" t="s">
        <v>74</v>
      </c>
      <c r="BH742" s="1" t="s">
        <v>74</v>
      </c>
      <c r="BI742" s="1" t="s">
        <v>74</v>
      </c>
      <c r="BJ742" s="1" t="s">
        <v>74</v>
      </c>
      <c r="BK742" s="1" t="s">
        <v>74</v>
      </c>
      <c r="BL742" s="1" t="s">
        <v>74</v>
      </c>
      <c r="BM742" s="1" t="s">
        <v>74</v>
      </c>
      <c r="BN742" s="1" t="s">
        <v>74</v>
      </c>
      <c r="BO742" s="1" t="s">
        <v>74</v>
      </c>
      <c r="BP742" s="1" t="s">
        <v>74</v>
      </c>
      <c r="BQ742" s="1" t="s">
        <v>74</v>
      </c>
      <c r="BR742" s="1" t="s">
        <v>74</v>
      </c>
      <c r="BS742" s="1" t="s">
        <v>6981</v>
      </c>
      <c r="BT742" s="1" t="str">
        <f>HYPERLINK("https%3A%2F%2Fwww.webofscience.com%2Fwos%2Fwoscc%2Ffull-record%2FWOS:A1993MF12500037","View Full Record in Web of Science")</f>
        <v>View Full Record in Web of Science</v>
      </c>
    </row>
    <row r="743" ht="12.75" customHeight="1">
      <c r="A743" s="1" t="s">
        <v>72</v>
      </c>
      <c r="B743" s="1" t="s">
        <v>6982</v>
      </c>
      <c r="C743" s="1" t="s">
        <v>74</v>
      </c>
      <c r="D743" s="1" t="s">
        <v>74</v>
      </c>
      <c r="E743" s="1" t="s">
        <v>74</v>
      </c>
      <c r="F743" s="1" t="s">
        <v>6982</v>
      </c>
      <c r="G743" s="1" t="s">
        <v>74</v>
      </c>
      <c r="H743" s="1" t="s">
        <v>74</v>
      </c>
      <c r="I743" s="1" t="s">
        <v>6983</v>
      </c>
      <c r="J743" s="1" t="s">
        <v>6984</v>
      </c>
      <c r="K743" s="1" t="s">
        <v>74</v>
      </c>
      <c r="L743" s="1" t="s">
        <v>74</v>
      </c>
      <c r="M743" s="1" t="s">
        <v>74</v>
      </c>
      <c r="N743" s="1" t="s">
        <v>74</v>
      </c>
      <c r="O743" s="1" t="s">
        <v>74</v>
      </c>
      <c r="P743" s="1" t="s">
        <v>74</v>
      </c>
      <c r="Q743" s="1" t="s">
        <v>74</v>
      </c>
      <c r="R743" s="1" t="s">
        <v>74</v>
      </c>
      <c r="S743" s="1" t="s">
        <v>74</v>
      </c>
      <c r="T743" s="1" t="s">
        <v>74</v>
      </c>
      <c r="U743" s="1" t="s">
        <v>74</v>
      </c>
      <c r="V743" s="1" t="s">
        <v>74</v>
      </c>
      <c r="W743" s="1" t="s">
        <v>74</v>
      </c>
      <c r="X743" s="1" t="s">
        <v>74</v>
      </c>
      <c r="Y743" s="1" t="s">
        <v>74</v>
      </c>
      <c r="Z743" s="1" t="s">
        <v>74</v>
      </c>
      <c r="AA743" s="1" t="s">
        <v>74</v>
      </c>
      <c r="AB743" s="1" t="s">
        <v>74</v>
      </c>
      <c r="AC743" s="1" t="s">
        <v>74</v>
      </c>
      <c r="AD743" s="1" t="s">
        <v>74</v>
      </c>
      <c r="AE743" s="1" t="s">
        <v>74</v>
      </c>
      <c r="AF743" s="1" t="s">
        <v>74</v>
      </c>
      <c r="AG743" s="1" t="s">
        <v>74</v>
      </c>
      <c r="AH743" s="1" t="s">
        <v>74</v>
      </c>
      <c r="AI743" s="1" t="s">
        <v>74</v>
      </c>
      <c r="AJ743" s="1" t="s">
        <v>74</v>
      </c>
      <c r="AK743" s="1" t="s">
        <v>74</v>
      </c>
      <c r="AL743" s="1" t="s">
        <v>74</v>
      </c>
      <c r="AM743" s="1" t="s">
        <v>74</v>
      </c>
      <c r="AN743" s="1" t="s">
        <v>74</v>
      </c>
      <c r="AO743" s="1" t="s">
        <v>6985</v>
      </c>
      <c r="AP743" s="1" t="s">
        <v>74</v>
      </c>
      <c r="AQ743" s="1" t="s">
        <v>74</v>
      </c>
      <c r="AR743" s="1" t="s">
        <v>74</v>
      </c>
      <c r="AS743" s="1" t="s">
        <v>74</v>
      </c>
      <c r="AT743" s="1" t="s">
        <v>123</v>
      </c>
      <c r="AU743" s="1">
        <v>1991.0</v>
      </c>
      <c r="AV743" s="1">
        <v>49.0</v>
      </c>
      <c r="AW743" s="1">
        <v>4.0</v>
      </c>
      <c r="AX743" s="1" t="s">
        <v>74</v>
      </c>
      <c r="AY743" s="1" t="s">
        <v>1511</v>
      </c>
      <c r="AZ743" s="1" t="s">
        <v>74</v>
      </c>
      <c r="BA743" s="1" t="s">
        <v>74</v>
      </c>
      <c r="BB743" s="1">
        <v>238.0</v>
      </c>
      <c r="BC743" s="1">
        <v>238.0</v>
      </c>
      <c r="BD743" s="1" t="s">
        <v>74</v>
      </c>
      <c r="BE743" s="1" t="s">
        <v>74</v>
      </c>
      <c r="BF743" s="1" t="s">
        <v>74</v>
      </c>
      <c r="BG743" s="1" t="s">
        <v>74</v>
      </c>
      <c r="BH743" s="1" t="s">
        <v>74</v>
      </c>
      <c r="BI743" s="1" t="s">
        <v>74</v>
      </c>
      <c r="BJ743" s="1" t="s">
        <v>74</v>
      </c>
      <c r="BK743" s="1" t="s">
        <v>74</v>
      </c>
      <c r="BL743" s="1" t="s">
        <v>74</v>
      </c>
      <c r="BM743" s="1" t="s">
        <v>74</v>
      </c>
      <c r="BN743" s="1" t="s">
        <v>74</v>
      </c>
      <c r="BO743" s="1" t="s">
        <v>74</v>
      </c>
      <c r="BP743" s="1" t="s">
        <v>74</v>
      </c>
      <c r="BQ743" s="1" t="s">
        <v>74</v>
      </c>
      <c r="BR743" s="1" t="s">
        <v>74</v>
      </c>
      <c r="BS743" s="1" t="s">
        <v>6986</v>
      </c>
      <c r="BT743" s="1" t="str">
        <f>HYPERLINK("https%3A%2F%2Fwww.webofscience.com%2Fwos%2Fwoscc%2Ffull-record%2FWOS:A1991GR30901296","View Full Record in Web of Science")</f>
        <v>View Full Record in Web of Science</v>
      </c>
    </row>
    <row r="744" ht="12.75" customHeight="1">
      <c r="A744" s="1" t="s">
        <v>72</v>
      </c>
      <c r="B744" s="1" t="s">
        <v>6987</v>
      </c>
      <c r="C744" s="1" t="s">
        <v>74</v>
      </c>
      <c r="D744" s="1" t="s">
        <v>74</v>
      </c>
      <c r="E744" s="1" t="s">
        <v>74</v>
      </c>
      <c r="F744" s="1" t="s">
        <v>6987</v>
      </c>
      <c r="G744" s="1" t="s">
        <v>74</v>
      </c>
      <c r="H744" s="1" t="s">
        <v>74</v>
      </c>
      <c r="I744" s="1" t="s">
        <v>6988</v>
      </c>
      <c r="J744" s="1" t="s">
        <v>6989</v>
      </c>
      <c r="K744" s="1" t="s">
        <v>74</v>
      </c>
      <c r="L744" s="1" t="s">
        <v>74</v>
      </c>
      <c r="M744" s="1" t="s">
        <v>74</v>
      </c>
      <c r="N744" s="1" t="s">
        <v>74</v>
      </c>
      <c r="O744" s="1" t="s">
        <v>74</v>
      </c>
      <c r="P744" s="1" t="s">
        <v>74</v>
      </c>
      <c r="Q744" s="1" t="s">
        <v>74</v>
      </c>
      <c r="R744" s="1" t="s">
        <v>74</v>
      </c>
      <c r="S744" s="1" t="s">
        <v>74</v>
      </c>
      <c r="T744" s="1" t="s">
        <v>74</v>
      </c>
      <c r="U744" s="1" t="s">
        <v>74</v>
      </c>
      <c r="V744" s="1" t="s">
        <v>74</v>
      </c>
      <c r="W744" s="1" t="s">
        <v>74</v>
      </c>
      <c r="X744" s="1" t="s">
        <v>74</v>
      </c>
      <c r="Y744" s="1" t="s">
        <v>74</v>
      </c>
      <c r="Z744" s="1" t="s">
        <v>74</v>
      </c>
      <c r="AA744" s="1" t="s">
        <v>74</v>
      </c>
      <c r="AB744" s="1" t="s">
        <v>74</v>
      </c>
      <c r="AC744" s="1" t="s">
        <v>74</v>
      </c>
      <c r="AD744" s="1" t="s">
        <v>74</v>
      </c>
      <c r="AE744" s="1" t="s">
        <v>74</v>
      </c>
      <c r="AF744" s="1" t="s">
        <v>74</v>
      </c>
      <c r="AG744" s="1" t="s">
        <v>74</v>
      </c>
      <c r="AH744" s="1" t="s">
        <v>74</v>
      </c>
      <c r="AI744" s="1" t="s">
        <v>74</v>
      </c>
      <c r="AJ744" s="1" t="s">
        <v>74</v>
      </c>
      <c r="AK744" s="1" t="s">
        <v>74</v>
      </c>
      <c r="AL744" s="1" t="s">
        <v>74</v>
      </c>
      <c r="AM744" s="1" t="s">
        <v>74</v>
      </c>
      <c r="AN744" s="1" t="s">
        <v>74</v>
      </c>
      <c r="AO744" s="1" t="s">
        <v>6990</v>
      </c>
      <c r="AP744" s="1" t="s">
        <v>74</v>
      </c>
      <c r="AQ744" s="1" t="s">
        <v>74</v>
      </c>
      <c r="AR744" s="1" t="s">
        <v>74</v>
      </c>
      <c r="AS744" s="1" t="s">
        <v>74</v>
      </c>
      <c r="AT744" s="1" t="s">
        <v>169</v>
      </c>
      <c r="AU744" s="1">
        <v>1987.0</v>
      </c>
      <c r="AV744" s="1">
        <v>8.0</v>
      </c>
      <c r="AW744" s="1">
        <v>3.0</v>
      </c>
      <c r="AX744" s="1" t="s">
        <v>74</v>
      </c>
      <c r="AY744" s="1" t="s">
        <v>74</v>
      </c>
      <c r="AZ744" s="1" t="s">
        <v>74</v>
      </c>
      <c r="BA744" s="1" t="s">
        <v>74</v>
      </c>
      <c r="BB744" s="1">
        <v>225.0</v>
      </c>
      <c r="BC744" s="1">
        <v>229.0</v>
      </c>
      <c r="BD744" s="1" t="s">
        <v>74</v>
      </c>
      <c r="BE744" s="1" t="s">
        <v>6991</v>
      </c>
      <c r="BF744" s="2" t="str">
        <f>HYPERLINK("http://dx.doi.org/10.1016/0167-6911(87)90031-4","http://dx.doi.org/10.1016/0167-6911(87)90031-4")</f>
        <v>http://dx.doi.org/10.1016/0167-6911(87)90031-4</v>
      </c>
      <c r="BG744" s="1" t="s">
        <v>74</v>
      </c>
      <c r="BH744" s="1" t="s">
        <v>74</v>
      </c>
      <c r="BI744" s="1" t="s">
        <v>74</v>
      </c>
      <c r="BJ744" s="1" t="s">
        <v>74</v>
      </c>
      <c r="BK744" s="1" t="s">
        <v>74</v>
      </c>
      <c r="BL744" s="1" t="s">
        <v>74</v>
      </c>
      <c r="BM744" s="1" t="s">
        <v>74</v>
      </c>
      <c r="BN744" s="1" t="s">
        <v>74</v>
      </c>
      <c r="BO744" s="1" t="s">
        <v>74</v>
      </c>
      <c r="BP744" s="1" t="s">
        <v>74</v>
      </c>
      <c r="BQ744" s="1" t="s">
        <v>74</v>
      </c>
      <c r="BR744" s="1" t="s">
        <v>74</v>
      </c>
      <c r="BS744" s="1" t="s">
        <v>6992</v>
      </c>
      <c r="BT744" s="1" t="str">
        <f>HYPERLINK("https%3A%2F%2Fwww.webofscience.com%2Fwos%2Fwoscc%2Ffull-record%2FWOS:A1987G187600006","View Full Record in Web of Science")</f>
        <v>View Full Record in Web of Science</v>
      </c>
    </row>
    <row r="745" ht="12.75" customHeight="1">
      <c r="A745" s="1" t="s">
        <v>72</v>
      </c>
      <c r="B745" s="1" t="s">
        <v>6993</v>
      </c>
      <c r="C745" s="1" t="s">
        <v>74</v>
      </c>
      <c r="D745" s="1" t="s">
        <v>74</v>
      </c>
      <c r="E745" s="1" t="s">
        <v>74</v>
      </c>
      <c r="F745" s="1" t="s">
        <v>6993</v>
      </c>
      <c r="G745" s="1" t="s">
        <v>74</v>
      </c>
      <c r="H745" s="1" t="s">
        <v>74</v>
      </c>
      <c r="I745" s="1" t="s">
        <v>6994</v>
      </c>
      <c r="J745" s="1" t="s">
        <v>6995</v>
      </c>
      <c r="K745" s="1" t="s">
        <v>74</v>
      </c>
      <c r="L745" s="1" t="s">
        <v>74</v>
      </c>
      <c r="M745" s="1" t="s">
        <v>74</v>
      </c>
      <c r="N745" s="1" t="s">
        <v>74</v>
      </c>
      <c r="O745" s="1" t="s">
        <v>74</v>
      </c>
      <c r="P745" s="1" t="s">
        <v>74</v>
      </c>
      <c r="Q745" s="1" t="s">
        <v>74</v>
      </c>
      <c r="R745" s="1" t="s">
        <v>74</v>
      </c>
      <c r="S745" s="1" t="s">
        <v>74</v>
      </c>
      <c r="T745" s="1" t="s">
        <v>74</v>
      </c>
      <c r="U745" s="1" t="s">
        <v>74</v>
      </c>
      <c r="V745" s="1" t="s">
        <v>74</v>
      </c>
      <c r="W745" s="1" t="s">
        <v>74</v>
      </c>
      <c r="X745" s="1" t="s">
        <v>74</v>
      </c>
      <c r="Y745" s="1" t="s">
        <v>74</v>
      </c>
      <c r="Z745" s="1" t="s">
        <v>74</v>
      </c>
      <c r="AA745" s="1" t="s">
        <v>74</v>
      </c>
      <c r="AB745" s="1" t="s">
        <v>74</v>
      </c>
      <c r="AC745" s="1" t="s">
        <v>74</v>
      </c>
      <c r="AD745" s="1" t="s">
        <v>74</v>
      </c>
      <c r="AE745" s="1" t="s">
        <v>74</v>
      </c>
      <c r="AF745" s="1" t="s">
        <v>74</v>
      </c>
      <c r="AG745" s="1" t="s">
        <v>74</v>
      </c>
      <c r="AH745" s="1" t="s">
        <v>74</v>
      </c>
      <c r="AI745" s="1" t="s">
        <v>74</v>
      </c>
      <c r="AJ745" s="1" t="s">
        <v>74</v>
      </c>
      <c r="AK745" s="1" t="s">
        <v>74</v>
      </c>
      <c r="AL745" s="1" t="s">
        <v>74</v>
      </c>
      <c r="AM745" s="1" t="s">
        <v>74</v>
      </c>
      <c r="AN745" s="1" t="s">
        <v>74</v>
      </c>
      <c r="AO745" s="1" t="s">
        <v>6996</v>
      </c>
      <c r="AP745" s="1" t="s">
        <v>74</v>
      </c>
      <c r="AQ745" s="1" t="s">
        <v>74</v>
      </c>
      <c r="AR745" s="1" t="s">
        <v>74</v>
      </c>
      <c r="AS745" s="1" t="s">
        <v>74</v>
      </c>
      <c r="AT745" s="1" t="s">
        <v>74</v>
      </c>
      <c r="AU745" s="1">
        <v>1984.0</v>
      </c>
      <c r="AV745" s="1">
        <v>8.0</v>
      </c>
      <c r="AW745" s="1">
        <v>5.0</v>
      </c>
      <c r="AX745" s="1" t="s">
        <v>74</v>
      </c>
      <c r="AY745" s="1" t="s">
        <v>74</v>
      </c>
      <c r="AZ745" s="1" t="s">
        <v>74</v>
      </c>
      <c r="BA745" s="1" t="s">
        <v>74</v>
      </c>
      <c r="BB745" s="1">
        <v>311.0</v>
      </c>
      <c r="BC745" s="1">
        <v>315.0</v>
      </c>
      <c r="BD745" s="1" t="s">
        <v>74</v>
      </c>
      <c r="BE745" s="1" t="s">
        <v>74</v>
      </c>
      <c r="BF745" s="1" t="s">
        <v>74</v>
      </c>
      <c r="BG745" s="1" t="s">
        <v>74</v>
      </c>
      <c r="BH745" s="1" t="s">
        <v>74</v>
      </c>
      <c r="BI745" s="1" t="s">
        <v>74</v>
      </c>
      <c r="BJ745" s="1" t="s">
        <v>74</v>
      </c>
      <c r="BK745" s="1" t="s">
        <v>74</v>
      </c>
      <c r="BL745" s="1" t="s">
        <v>74</v>
      </c>
      <c r="BM745" s="1" t="s">
        <v>74</v>
      </c>
      <c r="BN745" s="1" t="s">
        <v>74</v>
      </c>
      <c r="BO745" s="1" t="s">
        <v>74</v>
      </c>
      <c r="BP745" s="1" t="s">
        <v>74</v>
      </c>
      <c r="BQ745" s="1" t="s">
        <v>74</v>
      </c>
      <c r="BR745" s="1" t="s">
        <v>74</v>
      </c>
      <c r="BS745" s="1" t="s">
        <v>6997</v>
      </c>
      <c r="BT745" s="1" t="str">
        <f>HYPERLINK("https%3A%2F%2Fwww.webofscience.com%2Fwos%2Fwoscc%2Ffull-record%2FWOS:A1984SX64500009","View Full Record in Web of Science")</f>
        <v>View Full Record in Web of Science</v>
      </c>
    </row>
    <row r="746" ht="12.75" customHeight="1">
      <c r="A746" s="1" t="s">
        <v>72</v>
      </c>
      <c r="B746" s="1" t="s">
        <v>6998</v>
      </c>
      <c r="C746" s="1" t="s">
        <v>74</v>
      </c>
      <c r="D746" s="1" t="s">
        <v>74</v>
      </c>
      <c r="E746" s="1" t="s">
        <v>74</v>
      </c>
      <c r="F746" s="1" t="s">
        <v>6998</v>
      </c>
      <c r="G746" s="1" t="s">
        <v>74</v>
      </c>
      <c r="H746" s="1" t="s">
        <v>74</v>
      </c>
      <c r="I746" s="1" t="s">
        <v>6999</v>
      </c>
      <c r="J746" s="1" t="s">
        <v>7000</v>
      </c>
      <c r="K746" s="1" t="s">
        <v>74</v>
      </c>
      <c r="L746" s="1" t="s">
        <v>74</v>
      </c>
      <c r="M746" s="1" t="s">
        <v>74</v>
      </c>
      <c r="N746" s="1" t="s">
        <v>74</v>
      </c>
      <c r="O746" s="1" t="s">
        <v>74</v>
      </c>
      <c r="P746" s="1" t="s">
        <v>74</v>
      </c>
      <c r="Q746" s="1" t="s">
        <v>74</v>
      </c>
      <c r="R746" s="1" t="s">
        <v>74</v>
      </c>
      <c r="S746" s="1" t="s">
        <v>74</v>
      </c>
      <c r="T746" s="1" t="s">
        <v>74</v>
      </c>
      <c r="U746" s="1" t="s">
        <v>74</v>
      </c>
      <c r="V746" s="1" t="s">
        <v>74</v>
      </c>
      <c r="W746" s="1" t="s">
        <v>74</v>
      </c>
      <c r="X746" s="1" t="s">
        <v>74</v>
      </c>
      <c r="Y746" s="1" t="s">
        <v>74</v>
      </c>
      <c r="Z746" s="1" t="s">
        <v>74</v>
      </c>
      <c r="AA746" s="1" t="s">
        <v>1695</v>
      </c>
      <c r="AB746" s="1" t="s">
        <v>74</v>
      </c>
      <c r="AC746" s="1" t="s">
        <v>74</v>
      </c>
      <c r="AD746" s="1" t="s">
        <v>74</v>
      </c>
      <c r="AE746" s="1" t="s">
        <v>74</v>
      </c>
      <c r="AF746" s="1" t="s">
        <v>74</v>
      </c>
      <c r="AG746" s="1" t="s">
        <v>74</v>
      </c>
      <c r="AH746" s="1" t="s">
        <v>74</v>
      </c>
      <c r="AI746" s="1" t="s">
        <v>74</v>
      </c>
      <c r="AJ746" s="1" t="s">
        <v>74</v>
      </c>
      <c r="AK746" s="1" t="s">
        <v>74</v>
      </c>
      <c r="AL746" s="1" t="s">
        <v>74</v>
      </c>
      <c r="AM746" s="1" t="s">
        <v>74</v>
      </c>
      <c r="AN746" s="1" t="s">
        <v>74</v>
      </c>
      <c r="AO746" s="1" t="s">
        <v>7001</v>
      </c>
      <c r="AP746" s="1" t="s">
        <v>74</v>
      </c>
      <c r="AQ746" s="1" t="s">
        <v>74</v>
      </c>
      <c r="AR746" s="1" t="s">
        <v>74</v>
      </c>
      <c r="AS746" s="1" t="s">
        <v>74</v>
      </c>
      <c r="AT746" s="1" t="s">
        <v>74</v>
      </c>
      <c r="AU746" s="1">
        <v>1979.0</v>
      </c>
      <c r="AV746" s="1">
        <v>35.0</v>
      </c>
      <c r="AW746" s="1" t="s">
        <v>110</v>
      </c>
      <c r="AX746" s="1" t="s">
        <v>74</v>
      </c>
      <c r="AY746" s="1" t="s">
        <v>74</v>
      </c>
      <c r="AZ746" s="1" t="s">
        <v>74</v>
      </c>
      <c r="BA746" s="1" t="s">
        <v>74</v>
      </c>
      <c r="BB746" s="1">
        <v>3126.0</v>
      </c>
      <c r="BC746" s="1">
        <v>3129.0</v>
      </c>
      <c r="BD746" s="1" t="s">
        <v>74</v>
      </c>
      <c r="BE746" s="1" t="s">
        <v>7002</v>
      </c>
      <c r="BF746" s="2" t="str">
        <f>HYPERLINK("http://dx.doi.org/10.1107/S056774087901164X","http://dx.doi.org/10.1107/S056774087901164X")</f>
        <v>http://dx.doi.org/10.1107/S056774087901164X</v>
      </c>
      <c r="BG746" s="1" t="s">
        <v>74</v>
      </c>
      <c r="BH746" s="1" t="s">
        <v>74</v>
      </c>
      <c r="BI746" s="1" t="s">
        <v>74</v>
      </c>
      <c r="BJ746" s="1" t="s">
        <v>74</v>
      </c>
      <c r="BK746" s="1" t="s">
        <v>74</v>
      </c>
      <c r="BL746" s="1" t="s">
        <v>74</v>
      </c>
      <c r="BM746" s="1" t="s">
        <v>74</v>
      </c>
      <c r="BN746" s="1" t="s">
        <v>74</v>
      </c>
      <c r="BO746" s="1" t="s">
        <v>74</v>
      </c>
      <c r="BP746" s="1" t="s">
        <v>74</v>
      </c>
      <c r="BQ746" s="1" t="s">
        <v>74</v>
      </c>
      <c r="BR746" s="1" t="s">
        <v>74</v>
      </c>
      <c r="BS746" s="1" t="s">
        <v>7003</v>
      </c>
      <c r="BT746" s="1" t="str">
        <f>HYPERLINK("https%3A%2F%2Fwww.webofscience.com%2Fwos%2Fwoscc%2Ffull-record%2FWOS:A1979HZ11000088","View Full Record in Web of Science")</f>
        <v>View Full Record in Web of Science</v>
      </c>
    </row>
    <row r="747" ht="12.75" customHeight="1">
      <c r="A747" s="1" t="s">
        <v>72</v>
      </c>
      <c r="B747" s="1" t="s">
        <v>7004</v>
      </c>
      <c r="C747" s="1" t="s">
        <v>74</v>
      </c>
      <c r="D747" s="1" t="s">
        <v>74</v>
      </c>
      <c r="E747" s="1" t="s">
        <v>74</v>
      </c>
      <c r="F747" s="1" t="s">
        <v>7005</v>
      </c>
      <c r="G747" s="1" t="s">
        <v>74</v>
      </c>
      <c r="H747" s="1" t="s">
        <v>74</v>
      </c>
      <c r="I747" s="1" t="s">
        <v>7006</v>
      </c>
      <c r="J747" s="1" t="s">
        <v>7007</v>
      </c>
      <c r="K747" s="1" t="s">
        <v>74</v>
      </c>
      <c r="L747" s="1" t="s">
        <v>74</v>
      </c>
      <c r="M747" s="1" t="s">
        <v>74</v>
      </c>
      <c r="N747" s="1" t="s">
        <v>74</v>
      </c>
      <c r="O747" s="1" t="s">
        <v>74</v>
      </c>
      <c r="P747" s="1" t="s">
        <v>74</v>
      </c>
      <c r="Q747" s="1" t="s">
        <v>74</v>
      </c>
      <c r="R747" s="1" t="s">
        <v>74</v>
      </c>
      <c r="S747" s="1" t="s">
        <v>74</v>
      </c>
      <c r="T747" s="1" t="s">
        <v>74</v>
      </c>
      <c r="U747" s="1" t="s">
        <v>74</v>
      </c>
      <c r="V747" s="1" t="s">
        <v>7008</v>
      </c>
      <c r="W747" s="1" t="s">
        <v>74</v>
      </c>
      <c r="X747" s="1" t="s">
        <v>74</v>
      </c>
      <c r="Y747" s="1" t="s">
        <v>74</v>
      </c>
      <c r="Z747" s="1" t="s">
        <v>74</v>
      </c>
      <c r="AA747" s="1" t="s">
        <v>7009</v>
      </c>
      <c r="AB747" s="1" t="s">
        <v>7010</v>
      </c>
      <c r="AC747" s="1" t="s">
        <v>74</v>
      </c>
      <c r="AD747" s="1" t="s">
        <v>74</v>
      </c>
      <c r="AE747" s="1" t="s">
        <v>74</v>
      </c>
      <c r="AF747" s="1" t="s">
        <v>74</v>
      </c>
      <c r="AG747" s="1" t="s">
        <v>74</v>
      </c>
      <c r="AH747" s="1" t="s">
        <v>74</v>
      </c>
      <c r="AI747" s="1" t="s">
        <v>74</v>
      </c>
      <c r="AJ747" s="1" t="s">
        <v>74</v>
      </c>
      <c r="AK747" s="1" t="s">
        <v>74</v>
      </c>
      <c r="AL747" s="1" t="s">
        <v>74</v>
      </c>
      <c r="AM747" s="1" t="s">
        <v>74</v>
      </c>
      <c r="AN747" s="1" t="s">
        <v>74</v>
      </c>
      <c r="AO747" s="1" t="s">
        <v>7011</v>
      </c>
      <c r="AP747" s="1" t="s">
        <v>7012</v>
      </c>
      <c r="AQ747" s="1" t="s">
        <v>74</v>
      </c>
      <c r="AR747" s="1" t="s">
        <v>74</v>
      </c>
      <c r="AS747" s="1" t="s">
        <v>74</v>
      </c>
      <c r="AT747" s="1" t="s">
        <v>169</v>
      </c>
      <c r="AU747" s="1">
        <v>2025.0</v>
      </c>
      <c r="AV747" s="1">
        <v>99.0</v>
      </c>
      <c r="AW747" s="1" t="s">
        <v>74</v>
      </c>
      <c r="AX747" s="1" t="s">
        <v>74</v>
      </c>
      <c r="AY747" s="1" t="s">
        <v>74</v>
      </c>
      <c r="AZ747" s="1" t="s">
        <v>74</v>
      </c>
      <c r="BA747" s="1" t="s">
        <v>74</v>
      </c>
      <c r="BB747" s="1" t="s">
        <v>74</v>
      </c>
      <c r="BC747" s="1" t="s">
        <v>74</v>
      </c>
      <c r="BD747" s="1">
        <v>101957.0</v>
      </c>
      <c r="BE747" s="1" t="s">
        <v>7013</v>
      </c>
      <c r="BF747" s="2" t="str">
        <f>HYPERLINK("http://dx.doi.org/10.1016/j.qref.2024.101957","http://dx.doi.org/10.1016/j.qref.2024.101957")</f>
        <v>http://dx.doi.org/10.1016/j.qref.2024.101957</v>
      </c>
      <c r="BG747" s="1" t="s">
        <v>74</v>
      </c>
      <c r="BH747" s="1" t="s">
        <v>5875</v>
      </c>
      <c r="BI747" s="1" t="s">
        <v>74</v>
      </c>
      <c r="BJ747" s="1" t="s">
        <v>74</v>
      </c>
      <c r="BK747" s="1" t="s">
        <v>74</v>
      </c>
      <c r="BL747" s="1" t="s">
        <v>74</v>
      </c>
      <c r="BM747" s="1" t="s">
        <v>74</v>
      </c>
      <c r="BN747" s="1" t="s">
        <v>74</v>
      </c>
      <c r="BO747" s="1" t="s">
        <v>74</v>
      </c>
      <c r="BP747" s="1" t="s">
        <v>74</v>
      </c>
      <c r="BQ747" s="1" t="s">
        <v>74</v>
      </c>
      <c r="BR747" s="1" t="s">
        <v>74</v>
      </c>
      <c r="BS747" s="1" t="s">
        <v>7014</v>
      </c>
      <c r="BT747" s="1" t="str">
        <f>HYPERLINK("https%3A%2F%2Fwww.webofscience.com%2Fwos%2Fwoscc%2Ffull-record%2FWOS:001411389300001","View Full Record in Web of Science")</f>
        <v>View Full Record in Web of Science</v>
      </c>
    </row>
    <row r="748" ht="12.75" customHeight="1">
      <c r="A748" s="1" t="s">
        <v>72</v>
      </c>
      <c r="B748" s="1" t="s">
        <v>7015</v>
      </c>
      <c r="C748" s="1" t="s">
        <v>74</v>
      </c>
      <c r="D748" s="1" t="s">
        <v>74</v>
      </c>
      <c r="E748" s="1" t="s">
        <v>74</v>
      </c>
      <c r="F748" s="1" t="s">
        <v>7016</v>
      </c>
      <c r="G748" s="1" t="s">
        <v>74</v>
      </c>
      <c r="H748" s="1" t="s">
        <v>74</v>
      </c>
      <c r="I748" s="1" t="s">
        <v>7017</v>
      </c>
      <c r="J748" s="1" t="s">
        <v>5944</v>
      </c>
      <c r="K748" s="1" t="s">
        <v>74</v>
      </c>
      <c r="L748" s="1" t="s">
        <v>74</v>
      </c>
      <c r="M748" s="1" t="s">
        <v>74</v>
      </c>
      <c r="N748" s="1" t="s">
        <v>74</v>
      </c>
      <c r="O748" s="1" t="s">
        <v>74</v>
      </c>
      <c r="P748" s="1" t="s">
        <v>74</v>
      </c>
      <c r="Q748" s="1" t="s">
        <v>74</v>
      </c>
      <c r="R748" s="1" t="s">
        <v>74</v>
      </c>
      <c r="S748" s="1" t="s">
        <v>74</v>
      </c>
      <c r="T748" s="1" t="s">
        <v>74</v>
      </c>
      <c r="U748" s="1" t="s">
        <v>74</v>
      </c>
      <c r="V748" s="1" t="s">
        <v>7018</v>
      </c>
      <c r="W748" s="1" t="s">
        <v>74</v>
      </c>
      <c r="X748" s="1" t="s">
        <v>74</v>
      </c>
      <c r="Y748" s="1" t="s">
        <v>74</v>
      </c>
      <c r="Z748" s="1" t="s">
        <v>74</v>
      </c>
      <c r="AA748" s="1" t="s">
        <v>74</v>
      </c>
      <c r="AB748" s="1" t="s">
        <v>74</v>
      </c>
      <c r="AC748" s="1" t="s">
        <v>74</v>
      </c>
      <c r="AD748" s="1" t="s">
        <v>74</v>
      </c>
      <c r="AE748" s="1" t="s">
        <v>74</v>
      </c>
      <c r="AF748" s="1" t="s">
        <v>74</v>
      </c>
      <c r="AG748" s="1" t="s">
        <v>74</v>
      </c>
      <c r="AH748" s="1" t="s">
        <v>74</v>
      </c>
      <c r="AI748" s="1" t="s">
        <v>74</v>
      </c>
      <c r="AJ748" s="1" t="s">
        <v>74</v>
      </c>
      <c r="AK748" s="1" t="s">
        <v>74</v>
      </c>
      <c r="AL748" s="1" t="s">
        <v>74</v>
      </c>
      <c r="AM748" s="1" t="s">
        <v>74</v>
      </c>
      <c r="AN748" s="1" t="s">
        <v>74</v>
      </c>
      <c r="AO748" s="1" t="s">
        <v>5948</v>
      </c>
      <c r="AP748" s="1" t="s">
        <v>5949</v>
      </c>
      <c r="AQ748" s="1" t="s">
        <v>74</v>
      </c>
      <c r="AR748" s="1" t="s">
        <v>74</v>
      </c>
      <c r="AS748" s="1" t="s">
        <v>74</v>
      </c>
      <c r="AT748" s="1" t="s">
        <v>110</v>
      </c>
      <c r="AU748" s="1">
        <v>2024.0</v>
      </c>
      <c r="AV748" s="1">
        <v>228.0</v>
      </c>
      <c r="AW748" s="1">
        <v>12.0</v>
      </c>
      <c r="AX748" s="1" t="s">
        <v>74</v>
      </c>
      <c r="AY748" s="1" t="s">
        <v>74</v>
      </c>
      <c r="AZ748" s="1" t="s">
        <v>74</v>
      </c>
      <c r="BA748" s="1" t="s">
        <v>74</v>
      </c>
      <c r="BB748" s="1" t="s">
        <v>74</v>
      </c>
      <c r="BC748" s="1" t="s">
        <v>74</v>
      </c>
      <c r="BD748" s="1">
        <v>107756.0</v>
      </c>
      <c r="BE748" s="1" t="s">
        <v>7019</v>
      </c>
      <c r="BF748" s="2" t="str">
        <f>HYPERLINK("http://dx.doi.org/10.1016/j.jpaa.2024.107756","http://dx.doi.org/10.1016/j.jpaa.2024.107756")</f>
        <v>http://dx.doi.org/10.1016/j.jpaa.2024.107756</v>
      </c>
      <c r="BG748" s="1" t="s">
        <v>74</v>
      </c>
      <c r="BH748" s="1" t="s">
        <v>125</v>
      </c>
      <c r="BI748" s="1" t="s">
        <v>74</v>
      </c>
      <c r="BJ748" s="1" t="s">
        <v>74</v>
      </c>
      <c r="BK748" s="1" t="s">
        <v>74</v>
      </c>
      <c r="BL748" s="1" t="s">
        <v>74</v>
      </c>
      <c r="BM748" s="1" t="s">
        <v>74</v>
      </c>
      <c r="BN748" s="1" t="s">
        <v>74</v>
      </c>
      <c r="BO748" s="1" t="s">
        <v>74</v>
      </c>
      <c r="BP748" s="1" t="s">
        <v>74</v>
      </c>
      <c r="BQ748" s="1" t="s">
        <v>74</v>
      </c>
      <c r="BR748" s="1" t="s">
        <v>74</v>
      </c>
      <c r="BS748" s="1" t="s">
        <v>7020</v>
      </c>
      <c r="BT748" s="1" t="str">
        <f>HYPERLINK("https%3A%2F%2Fwww.webofscience.com%2Fwos%2Fwoscc%2Ffull-record%2FWOS:001266002100001","View Full Record in Web of Science")</f>
        <v>View Full Record in Web of Science</v>
      </c>
    </row>
    <row r="749" ht="12.75" customHeight="1">
      <c r="A749" s="1" t="s">
        <v>72</v>
      </c>
      <c r="B749" s="1" t="s">
        <v>7021</v>
      </c>
      <c r="C749" s="1" t="s">
        <v>74</v>
      </c>
      <c r="D749" s="1" t="s">
        <v>74</v>
      </c>
      <c r="E749" s="1" t="s">
        <v>74</v>
      </c>
      <c r="F749" s="1" t="s">
        <v>7022</v>
      </c>
      <c r="G749" s="1" t="s">
        <v>74</v>
      </c>
      <c r="H749" s="1" t="s">
        <v>74</v>
      </c>
      <c r="I749" s="1" t="s">
        <v>7023</v>
      </c>
      <c r="J749" s="1" t="s">
        <v>2145</v>
      </c>
      <c r="K749" s="1" t="s">
        <v>74</v>
      </c>
      <c r="L749" s="1" t="s">
        <v>74</v>
      </c>
      <c r="M749" s="1" t="s">
        <v>74</v>
      </c>
      <c r="N749" s="1" t="s">
        <v>74</v>
      </c>
      <c r="O749" s="1" t="s">
        <v>74</v>
      </c>
      <c r="P749" s="1" t="s">
        <v>74</v>
      </c>
      <c r="Q749" s="1" t="s">
        <v>74</v>
      </c>
      <c r="R749" s="1" t="s">
        <v>74</v>
      </c>
      <c r="S749" s="1" t="s">
        <v>74</v>
      </c>
      <c r="T749" s="1" t="s">
        <v>74</v>
      </c>
      <c r="U749" s="1" t="s">
        <v>74</v>
      </c>
      <c r="V749" s="1" t="s">
        <v>7024</v>
      </c>
      <c r="W749" s="1" t="s">
        <v>74</v>
      </c>
      <c r="X749" s="1" t="s">
        <v>74</v>
      </c>
      <c r="Y749" s="1" t="s">
        <v>74</v>
      </c>
      <c r="Z749" s="1" t="s">
        <v>74</v>
      </c>
      <c r="AA749" s="1" t="s">
        <v>74</v>
      </c>
      <c r="AB749" s="1" t="s">
        <v>7025</v>
      </c>
      <c r="AC749" s="1" t="s">
        <v>74</v>
      </c>
      <c r="AD749" s="1" t="s">
        <v>74</v>
      </c>
      <c r="AE749" s="1" t="s">
        <v>74</v>
      </c>
      <c r="AF749" s="1" t="s">
        <v>74</v>
      </c>
      <c r="AG749" s="1" t="s">
        <v>74</v>
      </c>
      <c r="AH749" s="1" t="s">
        <v>74</v>
      </c>
      <c r="AI749" s="1" t="s">
        <v>74</v>
      </c>
      <c r="AJ749" s="1" t="s">
        <v>74</v>
      </c>
      <c r="AK749" s="1" t="s">
        <v>74</v>
      </c>
      <c r="AL749" s="1" t="s">
        <v>74</v>
      </c>
      <c r="AM749" s="1" t="s">
        <v>74</v>
      </c>
      <c r="AN749" s="1" t="s">
        <v>74</v>
      </c>
      <c r="AO749" s="1" t="s">
        <v>2148</v>
      </c>
      <c r="AP749" s="1" t="s">
        <v>2149</v>
      </c>
      <c r="AQ749" s="1" t="s">
        <v>74</v>
      </c>
      <c r="AR749" s="1" t="s">
        <v>74</v>
      </c>
      <c r="AS749" s="1" t="s">
        <v>74</v>
      </c>
      <c r="AT749" s="1" t="s">
        <v>169</v>
      </c>
      <c r="AU749" s="1">
        <v>2024.0</v>
      </c>
      <c r="AV749" s="1">
        <v>306.0</v>
      </c>
      <c r="AW749" s="1">
        <v>1.0</v>
      </c>
      <c r="AX749" s="1" t="s">
        <v>74</v>
      </c>
      <c r="AY749" s="1" t="s">
        <v>74</v>
      </c>
      <c r="AZ749" s="1" t="s">
        <v>74</v>
      </c>
      <c r="BA749" s="1" t="s">
        <v>74</v>
      </c>
      <c r="BB749" s="1" t="s">
        <v>74</v>
      </c>
      <c r="BC749" s="1" t="s">
        <v>74</v>
      </c>
      <c r="BD749" s="1">
        <v>12.0</v>
      </c>
      <c r="BE749" s="1" t="s">
        <v>7026</v>
      </c>
      <c r="BF749" s="2" t="str">
        <f>HYPERLINK("http://dx.doi.org/10.1007/s00209-023-03395-3","http://dx.doi.org/10.1007/s00209-023-03395-3")</f>
        <v>http://dx.doi.org/10.1007/s00209-023-03395-3</v>
      </c>
      <c r="BG749" s="1" t="s">
        <v>74</v>
      </c>
      <c r="BH749" s="1" t="s">
        <v>74</v>
      </c>
      <c r="BI749" s="1" t="s">
        <v>74</v>
      </c>
      <c r="BJ749" s="1" t="s">
        <v>74</v>
      </c>
      <c r="BK749" s="1" t="s">
        <v>74</v>
      </c>
      <c r="BL749" s="1" t="s">
        <v>74</v>
      </c>
      <c r="BM749" s="1" t="s">
        <v>74</v>
      </c>
      <c r="BN749" s="1" t="s">
        <v>74</v>
      </c>
      <c r="BO749" s="1" t="s">
        <v>74</v>
      </c>
      <c r="BP749" s="1" t="s">
        <v>74</v>
      </c>
      <c r="BQ749" s="1" t="s">
        <v>74</v>
      </c>
      <c r="BR749" s="1" t="s">
        <v>74</v>
      </c>
      <c r="BS749" s="1" t="s">
        <v>7027</v>
      </c>
      <c r="BT749" s="1" t="str">
        <f>HYPERLINK("https%3A%2F%2Fwww.webofscience.com%2Fwos%2Fwoscc%2Ffull-record%2FWOS:001114308100001","View Full Record in Web of Science")</f>
        <v>View Full Record in Web of Science</v>
      </c>
    </row>
    <row r="750" ht="12.75" customHeight="1">
      <c r="A750" s="1" t="s">
        <v>72</v>
      </c>
      <c r="B750" s="1" t="s">
        <v>7028</v>
      </c>
      <c r="C750" s="1" t="s">
        <v>74</v>
      </c>
      <c r="D750" s="1" t="s">
        <v>74</v>
      </c>
      <c r="E750" s="1" t="s">
        <v>74</v>
      </c>
      <c r="F750" s="1" t="s">
        <v>7029</v>
      </c>
      <c r="G750" s="1" t="s">
        <v>74</v>
      </c>
      <c r="H750" s="1" t="s">
        <v>74</v>
      </c>
      <c r="I750" s="1" t="s">
        <v>7030</v>
      </c>
      <c r="J750" s="1" t="s">
        <v>7031</v>
      </c>
      <c r="K750" s="1" t="s">
        <v>74</v>
      </c>
      <c r="L750" s="1" t="s">
        <v>74</v>
      </c>
      <c r="M750" s="1" t="s">
        <v>74</v>
      </c>
      <c r="N750" s="1" t="s">
        <v>74</v>
      </c>
      <c r="O750" s="1" t="s">
        <v>74</v>
      </c>
      <c r="P750" s="1" t="s">
        <v>74</v>
      </c>
      <c r="Q750" s="1" t="s">
        <v>74</v>
      </c>
      <c r="R750" s="1" t="s">
        <v>74</v>
      </c>
      <c r="S750" s="1" t="s">
        <v>74</v>
      </c>
      <c r="T750" s="1" t="s">
        <v>74</v>
      </c>
      <c r="U750" s="1" t="s">
        <v>74</v>
      </c>
      <c r="V750" s="1" t="s">
        <v>7032</v>
      </c>
      <c r="W750" s="1" t="s">
        <v>74</v>
      </c>
      <c r="X750" s="1" t="s">
        <v>74</v>
      </c>
      <c r="Y750" s="1" t="s">
        <v>74</v>
      </c>
      <c r="Z750" s="1" t="s">
        <v>74</v>
      </c>
      <c r="AA750" s="1" t="s">
        <v>7033</v>
      </c>
      <c r="AB750" s="1" t="s">
        <v>74</v>
      </c>
      <c r="AC750" s="1" t="s">
        <v>74</v>
      </c>
      <c r="AD750" s="1" t="s">
        <v>74</v>
      </c>
      <c r="AE750" s="1" t="s">
        <v>74</v>
      </c>
      <c r="AF750" s="1" t="s">
        <v>74</v>
      </c>
      <c r="AG750" s="1" t="s">
        <v>74</v>
      </c>
      <c r="AH750" s="1" t="s">
        <v>74</v>
      </c>
      <c r="AI750" s="1" t="s">
        <v>74</v>
      </c>
      <c r="AJ750" s="1" t="s">
        <v>74</v>
      </c>
      <c r="AK750" s="1" t="s">
        <v>74</v>
      </c>
      <c r="AL750" s="1" t="s">
        <v>74</v>
      </c>
      <c r="AM750" s="1" t="s">
        <v>74</v>
      </c>
      <c r="AN750" s="1" t="s">
        <v>74</v>
      </c>
      <c r="AO750" s="1" t="s">
        <v>7034</v>
      </c>
      <c r="AP750" s="1" t="s">
        <v>74</v>
      </c>
      <c r="AQ750" s="1" t="s">
        <v>74</v>
      </c>
      <c r="AR750" s="1" t="s">
        <v>74</v>
      </c>
      <c r="AS750" s="1" t="s">
        <v>74</v>
      </c>
      <c r="AT750" s="1" t="s">
        <v>74</v>
      </c>
      <c r="AU750" s="1">
        <v>2024.0</v>
      </c>
      <c r="AV750" s="1">
        <v>31.0</v>
      </c>
      <c r="AW750" s="1">
        <v>2.0</v>
      </c>
      <c r="AX750" s="1" t="s">
        <v>74</v>
      </c>
      <c r="AY750" s="1" t="s">
        <v>74</v>
      </c>
      <c r="AZ750" s="1" t="s">
        <v>74</v>
      </c>
      <c r="BA750" s="1" t="s">
        <v>74</v>
      </c>
      <c r="BB750" s="1" t="s">
        <v>74</v>
      </c>
      <c r="BC750" s="1" t="s">
        <v>74</v>
      </c>
      <c r="BD750" s="1" t="s">
        <v>7035</v>
      </c>
      <c r="BE750" s="1" t="s">
        <v>74</v>
      </c>
      <c r="BF750" s="1" t="s">
        <v>74</v>
      </c>
      <c r="BG750" s="1" t="s">
        <v>74</v>
      </c>
      <c r="BH750" s="1" t="s">
        <v>74</v>
      </c>
      <c r="BI750" s="1" t="s">
        <v>74</v>
      </c>
      <c r="BJ750" s="1" t="s">
        <v>74</v>
      </c>
      <c r="BK750" s="1" t="s">
        <v>74</v>
      </c>
      <c r="BL750" s="1" t="s">
        <v>74</v>
      </c>
      <c r="BM750" s="1" t="s">
        <v>74</v>
      </c>
      <c r="BN750" s="1" t="s">
        <v>74</v>
      </c>
      <c r="BO750" s="1" t="s">
        <v>74</v>
      </c>
      <c r="BP750" s="1" t="s">
        <v>74</v>
      </c>
      <c r="BQ750" s="1" t="s">
        <v>74</v>
      </c>
      <c r="BR750" s="1" t="s">
        <v>74</v>
      </c>
      <c r="BS750" s="1" t="s">
        <v>7036</v>
      </c>
      <c r="BT750" s="1" t="str">
        <f>HYPERLINK("https%3A%2F%2Fwww.webofscience.com%2Fwos%2Fwoscc%2Ffull-record%2FWOS:001341224200004","View Full Record in Web of Science")</f>
        <v>View Full Record in Web of Science</v>
      </c>
    </row>
    <row r="751" ht="12.75" customHeight="1">
      <c r="A751" s="1" t="s">
        <v>72</v>
      </c>
      <c r="B751" s="1" t="s">
        <v>7037</v>
      </c>
      <c r="C751" s="1" t="s">
        <v>74</v>
      </c>
      <c r="D751" s="1" t="s">
        <v>74</v>
      </c>
      <c r="E751" s="1" t="s">
        <v>74</v>
      </c>
      <c r="F751" s="1" t="s">
        <v>7038</v>
      </c>
      <c r="G751" s="1" t="s">
        <v>74</v>
      </c>
      <c r="H751" s="1" t="s">
        <v>74</v>
      </c>
      <c r="I751" s="1" t="s">
        <v>7039</v>
      </c>
      <c r="J751" s="1" t="s">
        <v>7040</v>
      </c>
      <c r="K751" s="1" t="s">
        <v>74</v>
      </c>
      <c r="L751" s="1" t="s">
        <v>74</v>
      </c>
      <c r="M751" s="1" t="s">
        <v>74</v>
      </c>
      <c r="N751" s="1" t="s">
        <v>74</v>
      </c>
      <c r="O751" s="1" t="s">
        <v>74</v>
      </c>
      <c r="P751" s="1" t="s">
        <v>74</v>
      </c>
      <c r="Q751" s="1" t="s">
        <v>74</v>
      </c>
      <c r="R751" s="1" t="s">
        <v>74</v>
      </c>
      <c r="S751" s="1" t="s">
        <v>74</v>
      </c>
      <c r="T751" s="1" t="s">
        <v>74</v>
      </c>
      <c r="U751" s="1" t="s">
        <v>74</v>
      </c>
      <c r="V751" s="1" t="s">
        <v>7041</v>
      </c>
      <c r="W751" s="1" t="s">
        <v>74</v>
      </c>
      <c r="X751" s="1" t="s">
        <v>74</v>
      </c>
      <c r="Y751" s="1" t="s">
        <v>74</v>
      </c>
      <c r="Z751" s="1" t="s">
        <v>74</v>
      </c>
      <c r="AA751" s="1" t="s">
        <v>74</v>
      </c>
      <c r="AB751" s="1" t="s">
        <v>74</v>
      </c>
      <c r="AC751" s="1" t="s">
        <v>74</v>
      </c>
      <c r="AD751" s="1" t="s">
        <v>74</v>
      </c>
      <c r="AE751" s="1" t="s">
        <v>74</v>
      </c>
      <c r="AF751" s="1" t="s">
        <v>74</v>
      </c>
      <c r="AG751" s="1" t="s">
        <v>74</v>
      </c>
      <c r="AH751" s="1" t="s">
        <v>74</v>
      </c>
      <c r="AI751" s="1" t="s">
        <v>74</v>
      </c>
      <c r="AJ751" s="1" t="s">
        <v>74</v>
      </c>
      <c r="AK751" s="1" t="s">
        <v>74</v>
      </c>
      <c r="AL751" s="1" t="s">
        <v>74</v>
      </c>
      <c r="AM751" s="1" t="s">
        <v>74</v>
      </c>
      <c r="AN751" s="1" t="s">
        <v>74</v>
      </c>
      <c r="AO751" s="1" t="s">
        <v>7042</v>
      </c>
      <c r="AP751" s="1" t="s">
        <v>7043</v>
      </c>
      <c r="AQ751" s="1" t="s">
        <v>74</v>
      </c>
      <c r="AR751" s="1" t="s">
        <v>74</v>
      </c>
      <c r="AS751" s="1" t="s">
        <v>74</v>
      </c>
      <c r="AT751" s="1" t="s">
        <v>74</v>
      </c>
      <c r="AU751" s="1">
        <v>2023.0</v>
      </c>
      <c r="AV751" s="1">
        <v>15.0</v>
      </c>
      <c r="AW751" s="1">
        <v>1.0</v>
      </c>
      <c r="AX751" s="1" t="s">
        <v>74</v>
      </c>
      <c r="AY751" s="1" t="s">
        <v>74</v>
      </c>
      <c r="AZ751" s="1" t="s">
        <v>74</v>
      </c>
      <c r="BA751" s="1" t="s">
        <v>74</v>
      </c>
      <c r="BB751" s="1">
        <v>8.0</v>
      </c>
      <c r="BC751" s="1">
        <v>28.0</v>
      </c>
      <c r="BD751" s="1" t="s">
        <v>74</v>
      </c>
      <c r="BE751" s="1" t="s">
        <v>74</v>
      </c>
      <c r="BF751" s="1" t="s">
        <v>74</v>
      </c>
      <c r="BG751" s="1" t="s">
        <v>74</v>
      </c>
      <c r="BH751" s="1" t="s">
        <v>74</v>
      </c>
      <c r="BI751" s="1" t="s">
        <v>74</v>
      </c>
      <c r="BJ751" s="1" t="s">
        <v>74</v>
      </c>
      <c r="BK751" s="1" t="s">
        <v>74</v>
      </c>
      <c r="BL751" s="1" t="s">
        <v>74</v>
      </c>
      <c r="BM751" s="1" t="s">
        <v>74</v>
      </c>
      <c r="BN751" s="1" t="s">
        <v>74</v>
      </c>
      <c r="BO751" s="1" t="s">
        <v>74</v>
      </c>
      <c r="BP751" s="1" t="s">
        <v>74</v>
      </c>
      <c r="BQ751" s="1" t="s">
        <v>74</v>
      </c>
      <c r="BR751" s="1" t="s">
        <v>74</v>
      </c>
      <c r="BS751" s="1" t="s">
        <v>7044</v>
      </c>
      <c r="BT751" s="1" t="str">
        <f>HYPERLINK("https%3A%2F%2Fwww.webofscience.com%2Fwos%2Fwoscc%2Ffull-record%2FWOS:001046680900002","View Full Record in Web of Science")</f>
        <v>View Full Record in Web of Science</v>
      </c>
    </row>
    <row r="752" ht="12.75" customHeight="1">
      <c r="A752" s="1" t="s">
        <v>72</v>
      </c>
      <c r="B752" s="1" t="s">
        <v>7045</v>
      </c>
      <c r="C752" s="1" t="s">
        <v>74</v>
      </c>
      <c r="D752" s="1" t="s">
        <v>74</v>
      </c>
      <c r="E752" s="1" t="s">
        <v>74</v>
      </c>
      <c r="F752" s="1" t="s">
        <v>7046</v>
      </c>
      <c r="G752" s="1" t="s">
        <v>74</v>
      </c>
      <c r="H752" s="1" t="s">
        <v>74</v>
      </c>
      <c r="I752" s="1" t="s">
        <v>7047</v>
      </c>
      <c r="J752" s="1" t="s">
        <v>984</v>
      </c>
      <c r="K752" s="1" t="s">
        <v>74</v>
      </c>
      <c r="L752" s="1" t="s">
        <v>74</v>
      </c>
      <c r="M752" s="1" t="s">
        <v>74</v>
      </c>
      <c r="N752" s="1" t="s">
        <v>74</v>
      </c>
      <c r="O752" s="1" t="s">
        <v>74</v>
      </c>
      <c r="P752" s="1" t="s">
        <v>74</v>
      </c>
      <c r="Q752" s="1" t="s">
        <v>74</v>
      </c>
      <c r="R752" s="1" t="s">
        <v>74</v>
      </c>
      <c r="S752" s="1" t="s">
        <v>74</v>
      </c>
      <c r="T752" s="1" t="s">
        <v>74</v>
      </c>
      <c r="U752" s="1" t="s">
        <v>74</v>
      </c>
      <c r="V752" s="1" t="s">
        <v>7048</v>
      </c>
      <c r="W752" s="1" t="s">
        <v>74</v>
      </c>
      <c r="X752" s="1" t="s">
        <v>74</v>
      </c>
      <c r="Y752" s="1" t="s">
        <v>74</v>
      </c>
      <c r="Z752" s="1" t="s">
        <v>74</v>
      </c>
      <c r="AA752" s="1" t="s">
        <v>7049</v>
      </c>
      <c r="AB752" s="1" t="s">
        <v>7050</v>
      </c>
      <c r="AC752" s="1" t="s">
        <v>74</v>
      </c>
      <c r="AD752" s="1" t="s">
        <v>74</v>
      </c>
      <c r="AE752" s="1" t="s">
        <v>74</v>
      </c>
      <c r="AF752" s="1" t="s">
        <v>74</v>
      </c>
      <c r="AG752" s="1" t="s">
        <v>74</v>
      </c>
      <c r="AH752" s="1" t="s">
        <v>74</v>
      </c>
      <c r="AI752" s="1" t="s">
        <v>74</v>
      </c>
      <c r="AJ752" s="1" t="s">
        <v>74</v>
      </c>
      <c r="AK752" s="1" t="s">
        <v>74</v>
      </c>
      <c r="AL752" s="1" t="s">
        <v>74</v>
      </c>
      <c r="AM752" s="1" t="s">
        <v>74</v>
      </c>
      <c r="AN752" s="1" t="s">
        <v>74</v>
      </c>
      <c r="AO752" s="1" t="s">
        <v>74</v>
      </c>
      <c r="AP752" s="1" t="s">
        <v>988</v>
      </c>
      <c r="AQ752" s="1" t="s">
        <v>74</v>
      </c>
      <c r="AR752" s="1" t="s">
        <v>74</v>
      </c>
      <c r="AS752" s="1" t="s">
        <v>74</v>
      </c>
      <c r="AT752" s="1" t="s">
        <v>110</v>
      </c>
      <c r="AU752" s="1">
        <v>2022.0</v>
      </c>
      <c r="AV752" s="1">
        <v>14.0</v>
      </c>
      <c r="AW752" s="1">
        <v>12.0</v>
      </c>
      <c r="AX752" s="1" t="s">
        <v>74</v>
      </c>
      <c r="AY752" s="1" t="s">
        <v>74</v>
      </c>
      <c r="AZ752" s="1" t="s">
        <v>74</v>
      </c>
      <c r="BA752" s="1" t="s">
        <v>74</v>
      </c>
      <c r="BB752" s="1" t="s">
        <v>74</v>
      </c>
      <c r="BC752" s="1" t="s">
        <v>74</v>
      </c>
      <c r="BD752" s="1">
        <v>2562.0</v>
      </c>
      <c r="BE752" s="1" t="s">
        <v>7051</v>
      </c>
      <c r="BF752" s="2" t="str">
        <f>HYPERLINK("http://dx.doi.org/10.3390/sym14122562","http://dx.doi.org/10.3390/sym14122562")</f>
        <v>http://dx.doi.org/10.3390/sym14122562</v>
      </c>
      <c r="BG752" s="1" t="s">
        <v>74</v>
      </c>
      <c r="BH752" s="1" t="s">
        <v>74</v>
      </c>
      <c r="BI752" s="1" t="s">
        <v>74</v>
      </c>
      <c r="BJ752" s="1" t="s">
        <v>74</v>
      </c>
      <c r="BK752" s="1" t="s">
        <v>74</v>
      </c>
      <c r="BL752" s="1" t="s">
        <v>74</v>
      </c>
      <c r="BM752" s="1" t="s">
        <v>74</v>
      </c>
      <c r="BN752" s="1" t="s">
        <v>74</v>
      </c>
      <c r="BO752" s="1" t="s">
        <v>74</v>
      </c>
      <c r="BP752" s="1" t="s">
        <v>74</v>
      </c>
      <c r="BQ752" s="1" t="s">
        <v>74</v>
      </c>
      <c r="BR752" s="1" t="s">
        <v>74</v>
      </c>
      <c r="BS752" s="1" t="s">
        <v>7052</v>
      </c>
      <c r="BT752" s="1" t="str">
        <f>HYPERLINK("https%3A%2F%2Fwww.webofscience.com%2Fwos%2Fwoscc%2Ffull-record%2FWOS:000904376500001","View Full Record in Web of Science")</f>
        <v>View Full Record in Web of Science</v>
      </c>
    </row>
    <row r="753" ht="12.75" customHeight="1">
      <c r="A753" s="1" t="s">
        <v>72</v>
      </c>
      <c r="B753" s="1" t="s">
        <v>2187</v>
      </c>
      <c r="C753" s="1" t="s">
        <v>74</v>
      </c>
      <c r="D753" s="1" t="s">
        <v>74</v>
      </c>
      <c r="E753" s="1" t="s">
        <v>74</v>
      </c>
      <c r="F753" s="1" t="s">
        <v>2188</v>
      </c>
      <c r="G753" s="1" t="s">
        <v>74</v>
      </c>
      <c r="H753" s="1" t="s">
        <v>74</v>
      </c>
      <c r="I753" s="1" t="s">
        <v>7053</v>
      </c>
      <c r="J753" s="1" t="s">
        <v>5640</v>
      </c>
      <c r="K753" s="1" t="s">
        <v>74</v>
      </c>
      <c r="L753" s="1" t="s">
        <v>74</v>
      </c>
      <c r="M753" s="1" t="s">
        <v>74</v>
      </c>
      <c r="N753" s="1" t="s">
        <v>74</v>
      </c>
      <c r="O753" s="1" t="s">
        <v>74</v>
      </c>
      <c r="P753" s="1" t="s">
        <v>74</v>
      </c>
      <c r="Q753" s="1" t="s">
        <v>74</v>
      </c>
      <c r="R753" s="1" t="s">
        <v>74</v>
      </c>
      <c r="S753" s="1" t="s">
        <v>74</v>
      </c>
      <c r="T753" s="1" t="s">
        <v>74</v>
      </c>
      <c r="U753" s="1" t="s">
        <v>74</v>
      </c>
      <c r="V753" s="1" t="s">
        <v>7054</v>
      </c>
      <c r="W753" s="1" t="s">
        <v>74</v>
      </c>
      <c r="X753" s="1" t="s">
        <v>74</v>
      </c>
      <c r="Y753" s="1" t="s">
        <v>74</v>
      </c>
      <c r="Z753" s="1" t="s">
        <v>74</v>
      </c>
      <c r="AA753" s="1" t="s">
        <v>842</v>
      </c>
      <c r="AB753" s="1" t="s">
        <v>74</v>
      </c>
      <c r="AC753" s="1" t="s">
        <v>74</v>
      </c>
      <c r="AD753" s="1" t="s">
        <v>74</v>
      </c>
      <c r="AE753" s="1" t="s">
        <v>74</v>
      </c>
      <c r="AF753" s="1" t="s">
        <v>74</v>
      </c>
      <c r="AG753" s="1" t="s">
        <v>74</v>
      </c>
      <c r="AH753" s="1" t="s">
        <v>74</v>
      </c>
      <c r="AI753" s="1" t="s">
        <v>74</v>
      </c>
      <c r="AJ753" s="1" t="s">
        <v>74</v>
      </c>
      <c r="AK753" s="1" t="s">
        <v>74</v>
      </c>
      <c r="AL753" s="1" t="s">
        <v>74</v>
      </c>
      <c r="AM753" s="1" t="s">
        <v>74</v>
      </c>
      <c r="AN753" s="1" t="s">
        <v>74</v>
      </c>
      <c r="AO753" s="1" t="s">
        <v>5642</v>
      </c>
      <c r="AP753" s="1" t="s">
        <v>5643</v>
      </c>
      <c r="AQ753" s="1" t="s">
        <v>74</v>
      </c>
      <c r="AR753" s="1" t="s">
        <v>74</v>
      </c>
      <c r="AS753" s="1" t="s">
        <v>74</v>
      </c>
      <c r="AT753" s="1" t="s">
        <v>7055</v>
      </c>
      <c r="AU753" s="1">
        <v>2022.0</v>
      </c>
      <c r="AV753" s="1" t="s">
        <v>74</v>
      </c>
      <c r="AW753" s="1" t="s">
        <v>74</v>
      </c>
      <c r="AX753" s="1" t="s">
        <v>74</v>
      </c>
      <c r="AY753" s="1" t="s">
        <v>74</v>
      </c>
      <c r="AZ753" s="1" t="s">
        <v>74</v>
      </c>
      <c r="BA753" s="1" t="s">
        <v>74</v>
      </c>
      <c r="BB753" s="1" t="s">
        <v>74</v>
      </c>
      <c r="BC753" s="1" t="s">
        <v>74</v>
      </c>
      <c r="BD753" s="1" t="s">
        <v>74</v>
      </c>
      <c r="BE753" s="1" t="s">
        <v>7056</v>
      </c>
      <c r="BF753" s="2" t="str">
        <f>HYPERLINK("http://dx.doi.org/10.3934/cpaa.2023001","http://dx.doi.org/10.3934/cpaa.2023001")</f>
        <v>http://dx.doi.org/10.3934/cpaa.2023001</v>
      </c>
      <c r="BG753" s="1" t="s">
        <v>74</v>
      </c>
      <c r="BH753" s="1" t="s">
        <v>5951</v>
      </c>
      <c r="BI753" s="1" t="s">
        <v>74</v>
      </c>
      <c r="BJ753" s="1" t="s">
        <v>74</v>
      </c>
      <c r="BK753" s="1" t="s">
        <v>74</v>
      </c>
      <c r="BL753" s="1" t="s">
        <v>74</v>
      </c>
      <c r="BM753" s="1" t="s">
        <v>74</v>
      </c>
      <c r="BN753" s="1" t="s">
        <v>74</v>
      </c>
      <c r="BO753" s="1" t="s">
        <v>74</v>
      </c>
      <c r="BP753" s="1" t="s">
        <v>74</v>
      </c>
      <c r="BQ753" s="1" t="s">
        <v>74</v>
      </c>
      <c r="BR753" s="1" t="s">
        <v>74</v>
      </c>
      <c r="BS753" s="1" t="s">
        <v>7057</v>
      </c>
      <c r="BT753" s="1" t="str">
        <f>HYPERLINK("https%3A%2F%2Fwww.webofscience.com%2Fwos%2Fwoscc%2Ffull-record%2FWOS:000886310900001","View Full Record in Web of Science")</f>
        <v>View Full Record in Web of Science</v>
      </c>
    </row>
    <row r="754" ht="12.75" customHeight="1">
      <c r="A754" s="1" t="s">
        <v>72</v>
      </c>
      <c r="B754" s="1" t="s">
        <v>7058</v>
      </c>
      <c r="C754" s="1" t="s">
        <v>74</v>
      </c>
      <c r="D754" s="1" t="s">
        <v>74</v>
      </c>
      <c r="E754" s="1" t="s">
        <v>74</v>
      </c>
      <c r="F754" s="1" t="s">
        <v>7059</v>
      </c>
      <c r="G754" s="1" t="s">
        <v>74</v>
      </c>
      <c r="H754" s="1" t="s">
        <v>74</v>
      </c>
      <c r="I754" s="1" t="s">
        <v>7060</v>
      </c>
      <c r="J754" s="1" t="s">
        <v>130</v>
      </c>
      <c r="K754" s="1" t="s">
        <v>74</v>
      </c>
      <c r="L754" s="1" t="s">
        <v>74</v>
      </c>
      <c r="M754" s="1" t="s">
        <v>74</v>
      </c>
      <c r="N754" s="1" t="s">
        <v>74</v>
      </c>
      <c r="O754" s="1" t="s">
        <v>74</v>
      </c>
      <c r="P754" s="1" t="s">
        <v>74</v>
      </c>
      <c r="Q754" s="1" t="s">
        <v>74</v>
      </c>
      <c r="R754" s="1" t="s">
        <v>74</v>
      </c>
      <c r="S754" s="1" t="s">
        <v>74</v>
      </c>
      <c r="T754" s="1" t="s">
        <v>74</v>
      </c>
      <c r="U754" s="1" t="s">
        <v>74</v>
      </c>
      <c r="V754" s="1" t="s">
        <v>7061</v>
      </c>
      <c r="W754" s="1" t="s">
        <v>74</v>
      </c>
      <c r="X754" s="1" t="s">
        <v>74</v>
      </c>
      <c r="Y754" s="1" t="s">
        <v>74</v>
      </c>
      <c r="Z754" s="1" t="s">
        <v>74</v>
      </c>
      <c r="AA754" s="1" t="s">
        <v>7062</v>
      </c>
      <c r="AB754" s="1" t="s">
        <v>7063</v>
      </c>
      <c r="AC754" s="1" t="s">
        <v>74</v>
      </c>
      <c r="AD754" s="1" t="s">
        <v>74</v>
      </c>
      <c r="AE754" s="1" t="s">
        <v>74</v>
      </c>
      <c r="AF754" s="1" t="s">
        <v>74</v>
      </c>
      <c r="AG754" s="1" t="s">
        <v>74</v>
      </c>
      <c r="AH754" s="1" t="s">
        <v>74</v>
      </c>
      <c r="AI754" s="1" t="s">
        <v>74</v>
      </c>
      <c r="AJ754" s="1" t="s">
        <v>74</v>
      </c>
      <c r="AK754" s="1" t="s">
        <v>74</v>
      </c>
      <c r="AL754" s="1" t="s">
        <v>74</v>
      </c>
      <c r="AM754" s="1" t="s">
        <v>74</v>
      </c>
      <c r="AN754" s="1" t="s">
        <v>74</v>
      </c>
      <c r="AO754" s="1" t="s">
        <v>133</v>
      </c>
      <c r="AP754" s="1" t="s">
        <v>134</v>
      </c>
      <c r="AQ754" s="1" t="s">
        <v>74</v>
      </c>
      <c r="AR754" s="1" t="s">
        <v>74</v>
      </c>
      <c r="AS754" s="1" t="s">
        <v>74</v>
      </c>
      <c r="AT754" s="1" t="s">
        <v>215</v>
      </c>
      <c r="AU754" s="1">
        <v>2022.0</v>
      </c>
      <c r="AV754" s="1">
        <v>23.0</v>
      </c>
      <c r="AW754" s="1">
        <v>12.0</v>
      </c>
      <c r="AX754" s="1" t="s">
        <v>74</v>
      </c>
      <c r="AY754" s="1" t="s">
        <v>74</v>
      </c>
      <c r="AZ754" s="1" t="s">
        <v>74</v>
      </c>
      <c r="BA754" s="1" t="s">
        <v>74</v>
      </c>
      <c r="BB754" s="1" t="s">
        <v>74</v>
      </c>
      <c r="BC754" s="1" t="s">
        <v>74</v>
      </c>
      <c r="BD754" s="1">
        <v>6575.0</v>
      </c>
      <c r="BE754" s="1" t="s">
        <v>7064</v>
      </c>
      <c r="BF754" s="2" t="str">
        <f>HYPERLINK("http://dx.doi.org/10.3390/ijms23126575","http://dx.doi.org/10.3390/ijms23126575")</f>
        <v>http://dx.doi.org/10.3390/ijms23126575</v>
      </c>
      <c r="BG754" s="1" t="s">
        <v>74</v>
      </c>
      <c r="BH754" s="1" t="s">
        <v>74</v>
      </c>
      <c r="BI754" s="1" t="s">
        <v>74</v>
      </c>
      <c r="BJ754" s="1" t="s">
        <v>74</v>
      </c>
      <c r="BK754" s="1" t="s">
        <v>74</v>
      </c>
      <c r="BL754" s="1" t="s">
        <v>74</v>
      </c>
      <c r="BM754" s="1" t="s">
        <v>74</v>
      </c>
      <c r="BN754" s="1">
        <v>3.5743018E7</v>
      </c>
      <c r="BO754" s="1" t="s">
        <v>74</v>
      </c>
      <c r="BP754" s="1" t="s">
        <v>74</v>
      </c>
      <c r="BQ754" s="1" t="s">
        <v>74</v>
      </c>
      <c r="BR754" s="1" t="s">
        <v>74</v>
      </c>
      <c r="BS754" s="1" t="s">
        <v>7065</v>
      </c>
      <c r="BT754" s="1" t="str">
        <f>HYPERLINK("https%3A%2F%2Fwww.webofscience.com%2Fwos%2Fwoscc%2Ffull-record%2FWOS:000818466900001","View Full Record in Web of Science")</f>
        <v>View Full Record in Web of Science</v>
      </c>
    </row>
    <row r="755" ht="12.75" customHeight="1">
      <c r="A755" s="1" t="s">
        <v>72</v>
      </c>
      <c r="B755" s="1" t="s">
        <v>7066</v>
      </c>
      <c r="C755" s="1" t="s">
        <v>74</v>
      </c>
      <c r="D755" s="1" t="s">
        <v>74</v>
      </c>
      <c r="E755" s="1" t="s">
        <v>74</v>
      </c>
      <c r="F755" s="1" t="s">
        <v>7067</v>
      </c>
      <c r="G755" s="1" t="s">
        <v>74</v>
      </c>
      <c r="H755" s="1" t="s">
        <v>74</v>
      </c>
      <c r="I755" s="1" t="s">
        <v>7068</v>
      </c>
      <c r="J755" s="1" t="s">
        <v>7069</v>
      </c>
      <c r="K755" s="1" t="s">
        <v>74</v>
      </c>
      <c r="L755" s="1" t="s">
        <v>74</v>
      </c>
      <c r="M755" s="1" t="s">
        <v>74</v>
      </c>
      <c r="N755" s="1" t="s">
        <v>74</v>
      </c>
      <c r="O755" s="1" t="s">
        <v>74</v>
      </c>
      <c r="P755" s="1" t="s">
        <v>74</v>
      </c>
      <c r="Q755" s="1" t="s">
        <v>74</v>
      </c>
      <c r="R755" s="1" t="s">
        <v>74</v>
      </c>
      <c r="S755" s="1" t="s">
        <v>74</v>
      </c>
      <c r="T755" s="1" t="s">
        <v>74</v>
      </c>
      <c r="U755" s="1" t="s">
        <v>74</v>
      </c>
      <c r="V755" s="1" t="s">
        <v>7070</v>
      </c>
      <c r="W755" s="1" t="s">
        <v>74</v>
      </c>
      <c r="X755" s="1" t="s">
        <v>74</v>
      </c>
      <c r="Y755" s="1" t="s">
        <v>74</v>
      </c>
      <c r="Z755" s="1" t="s">
        <v>74</v>
      </c>
      <c r="AA755" s="1" t="s">
        <v>7071</v>
      </c>
      <c r="AB755" s="1" t="s">
        <v>7072</v>
      </c>
      <c r="AC755" s="1" t="s">
        <v>74</v>
      </c>
      <c r="AD755" s="1" t="s">
        <v>74</v>
      </c>
      <c r="AE755" s="1" t="s">
        <v>74</v>
      </c>
      <c r="AF755" s="1" t="s">
        <v>74</v>
      </c>
      <c r="AG755" s="1" t="s">
        <v>74</v>
      </c>
      <c r="AH755" s="1" t="s">
        <v>74</v>
      </c>
      <c r="AI755" s="1" t="s">
        <v>74</v>
      </c>
      <c r="AJ755" s="1" t="s">
        <v>74</v>
      </c>
      <c r="AK755" s="1" t="s">
        <v>74</v>
      </c>
      <c r="AL755" s="1" t="s">
        <v>74</v>
      </c>
      <c r="AM755" s="1" t="s">
        <v>74</v>
      </c>
      <c r="AN755" s="1" t="s">
        <v>74</v>
      </c>
      <c r="AO755" s="1" t="s">
        <v>7073</v>
      </c>
      <c r="AP755" s="1" t="s">
        <v>7074</v>
      </c>
      <c r="AQ755" s="1" t="s">
        <v>74</v>
      </c>
      <c r="AR755" s="1" t="s">
        <v>74</v>
      </c>
      <c r="AS755" s="1" t="s">
        <v>74</v>
      </c>
      <c r="AT755" s="1" t="s">
        <v>1624</v>
      </c>
      <c r="AU755" s="1">
        <v>2023.0</v>
      </c>
      <c r="AV755" s="1">
        <v>46.0</v>
      </c>
      <c r="AW755" s="1">
        <v>8.0</v>
      </c>
      <c r="AX755" s="1" t="s">
        <v>74</v>
      </c>
      <c r="AY755" s="1" t="s">
        <v>74</v>
      </c>
      <c r="AZ755" s="1" t="s">
        <v>74</v>
      </c>
      <c r="BA755" s="1" t="s">
        <v>74</v>
      </c>
      <c r="BB755" s="1">
        <v>553.0</v>
      </c>
      <c r="BC755" s="1">
        <v>569.0</v>
      </c>
      <c r="BD755" s="1" t="s">
        <v>74</v>
      </c>
      <c r="BE755" s="1" t="s">
        <v>7075</v>
      </c>
      <c r="BF755" s="2" t="str">
        <f>HYPERLINK("http://dx.doi.org/10.1080/01900692.2021.2003814","http://dx.doi.org/10.1080/01900692.2021.2003814")</f>
        <v>http://dx.doi.org/10.1080/01900692.2021.2003814</v>
      </c>
      <c r="BG755" s="1" t="s">
        <v>74</v>
      </c>
      <c r="BH755" s="1" t="s">
        <v>7076</v>
      </c>
      <c r="BI755" s="1" t="s">
        <v>74</v>
      </c>
      <c r="BJ755" s="1" t="s">
        <v>74</v>
      </c>
      <c r="BK755" s="1" t="s">
        <v>74</v>
      </c>
      <c r="BL755" s="1" t="s">
        <v>74</v>
      </c>
      <c r="BM755" s="1" t="s">
        <v>74</v>
      </c>
      <c r="BN755" s="1" t="s">
        <v>74</v>
      </c>
      <c r="BO755" s="1" t="s">
        <v>74</v>
      </c>
      <c r="BP755" s="1" t="s">
        <v>74</v>
      </c>
      <c r="BQ755" s="1" t="s">
        <v>74</v>
      </c>
      <c r="BR755" s="1" t="s">
        <v>74</v>
      </c>
      <c r="BS755" s="1" t="s">
        <v>7077</v>
      </c>
      <c r="BT755" s="1" t="str">
        <f>HYPERLINK("https%3A%2F%2Fwww.webofscience.com%2Fwos%2Fwoscc%2Ffull-record%2FWOS:000734207800001","View Full Record in Web of Science")</f>
        <v>View Full Record in Web of Science</v>
      </c>
    </row>
    <row r="756" ht="12.75" customHeight="1">
      <c r="A756" s="1" t="s">
        <v>72</v>
      </c>
      <c r="B756" s="1" t="s">
        <v>7078</v>
      </c>
      <c r="C756" s="1" t="s">
        <v>74</v>
      </c>
      <c r="D756" s="1" t="s">
        <v>74</v>
      </c>
      <c r="E756" s="1" t="s">
        <v>74</v>
      </c>
      <c r="F756" s="1" t="s">
        <v>7079</v>
      </c>
      <c r="G756" s="1" t="s">
        <v>74</v>
      </c>
      <c r="H756" s="1" t="s">
        <v>74</v>
      </c>
      <c r="I756" s="1" t="s">
        <v>7080</v>
      </c>
      <c r="J756" s="1" t="s">
        <v>7081</v>
      </c>
      <c r="K756" s="1" t="s">
        <v>74</v>
      </c>
      <c r="L756" s="1" t="s">
        <v>74</v>
      </c>
      <c r="M756" s="1" t="s">
        <v>74</v>
      </c>
      <c r="N756" s="1" t="s">
        <v>74</v>
      </c>
      <c r="O756" s="1" t="s">
        <v>74</v>
      </c>
      <c r="P756" s="1" t="s">
        <v>74</v>
      </c>
      <c r="Q756" s="1" t="s">
        <v>74</v>
      </c>
      <c r="R756" s="1" t="s">
        <v>74</v>
      </c>
      <c r="S756" s="1" t="s">
        <v>74</v>
      </c>
      <c r="T756" s="1" t="s">
        <v>74</v>
      </c>
      <c r="U756" s="1" t="s">
        <v>74</v>
      </c>
      <c r="V756" s="1" t="s">
        <v>74</v>
      </c>
      <c r="W756" s="1" t="s">
        <v>74</v>
      </c>
      <c r="X756" s="1" t="s">
        <v>74</v>
      </c>
      <c r="Y756" s="1" t="s">
        <v>74</v>
      </c>
      <c r="Z756" s="1" t="s">
        <v>74</v>
      </c>
      <c r="AA756" s="1" t="s">
        <v>74</v>
      </c>
      <c r="AB756" s="1" t="s">
        <v>7082</v>
      </c>
      <c r="AC756" s="1" t="s">
        <v>74</v>
      </c>
      <c r="AD756" s="1" t="s">
        <v>74</v>
      </c>
      <c r="AE756" s="1" t="s">
        <v>74</v>
      </c>
      <c r="AF756" s="1" t="s">
        <v>74</v>
      </c>
      <c r="AG756" s="1" t="s">
        <v>74</v>
      </c>
      <c r="AH756" s="1" t="s">
        <v>74</v>
      </c>
      <c r="AI756" s="1" t="s">
        <v>74</v>
      </c>
      <c r="AJ756" s="1" t="s">
        <v>74</v>
      </c>
      <c r="AK756" s="1" t="s">
        <v>74</v>
      </c>
      <c r="AL756" s="1" t="s">
        <v>74</v>
      </c>
      <c r="AM756" s="1" t="s">
        <v>74</v>
      </c>
      <c r="AN756" s="1" t="s">
        <v>74</v>
      </c>
      <c r="AO756" s="1" t="s">
        <v>7083</v>
      </c>
      <c r="AP756" s="1" t="s">
        <v>7084</v>
      </c>
      <c r="AQ756" s="1" t="s">
        <v>74</v>
      </c>
      <c r="AR756" s="1" t="s">
        <v>74</v>
      </c>
      <c r="AS756" s="1" t="s">
        <v>74</v>
      </c>
      <c r="AT756" s="1" t="s">
        <v>135</v>
      </c>
      <c r="AU756" s="1">
        <v>2021.0</v>
      </c>
      <c r="AV756" s="1">
        <v>47.0</v>
      </c>
      <c r="AW756" s="1">
        <v>5.0</v>
      </c>
      <c r="AX756" s="1" t="s">
        <v>74</v>
      </c>
      <c r="AY756" s="1" t="s">
        <v>74</v>
      </c>
      <c r="AZ756" s="1" t="s">
        <v>74</v>
      </c>
      <c r="BA756" s="1" t="s">
        <v>74</v>
      </c>
      <c r="BB756" s="1">
        <v>1208.0</v>
      </c>
      <c r="BC756" s="1">
        <v>1211.0</v>
      </c>
      <c r="BD756" s="1" t="s">
        <v>74</v>
      </c>
      <c r="BE756" s="1" t="s">
        <v>7085</v>
      </c>
      <c r="BF756" s="2" t="str">
        <f>HYPERLINK("http://dx.doi.org/10.1016/j.burns.2020.04.041","http://dx.doi.org/10.1016/j.burns.2020.04.041")</f>
        <v>http://dx.doi.org/10.1016/j.burns.2020.04.041</v>
      </c>
      <c r="BG756" s="1" t="s">
        <v>74</v>
      </c>
      <c r="BH756" s="1" t="s">
        <v>5311</v>
      </c>
      <c r="BI756" s="1" t="s">
        <v>74</v>
      </c>
      <c r="BJ756" s="1" t="s">
        <v>74</v>
      </c>
      <c r="BK756" s="1" t="s">
        <v>74</v>
      </c>
      <c r="BL756" s="1" t="s">
        <v>74</v>
      </c>
      <c r="BM756" s="1" t="s">
        <v>74</v>
      </c>
      <c r="BN756" s="1">
        <v>3.4024688E7</v>
      </c>
      <c r="BO756" s="1" t="s">
        <v>74</v>
      </c>
      <c r="BP756" s="1" t="s">
        <v>74</v>
      </c>
      <c r="BQ756" s="1" t="s">
        <v>74</v>
      </c>
      <c r="BR756" s="1" t="s">
        <v>74</v>
      </c>
      <c r="BS756" s="1" t="s">
        <v>7086</v>
      </c>
      <c r="BT756" s="1" t="str">
        <f>HYPERLINK("https%3A%2F%2Fwww.webofscience.com%2Fwos%2Fwoscc%2Ffull-record%2FWOS:000691663200029","View Full Record in Web of Science")</f>
        <v>View Full Record in Web of Science</v>
      </c>
    </row>
    <row r="757" ht="12.75" customHeight="1">
      <c r="A757" s="1" t="s">
        <v>72</v>
      </c>
      <c r="B757" s="1" t="s">
        <v>2187</v>
      </c>
      <c r="C757" s="1" t="s">
        <v>74</v>
      </c>
      <c r="D757" s="1" t="s">
        <v>74</v>
      </c>
      <c r="E757" s="1" t="s">
        <v>74</v>
      </c>
      <c r="F757" s="1" t="s">
        <v>2188</v>
      </c>
      <c r="G757" s="1" t="s">
        <v>74</v>
      </c>
      <c r="H757" s="1" t="s">
        <v>74</v>
      </c>
      <c r="I757" s="1" t="s">
        <v>7087</v>
      </c>
      <c r="J757" s="1" t="s">
        <v>7088</v>
      </c>
      <c r="K757" s="1" t="s">
        <v>74</v>
      </c>
      <c r="L757" s="1" t="s">
        <v>74</v>
      </c>
      <c r="M757" s="1" t="s">
        <v>74</v>
      </c>
      <c r="N757" s="1" t="s">
        <v>74</v>
      </c>
      <c r="O757" s="1" t="s">
        <v>74</v>
      </c>
      <c r="P757" s="1" t="s">
        <v>74</v>
      </c>
      <c r="Q757" s="1" t="s">
        <v>74</v>
      </c>
      <c r="R757" s="1" t="s">
        <v>74</v>
      </c>
      <c r="S757" s="1" t="s">
        <v>74</v>
      </c>
      <c r="T757" s="1" t="s">
        <v>74</v>
      </c>
      <c r="U757" s="1" t="s">
        <v>74</v>
      </c>
      <c r="V757" s="1" t="s">
        <v>7089</v>
      </c>
      <c r="W757" s="1" t="s">
        <v>74</v>
      </c>
      <c r="X757" s="1" t="s">
        <v>74</v>
      </c>
      <c r="Y757" s="1" t="s">
        <v>74</v>
      </c>
      <c r="Z757" s="1" t="s">
        <v>74</v>
      </c>
      <c r="AA757" s="1" t="s">
        <v>842</v>
      </c>
      <c r="AB757" s="1" t="s">
        <v>843</v>
      </c>
      <c r="AC757" s="1" t="s">
        <v>74</v>
      </c>
      <c r="AD757" s="1" t="s">
        <v>74</v>
      </c>
      <c r="AE757" s="1" t="s">
        <v>74</v>
      </c>
      <c r="AF757" s="1" t="s">
        <v>74</v>
      </c>
      <c r="AG757" s="1" t="s">
        <v>74</v>
      </c>
      <c r="AH757" s="1" t="s">
        <v>74</v>
      </c>
      <c r="AI757" s="1" t="s">
        <v>74</v>
      </c>
      <c r="AJ757" s="1" t="s">
        <v>74</v>
      </c>
      <c r="AK757" s="1" t="s">
        <v>74</v>
      </c>
      <c r="AL757" s="1" t="s">
        <v>74</v>
      </c>
      <c r="AM757" s="1" t="s">
        <v>74</v>
      </c>
      <c r="AN757" s="1" t="s">
        <v>74</v>
      </c>
      <c r="AO757" s="1" t="s">
        <v>7090</v>
      </c>
      <c r="AP757" s="1" t="s">
        <v>7091</v>
      </c>
      <c r="AQ757" s="1" t="s">
        <v>74</v>
      </c>
      <c r="AR757" s="1" t="s">
        <v>74</v>
      </c>
      <c r="AS757" s="1" t="s">
        <v>74</v>
      </c>
      <c r="AT757" s="1" t="s">
        <v>360</v>
      </c>
      <c r="AU757" s="1">
        <v>2021.0</v>
      </c>
      <c r="AV757" s="1">
        <v>44.0</v>
      </c>
      <c r="AW757" s="1">
        <v>3.0</v>
      </c>
      <c r="AX757" s="1" t="s">
        <v>74</v>
      </c>
      <c r="AY757" s="1" t="s">
        <v>74</v>
      </c>
      <c r="AZ757" s="1" t="s">
        <v>411</v>
      </c>
      <c r="BA757" s="1" t="s">
        <v>74</v>
      </c>
      <c r="BB757" s="1">
        <v>2495.0</v>
      </c>
      <c r="BC757" s="1">
        <v>2505.0</v>
      </c>
      <c r="BD757" s="1" t="s">
        <v>74</v>
      </c>
      <c r="BE757" s="1" t="s">
        <v>7092</v>
      </c>
      <c r="BF757" s="2" t="str">
        <f>HYPERLINK("http://dx.doi.org/10.1002/mma.6042","http://dx.doi.org/10.1002/mma.6042")</f>
        <v>http://dx.doi.org/10.1002/mma.6042</v>
      </c>
      <c r="BG757" s="1" t="s">
        <v>74</v>
      </c>
      <c r="BH757" s="1" t="s">
        <v>74</v>
      </c>
      <c r="BI757" s="1" t="s">
        <v>74</v>
      </c>
      <c r="BJ757" s="1" t="s">
        <v>74</v>
      </c>
      <c r="BK757" s="1" t="s">
        <v>74</v>
      </c>
      <c r="BL757" s="1" t="s">
        <v>74</v>
      </c>
      <c r="BM757" s="1" t="s">
        <v>74</v>
      </c>
      <c r="BN757" s="1" t="s">
        <v>74</v>
      </c>
      <c r="BO757" s="1" t="s">
        <v>74</v>
      </c>
      <c r="BP757" s="1" t="s">
        <v>74</v>
      </c>
      <c r="BQ757" s="1" t="s">
        <v>74</v>
      </c>
      <c r="BR757" s="1" t="s">
        <v>74</v>
      </c>
      <c r="BS757" s="1" t="s">
        <v>7093</v>
      </c>
      <c r="BT757" s="1" t="str">
        <f>HYPERLINK("https%3A%2F%2Fwww.webofscience.com%2Fwos%2Fwoscc%2Ffull-record%2FWOS:000604615600017","View Full Record in Web of Science")</f>
        <v>View Full Record in Web of Science</v>
      </c>
    </row>
    <row r="758" ht="12.75" customHeight="1">
      <c r="A758" s="1" t="s">
        <v>72</v>
      </c>
      <c r="B758" s="1" t="s">
        <v>7094</v>
      </c>
      <c r="C758" s="1" t="s">
        <v>74</v>
      </c>
      <c r="D758" s="1" t="s">
        <v>74</v>
      </c>
      <c r="E758" s="1" t="s">
        <v>74</v>
      </c>
      <c r="F758" s="1" t="s">
        <v>7095</v>
      </c>
      <c r="G758" s="1" t="s">
        <v>74</v>
      </c>
      <c r="H758" s="1" t="s">
        <v>74</v>
      </c>
      <c r="I758" s="1" t="s">
        <v>7096</v>
      </c>
      <c r="J758" s="1" t="s">
        <v>7097</v>
      </c>
      <c r="K758" s="1" t="s">
        <v>74</v>
      </c>
      <c r="L758" s="1" t="s">
        <v>74</v>
      </c>
      <c r="M758" s="1" t="s">
        <v>74</v>
      </c>
      <c r="N758" s="1" t="s">
        <v>74</v>
      </c>
      <c r="O758" s="1" t="s">
        <v>74</v>
      </c>
      <c r="P758" s="1" t="s">
        <v>74</v>
      </c>
      <c r="Q758" s="1" t="s">
        <v>74</v>
      </c>
      <c r="R758" s="1" t="s">
        <v>74</v>
      </c>
      <c r="S758" s="1" t="s">
        <v>74</v>
      </c>
      <c r="T758" s="1" t="s">
        <v>74</v>
      </c>
      <c r="U758" s="1" t="s">
        <v>74</v>
      </c>
      <c r="V758" s="1" t="s">
        <v>7098</v>
      </c>
      <c r="W758" s="1" t="s">
        <v>74</v>
      </c>
      <c r="X758" s="1" t="s">
        <v>74</v>
      </c>
      <c r="Y758" s="1" t="s">
        <v>74</v>
      </c>
      <c r="Z758" s="1" t="s">
        <v>74</v>
      </c>
      <c r="AA758" s="1" t="s">
        <v>7099</v>
      </c>
      <c r="AB758" s="1" t="s">
        <v>7100</v>
      </c>
      <c r="AC758" s="1" t="s">
        <v>74</v>
      </c>
      <c r="AD758" s="1" t="s">
        <v>74</v>
      </c>
      <c r="AE758" s="1" t="s">
        <v>74</v>
      </c>
      <c r="AF758" s="1" t="s">
        <v>74</v>
      </c>
      <c r="AG758" s="1" t="s">
        <v>74</v>
      </c>
      <c r="AH758" s="1" t="s">
        <v>74</v>
      </c>
      <c r="AI758" s="1" t="s">
        <v>74</v>
      </c>
      <c r="AJ758" s="1" t="s">
        <v>74</v>
      </c>
      <c r="AK758" s="1" t="s">
        <v>74</v>
      </c>
      <c r="AL758" s="1" t="s">
        <v>74</v>
      </c>
      <c r="AM758" s="1" t="s">
        <v>74</v>
      </c>
      <c r="AN758" s="1" t="s">
        <v>74</v>
      </c>
      <c r="AO758" s="1" t="s">
        <v>7101</v>
      </c>
      <c r="AP758" s="1" t="s">
        <v>7102</v>
      </c>
      <c r="AQ758" s="1" t="s">
        <v>74</v>
      </c>
      <c r="AR758" s="1" t="s">
        <v>74</v>
      </c>
      <c r="AS758" s="1" t="s">
        <v>74</v>
      </c>
      <c r="AT758" s="1" t="s">
        <v>360</v>
      </c>
      <c r="AU758" s="1">
        <v>2021.0</v>
      </c>
      <c r="AV758" s="1">
        <v>108.0</v>
      </c>
      <c r="AW758" s="1" t="s">
        <v>74</v>
      </c>
      <c r="AX758" s="1" t="s">
        <v>74</v>
      </c>
      <c r="AY758" s="1" t="s">
        <v>74</v>
      </c>
      <c r="AZ758" s="1" t="s">
        <v>74</v>
      </c>
      <c r="BA758" s="1" t="s">
        <v>74</v>
      </c>
      <c r="BB758" s="1">
        <v>177.0</v>
      </c>
      <c r="BC758" s="1">
        <v>186.0</v>
      </c>
      <c r="BD758" s="1" t="s">
        <v>74</v>
      </c>
      <c r="BE758" s="1" t="s">
        <v>7103</v>
      </c>
      <c r="BF758" s="2" t="str">
        <f>HYPERLINK("http://dx.doi.org/10.1016/j.tifs.2020.12.020","http://dx.doi.org/10.1016/j.tifs.2020.12.020")</f>
        <v>http://dx.doi.org/10.1016/j.tifs.2020.12.020</v>
      </c>
      <c r="BG758" s="1" t="s">
        <v>74</v>
      </c>
      <c r="BH758" s="1" t="s">
        <v>74</v>
      </c>
      <c r="BI758" s="1" t="s">
        <v>74</v>
      </c>
      <c r="BJ758" s="1" t="s">
        <v>74</v>
      </c>
      <c r="BK758" s="1" t="s">
        <v>74</v>
      </c>
      <c r="BL758" s="1" t="s">
        <v>74</v>
      </c>
      <c r="BM758" s="1" t="s">
        <v>74</v>
      </c>
      <c r="BN758" s="1" t="s">
        <v>74</v>
      </c>
      <c r="BO758" s="1" t="s">
        <v>74</v>
      </c>
      <c r="BP758" s="1" t="s">
        <v>74</v>
      </c>
      <c r="BQ758" s="1" t="s">
        <v>74</v>
      </c>
      <c r="BR758" s="1" t="s">
        <v>74</v>
      </c>
      <c r="BS758" s="1" t="s">
        <v>7104</v>
      </c>
      <c r="BT758" s="1" t="str">
        <f>HYPERLINK("https%3A%2F%2Fwww.webofscience.com%2Fwos%2Fwoscc%2Ffull-record%2FWOS:000615368300002","View Full Record in Web of Science")</f>
        <v>View Full Record in Web of Science</v>
      </c>
    </row>
    <row r="759" ht="12.75" customHeight="1">
      <c r="A759" s="1" t="s">
        <v>72</v>
      </c>
      <c r="B759" s="1" t="s">
        <v>7105</v>
      </c>
      <c r="C759" s="1" t="s">
        <v>74</v>
      </c>
      <c r="D759" s="1" t="s">
        <v>74</v>
      </c>
      <c r="E759" s="1" t="s">
        <v>74</v>
      </c>
      <c r="F759" s="1" t="s">
        <v>7106</v>
      </c>
      <c r="G759" s="1" t="s">
        <v>74</v>
      </c>
      <c r="H759" s="1" t="s">
        <v>74</v>
      </c>
      <c r="I759" s="1" t="s">
        <v>7107</v>
      </c>
      <c r="J759" s="1" t="s">
        <v>902</v>
      </c>
      <c r="K759" s="1" t="s">
        <v>74</v>
      </c>
      <c r="L759" s="1" t="s">
        <v>74</v>
      </c>
      <c r="M759" s="1" t="s">
        <v>74</v>
      </c>
      <c r="N759" s="1" t="s">
        <v>74</v>
      </c>
      <c r="O759" s="1" t="s">
        <v>74</v>
      </c>
      <c r="P759" s="1" t="s">
        <v>74</v>
      </c>
      <c r="Q759" s="1" t="s">
        <v>74</v>
      </c>
      <c r="R759" s="1" t="s">
        <v>74</v>
      </c>
      <c r="S759" s="1" t="s">
        <v>74</v>
      </c>
      <c r="T759" s="1" t="s">
        <v>74</v>
      </c>
      <c r="U759" s="1" t="s">
        <v>74</v>
      </c>
      <c r="V759" s="1" t="s">
        <v>7108</v>
      </c>
      <c r="W759" s="1" t="s">
        <v>74</v>
      </c>
      <c r="X759" s="1" t="s">
        <v>74</v>
      </c>
      <c r="Y759" s="1" t="s">
        <v>74</v>
      </c>
      <c r="Z759" s="1" t="s">
        <v>74</v>
      </c>
      <c r="AA759" s="1" t="s">
        <v>1736</v>
      </c>
      <c r="AB759" s="1" t="s">
        <v>7109</v>
      </c>
      <c r="AC759" s="1" t="s">
        <v>74</v>
      </c>
      <c r="AD759" s="1" t="s">
        <v>74</v>
      </c>
      <c r="AE759" s="1" t="s">
        <v>74</v>
      </c>
      <c r="AF759" s="1" t="s">
        <v>74</v>
      </c>
      <c r="AG759" s="1" t="s">
        <v>74</v>
      </c>
      <c r="AH759" s="1" t="s">
        <v>74</v>
      </c>
      <c r="AI759" s="1" t="s">
        <v>74</v>
      </c>
      <c r="AJ759" s="1" t="s">
        <v>74</v>
      </c>
      <c r="AK759" s="1" t="s">
        <v>74</v>
      </c>
      <c r="AL759" s="1" t="s">
        <v>74</v>
      </c>
      <c r="AM759" s="1" t="s">
        <v>74</v>
      </c>
      <c r="AN759" s="1" t="s">
        <v>74</v>
      </c>
      <c r="AO759" s="1" t="s">
        <v>74</v>
      </c>
      <c r="AP759" s="1" t="s">
        <v>905</v>
      </c>
      <c r="AQ759" s="1" t="s">
        <v>74</v>
      </c>
      <c r="AR759" s="1" t="s">
        <v>74</v>
      </c>
      <c r="AS759" s="1" t="s">
        <v>74</v>
      </c>
      <c r="AT759" s="1" t="s">
        <v>7110</v>
      </c>
      <c r="AU759" s="1">
        <v>2020.0</v>
      </c>
      <c r="AV759" s="1">
        <v>11.0</v>
      </c>
      <c r="AW759" s="1" t="s">
        <v>74</v>
      </c>
      <c r="AX759" s="1" t="s">
        <v>74</v>
      </c>
      <c r="AY759" s="1" t="s">
        <v>74</v>
      </c>
      <c r="AZ759" s="1" t="s">
        <v>74</v>
      </c>
      <c r="BA759" s="1" t="s">
        <v>74</v>
      </c>
      <c r="BB759" s="1" t="s">
        <v>74</v>
      </c>
      <c r="BC759" s="1" t="s">
        <v>74</v>
      </c>
      <c r="BD759" s="1">
        <v>594257.0</v>
      </c>
      <c r="BE759" s="1" t="s">
        <v>7111</v>
      </c>
      <c r="BF759" s="2" t="str">
        <f>HYPERLINK("http://dx.doi.org/10.3389/fphar.2020.594257","http://dx.doi.org/10.3389/fphar.2020.594257")</f>
        <v>http://dx.doi.org/10.3389/fphar.2020.594257</v>
      </c>
      <c r="BG759" s="1" t="s">
        <v>74</v>
      </c>
      <c r="BH759" s="1" t="s">
        <v>74</v>
      </c>
      <c r="BI759" s="1" t="s">
        <v>74</v>
      </c>
      <c r="BJ759" s="1" t="s">
        <v>74</v>
      </c>
      <c r="BK759" s="1" t="s">
        <v>74</v>
      </c>
      <c r="BL759" s="1" t="s">
        <v>74</v>
      </c>
      <c r="BM759" s="1" t="s">
        <v>74</v>
      </c>
      <c r="BN759" s="1">
        <v>3.3390977E7</v>
      </c>
      <c r="BO759" s="1" t="s">
        <v>74</v>
      </c>
      <c r="BP759" s="1" t="s">
        <v>74</v>
      </c>
      <c r="BQ759" s="1" t="s">
        <v>74</v>
      </c>
      <c r="BR759" s="1" t="s">
        <v>74</v>
      </c>
      <c r="BS759" s="1" t="s">
        <v>7112</v>
      </c>
      <c r="BT759" s="1" t="str">
        <f>HYPERLINK("https%3A%2F%2Fwww.webofscience.com%2Fwos%2Fwoscc%2Ffull-record%2FWOS:000598143800001","View Full Record in Web of Science")</f>
        <v>View Full Record in Web of Science</v>
      </c>
    </row>
    <row r="760" ht="12.75" customHeight="1">
      <c r="A760" s="1" t="s">
        <v>72</v>
      </c>
      <c r="B760" s="1" t="s">
        <v>2443</v>
      </c>
      <c r="C760" s="1" t="s">
        <v>74</v>
      </c>
      <c r="D760" s="1" t="s">
        <v>74</v>
      </c>
      <c r="E760" s="1" t="s">
        <v>74</v>
      </c>
      <c r="F760" s="1" t="s">
        <v>2444</v>
      </c>
      <c r="G760" s="1" t="s">
        <v>74</v>
      </c>
      <c r="H760" s="1" t="s">
        <v>74</v>
      </c>
      <c r="I760" s="1" t="s">
        <v>7113</v>
      </c>
      <c r="J760" s="1" t="s">
        <v>3052</v>
      </c>
      <c r="K760" s="1" t="s">
        <v>74</v>
      </c>
      <c r="L760" s="1" t="s">
        <v>74</v>
      </c>
      <c r="M760" s="1" t="s">
        <v>74</v>
      </c>
      <c r="N760" s="1" t="s">
        <v>74</v>
      </c>
      <c r="O760" s="1" t="s">
        <v>74</v>
      </c>
      <c r="P760" s="1" t="s">
        <v>74</v>
      </c>
      <c r="Q760" s="1" t="s">
        <v>74</v>
      </c>
      <c r="R760" s="1" t="s">
        <v>74</v>
      </c>
      <c r="S760" s="1" t="s">
        <v>74</v>
      </c>
      <c r="T760" s="1" t="s">
        <v>74</v>
      </c>
      <c r="U760" s="1" t="s">
        <v>74</v>
      </c>
      <c r="V760" s="1" t="s">
        <v>7114</v>
      </c>
      <c r="W760" s="1" t="s">
        <v>74</v>
      </c>
      <c r="X760" s="1" t="s">
        <v>74</v>
      </c>
      <c r="Y760" s="1" t="s">
        <v>74</v>
      </c>
      <c r="Z760" s="1" t="s">
        <v>74</v>
      </c>
      <c r="AA760" s="1" t="s">
        <v>2447</v>
      </c>
      <c r="AB760" s="1" t="s">
        <v>3282</v>
      </c>
      <c r="AC760" s="1" t="s">
        <v>74</v>
      </c>
      <c r="AD760" s="1" t="s">
        <v>74</v>
      </c>
      <c r="AE760" s="1" t="s">
        <v>74</v>
      </c>
      <c r="AF760" s="1" t="s">
        <v>74</v>
      </c>
      <c r="AG760" s="1" t="s">
        <v>74</v>
      </c>
      <c r="AH760" s="1" t="s">
        <v>74</v>
      </c>
      <c r="AI760" s="1" t="s">
        <v>74</v>
      </c>
      <c r="AJ760" s="1" t="s">
        <v>74</v>
      </c>
      <c r="AK760" s="1" t="s">
        <v>74</v>
      </c>
      <c r="AL760" s="1" t="s">
        <v>74</v>
      </c>
      <c r="AM760" s="1" t="s">
        <v>74</v>
      </c>
      <c r="AN760" s="1" t="s">
        <v>74</v>
      </c>
      <c r="AO760" s="1" t="s">
        <v>3055</v>
      </c>
      <c r="AP760" s="1" t="s">
        <v>74</v>
      </c>
      <c r="AQ760" s="1" t="s">
        <v>74</v>
      </c>
      <c r="AR760" s="1" t="s">
        <v>74</v>
      </c>
      <c r="AS760" s="1" t="s">
        <v>74</v>
      </c>
      <c r="AT760" s="1" t="s">
        <v>7115</v>
      </c>
      <c r="AU760" s="1">
        <v>2020.0</v>
      </c>
      <c r="AV760" s="1">
        <v>2020.0</v>
      </c>
      <c r="AW760" s="1">
        <v>1.0</v>
      </c>
      <c r="AX760" s="1" t="s">
        <v>74</v>
      </c>
      <c r="AY760" s="1" t="s">
        <v>74</v>
      </c>
      <c r="AZ760" s="1" t="s">
        <v>74</v>
      </c>
      <c r="BA760" s="1" t="s">
        <v>74</v>
      </c>
      <c r="BB760" s="1" t="s">
        <v>74</v>
      </c>
      <c r="BC760" s="1" t="s">
        <v>74</v>
      </c>
      <c r="BD760" s="1">
        <v>591.0</v>
      </c>
      <c r="BE760" s="1" t="s">
        <v>7116</v>
      </c>
      <c r="BF760" s="2" t="str">
        <f>HYPERLINK("http://dx.doi.org/10.1186/s13662-020-03054-5","http://dx.doi.org/10.1186/s13662-020-03054-5")</f>
        <v>http://dx.doi.org/10.1186/s13662-020-03054-5</v>
      </c>
      <c r="BG760" s="1" t="s">
        <v>74</v>
      </c>
      <c r="BH760" s="1" t="s">
        <v>74</v>
      </c>
      <c r="BI760" s="1" t="s">
        <v>74</v>
      </c>
      <c r="BJ760" s="1" t="s">
        <v>74</v>
      </c>
      <c r="BK760" s="1" t="s">
        <v>74</v>
      </c>
      <c r="BL760" s="1" t="s">
        <v>74</v>
      </c>
      <c r="BM760" s="1" t="s">
        <v>74</v>
      </c>
      <c r="BN760" s="1" t="s">
        <v>74</v>
      </c>
      <c r="BO760" s="1" t="s">
        <v>74</v>
      </c>
      <c r="BP760" s="1" t="s">
        <v>74</v>
      </c>
      <c r="BQ760" s="1" t="s">
        <v>74</v>
      </c>
      <c r="BR760" s="1" t="s">
        <v>74</v>
      </c>
      <c r="BS760" s="1" t="s">
        <v>7117</v>
      </c>
      <c r="BT760" s="1" t="str">
        <f>HYPERLINK("https%3A%2F%2Fwww.webofscience.com%2Fwos%2Fwoscc%2Ffull-record%2FWOS:000585864700003","View Full Record in Web of Science")</f>
        <v>View Full Record in Web of Science</v>
      </c>
    </row>
    <row r="761" ht="12.75" customHeight="1">
      <c r="A761" s="1" t="s">
        <v>72</v>
      </c>
      <c r="B761" s="1" t="s">
        <v>7118</v>
      </c>
      <c r="C761" s="1" t="s">
        <v>74</v>
      </c>
      <c r="D761" s="1" t="s">
        <v>74</v>
      </c>
      <c r="E761" s="1" t="s">
        <v>74</v>
      </c>
      <c r="F761" s="1" t="s">
        <v>7119</v>
      </c>
      <c r="G761" s="1" t="s">
        <v>74</v>
      </c>
      <c r="H761" s="1" t="s">
        <v>74</v>
      </c>
      <c r="I761" s="1" t="s">
        <v>7120</v>
      </c>
      <c r="J761" s="1" t="s">
        <v>7121</v>
      </c>
      <c r="K761" s="1" t="s">
        <v>74</v>
      </c>
      <c r="L761" s="1" t="s">
        <v>74</v>
      </c>
      <c r="M761" s="1" t="s">
        <v>74</v>
      </c>
      <c r="N761" s="1" t="s">
        <v>74</v>
      </c>
      <c r="O761" s="1" t="s">
        <v>74</v>
      </c>
      <c r="P761" s="1" t="s">
        <v>74</v>
      </c>
      <c r="Q761" s="1" t="s">
        <v>74</v>
      </c>
      <c r="R761" s="1" t="s">
        <v>74</v>
      </c>
      <c r="S761" s="1" t="s">
        <v>74</v>
      </c>
      <c r="T761" s="1" t="s">
        <v>74</v>
      </c>
      <c r="U761" s="1" t="s">
        <v>74</v>
      </c>
      <c r="V761" s="1" t="s">
        <v>7122</v>
      </c>
      <c r="W761" s="1" t="s">
        <v>74</v>
      </c>
      <c r="X761" s="1" t="s">
        <v>74</v>
      </c>
      <c r="Y761" s="1" t="s">
        <v>74</v>
      </c>
      <c r="Z761" s="1" t="s">
        <v>74</v>
      </c>
      <c r="AA761" s="1" t="s">
        <v>7123</v>
      </c>
      <c r="AB761" s="1" t="s">
        <v>7124</v>
      </c>
      <c r="AC761" s="1" t="s">
        <v>74</v>
      </c>
      <c r="AD761" s="1" t="s">
        <v>74</v>
      </c>
      <c r="AE761" s="1" t="s">
        <v>74</v>
      </c>
      <c r="AF761" s="1" t="s">
        <v>74</v>
      </c>
      <c r="AG761" s="1" t="s">
        <v>74</v>
      </c>
      <c r="AH761" s="1" t="s">
        <v>74</v>
      </c>
      <c r="AI761" s="1" t="s">
        <v>74</v>
      </c>
      <c r="AJ761" s="1" t="s">
        <v>74</v>
      </c>
      <c r="AK761" s="1" t="s">
        <v>74</v>
      </c>
      <c r="AL761" s="1" t="s">
        <v>74</v>
      </c>
      <c r="AM761" s="1" t="s">
        <v>74</v>
      </c>
      <c r="AN761" s="1" t="s">
        <v>74</v>
      </c>
      <c r="AO761" s="1" t="s">
        <v>7125</v>
      </c>
      <c r="AP761" s="1" t="s">
        <v>7126</v>
      </c>
      <c r="AQ761" s="1" t="s">
        <v>74</v>
      </c>
      <c r="AR761" s="1" t="s">
        <v>74</v>
      </c>
      <c r="AS761" s="1" t="s">
        <v>74</v>
      </c>
      <c r="AT761" s="1" t="s">
        <v>88</v>
      </c>
      <c r="AU761" s="1">
        <v>2020.0</v>
      </c>
      <c r="AV761" s="1">
        <v>10.0</v>
      </c>
      <c r="AW761" s="1">
        <v>1.0</v>
      </c>
      <c r="AX761" s="1" t="s">
        <v>74</v>
      </c>
      <c r="AY761" s="1" t="s">
        <v>74</v>
      </c>
      <c r="AZ761" s="1" t="s">
        <v>74</v>
      </c>
      <c r="BA761" s="1" t="s">
        <v>74</v>
      </c>
      <c r="BB761" s="1">
        <v>27.0</v>
      </c>
      <c r="BC761" s="1">
        <v>48.0</v>
      </c>
      <c r="BD761" s="1" t="s">
        <v>74</v>
      </c>
      <c r="BE761" s="1" t="s">
        <v>7127</v>
      </c>
      <c r="BF761" s="2" t="str">
        <f>HYPERLINK("http://dx.doi.org/10.1007/s13389-019-00206-6","http://dx.doi.org/10.1007/s13389-019-00206-6")</f>
        <v>http://dx.doi.org/10.1007/s13389-019-00206-6</v>
      </c>
      <c r="BG761" s="1" t="s">
        <v>74</v>
      </c>
      <c r="BH761" s="1" t="s">
        <v>74</v>
      </c>
      <c r="BI761" s="1" t="s">
        <v>74</v>
      </c>
      <c r="BJ761" s="1" t="s">
        <v>74</v>
      </c>
      <c r="BK761" s="1" t="s">
        <v>74</v>
      </c>
      <c r="BL761" s="1" t="s">
        <v>74</v>
      </c>
      <c r="BM761" s="1" t="s">
        <v>74</v>
      </c>
      <c r="BN761" s="1" t="s">
        <v>74</v>
      </c>
      <c r="BO761" s="1" t="s">
        <v>74</v>
      </c>
      <c r="BP761" s="1" t="s">
        <v>74</v>
      </c>
      <c r="BQ761" s="1" t="s">
        <v>74</v>
      </c>
      <c r="BR761" s="1" t="s">
        <v>74</v>
      </c>
      <c r="BS761" s="1" t="s">
        <v>7128</v>
      </c>
      <c r="BT761" s="1" t="str">
        <f>HYPERLINK("https%3A%2F%2Fwww.webofscience.com%2Fwos%2Fwoscc%2Ffull-record%2FWOS:000522668400003","View Full Record in Web of Science")</f>
        <v>View Full Record in Web of Science</v>
      </c>
    </row>
    <row r="762" ht="12.75" customHeight="1">
      <c r="A762" s="1" t="s">
        <v>251</v>
      </c>
      <c r="B762" s="1" t="s">
        <v>7129</v>
      </c>
      <c r="C762" s="1" t="s">
        <v>74</v>
      </c>
      <c r="D762" s="1" t="s">
        <v>74</v>
      </c>
      <c r="E762" s="1" t="s">
        <v>253</v>
      </c>
      <c r="F762" s="1" t="s">
        <v>7130</v>
      </c>
      <c r="G762" s="1" t="s">
        <v>74</v>
      </c>
      <c r="H762" s="1" t="s">
        <v>74</v>
      </c>
      <c r="I762" s="1" t="s">
        <v>7131</v>
      </c>
      <c r="J762" s="1" t="s">
        <v>7132</v>
      </c>
      <c r="K762" s="1" t="s">
        <v>3503</v>
      </c>
      <c r="L762" s="1" t="s">
        <v>74</v>
      </c>
      <c r="M762" s="1" t="s">
        <v>74</v>
      </c>
      <c r="N762" s="1" t="s">
        <v>74</v>
      </c>
      <c r="O762" s="1" t="s">
        <v>7133</v>
      </c>
      <c r="P762" s="1" t="s">
        <v>7134</v>
      </c>
      <c r="Q762" s="1" t="s">
        <v>7135</v>
      </c>
      <c r="R762" s="1" t="s">
        <v>7136</v>
      </c>
      <c r="S762" s="1" t="s">
        <v>74</v>
      </c>
      <c r="T762" s="1" t="s">
        <v>74</v>
      </c>
      <c r="U762" s="1" t="s">
        <v>74</v>
      </c>
      <c r="V762" s="1" t="s">
        <v>7137</v>
      </c>
      <c r="W762" s="1" t="s">
        <v>74</v>
      </c>
      <c r="X762" s="1" t="s">
        <v>74</v>
      </c>
      <c r="Y762" s="1" t="s">
        <v>74</v>
      </c>
      <c r="Z762" s="1" t="s">
        <v>74</v>
      </c>
      <c r="AA762" s="1" t="s">
        <v>7138</v>
      </c>
      <c r="AB762" s="1" t="s">
        <v>74</v>
      </c>
      <c r="AC762" s="1" t="s">
        <v>74</v>
      </c>
      <c r="AD762" s="1" t="s">
        <v>74</v>
      </c>
      <c r="AE762" s="1" t="s">
        <v>74</v>
      </c>
      <c r="AF762" s="1" t="s">
        <v>74</v>
      </c>
      <c r="AG762" s="1" t="s">
        <v>74</v>
      </c>
      <c r="AH762" s="1" t="s">
        <v>74</v>
      </c>
      <c r="AI762" s="1" t="s">
        <v>74</v>
      </c>
      <c r="AJ762" s="1" t="s">
        <v>74</v>
      </c>
      <c r="AK762" s="1" t="s">
        <v>74</v>
      </c>
      <c r="AL762" s="1" t="s">
        <v>74</v>
      </c>
      <c r="AM762" s="1" t="s">
        <v>74</v>
      </c>
      <c r="AN762" s="1" t="s">
        <v>74</v>
      </c>
      <c r="AO762" s="1" t="s">
        <v>7139</v>
      </c>
      <c r="AP762" s="1" t="s">
        <v>74</v>
      </c>
      <c r="AQ762" s="1" t="s">
        <v>7140</v>
      </c>
      <c r="AR762" s="1" t="s">
        <v>74</v>
      </c>
      <c r="AS762" s="1" t="s">
        <v>74</v>
      </c>
      <c r="AT762" s="1" t="s">
        <v>74</v>
      </c>
      <c r="AU762" s="1">
        <v>2020.0</v>
      </c>
      <c r="AV762" s="1" t="s">
        <v>74</v>
      </c>
      <c r="AW762" s="1" t="s">
        <v>74</v>
      </c>
      <c r="AX762" s="1" t="s">
        <v>74</v>
      </c>
      <c r="AY762" s="1" t="s">
        <v>74</v>
      </c>
      <c r="AZ762" s="1" t="s">
        <v>74</v>
      </c>
      <c r="BA762" s="1" t="s">
        <v>74</v>
      </c>
      <c r="BB762" s="1">
        <v>742.0</v>
      </c>
      <c r="BC762" s="1">
        <v>747.0</v>
      </c>
      <c r="BD762" s="1" t="s">
        <v>74</v>
      </c>
      <c r="BE762" s="1" t="s">
        <v>74</v>
      </c>
      <c r="BF762" s="1" t="s">
        <v>74</v>
      </c>
      <c r="BG762" s="1" t="s">
        <v>74</v>
      </c>
      <c r="BH762" s="1" t="s">
        <v>74</v>
      </c>
      <c r="BI762" s="1" t="s">
        <v>74</v>
      </c>
      <c r="BJ762" s="1" t="s">
        <v>74</v>
      </c>
      <c r="BK762" s="1" t="s">
        <v>74</v>
      </c>
      <c r="BL762" s="1" t="s">
        <v>74</v>
      </c>
      <c r="BM762" s="1" t="s">
        <v>74</v>
      </c>
      <c r="BN762" s="1" t="s">
        <v>74</v>
      </c>
      <c r="BO762" s="1" t="s">
        <v>74</v>
      </c>
      <c r="BP762" s="1" t="s">
        <v>74</v>
      </c>
      <c r="BQ762" s="1" t="s">
        <v>74</v>
      </c>
      <c r="BR762" s="1" t="s">
        <v>74</v>
      </c>
      <c r="BS762" s="1" t="s">
        <v>7141</v>
      </c>
      <c r="BT762" s="1" t="str">
        <f>HYPERLINK("https%3A%2F%2Fwww.webofscience.com%2Fwos%2Fwoscc%2Ffull-record%2FWOS:001440464800129","View Full Record in Web of Science")</f>
        <v>View Full Record in Web of Science</v>
      </c>
    </row>
    <row r="763" ht="12.75" customHeight="1">
      <c r="A763" s="1" t="s">
        <v>251</v>
      </c>
      <c r="B763" s="1" t="s">
        <v>7142</v>
      </c>
      <c r="C763" s="1" t="s">
        <v>74</v>
      </c>
      <c r="D763" s="1" t="s">
        <v>74</v>
      </c>
      <c r="E763" s="1" t="s">
        <v>253</v>
      </c>
      <c r="F763" s="1" t="s">
        <v>7143</v>
      </c>
      <c r="G763" s="1" t="s">
        <v>74</v>
      </c>
      <c r="H763" s="1" t="s">
        <v>74</v>
      </c>
      <c r="I763" s="1" t="s">
        <v>7144</v>
      </c>
      <c r="J763" s="1" t="s">
        <v>7132</v>
      </c>
      <c r="K763" s="1" t="s">
        <v>3503</v>
      </c>
      <c r="L763" s="1" t="s">
        <v>74</v>
      </c>
      <c r="M763" s="1" t="s">
        <v>74</v>
      </c>
      <c r="N763" s="1" t="s">
        <v>74</v>
      </c>
      <c r="O763" s="1" t="s">
        <v>7133</v>
      </c>
      <c r="P763" s="1" t="s">
        <v>7134</v>
      </c>
      <c r="Q763" s="1" t="s">
        <v>7135</v>
      </c>
      <c r="R763" s="1" t="s">
        <v>7136</v>
      </c>
      <c r="S763" s="1" t="s">
        <v>74</v>
      </c>
      <c r="T763" s="1" t="s">
        <v>74</v>
      </c>
      <c r="U763" s="1" t="s">
        <v>74</v>
      </c>
      <c r="V763" s="1" t="s">
        <v>7145</v>
      </c>
      <c r="W763" s="1" t="s">
        <v>74</v>
      </c>
      <c r="X763" s="1" t="s">
        <v>74</v>
      </c>
      <c r="Y763" s="1" t="s">
        <v>74</v>
      </c>
      <c r="Z763" s="1" t="s">
        <v>74</v>
      </c>
      <c r="AA763" s="1" t="s">
        <v>74</v>
      </c>
      <c r="AB763" s="1" t="s">
        <v>74</v>
      </c>
      <c r="AC763" s="1" t="s">
        <v>74</v>
      </c>
      <c r="AD763" s="1" t="s">
        <v>74</v>
      </c>
      <c r="AE763" s="1" t="s">
        <v>74</v>
      </c>
      <c r="AF763" s="1" t="s">
        <v>74</v>
      </c>
      <c r="AG763" s="1" t="s">
        <v>74</v>
      </c>
      <c r="AH763" s="1" t="s">
        <v>74</v>
      </c>
      <c r="AI763" s="1" t="s">
        <v>74</v>
      </c>
      <c r="AJ763" s="1" t="s">
        <v>74</v>
      </c>
      <c r="AK763" s="1" t="s">
        <v>74</v>
      </c>
      <c r="AL763" s="1" t="s">
        <v>74</v>
      </c>
      <c r="AM763" s="1" t="s">
        <v>74</v>
      </c>
      <c r="AN763" s="1" t="s">
        <v>74</v>
      </c>
      <c r="AO763" s="1" t="s">
        <v>7139</v>
      </c>
      <c r="AP763" s="1" t="s">
        <v>74</v>
      </c>
      <c r="AQ763" s="1" t="s">
        <v>7140</v>
      </c>
      <c r="AR763" s="1" t="s">
        <v>74</v>
      </c>
      <c r="AS763" s="1" t="s">
        <v>74</v>
      </c>
      <c r="AT763" s="1" t="s">
        <v>74</v>
      </c>
      <c r="AU763" s="1">
        <v>2020.0</v>
      </c>
      <c r="AV763" s="1" t="s">
        <v>74</v>
      </c>
      <c r="AW763" s="1" t="s">
        <v>74</v>
      </c>
      <c r="AX763" s="1" t="s">
        <v>74</v>
      </c>
      <c r="AY763" s="1" t="s">
        <v>74</v>
      </c>
      <c r="AZ763" s="1" t="s">
        <v>74</v>
      </c>
      <c r="BA763" s="1" t="s">
        <v>74</v>
      </c>
      <c r="BB763" s="1">
        <v>730.0</v>
      </c>
      <c r="BC763" s="1">
        <v>735.0</v>
      </c>
      <c r="BD763" s="1" t="s">
        <v>74</v>
      </c>
      <c r="BE763" s="1" t="s">
        <v>74</v>
      </c>
      <c r="BF763" s="1" t="s">
        <v>74</v>
      </c>
      <c r="BG763" s="1" t="s">
        <v>74</v>
      </c>
      <c r="BH763" s="1" t="s">
        <v>74</v>
      </c>
      <c r="BI763" s="1" t="s">
        <v>74</v>
      </c>
      <c r="BJ763" s="1" t="s">
        <v>74</v>
      </c>
      <c r="BK763" s="1" t="s">
        <v>74</v>
      </c>
      <c r="BL763" s="1" t="s">
        <v>74</v>
      </c>
      <c r="BM763" s="1" t="s">
        <v>74</v>
      </c>
      <c r="BN763" s="1" t="s">
        <v>74</v>
      </c>
      <c r="BO763" s="1" t="s">
        <v>74</v>
      </c>
      <c r="BP763" s="1" t="s">
        <v>74</v>
      </c>
      <c r="BQ763" s="1" t="s">
        <v>74</v>
      </c>
      <c r="BR763" s="1" t="s">
        <v>74</v>
      </c>
      <c r="BS763" s="1" t="s">
        <v>7146</v>
      </c>
      <c r="BT763" s="1" t="str">
        <f>HYPERLINK("https%3A%2F%2Fwww.webofscience.com%2Fwos%2Fwoscc%2Ffull-record%2FWOS:001440464800127","View Full Record in Web of Science")</f>
        <v>View Full Record in Web of Science</v>
      </c>
    </row>
    <row r="764" ht="12.75" customHeight="1">
      <c r="A764" s="1" t="s">
        <v>72</v>
      </c>
      <c r="B764" s="1" t="s">
        <v>7147</v>
      </c>
      <c r="C764" s="1" t="s">
        <v>74</v>
      </c>
      <c r="D764" s="1" t="s">
        <v>74</v>
      </c>
      <c r="E764" s="1" t="s">
        <v>74</v>
      </c>
      <c r="F764" s="1" t="s">
        <v>7148</v>
      </c>
      <c r="G764" s="1" t="s">
        <v>74</v>
      </c>
      <c r="H764" s="1" t="s">
        <v>74</v>
      </c>
      <c r="I764" s="1" t="s">
        <v>7149</v>
      </c>
      <c r="J764" s="1" t="s">
        <v>7150</v>
      </c>
      <c r="K764" s="1" t="s">
        <v>74</v>
      </c>
      <c r="L764" s="1" t="s">
        <v>74</v>
      </c>
      <c r="M764" s="1" t="s">
        <v>74</v>
      </c>
      <c r="N764" s="1" t="s">
        <v>74</v>
      </c>
      <c r="O764" s="1" t="s">
        <v>74</v>
      </c>
      <c r="P764" s="1" t="s">
        <v>74</v>
      </c>
      <c r="Q764" s="1" t="s">
        <v>74</v>
      </c>
      <c r="R764" s="1" t="s">
        <v>74</v>
      </c>
      <c r="S764" s="1" t="s">
        <v>74</v>
      </c>
      <c r="T764" s="1" t="s">
        <v>74</v>
      </c>
      <c r="U764" s="1" t="s">
        <v>74</v>
      </c>
      <c r="V764" s="1" t="s">
        <v>7151</v>
      </c>
      <c r="W764" s="1" t="s">
        <v>74</v>
      </c>
      <c r="X764" s="1" t="s">
        <v>74</v>
      </c>
      <c r="Y764" s="1" t="s">
        <v>74</v>
      </c>
      <c r="Z764" s="1" t="s">
        <v>74</v>
      </c>
      <c r="AA764" s="1" t="s">
        <v>7152</v>
      </c>
      <c r="AB764" s="1" t="s">
        <v>7153</v>
      </c>
      <c r="AC764" s="1" t="s">
        <v>74</v>
      </c>
      <c r="AD764" s="1" t="s">
        <v>74</v>
      </c>
      <c r="AE764" s="1" t="s">
        <v>74</v>
      </c>
      <c r="AF764" s="1" t="s">
        <v>74</v>
      </c>
      <c r="AG764" s="1" t="s">
        <v>74</v>
      </c>
      <c r="AH764" s="1" t="s">
        <v>74</v>
      </c>
      <c r="AI764" s="1" t="s">
        <v>74</v>
      </c>
      <c r="AJ764" s="1" t="s">
        <v>74</v>
      </c>
      <c r="AK764" s="1" t="s">
        <v>74</v>
      </c>
      <c r="AL764" s="1" t="s">
        <v>74</v>
      </c>
      <c r="AM764" s="1" t="s">
        <v>74</v>
      </c>
      <c r="AN764" s="1" t="s">
        <v>74</v>
      </c>
      <c r="AO764" s="1" t="s">
        <v>74</v>
      </c>
      <c r="AP764" s="1" t="s">
        <v>7154</v>
      </c>
      <c r="AQ764" s="1" t="s">
        <v>74</v>
      </c>
      <c r="AR764" s="1" t="s">
        <v>74</v>
      </c>
      <c r="AS764" s="1" t="s">
        <v>74</v>
      </c>
      <c r="AT764" s="1" t="s">
        <v>123</v>
      </c>
      <c r="AU764" s="1">
        <v>2019.0</v>
      </c>
      <c r="AV764" s="1">
        <v>17.0</v>
      </c>
      <c r="AW764" s="1">
        <v>10.0</v>
      </c>
      <c r="AX764" s="1" t="s">
        <v>74</v>
      </c>
      <c r="AY764" s="1" t="s">
        <v>74</v>
      </c>
      <c r="AZ764" s="1" t="s">
        <v>74</v>
      </c>
      <c r="BA764" s="1" t="s">
        <v>74</v>
      </c>
      <c r="BB764" s="1">
        <v>1487.0</v>
      </c>
      <c r="BC764" s="1">
        <v>1506.0</v>
      </c>
      <c r="BD764" s="1" t="s">
        <v>74</v>
      </c>
      <c r="BE764" s="1" t="s">
        <v>7155</v>
      </c>
      <c r="BF764" s="2" t="str">
        <f>HYPERLINK("http://dx.doi.org/10.1029/2019SW002215","http://dx.doi.org/10.1029/2019SW002215")</f>
        <v>http://dx.doi.org/10.1029/2019SW002215</v>
      </c>
      <c r="BG764" s="1" t="s">
        <v>74</v>
      </c>
      <c r="BH764" s="1" t="s">
        <v>7156</v>
      </c>
      <c r="BI764" s="1" t="s">
        <v>74</v>
      </c>
      <c r="BJ764" s="1" t="s">
        <v>74</v>
      </c>
      <c r="BK764" s="1" t="s">
        <v>74</v>
      </c>
      <c r="BL764" s="1" t="s">
        <v>74</v>
      </c>
      <c r="BM764" s="1" t="s">
        <v>74</v>
      </c>
      <c r="BN764" s="1" t="s">
        <v>74</v>
      </c>
      <c r="BO764" s="1" t="s">
        <v>74</v>
      </c>
      <c r="BP764" s="1" t="s">
        <v>74</v>
      </c>
      <c r="BQ764" s="1" t="s">
        <v>74</v>
      </c>
      <c r="BR764" s="1" t="s">
        <v>74</v>
      </c>
      <c r="BS764" s="1" t="s">
        <v>7157</v>
      </c>
      <c r="BT764" s="1" t="str">
        <f>HYPERLINK("https%3A%2F%2Fwww.webofscience.com%2Fwos%2Fwoscc%2Ffull-record%2FWOS:000492817800001","View Full Record in Web of Science")</f>
        <v>View Full Record in Web of Science</v>
      </c>
    </row>
    <row r="765" ht="12.75" customHeight="1">
      <c r="A765" s="1" t="s">
        <v>72</v>
      </c>
      <c r="B765" s="1" t="s">
        <v>7158</v>
      </c>
      <c r="C765" s="1" t="s">
        <v>74</v>
      </c>
      <c r="D765" s="1" t="s">
        <v>74</v>
      </c>
      <c r="E765" s="1" t="s">
        <v>74</v>
      </c>
      <c r="F765" s="1" t="s">
        <v>7159</v>
      </c>
      <c r="G765" s="1" t="s">
        <v>74</v>
      </c>
      <c r="H765" s="1" t="s">
        <v>74</v>
      </c>
      <c r="I765" s="1" t="s">
        <v>7160</v>
      </c>
      <c r="J765" s="1" t="s">
        <v>4988</v>
      </c>
      <c r="K765" s="1" t="s">
        <v>74</v>
      </c>
      <c r="L765" s="1" t="s">
        <v>74</v>
      </c>
      <c r="M765" s="1" t="s">
        <v>74</v>
      </c>
      <c r="N765" s="1" t="s">
        <v>74</v>
      </c>
      <c r="O765" s="1" t="s">
        <v>74</v>
      </c>
      <c r="P765" s="1" t="s">
        <v>74</v>
      </c>
      <c r="Q765" s="1" t="s">
        <v>74</v>
      </c>
      <c r="R765" s="1" t="s">
        <v>74</v>
      </c>
      <c r="S765" s="1" t="s">
        <v>74</v>
      </c>
      <c r="T765" s="1" t="s">
        <v>74</v>
      </c>
      <c r="U765" s="1" t="s">
        <v>74</v>
      </c>
      <c r="V765" s="1" t="s">
        <v>7161</v>
      </c>
      <c r="W765" s="1" t="s">
        <v>74</v>
      </c>
      <c r="X765" s="1" t="s">
        <v>74</v>
      </c>
      <c r="Y765" s="1" t="s">
        <v>74</v>
      </c>
      <c r="Z765" s="1" t="s">
        <v>74</v>
      </c>
      <c r="AA765" s="1" t="s">
        <v>7162</v>
      </c>
      <c r="AB765" s="1" t="s">
        <v>7163</v>
      </c>
      <c r="AC765" s="1" t="s">
        <v>74</v>
      </c>
      <c r="AD765" s="1" t="s">
        <v>74</v>
      </c>
      <c r="AE765" s="1" t="s">
        <v>74</v>
      </c>
      <c r="AF765" s="1" t="s">
        <v>74</v>
      </c>
      <c r="AG765" s="1" t="s">
        <v>74</v>
      </c>
      <c r="AH765" s="1" t="s">
        <v>74</v>
      </c>
      <c r="AI765" s="1" t="s">
        <v>74</v>
      </c>
      <c r="AJ765" s="1" t="s">
        <v>74</v>
      </c>
      <c r="AK765" s="1" t="s">
        <v>74</v>
      </c>
      <c r="AL765" s="1" t="s">
        <v>74</v>
      </c>
      <c r="AM765" s="1" t="s">
        <v>74</v>
      </c>
      <c r="AN765" s="1" t="s">
        <v>74</v>
      </c>
      <c r="AO765" s="1" t="s">
        <v>4991</v>
      </c>
      <c r="AP765" s="1" t="s">
        <v>4992</v>
      </c>
      <c r="AQ765" s="1" t="s">
        <v>74</v>
      </c>
      <c r="AR765" s="1" t="s">
        <v>74</v>
      </c>
      <c r="AS765" s="1" t="s">
        <v>74</v>
      </c>
      <c r="AT765" s="1" t="s">
        <v>135</v>
      </c>
      <c r="AU765" s="1">
        <v>2019.0</v>
      </c>
      <c r="AV765" s="1">
        <v>99.0</v>
      </c>
      <c r="AW765" s="1">
        <v>1.0</v>
      </c>
      <c r="AX765" s="1" t="s">
        <v>74</v>
      </c>
      <c r="AY765" s="1" t="s">
        <v>74</v>
      </c>
      <c r="AZ765" s="1" t="s">
        <v>74</v>
      </c>
      <c r="BA765" s="1" t="s">
        <v>74</v>
      </c>
      <c r="BB765" s="1">
        <v>140.0</v>
      </c>
      <c r="BC765" s="1">
        <v>152.0</v>
      </c>
      <c r="BD765" s="1" t="s">
        <v>74</v>
      </c>
      <c r="BE765" s="1" t="s">
        <v>7164</v>
      </c>
      <c r="BF765" s="2" t="str">
        <f>HYPERLINK("http://dx.doi.org/10.1007/s00233-019-10025-0","http://dx.doi.org/10.1007/s00233-019-10025-0")</f>
        <v>http://dx.doi.org/10.1007/s00233-019-10025-0</v>
      </c>
      <c r="BG765" s="1" t="s">
        <v>74</v>
      </c>
      <c r="BH765" s="1" t="s">
        <v>74</v>
      </c>
      <c r="BI765" s="1" t="s">
        <v>74</v>
      </c>
      <c r="BJ765" s="1" t="s">
        <v>74</v>
      </c>
      <c r="BK765" s="1" t="s">
        <v>74</v>
      </c>
      <c r="BL765" s="1" t="s">
        <v>74</v>
      </c>
      <c r="BM765" s="1" t="s">
        <v>74</v>
      </c>
      <c r="BN765" s="1" t="s">
        <v>74</v>
      </c>
      <c r="BO765" s="1" t="s">
        <v>74</v>
      </c>
      <c r="BP765" s="1" t="s">
        <v>74</v>
      </c>
      <c r="BQ765" s="1" t="s">
        <v>74</v>
      </c>
      <c r="BR765" s="1" t="s">
        <v>74</v>
      </c>
      <c r="BS765" s="1" t="s">
        <v>7165</v>
      </c>
      <c r="BT765" s="1" t="str">
        <f>HYPERLINK("https%3A%2F%2Fwww.webofscience.com%2Fwos%2Fwoscc%2Ffull-record%2FWOS:000475592500009","View Full Record in Web of Science")</f>
        <v>View Full Record in Web of Science</v>
      </c>
    </row>
    <row r="766" ht="12.75" customHeight="1">
      <c r="A766" s="1" t="s">
        <v>72</v>
      </c>
      <c r="B766" s="1" t="s">
        <v>7166</v>
      </c>
      <c r="C766" s="1" t="s">
        <v>74</v>
      </c>
      <c r="D766" s="1" t="s">
        <v>74</v>
      </c>
      <c r="E766" s="1" t="s">
        <v>74</v>
      </c>
      <c r="F766" s="1" t="s">
        <v>7167</v>
      </c>
      <c r="G766" s="1" t="s">
        <v>74</v>
      </c>
      <c r="H766" s="1" t="s">
        <v>74</v>
      </c>
      <c r="I766" s="1" t="s">
        <v>7168</v>
      </c>
      <c r="J766" s="1" t="s">
        <v>7169</v>
      </c>
      <c r="K766" s="1" t="s">
        <v>74</v>
      </c>
      <c r="L766" s="1" t="s">
        <v>74</v>
      </c>
      <c r="M766" s="1" t="s">
        <v>74</v>
      </c>
      <c r="N766" s="1" t="s">
        <v>74</v>
      </c>
      <c r="O766" s="1" t="s">
        <v>74</v>
      </c>
      <c r="P766" s="1" t="s">
        <v>74</v>
      </c>
      <c r="Q766" s="1" t="s">
        <v>74</v>
      </c>
      <c r="R766" s="1" t="s">
        <v>74</v>
      </c>
      <c r="S766" s="1" t="s">
        <v>74</v>
      </c>
      <c r="T766" s="1" t="s">
        <v>74</v>
      </c>
      <c r="U766" s="1" t="s">
        <v>74</v>
      </c>
      <c r="V766" s="1" t="s">
        <v>7170</v>
      </c>
      <c r="W766" s="1" t="s">
        <v>74</v>
      </c>
      <c r="X766" s="1" t="s">
        <v>74</v>
      </c>
      <c r="Y766" s="1" t="s">
        <v>74</v>
      </c>
      <c r="Z766" s="1" t="s">
        <v>74</v>
      </c>
      <c r="AA766" s="1" t="s">
        <v>74</v>
      </c>
      <c r="AB766" s="1" t="s">
        <v>74</v>
      </c>
      <c r="AC766" s="1" t="s">
        <v>74</v>
      </c>
      <c r="AD766" s="1" t="s">
        <v>74</v>
      </c>
      <c r="AE766" s="1" t="s">
        <v>74</v>
      </c>
      <c r="AF766" s="1" t="s">
        <v>74</v>
      </c>
      <c r="AG766" s="1" t="s">
        <v>74</v>
      </c>
      <c r="AH766" s="1" t="s">
        <v>74</v>
      </c>
      <c r="AI766" s="1" t="s">
        <v>74</v>
      </c>
      <c r="AJ766" s="1" t="s">
        <v>74</v>
      </c>
      <c r="AK766" s="1" t="s">
        <v>74</v>
      </c>
      <c r="AL766" s="1" t="s">
        <v>74</v>
      </c>
      <c r="AM766" s="1" t="s">
        <v>74</v>
      </c>
      <c r="AN766" s="1" t="s">
        <v>74</v>
      </c>
      <c r="AO766" s="1" t="s">
        <v>7171</v>
      </c>
      <c r="AP766" s="1" t="s">
        <v>7172</v>
      </c>
      <c r="AQ766" s="1" t="s">
        <v>74</v>
      </c>
      <c r="AR766" s="1" t="s">
        <v>74</v>
      </c>
      <c r="AS766" s="1" t="s">
        <v>74</v>
      </c>
      <c r="AT766" s="1" t="s">
        <v>650</v>
      </c>
      <c r="AU766" s="1">
        <v>2018.0</v>
      </c>
      <c r="AV766" s="1" t="s">
        <v>74</v>
      </c>
      <c r="AW766" s="1">
        <v>39.0</v>
      </c>
      <c r="AX766" s="1" t="s">
        <v>74</v>
      </c>
      <c r="AY766" s="1" t="s">
        <v>74</v>
      </c>
      <c r="AZ766" s="1" t="s">
        <v>74</v>
      </c>
      <c r="BA766" s="1" t="s">
        <v>74</v>
      </c>
      <c r="BB766" s="1">
        <v>24.0</v>
      </c>
      <c r="BC766" s="1">
        <v>47.0</v>
      </c>
      <c r="BD766" s="1" t="s">
        <v>74</v>
      </c>
      <c r="BE766" s="1" t="s">
        <v>7173</v>
      </c>
      <c r="BF766" s="2" t="str">
        <f>HYPERLINK("http://dx.doi.org/10.7764/onomazein.39.04","http://dx.doi.org/10.7764/onomazein.39.04")</f>
        <v>http://dx.doi.org/10.7764/onomazein.39.04</v>
      </c>
      <c r="BG766" s="1" t="s">
        <v>74</v>
      </c>
      <c r="BH766" s="1" t="s">
        <v>74</v>
      </c>
      <c r="BI766" s="1" t="s">
        <v>74</v>
      </c>
      <c r="BJ766" s="1" t="s">
        <v>74</v>
      </c>
      <c r="BK766" s="1" t="s">
        <v>74</v>
      </c>
      <c r="BL766" s="1" t="s">
        <v>74</v>
      </c>
      <c r="BM766" s="1" t="s">
        <v>74</v>
      </c>
      <c r="BN766" s="1" t="s">
        <v>74</v>
      </c>
      <c r="BO766" s="1" t="s">
        <v>74</v>
      </c>
      <c r="BP766" s="1" t="s">
        <v>74</v>
      </c>
      <c r="BQ766" s="1" t="s">
        <v>74</v>
      </c>
      <c r="BR766" s="1" t="s">
        <v>74</v>
      </c>
      <c r="BS766" s="1" t="s">
        <v>7174</v>
      </c>
      <c r="BT766" s="1" t="str">
        <f>HYPERLINK("https%3A%2F%2Fwww.webofscience.com%2Fwos%2Fwoscc%2Ffull-record%2FWOS:000439446700002","View Full Record in Web of Science")</f>
        <v>View Full Record in Web of Science</v>
      </c>
    </row>
    <row r="767" ht="12.75" customHeight="1">
      <c r="A767" s="1" t="s">
        <v>72</v>
      </c>
      <c r="B767" s="1" t="s">
        <v>7175</v>
      </c>
      <c r="C767" s="1" t="s">
        <v>74</v>
      </c>
      <c r="D767" s="1" t="s">
        <v>74</v>
      </c>
      <c r="E767" s="1" t="s">
        <v>74</v>
      </c>
      <c r="F767" s="1" t="s">
        <v>7176</v>
      </c>
      <c r="G767" s="1" t="s">
        <v>74</v>
      </c>
      <c r="H767" s="1" t="s">
        <v>74</v>
      </c>
      <c r="I767" s="1" t="s">
        <v>7177</v>
      </c>
      <c r="J767" s="1" t="s">
        <v>3767</v>
      </c>
      <c r="K767" s="1" t="s">
        <v>74</v>
      </c>
      <c r="L767" s="1" t="s">
        <v>74</v>
      </c>
      <c r="M767" s="1" t="s">
        <v>74</v>
      </c>
      <c r="N767" s="1" t="s">
        <v>74</v>
      </c>
      <c r="O767" s="1" t="s">
        <v>74</v>
      </c>
      <c r="P767" s="1" t="s">
        <v>74</v>
      </c>
      <c r="Q767" s="1" t="s">
        <v>74</v>
      </c>
      <c r="R767" s="1" t="s">
        <v>74</v>
      </c>
      <c r="S767" s="1" t="s">
        <v>74</v>
      </c>
      <c r="T767" s="1" t="s">
        <v>74</v>
      </c>
      <c r="U767" s="1" t="s">
        <v>74</v>
      </c>
      <c r="V767" s="1" t="s">
        <v>7178</v>
      </c>
      <c r="W767" s="1" t="s">
        <v>74</v>
      </c>
      <c r="X767" s="1" t="s">
        <v>74</v>
      </c>
      <c r="Y767" s="1" t="s">
        <v>74</v>
      </c>
      <c r="Z767" s="1" t="s">
        <v>74</v>
      </c>
      <c r="AA767" s="1" t="s">
        <v>842</v>
      </c>
      <c r="AB767" s="1" t="s">
        <v>843</v>
      </c>
      <c r="AC767" s="1" t="s">
        <v>74</v>
      </c>
      <c r="AD767" s="1" t="s">
        <v>74</v>
      </c>
      <c r="AE767" s="1" t="s">
        <v>74</v>
      </c>
      <c r="AF767" s="1" t="s">
        <v>74</v>
      </c>
      <c r="AG767" s="1" t="s">
        <v>74</v>
      </c>
      <c r="AH767" s="1" t="s">
        <v>74</v>
      </c>
      <c r="AI767" s="1" t="s">
        <v>74</v>
      </c>
      <c r="AJ767" s="1" t="s">
        <v>74</v>
      </c>
      <c r="AK767" s="1" t="s">
        <v>74</v>
      </c>
      <c r="AL767" s="1" t="s">
        <v>74</v>
      </c>
      <c r="AM767" s="1" t="s">
        <v>74</v>
      </c>
      <c r="AN767" s="1" t="s">
        <v>74</v>
      </c>
      <c r="AO767" s="1" t="s">
        <v>3774</v>
      </c>
      <c r="AP767" s="1" t="s">
        <v>3775</v>
      </c>
      <c r="AQ767" s="1" t="s">
        <v>74</v>
      </c>
      <c r="AR767" s="1" t="s">
        <v>74</v>
      </c>
      <c r="AS767" s="1" t="s">
        <v>74</v>
      </c>
      <c r="AT767" s="1" t="s">
        <v>2108</v>
      </c>
      <c r="AU767" s="1">
        <v>2017.0</v>
      </c>
      <c r="AV767" s="1">
        <v>325.0</v>
      </c>
      <c r="AW767" s="1" t="s">
        <v>74</v>
      </c>
      <c r="AX767" s="1" t="s">
        <v>74</v>
      </c>
      <c r="AY767" s="1" t="s">
        <v>74</v>
      </c>
      <c r="AZ767" s="1" t="s">
        <v>74</v>
      </c>
      <c r="BA767" s="1" t="s">
        <v>74</v>
      </c>
      <c r="BB767" s="1">
        <v>1.0</v>
      </c>
      <c r="BC767" s="1">
        <v>17.0</v>
      </c>
      <c r="BD767" s="1" t="s">
        <v>74</v>
      </c>
      <c r="BE767" s="1" t="s">
        <v>7179</v>
      </c>
      <c r="BF767" s="2" t="str">
        <f>HYPERLINK("http://dx.doi.org/10.1016/j.cam.2017.04.034","http://dx.doi.org/10.1016/j.cam.2017.04.034")</f>
        <v>http://dx.doi.org/10.1016/j.cam.2017.04.034</v>
      </c>
      <c r="BG767" s="1" t="s">
        <v>74</v>
      </c>
      <c r="BH767" s="1" t="s">
        <v>74</v>
      </c>
      <c r="BI767" s="1" t="s">
        <v>74</v>
      </c>
      <c r="BJ767" s="1" t="s">
        <v>74</v>
      </c>
      <c r="BK767" s="1" t="s">
        <v>74</v>
      </c>
      <c r="BL767" s="1" t="s">
        <v>74</v>
      </c>
      <c r="BM767" s="1" t="s">
        <v>74</v>
      </c>
      <c r="BN767" s="1" t="s">
        <v>74</v>
      </c>
      <c r="BO767" s="1" t="s">
        <v>74</v>
      </c>
      <c r="BP767" s="1" t="s">
        <v>74</v>
      </c>
      <c r="BQ767" s="1" t="s">
        <v>74</v>
      </c>
      <c r="BR767" s="1" t="s">
        <v>74</v>
      </c>
      <c r="BS767" s="1" t="s">
        <v>7180</v>
      </c>
      <c r="BT767" s="1" t="str">
        <f>HYPERLINK("https%3A%2F%2Fwww.webofscience.com%2Fwos%2Fwoscc%2Ffull-record%2FWOS:000404308000001","View Full Record in Web of Science")</f>
        <v>View Full Record in Web of Science</v>
      </c>
    </row>
    <row r="768" ht="12.75" customHeight="1">
      <c r="A768" s="1" t="s">
        <v>72</v>
      </c>
      <c r="B768" s="1" t="s">
        <v>7181</v>
      </c>
      <c r="C768" s="1" t="s">
        <v>74</v>
      </c>
      <c r="D768" s="1" t="s">
        <v>74</v>
      </c>
      <c r="E768" s="1" t="s">
        <v>74</v>
      </c>
      <c r="F768" s="1" t="s">
        <v>7182</v>
      </c>
      <c r="G768" s="1" t="s">
        <v>74</v>
      </c>
      <c r="H768" s="1" t="s">
        <v>74</v>
      </c>
      <c r="I768" s="1" t="s">
        <v>7183</v>
      </c>
      <c r="J768" s="1" t="s">
        <v>777</v>
      </c>
      <c r="K768" s="1" t="s">
        <v>74</v>
      </c>
      <c r="L768" s="1" t="s">
        <v>74</v>
      </c>
      <c r="M768" s="1" t="s">
        <v>74</v>
      </c>
      <c r="N768" s="1" t="s">
        <v>74</v>
      </c>
      <c r="O768" s="1" t="s">
        <v>74</v>
      </c>
      <c r="P768" s="1" t="s">
        <v>74</v>
      </c>
      <c r="Q768" s="1" t="s">
        <v>74</v>
      </c>
      <c r="R768" s="1" t="s">
        <v>74</v>
      </c>
      <c r="S768" s="1" t="s">
        <v>74</v>
      </c>
      <c r="T768" s="1" t="s">
        <v>74</v>
      </c>
      <c r="U768" s="1" t="s">
        <v>74</v>
      </c>
      <c r="V768" s="1" t="s">
        <v>7184</v>
      </c>
      <c r="W768" s="1" t="s">
        <v>74</v>
      </c>
      <c r="X768" s="1" t="s">
        <v>74</v>
      </c>
      <c r="Y768" s="1" t="s">
        <v>74</v>
      </c>
      <c r="Z768" s="1" t="s">
        <v>74</v>
      </c>
      <c r="AA768" s="1" t="s">
        <v>74</v>
      </c>
      <c r="AB768" s="1" t="s">
        <v>7185</v>
      </c>
      <c r="AC768" s="1" t="s">
        <v>74</v>
      </c>
      <c r="AD768" s="1" t="s">
        <v>74</v>
      </c>
      <c r="AE768" s="1" t="s">
        <v>74</v>
      </c>
      <c r="AF768" s="1" t="s">
        <v>74</v>
      </c>
      <c r="AG768" s="1" t="s">
        <v>74</v>
      </c>
      <c r="AH768" s="1" t="s">
        <v>74</v>
      </c>
      <c r="AI768" s="1" t="s">
        <v>74</v>
      </c>
      <c r="AJ768" s="1" t="s">
        <v>74</v>
      </c>
      <c r="AK768" s="1" t="s">
        <v>74</v>
      </c>
      <c r="AL768" s="1" t="s">
        <v>74</v>
      </c>
      <c r="AM768" s="1" t="s">
        <v>74</v>
      </c>
      <c r="AN768" s="1" t="s">
        <v>74</v>
      </c>
      <c r="AO768" s="1" t="s">
        <v>779</v>
      </c>
      <c r="AP768" s="1" t="s">
        <v>780</v>
      </c>
      <c r="AQ768" s="1" t="s">
        <v>74</v>
      </c>
      <c r="AR768" s="1" t="s">
        <v>74</v>
      </c>
      <c r="AS768" s="1" t="s">
        <v>74</v>
      </c>
      <c r="AT768" s="1" t="s">
        <v>7186</v>
      </c>
      <c r="AU768" s="1">
        <v>2017.0</v>
      </c>
      <c r="AV768" s="1">
        <v>262.0</v>
      </c>
      <c r="AW768" s="1">
        <v>12.0</v>
      </c>
      <c r="AX768" s="1" t="s">
        <v>74</v>
      </c>
      <c r="AY768" s="1" t="s">
        <v>74</v>
      </c>
      <c r="AZ768" s="1" t="s">
        <v>74</v>
      </c>
      <c r="BA768" s="1" t="s">
        <v>74</v>
      </c>
      <c r="BB768" s="1">
        <v>6018.0</v>
      </c>
      <c r="BC768" s="1">
        <v>6046.0</v>
      </c>
      <c r="BD768" s="1" t="s">
        <v>74</v>
      </c>
      <c r="BE768" s="1" t="s">
        <v>7187</v>
      </c>
      <c r="BF768" s="2" t="str">
        <f>HYPERLINK("http://dx.doi.org/10.1016/j.jde.2017.02.024","http://dx.doi.org/10.1016/j.jde.2017.02.024")</f>
        <v>http://dx.doi.org/10.1016/j.jde.2017.02.024</v>
      </c>
      <c r="BG768" s="1" t="s">
        <v>74</v>
      </c>
      <c r="BH768" s="1" t="s">
        <v>74</v>
      </c>
      <c r="BI768" s="1" t="s">
        <v>74</v>
      </c>
      <c r="BJ768" s="1" t="s">
        <v>74</v>
      </c>
      <c r="BK768" s="1" t="s">
        <v>74</v>
      </c>
      <c r="BL768" s="1" t="s">
        <v>74</v>
      </c>
      <c r="BM768" s="1" t="s">
        <v>74</v>
      </c>
      <c r="BN768" s="1" t="s">
        <v>74</v>
      </c>
      <c r="BO768" s="1" t="s">
        <v>74</v>
      </c>
      <c r="BP768" s="1" t="s">
        <v>74</v>
      </c>
      <c r="BQ768" s="1" t="s">
        <v>74</v>
      </c>
      <c r="BR768" s="1" t="s">
        <v>74</v>
      </c>
      <c r="BS768" s="1" t="s">
        <v>7188</v>
      </c>
      <c r="BT768" s="1" t="str">
        <f>HYPERLINK("https%3A%2F%2Fwww.webofscience.com%2Fwos%2Fwoscc%2Ffull-record%2FWOS:000397839100013","View Full Record in Web of Science")</f>
        <v>View Full Record in Web of Science</v>
      </c>
    </row>
    <row r="769" ht="12.75" customHeight="1">
      <c r="A769" s="1" t="s">
        <v>251</v>
      </c>
      <c r="B769" s="1" t="s">
        <v>5292</v>
      </c>
      <c r="C769" s="1" t="s">
        <v>74</v>
      </c>
      <c r="D769" s="1" t="s">
        <v>7189</v>
      </c>
      <c r="E769" s="1" t="s">
        <v>74</v>
      </c>
      <c r="F769" s="1" t="s">
        <v>4795</v>
      </c>
      <c r="G769" s="1" t="s">
        <v>74</v>
      </c>
      <c r="H769" s="1" t="s">
        <v>74</v>
      </c>
      <c r="I769" s="1" t="s">
        <v>7190</v>
      </c>
      <c r="J769" s="1" t="s">
        <v>7191</v>
      </c>
      <c r="K769" s="1" t="s">
        <v>669</v>
      </c>
      <c r="L769" s="1" t="s">
        <v>74</v>
      </c>
      <c r="M769" s="1" t="s">
        <v>74</v>
      </c>
      <c r="N769" s="1" t="s">
        <v>74</v>
      </c>
      <c r="O769" s="1" t="s">
        <v>7192</v>
      </c>
      <c r="P769" s="1" t="s">
        <v>7193</v>
      </c>
      <c r="Q769" s="1" t="s">
        <v>7194</v>
      </c>
      <c r="R769" s="1" t="s">
        <v>74</v>
      </c>
      <c r="S769" s="1" t="s">
        <v>7195</v>
      </c>
      <c r="T769" s="1" t="s">
        <v>74</v>
      </c>
      <c r="U769" s="1" t="s">
        <v>74</v>
      </c>
      <c r="V769" s="1" t="s">
        <v>7196</v>
      </c>
      <c r="W769" s="1" t="s">
        <v>74</v>
      </c>
      <c r="X769" s="1" t="s">
        <v>74</v>
      </c>
      <c r="Y769" s="1" t="s">
        <v>74</v>
      </c>
      <c r="Z769" s="1" t="s">
        <v>74</v>
      </c>
      <c r="AA769" s="1" t="s">
        <v>2757</v>
      </c>
      <c r="AB769" s="1" t="s">
        <v>2758</v>
      </c>
      <c r="AC769" s="1" t="s">
        <v>74</v>
      </c>
      <c r="AD769" s="1" t="s">
        <v>74</v>
      </c>
      <c r="AE769" s="1" t="s">
        <v>74</v>
      </c>
      <c r="AF769" s="1" t="s">
        <v>74</v>
      </c>
      <c r="AG769" s="1" t="s">
        <v>74</v>
      </c>
      <c r="AH769" s="1" t="s">
        <v>74</v>
      </c>
      <c r="AI769" s="1" t="s">
        <v>74</v>
      </c>
      <c r="AJ769" s="1" t="s">
        <v>74</v>
      </c>
      <c r="AK769" s="1" t="s">
        <v>74</v>
      </c>
      <c r="AL769" s="1" t="s">
        <v>74</v>
      </c>
      <c r="AM769" s="1" t="s">
        <v>74</v>
      </c>
      <c r="AN769" s="1" t="s">
        <v>74</v>
      </c>
      <c r="AO769" s="1" t="s">
        <v>675</v>
      </c>
      <c r="AP769" s="1" t="s">
        <v>676</v>
      </c>
      <c r="AQ769" s="1" t="s">
        <v>7197</v>
      </c>
      <c r="AR769" s="1" t="s">
        <v>74</v>
      </c>
      <c r="AS769" s="1" t="s">
        <v>74</v>
      </c>
      <c r="AT769" s="1" t="s">
        <v>74</v>
      </c>
      <c r="AU769" s="1">
        <v>2017.0</v>
      </c>
      <c r="AV769" s="1">
        <v>10392.0</v>
      </c>
      <c r="AW769" s="1" t="s">
        <v>74</v>
      </c>
      <c r="AX769" s="1" t="s">
        <v>74</v>
      </c>
      <c r="AY769" s="1" t="s">
        <v>74</v>
      </c>
      <c r="AZ769" s="1" t="s">
        <v>74</v>
      </c>
      <c r="BA769" s="1" t="s">
        <v>74</v>
      </c>
      <c r="BB769" s="1">
        <v>38.0</v>
      </c>
      <c r="BC769" s="1">
        <v>49.0</v>
      </c>
      <c r="BD769" s="1" t="s">
        <v>74</v>
      </c>
      <c r="BE769" s="1" t="s">
        <v>7198</v>
      </c>
      <c r="BF769" s="2" t="str">
        <f>HYPERLINK("http://dx.doi.org/10.1007/978-3-319-62389-4_4","http://dx.doi.org/10.1007/978-3-319-62389-4_4")</f>
        <v>http://dx.doi.org/10.1007/978-3-319-62389-4_4</v>
      </c>
      <c r="BG769" s="1" t="s">
        <v>74</v>
      </c>
      <c r="BH769" s="1" t="s">
        <v>74</v>
      </c>
      <c r="BI769" s="1" t="s">
        <v>74</v>
      </c>
      <c r="BJ769" s="1" t="s">
        <v>74</v>
      </c>
      <c r="BK769" s="1" t="s">
        <v>74</v>
      </c>
      <c r="BL769" s="1" t="s">
        <v>74</v>
      </c>
      <c r="BM769" s="1" t="s">
        <v>74</v>
      </c>
      <c r="BN769" s="1" t="s">
        <v>74</v>
      </c>
      <c r="BO769" s="1" t="s">
        <v>74</v>
      </c>
      <c r="BP769" s="1" t="s">
        <v>74</v>
      </c>
      <c r="BQ769" s="1" t="s">
        <v>74</v>
      </c>
      <c r="BR769" s="1" t="s">
        <v>74</v>
      </c>
      <c r="BS769" s="1" t="s">
        <v>7199</v>
      </c>
      <c r="BT769" s="1" t="str">
        <f>HYPERLINK("https%3A%2F%2Fwww.webofscience.com%2Fwos%2Fwoscc%2Ffull-record%2FWOS:000771461800004","View Full Record in Web of Science")</f>
        <v>View Full Record in Web of Science</v>
      </c>
    </row>
    <row r="770" ht="12.75" customHeight="1">
      <c r="A770" s="1" t="s">
        <v>72</v>
      </c>
      <c r="B770" s="1" t="s">
        <v>1257</v>
      </c>
      <c r="C770" s="1" t="s">
        <v>74</v>
      </c>
      <c r="D770" s="1" t="s">
        <v>74</v>
      </c>
      <c r="E770" s="1" t="s">
        <v>74</v>
      </c>
      <c r="F770" s="1" t="s">
        <v>1258</v>
      </c>
      <c r="G770" s="1" t="s">
        <v>74</v>
      </c>
      <c r="H770" s="1" t="s">
        <v>74</v>
      </c>
      <c r="I770" s="1" t="s">
        <v>7200</v>
      </c>
      <c r="J770" s="1" t="s">
        <v>5906</v>
      </c>
      <c r="K770" s="1" t="s">
        <v>74</v>
      </c>
      <c r="L770" s="1" t="s">
        <v>74</v>
      </c>
      <c r="M770" s="1" t="s">
        <v>74</v>
      </c>
      <c r="N770" s="1" t="s">
        <v>74</v>
      </c>
      <c r="O770" s="1" t="s">
        <v>74</v>
      </c>
      <c r="P770" s="1" t="s">
        <v>74</v>
      </c>
      <c r="Q770" s="1" t="s">
        <v>74</v>
      </c>
      <c r="R770" s="1" t="s">
        <v>74</v>
      </c>
      <c r="S770" s="1" t="s">
        <v>74</v>
      </c>
      <c r="T770" s="1" t="s">
        <v>74</v>
      </c>
      <c r="U770" s="1" t="s">
        <v>74</v>
      </c>
      <c r="V770" s="1" t="s">
        <v>7201</v>
      </c>
      <c r="W770" s="1" t="s">
        <v>74</v>
      </c>
      <c r="X770" s="1" t="s">
        <v>74</v>
      </c>
      <c r="Y770" s="1" t="s">
        <v>74</v>
      </c>
      <c r="Z770" s="1" t="s">
        <v>74</v>
      </c>
      <c r="AA770" s="1" t="s">
        <v>7202</v>
      </c>
      <c r="AB770" s="1" t="s">
        <v>1263</v>
      </c>
      <c r="AC770" s="1" t="s">
        <v>74</v>
      </c>
      <c r="AD770" s="1" t="s">
        <v>74</v>
      </c>
      <c r="AE770" s="1" t="s">
        <v>74</v>
      </c>
      <c r="AF770" s="1" t="s">
        <v>74</v>
      </c>
      <c r="AG770" s="1" t="s">
        <v>74</v>
      </c>
      <c r="AH770" s="1" t="s">
        <v>74</v>
      </c>
      <c r="AI770" s="1" t="s">
        <v>74</v>
      </c>
      <c r="AJ770" s="1" t="s">
        <v>74</v>
      </c>
      <c r="AK770" s="1" t="s">
        <v>74</v>
      </c>
      <c r="AL770" s="1" t="s">
        <v>74</v>
      </c>
      <c r="AM770" s="1" t="s">
        <v>74</v>
      </c>
      <c r="AN770" s="1" t="s">
        <v>74</v>
      </c>
      <c r="AO770" s="1" t="s">
        <v>5910</v>
      </c>
      <c r="AP770" s="1" t="s">
        <v>5911</v>
      </c>
      <c r="AQ770" s="1" t="s">
        <v>74</v>
      </c>
      <c r="AR770" s="1" t="s">
        <v>74</v>
      </c>
      <c r="AS770" s="1" t="s">
        <v>74</v>
      </c>
      <c r="AT770" s="1" t="s">
        <v>135</v>
      </c>
      <c r="AU770" s="1">
        <v>2016.0</v>
      </c>
      <c r="AV770" s="1">
        <v>61.0</v>
      </c>
      <c r="AW770" s="1" t="s">
        <v>74</v>
      </c>
      <c r="AX770" s="1" t="s">
        <v>74</v>
      </c>
      <c r="AY770" s="1" t="s">
        <v>74</v>
      </c>
      <c r="AZ770" s="1" t="s">
        <v>74</v>
      </c>
      <c r="BA770" s="1" t="s">
        <v>74</v>
      </c>
      <c r="BB770" s="1">
        <v>36.0</v>
      </c>
      <c r="BC770" s="1">
        <v>44.0</v>
      </c>
      <c r="BD770" s="1" t="s">
        <v>74</v>
      </c>
      <c r="BE770" s="1" t="s">
        <v>7203</v>
      </c>
      <c r="BF770" s="2" t="str">
        <f>HYPERLINK("http://dx.doi.org/10.1016/j.jmbbm.2016.01.005","http://dx.doi.org/10.1016/j.jmbbm.2016.01.005")</f>
        <v>http://dx.doi.org/10.1016/j.jmbbm.2016.01.005</v>
      </c>
      <c r="BG770" s="1" t="s">
        <v>74</v>
      </c>
      <c r="BH770" s="1" t="s">
        <v>74</v>
      </c>
      <c r="BI770" s="1" t="s">
        <v>74</v>
      </c>
      <c r="BJ770" s="1" t="s">
        <v>74</v>
      </c>
      <c r="BK770" s="1" t="s">
        <v>74</v>
      </c>
      <c r="BL770" s="1" t="s">
        <v>74</v>
      </c>
      <c r="BM770" s="1" t="s">
        <v>74</v>
      </c>
      <c r="BN770" s="1">
        <v>2.6826765E7</v>
      </c>
      <c r="BO770" s="1" t="s">
        <v>74</v>
      </c>
      <c r="BP770" s="1" t="s">
        <v>74</v>
      </c>
      <c r="BQ770" s="1" t="s">
        <v>74</v>
      </c>
      <c r="BR770" s="1" t="s">
        <v>74</v>
      </c>
      <c r="BS770" s="1" t="s">
        <v>7204</v>
      </c>
      <c r="BT770" s="1" t="str">
        <f>HYPERLINK("https%3A%2F%2Fwww.webofscience.com%2Fwos%2Fwoscc%2Ffull-record%2FWOS:000380080400004","View Full Record in Web of Science")</f>
        <v>View Full Record in Web of Science</v>
      </c>
    </row>
    <row r="771" ht="12.75" customHeight="1">
      <c r="A771" s="1" t="s">
        <v>72</v>
      </c>
      <c r="B771" s="1" t="s">
        <v>7205</v>
      </c>
      <c r="C771" s="1" t="s">
        <v>74</v>
      </c>
      <c r="D771" s="1" t="s">
        <v>74</v>
      </c>
      <c r="E771" s="1" t="s">
        <v>74</v>
      </c>
      <c r="F771" s="1" t="s">
        <v>7206</v>
      </c>
      <c r="G771" s="1" t="s">
        <v>74</v>
      </c>
      <c r="H771" s="1" t="s">
        <v>74</v>
      </c>
      <c r="I771" s="1" t="s">
        <v>7207</v>
      </c>
      <c r="J771" s="1" t="s">
        <v>6246</v>
      </c>
      <c r="K771" s="1" t="s">
        <v>74</v>
      </c>
      <c r="L771" s="1" t="s">
        <v>74</v>
      </c>
      <c r="M771" s="1" t="s">
        <v>74</v>
      </c>
      <c r="N771" s="1" t="s">
        <v>74</v>
      </c>
      <c r="O771" s="1" t="s">
        <v>74</v>
      </c>
      <c r="P771" s="1" t="s">
        <v>74</v>
      </c>
      <c r="Q771" s="1" t="s">
        <v>74</v>
      </c>
      <c r="R771" s="1" t="s">
        <v>74</v>
      </c>
      <c r="S771" s="1" t="s">
        <v>74</v>
      </c>
      <c r="T771" s="1" t="s">
        <v>74</v>
      </c>
      <c r="U771" s="1" t="s">
        <v>74</v>
      </c>
      <c r="V771" s="1" t="s">
        <v>7208</v>
      </c>
      <c r="W771" s="1" t="s">
        <v>74</v>
      </c>
      <c r="X771" s="1" t="s">
        <v>74</v>
      </c>
      <c r="Y771" s="1" t="s">
        <v>74</v>
      </c>
      <c r="Z771" s="1" t="s">
        <v>74</v>
      </c>
      <c r="AA771" s="1" t="s">
        <v>74</v>
      </c>
      <c r="AB771" s="1" t="s">
        <v>7209</v>
      </c>
      <c r="AC771" s="1" t="s">
        <v>74</v>
      </c>
      <c r="AD771" s="1" t="s">
        <v>74</v>
      </c>
      <c r="AE771" s="1" t="s">
        <v>74</v>
      </c>
      <c r="AF771" s="1" t="s">
        <v>74</v>
      </c>
      <c r="AG771" s="1" t="s">
        <v>74</v>
      </c>
      <c r="AH771" s="1" t="s">
        <v>74</v>
      </c>
      <c r="AI771" s="1" t="s">
        <v>74</v>
      </c>
      <c r="AJ771" s="1" t="s">
        <v>74</v>
      </c>
      <c r="AK771" s="1" t="s">
        <v>74</v>
      </c>
      <c r="AL771" s="1" t="s">
        <v>74</v>
      </c>
      <c r="AM771" s="1" t="s">
        <v>74</v>
      </c>
      <c r="AN771" s="1" t="s">
        <v>74</v>
      </c>
      <c r="AO771" s="1" t="s">
        <v>6249</v>
      </c>
      <c r="AP771" s="1" t="s">
        <v>74</v>
      </c>
      <c r="AQ771" s="1" t="s">
        <v>74</v>
      </c>
      <c r="AR771" s="1" t="s">
        <v>74</v>
      </c>
      <c r="AS771" s="1" t="s">
        <v>74</v>
      </c>
      <c r="AT771" s="1" t="s">
        <v>215</v>
      </c>
      <c r="AU771" s="1">
        <v>2016.0</v>
      </c>
      <c r="AV771" s="1">
        <v>14.0</v>
      </c>
      <c r="AW771" s="1">
        <v>6.0</v>
      </c>
      <c r="AX771" s="1" t="s">
        <v>74</v>
      </c>
      <c r="AY771" s="1" t="s">
        <v>74</v>
      </c>
      <c r="AZ771" s="1" t="s">
        <v>411</v>
      </c>
      <c r="BA771" s="1" t="s">
        <v>74</v>
      </c>
      <c r="BB771" s="1">
        <v>2921.0</v>
      </c>
      <c r="BC771" s="1">
        <v>2926.0</v>
      </c>
      <c r="BD771" s="1" t="s">
        <v>74</v>
      </c>
      <c r="BE771" s="1" t="s">
        <v>7210</v>
      </c>
      <c r="BF771" s="2" t="str">
        <f>HYPERLINK("http://dx.doi.org/10.1109/TLA.2016.7555276","http://dx.doi.org/10.1109/TLA.2016.7555276")</f>
        <v>http://dx.doi.org/10.1109/TLA.2016.7555276</v>
      </c>
      <c r="BG771" s="1" t="s">
        <v>74</v>
      </c>
      <c r="BH771" s="1" t="s">
        <v>74</v>
      </c>
      <c r="BI771" s="1" t="s">
        <v>74</v>
      </c>
      <c r="BJ771" s="1" t="s">
        <v>74</v>
      </c>
      <c r="BK771" s="1" t="s">
        <v>74</v>
      </c>
      <c r="BL771" s="1" t="s">
        <v>74</v>
      </c>
      <c r="BM771" s="1" t="s">
        <v>74</v>
      </c>
      <c r="BN771" s="1" t="s">
        <v>74</v>
      </c>
      <c r="BO771" s="1" t="s">
        <v>74</v>
      </c>
      <c r="BP771" s="1" t="s">
        <v>74</v>
      </c>
      <c r="BQ771" s="1" t="s">
        <v>74</v>
      </c>
      <c r="BR771" s="1" t="s">
        <v>74</v>
      </c>
      <c r="BS771" s="1" t="s">
        <v>7211</v>
      </c>
      <c r="BT771" s="1" t="str">
        <f>HYPERLINK("https%3A%2F%2Fwww.webofscience.com%2Fwos%2Fwoscc%2Ffull-record%2FWOS:000382638500062","View Full Record in Web of Science")</f>
        <v>View Full Record in Web of Science</v>
      </c>
    </row>
    <row r="772" ht="12.75" customHeight="1">
      <c r="A772" s="1" t="s">
        <v>72</v>
      </c>
      <c r="B772" s="1" t="s">
        <v>7212</v>
      </c>
      <c r="C772" s="1" t="s">
        <v>74</v>
      </c>
      <c r="D772" s="1" t="s">
        <v>74</v>
      </c>
      <c r="E772" s="1" t="s">
        <v>74</v>
      </c>
      <c r="F772" s="1" t="s">
        <v>7213</v>
      </c>
      <c r="G772" s="1" t="s">
        <v>74</v>
      </c>
      <c r="H772" s="1" t="s">
        <v>74</v>
      </c>
      <c r="I772" s="1" t="s">
        <v>7214</v>
      </c>
      <c r="J772" s="1" t="s">
        <v>4140</v>
      </c>
      <c r="K772" s="1" t="s">
        <v>74</v>
      </c>
      <c r="L772" s="1" t="s">
        <v>74</v>
      </c>
      <c r="M772" s="1" t="s">
        <v>74</v>
      </c>
      <c r="N772" s="1" t="s">
        <v>74</v>
      </c>
      <c r="O772" s="1" t="s">
        <v>74</v>
      </c>
      <c r="P772" s="1" t="s">
        <v>74</v>
      </c>
      <c r="Q772" s="1" t="s">
        <v>74</v>
      </c>
      <c r="R772" s="1" t="s">
        <v>74</v>
      </c>
      <c r="S772" s="1" t="s">
        <v>74</v>
      </c>
      <c r="T772" s="1" t="s">
        <v>74</v>
      </c>
      <c r="U772" s="1" t="s">
        <v>74</v>
      </c>
      <c r="V772" s="1" t="s">
        <v>7215</v>
      </c>
      <c r="W772" s="1" t="s">
        <v>74</v>
      </c>
      <c r="X772" s="1" t="s">
        <v>74</v>
      </c>
      <c r="Y772" s="1" t="s">
        <v>74</v>
      </c>
      <c r="Z772" s="1" t="s">
        <v>74</v>
      </c>
      <c r="AA772" s="1" t="s">
        <v>7216</v>
      </c>
      <c r="AB772" s="1" t="s">
        <v>7217</v>
      </c>
      <c r="AC772" s="1" t="s">
        <v>74</v>
      </c>
      <c r="AD772" s="1" t="s">
        <v>74</v>
      </c>
      <c r="AE772" s="1" t="s">
        <v>74</v>
      </c>
      <c r="AF772" s="1" t="s">
        <v>74</v>
      </c>
      <c r="AG772" s="1" t="s">
        <v>74</v>
      </c>
      <c r="AH772" s="1" t="s">
        <v>74</v>
      </c>
      <c r="AI772" s="1" t="s">
        <v>74</v>
      </c>
      <c r="AJ772" s="1" t="s">
        <v>74</v>
      </c>
      <c r="AK772" s="1" t="s">
        <v>74</v>
      </c>
      <c r="AL772" s="1" t="s">
        <v>74</v>
      </c>
      <c r="AM772" s="1" t="s">
        <v>74</v>
      </c>
      <c r="AN772" s="1" t="s">
        <v>74</v>
      </c>
      <c r="AO772" s="1" t="s">
        <v>4144</v>
      </c>
      <c r="AP772" s="1" t="s">
        <v>74</v>
      </c>
      <c r="AQ772" s="1" t="s">
        <v>74</v>
      </c>
      <c r="AR772" s="1" t="s">
        <v>74</v>
      </c>
      <c r="AS772" s="1" t="s">
        <v>74</v>
      </c>
      <c r="AT772" s="1" t="s">
        <v>7218</v>
      </c>
      <c r="AU772" s="1">
        <v>2016.0</v>
      </c>
      <c r="AV772" s="1">
        <v>6.0</v>
      </c>
      <c r="AW772" s="1" t="s">
        <v>74</v>
      </c>
      <c r="AX772" s="1" t="s">
        <v>74</v>
      </c>
      <c r="AY772" s="1" t="s">
        <v>74</v>
      </c>
      <c r="AZ772" s="1" t="s">
        <v>74</v>
      </c>
      <c r="BA772" s="1" t="s">
        <v>74</v>
      </c>
      <c r="BB772" s="1" t="s">
        <v>74</v>
      </c>
      <c r="BC772" s="1" t="s">
        <v>74</v>
      </c>
      <c r="BD772" s="1">
        <v>1960.0</v>
      </c>
      <c r="BE772" s="1" t="s">
        <v>7219</v>
      </c>
      <c r="BF772" s="2" t="str">
        <f>HYPERLINK("http://dx.doi.org/10.3389/fpsyg.2015.01960","http://dx.doi.org/10.3389/fpsyg.2015.01960")</f>
        <v>http://dx.doi.org/10.3389/fpsyg.2015.01960</v>
      </c>
      <c r="BG772" s="1" t="s">
        <v>74</v>
      </c>
      <c r="BH772" s="1" t="s">
        <v>74</v>
      </c>
      <c r="BI772" s="1" t="s">
        <v>74</v>
      </c>
      <c r="BJ772" s="1" t="s">
        <v>74</v>
      </c>
      <c r="BK772" s="1" t="s">
        <v>74</v>
      </c>
      <c r="BL772" s="1" t="s">
        <v>74</v>
      </c>
      <c r="BM772" s="1" t="s">
        <v>74</v>
      </c>
      <c r="BN772" s="1">
        <v>2.6779077E7</v>
      </c>
      <c r="BO772" s="1" t="s">
        <v>74</v>
      </c>
      <c r="BP772" s="1" t="s">
        <v>74</v>
      </c>
      <c r="BQ772" s="1" t="s">
        <v>74</v>
      </c>
      <c r="BR772" s="1" t="s">
        <v>74</v>
      </c>
      <c r="BS772" s="1" t="s">
        <v>7220</v>
      </c>
      <c r="BT772" s="1" t="str">
        <f>HYPERLINK("https%3A%2F%2Fwww.webofscience.com%2Fwos%2Fwoscc%2Ffull-record%2FWOS:000367689800001","View Full Record in Web of Science")</f>
        <v>View Full Record in Web of Science</v>
      </c>
    </row>
    <row r="773" ht="12.75" customHeight="1">
      <c r="A773" s="1" t="s">
        <v>251</v>
      </c>
      <c r="B773" s="1" t="s">
        <v>7221</v>
      </c>
      <c r="C773" s="1" t="s">
        <v>74</v>
      </c>
      <c r="D773" s="1" t="s">
        <v>463</v>
      </c>
      <c r="E773" s="1" t="s">
        <v>74</v>
      </c>
      <c r="F773" s="1" t="s">
        <v>7222</v>
      </c>
      <c r="G773" s="1" t="s">
        <v>74</v>
      </c>
      <c r="H773" s="1" t="s">
        <v>74</v>
      </c>
      <c r="I773" s="1" t="s">
        <v>7223</v>
      </c>
      <c r="J773" s="1" t="s">
        <v>466</v>
      </c>
      <c r="K773" s="1" t="s">
        <v>467</v>
      </c>
      <c r="L773" s="1" t="s">
        <v>74</v>
      </c>
      <c r="M773" s="1" t="s">
        <v>74</v>
      </c>
      <c r="N773" s="1" t="s">
        <v>74</v>
      </c>
      <c r="O773" s="1" t="s">
        <v>468</v>
      </c>
      <c r="P773" s="1" t="s">
        <v>469</v>
      </c>
      <c r="Q773" s="1" t="s">
        <v>470</v>
      </c>
      <c r="R773" s="1" t="s">
        <v>471</v>
      </c>
      <c r="S773" s="1" t="s">
        <v>74</v>
      </c>
      <c r="T773" s="1" t="s">
        <v>74</v>
      </c>
      <c r="U773" s="1" t="s">
        <v>74</v>
      </c>
      <c r="V773" s="1" t="s">
        <v>7224</v>
      </c>
      <c r="W773" s="1" t="s">
        <v>74</v>
      </c>
      <c r="X773" s="1" t="s">
        <v>74</v>
      </c>
      <c r="Y773" s="1" t="s">
        <v>74</v>
      </c>
      <c r="Z773" s="1" t="s">
        <v>74</v>
      </c>
      <c r="AA773" s="1" t="s">
        <v>4210</v>
      </c>
      <c r="AB773" s="1" t="s">
        <v>4211</v>
      </c>
      <c r="AC773" s="1" t="s">
        <v>74</v>
      </c>
      <c r="AD773" s="1" t="s">
        <v>74</v>
      </c>
      <c r="AE773" s="1" t="s">
        <v>74</v>
      </c>
      <c r="AF773" s="1" t="s">
        <v>74</v>
      </c>
      <c r="AG773" s="1" t="s">
        <v>74</v>
      </c>
      <c r="AH773" s="1" t="s">
        <v>74</v>
      </c>
      <c r="AI773" s="1" t="s">
        <v>74</v>
      </c>
      <c r="AJ773" s="1" t="s">
        <v>74</v>
      </c>
      <c r="AK773" s="1" t="s">
        <v>74</v>
      </c>
      <c r="AL773" s="1" t="s">
        <v>74</v>
      </c>
      <c r="AM773" s="1" t="s">
        <v>74</v>
      </c>
      <c r="AN773" s="1" t="s">
        <v>74</v>
      </c>
      <c r="AO773" s="1" t="s">
        <v>475</v>
      </c>
      <c r="AP773" s="1" t="s">
        <v>74</v>
      </c>
      <c r="AQ773" s="1" t="s">
        <v>74</v>
      </c>
      <c r="AR773" s="1" t="s">
        <v>74</v>
      </c>
      <c r="AS773" s="1" t="s">
        <v>74</v>
      </c>
      <c r="AT773" s="1" t="s">
        <v>74</v>
      </c>
      <c r="AU773" s="1">
        <v>2016.0</v>
      </c>
      <c r="AV773" s="1">
        <v>91.0</v>
      </c>
      <c r="AW773" s="1" t="s">
        <v>74</v>
      </c>
      <c r="AX773" s="1" t="s">
        <v>74</v>
      </c>
      <c r="AY773" s="1" t="s">
        <v>74</v>
      </c>
      <c r="AZ773" s="1" t="s">
        <v>74</v>
      </c>
      <c r="BA773" s="1" t="s">
        <v>74</v>
      </c>
      <c r="BB773" s="1">
        <v>382.0</v>
      </c>
      <c r="BC773" s="1">
        <v>391.0</v>
      </c>
      <c r="BD773" s="1" t="s">
        <v>74</v>
      </c>
      <c r="BE773" s="1" t="s">
        <v>7225</v>
      </c>
      <c r="BF773" s="2" t="str">
        <f>HYPERLINK("http://dx.doi.org/10.1016/j.procs.2016.07.100","http://dx.doi.org/10.1016/j.procs.2016.07.100")</f>
        <v>http://dx.doi.org/10.1016/j.procs.2016.07.100</v>
      </c>
      <c r="BG773" s="1" t="s">
        <v>74</v>
      </c>
      <c r="BH773" s="1" t="s">
        <v>74</v>
      </c>
      <c r="BI773" s="1" t="s">
        <v>74</v>
      </c>
      <c r="BJ773" s="1" t="s">
        <v>74</v>
      </c>
      <c r="BK773" s="1" t="s">
        <v>74</v>
      </c>
      <c r="BL773" s="1" t="s">
        <v>74</v>
      </c>
      <c r="BM773" s="1" t="s">
        <v>74</v>
      </c>
      <c r="BN773" s="1" t="s">
        <v>74</v>
      </c>
      <c r="BO773" s="1" t="s">
        <v>74</v>
      </c>
      <c r="BP773" s="1" t="s">
        <v>74</v>
      </c>
      <c r="BQ773" s="1" t="s">
        <v>74</v>
      </c>
      <c r="BR773" s="1" t="s">
        <v>74</v>
      </c>
      <c r="BS773" s="1" t="s">
        <v>7226</v>
      </c>
      <c r="BT773" s="1" t="str">
        <f>HYPERLINK("https%3A%2F%2Fwww.webofscience.com%2Fwos%2Fwoscc%2Ffull-record%2FWOS:000387683300046","View Full Record in Web of Science")</f>
        <v>View Full Record in Web of Science</v>
      </c>
    </row>
    <row r="774" ht="12.75" customHeight="1">
      <c r="A774" s="1" t="s">
        <v>72</v>
      </c>
      <c r="B774" s="1" t="s">
        <v>7227</v>
      </c>
      <c r="C774" s="1" t="s">
        <v>74</v>
      </c>
      <c r="D774" s="1" t="s">
        <v>74</v>
      </c>
      <c r="E774" s="1" t="s">
        <v>74</v>
      </c>
      <c r="F774" s="1" t="s">
        <v>7228</v>
      </c>
      <c r="G774" s="1" t="s">
        <v>74</v>
      </c>
      <c r="H774" s="1" t="s">
        <v>74</v>
      </c>
      <c r="I774" s="1" t="s">
        <v>7229</v>
      </c>
      <c r="J774" s="1" t="s">
        <v>7230</v>
      </c>
      <c r="K774" s="1" t="s">
        <v>74</v>
      </c>
      <c r="L774" s="1" t="s">
        <v>74</v>
      </c>
      <c r="M774" s="1" t="s">
        <v>74</v>
      </c>
      <c r="N774" s="1" t="s">
        <v>74</v>
      </c>
      <c r="O774" s="1" t="s">
        <v>74</v>
      </c>
      <c r="P774" s="1" t="s">
        <v>74</v>
      </c>
      <c r="Q774" s="1" t="s">
        <v>74</v>
      </c>
      <c r="R774" s="1" t="s">
        <v>74</v>
      </c>
      <c r="S774" s="1" t="s">
        <v>74</v>
      </c>
      <c r="T774" s="1" t="s">
        <v>74</v>
      </c>
      <c r="U774" s="1" t="s">
        <v>74</v>
      </c>
      <c r="V774" s="1" t="s">
        <v>74</v>
      </c>
      <c r="W774" s="1" t="s">
        <v>74</v>
      </c>
      <c r="X774" s="1" t="s">
        <v>74</v>
      </c>
      <c r="Y774" s="1" t="s">
        <v>74</v>
      </c>
      <c r="Z774" s="1" t="s">
        <v>74</v>
      </c>
      <c r="AA774" s="1" t="s">
        <v>74</v>
      </c>
      <c r="AB774" s="1" t="s">
        <v>74</v>
      </c>
      <c r="AC774" s="1" t="s">
        <v>74</v>
      </c>
      <c r="AD774" s="1" t="s">
        <v>74</v>
      </c>
      <c r="AE774" s="1" t="s">
        <v>74</v>
      </c>
      <c r="AF774" s="1" t="s">
        <v>74</v>
      </c>
      <c r="AG774" s="1" t="s">
        <v>74</v>
      </c>
      <c r="AH774" s="1" t="s">
        <v>74</v>
      </c>
      <c r="AI774" s="1" t="s">
        <v>74</v>
      </c>
      <c r="AJ774" s="1" t="s">
        <v>74</v>
      </c>
      <c r="AK774" s="1" t="s">
        <v>74</v>
      </c>
      <c r="AL774" s="1" t="s">
        <v>74</v>
      </c>
      <c r="AM774" s="1" t="s">
        <v>74</v>
      </c>
      <c r="AN774" s="1" t="s">
        <v>74</v>
      </c>
      <c r="AO774" s="1" t="s">
        <v>7231</v>
      </c>
      <c r="AP774" s="1" t="s">
        <v>74</v>
      </c>
      <c r="AQ774" s="1" t="s">
        <v>74</v>
      </c>
      <c r="AR774" s="1" t="s">
        <v>74</v>
      </c>
      <c r="AS774" s="1" t="s">
        <v>74</v>
      </c>
      <c r="AT774" s="1" t="s">
        <v>135</v>
      </c>
      <c r="AU774" s="1">
        <v>2015.0</v>
      </c>
      <c r="AV774" s="1">
        <v>44.0</v>
      </c>
      <c r="AW774" s="1">
        <v>131.0</v>
      </c>
      <c r="AX774" s="1" t="s">
        <v>74</v>
      </c>
      <c r="AY774" s="1" t="s">
        <v>74</v>
      </c>
      <c r="AZ774" s="1" t="s">
        <v>74</v>
      </c>
      <c r="BA774" s="1" t="s">
        <v>74</v>
      </c>
      <c r="BB774" s="1">
        <v>29.0</v>
      </c>
      <c r="BC774" s="1">
        <v>35.0</v>
      </c>
      <c r="BD774" s="1" t="s">
        <v>74</v>
      </c>
      <c r="BE774" s="1" t="s">
        <v>74</v>
      </c>
      <c r="BF774" s="1" t="s">
        <v>74</v>
      </c>
      <c r="BG774" s="1" t="s">
        <v>74</v>
      </c>
      <c r="BH774" s="1" t="s">
        <v>74</v>
      </c>
      <c r="BI774" s="1" t="s">
        <v>74</v>
      </c>
      <c r="BJ774" s="1" t="s">
        <v>74</v>
      </c>
      <c r="BK774" s="1" t="s">
        <v>74</v>
      </c>
      <c r="BL774" s="1" t="s">
        <v>74</v>
      </c>
      <c r="BM774" s="1" t="s">
        <v>74</v>
      </c>
      <c r="BN774" s="1" t="s">
        <v>74</v>
      </c>
      <c r="BO774" s="1" t="s">
        <v>74</v>
      </c>
      <c r="BP774" s="1" t="s">
        <v>74</v>
      </c>
      <c r="BQ774" s="1" t="s">
        <v>74</v>
      </c>
      <c r="BR774" s="1" t="s">
        <v>74</v>
      </c>
      <c r="BS774" s="1" t="s">
        <v>7232</v>
      </c>
      <c r="BT774" s="1" t="str">
        <f>HYPERLINK("https%3A%2F%2Fwww.webofscience.com%2Fwos%2Fwoscc%2Ffull-record%2FWOS:000367210200004","View Full Record in Web of Science")</f>
        <v>View Full Record in Web of Science</v>
      </c>
    </row>
    <row r="775" ht="12.75" customHeight="1">
      <c r="A775" s="1" t="s">
        <v>72</v>
      </c>
      <c r="B775" s="1" t="s">
        <v>7233</v>
      </c>
      <c r="C775" s="1" t="s">
        <v>74</v>
      </c>
      <c r="D775" s="1" t="s">
        <v>74</v>
      </c>
      <c r="E775" s="1" t="s">
        <v>74</v>
      </c>
      <c r="F775" s="1" t="s">
        <v>7234</v>
      </c>
      <c r="G775" s="1" t="s">
        <v>74</v>
      </c>
      <c r="H775" s="1" t="s">
        <v>74</v>
      </c>
      <c r="I775" s="1" t="s">
        <v>7235</v>
      </c>
      <c r="J775" s="1" t="s">
        <v>7236</v>
      </c>
      <c r="K775" s="1" t="s">
        <v>74</v>
      </c>
      <c r="L775" s="1" t="s">
        <v>74</v>
      </c>
      <c r="M775" s="1" t="s">
        <v>74</v>
      </c>
      <c r="N775" s="1" t="s">
        <v>74</v>
      </c>
      <c r="O775" s="1" t="s">
        <v>74</v>
      </c>
      <c r="P775" s="1" t="s">
        <v>74</v>
      </c>
      <c r="Q775" s="1" t="s">
        <v>74</v>
      </c>
      <c r="R775" s="1" t="s">
        <v>74</v>
      </c>
      <c r="S775" s="1" t="s">
        <v>74</v>
      </c>
      <c r="T775" s="1" t="s">
        <v>74</v>
      </c>
      <c r="U775" s="1" t="s">
        <v>74</v>
      </c>
      <c r="V775" s="1" t="s">
        <v>7237</v>
      </c>
      <c r="W775" s="1" t="s">
        <v>74</v>
      </c>
      <c r="X775" s="1" t="s">
        <v>74</v>
      </c>
      <c r="Y775" s="1" t="s">
        <v>74</v>
      </c>
      <c r="Z775" s="1" t="s">
        <v>74</v>
      </c>
      <c r="AA775" s="1" t="s">
        <v>7238</v>
      </c>
      <c r="AB775" s="1" t="s">
        <v>7239</v>
      </c>
      <c r="AC775" s="1" t="s">
        <v>74</v>
      </c>
      <c r="AD775" s="1" t="s">
        <v>74</v>
      </c>
      <c r="AE775" s="1" t="s">
        <v>74</v>
      </c>
      <c r="AF775" s="1" t="s">
        <v>74</v>
      </c>
      <c r="AG775" s="1" t="s">
        <v>74</v>
      </c>
      <c r="AH775" s="1" t="s">
        <v>74</v>
      </c>
      <c r="AI775" s="1" t="s">
        <v>74</v>
      </c>
      <c r="AJ775" s="1" t="s">
        <v>74</v>
      </c>
      <c r="AK775" s="1" t="s">
        <v>74</v>
      </c>
      <c r="AL775" s="1" t="s">
        <v>74</v>
      </c>
      <c r="AM775" s="1" t="s">
        <v>74</v>
      </c>
      <c r="AN775" s="1" t="s">
        <v>74</v>
      </c>
      <c r="AO775" s="1" t="s">
        <v>7240</v>
      </c>
      <c r="AP775" s="1" t="s">
        <v>7241</v>
      </c>
      <c r="AQ775" s="1" t="s">
        <v>74</v>
      </c>
      <c r="AR775" s="1" t="s">
        <v>74</v>
      </c>
      <c r="AS775" s="1" t="s">
        <v>74</v>
      </c>
      <c r="AT775" s="1" t="s">
        <v>169</v>
      </c>
      <c r="AU775" s="1">
        <v>2015.0</v>
      </c>
      <c r="AV775" s="1">
        <v>59.0</v>
      </c>
      <c r="AW775" s="1">
        <v>1.0</v>
      </c>
      <c r="AX775" s="1" t="s">
        <v>74</v>
      </c>
      <c r="AY775" s="1" t="s">
        <v>74</v>
      </c>
      <c r="AZ775" s="1" t="s">
        <v>74</v>
      </c>
      <c r="BA775" s="1" t="s">
        <v>74</v>
      </c>
      <c r="BB775" s="1">
        <v>39.0</v>
      </c>
      <c r="BC775" s="1">
        <v>47.0</v>
      </c>
      <c r="BD775" s="1" t="s">
        <v>74</v>
      </c>
      <c r="BE775" s="1" t="s">
        <v>7242</v>
      </c>
      <c r="BF775" s="2" t="str">
        <f>HYPERLINK("http://dx.doi.org/10.1111/jir.12084","http://dx.doi.org/10.1111/jir.12084")</f>
        <v>http://dx.doi.org/10.1111/jir.12084</v>
      </c>
      <c r="BG775" s="1" t="s">
        <v>74</v>
      </c>
      <c r="BH775" s="1" t="s">
        <v>74</v>
      </c>
      <c r="BI775" s="1" t="s">
        <v>74</v>
      </c>
      <c r="BJ775" s="1" t="s">
        <v>74</v>
      </c>
      <c r="BK775" s="1" t="s">
        <v>74</v>
      </c>
      <c r="BL775" s="1" t="s">
        <v>74</v>
      </c>
      <c r="BM775" s="1" t="s">
        <v>74</v>
      </c>
      <c r="BN775" s="1">
        <v>2.3919562E7</v>
      </c>
      <c r="BO775" s="1" t="s">
        <v>74</v>
      </c>
      <c r="BP775" s="1" t="s">
        <v>74</v>
      </c>
      <c r="BQ775" s="1" t="s">
        <v>74</v>
      </c>
      <c r="BR775" s="1" t="s">
        <v>74</v>
      </c>
      <c r="BS775" s="1" t="s">
        <v>7243</v>
      </c>
      <c r="BT775" s="1" t="str">
        <f>HYPERLINK("https%3A%2F%2Fwww.webofscience.com%2Fwos%2Fwoscc%2Ffull-record%2FWOS:000346083000004","View Full Record in Web of Science")</f>
        <v>View Full Record in Web of Science</v>
      </c>
    </row>
    <row r="776" ht="12.75" customHeight="1">
      <c r="A776" s="1" t="s">
        <v>251</v>
      </c>
      <c r="B776" s="1" t="s">
        <v>7244</v>
      </c>
      <c r="C776" s="1" t="s">
        <v>74</v>
      </c>
      <c r="D776" s="1" t="s">
        <v>4201</v>
      </c>
      <c r="E776" s="1" t="s">
        <v>74</v>
      </c>
      <c r="F776" s="1" t="s">
        <v>7245</v>
      </c>
      <c r="G776" s="1" t="s">
        <v>74</v>
      </c>
      <c r="H776" s="1" t="s">
        <v>74</v>
      </c>
      <c r="I776" s="1" t="s">
        <v>7246</v>
      </c>
      <c r="J776" s="1" t="s">
        <v>4204</v>
      </c>
      <c r="K776" s="1" t="s">
        <v>467</v>
      </c>
      <c r="L776" s="1" t="s">
        <v>74</v>
      </c>
      <c r="M776" s="1" t="s">
        <v>74</v>
      </c>
      <c r="N776" s="1" t="s">
        <v>74</v>
      </c>
      <c r="O776" s="1" t="s">
        <v>4205</v>
      </c>
      <c r="P776" s="1" t="s">
        <v>4206</v>
      </c>
      <c r="Q776" s="1" t="s">
        <v>4207</v>
      </c>
      <c r="R776" s="1" t="s">
        <v>4208</v>
      </c>
      <c r="S776" s="1" t="s">
        <v>74</v>
      </c>
      <c r="T776" s="1" t="s">
        <v>74</v>
      </c>
      <c r="U776" s="1" t="s">
        <v>74</v>
      </c>
      <c r="V776" s="1" t="s">
        <v>7247</v>
      </c>
      <c r="W776" s="1" t="s">
        <v>74</v>
      </c>
      <c r="X776" s="1" t="s">
        <v>74</v>
      </c>
      <c r="Y776" s="1" t="s">
        <v>74</v>
      </c>
      <c r="Z776" s="1" t="s">
        <v>74</v>
      </c>
      <c r="AA776" s="1" t="s">
        <v>7248</v>
      </c>
      <c r="AB776" s="1" t="s">
        <v>7249</v>
      </c>
      <c r="AC776" s="1" t="s">
        <v>74</v>
      </c>
      <c r="AD776" s="1" t="s">
        <v>74</v>
      </c>
      <c r="AE776" s="1" t="s">
        <v>74</v>
      </c>
      <c r="AF776" s="1" t="s">
        <v>74</v>
      </c>
      <c r="AG776" s="1" t="s">
        <v>74</v>
      </c>
      <c r="AH776" s="1" t="s">
        <v>74</v>
      </c>
      <c r="AI776" s="1" t="s">
        <v>74</v>
      </c>
      <c r="AJ776" s="1" t="s">
        <v>74</v>
      </c>
      <c r="AK776" s="1" t="s">
        <v>74</v>
      </c>
      <c r="AL776" s="1" t="s">
        <v>74</v>
      </c>
      <c r="AM776" s="1" t="s">
        <v>74</v>
      </c>
      <c r="AN776" s="1" t="s">
        <v>74</v>
      </c>
      <c r="AO776" s="1" t="s">
        <v>475</v>
      </c>
      <c r="AP776" s="1" t="s">
        <v>74</v>
      </c>
      <c r="AQ776" s="1" t="s">
        <v>74</v>
      </c>
      <c r="AR776" s="1" t="s">
        <v>74</v>
      </c>
      <c r="AS776" s="1" t="s">
        <v>74</v>
      </c>
      <c r="AT776" s="1" t="s">
        <v>74</v>
      </c>
      <c r="AU776" s="1">
        <v>2015.0</v>
      </c>
      <c r="AV776" s="1">
        <v>55.0</v>
      </c>
      <c r="AW776" s="1" t="s">
        <v>74</v>
      </c>
      <c r="AX776" s="1" t="s">
        <v>74</v>
      </c>
      <c r="AY776" s="1" t="s">
        <v>74</v>
      </c>
      <c r="AZ776" s="1" t="s">
        <v>74</v>
      </c>
      <c r="BA776" s="1" t="s">
        <v>74</v>
      </c>
      <c r="BB776" s="1">
        <v>642.0</v>
      </c>
      <c r="BC776" s="1">
        <v>649.0</v>
      </c>
      <c r="BD776" s="1" t="s">
        <v>74</v>
      </c>
      <c r="BE776" s="1" t="s">
        <v>7250</v>
      </c>
      <c r="BF776" s="2" t="str">
        <f>HYPERLINK("http://dx.doi.org/10.1016/j.procs.2015.07.060","http://dx.doi.org/10.1016/j.procs.2015.07.060")</f>
        <v>http://dx.doi.org/10.1016/j.procs.2015.07.060</v>
      </c>
      <c r="BG776" s="1" t="s">
        <v>74</v>
      </c>
      <c r="BH776" s="1" t="s">
        <v>74</v>
      </c>
      <c r="BI776" s="1" t="s">
        <v>74</v>
      </c>
      <c r="BJ776" s="1" t="s">
        <v>74</v>
      </c>
      <c r="BK776" s="1" t="s">
        <v>74</v>
      </c>
      <c r="BL776" s="1" t="s">
        <v>74</v>
      </c>
      <c r="BM776" s="1" t="s">
        <v>74</v>
      </c>
      <c r="BN776" s="1" t="s">
        <v>74</v>
      </c>
      <c r="BO776" s="1" t="s">
        <v>74</v>
      </c>
      <c r="BP776" s="1" t="s">
        <v>74</v>
      </c>
      <c r="BQ776" s="1" t="s">
        <v>74</v>
      </c>
      <c r="BR776" s="1" t="s">
        <v>74</v>
      </c>
      <c r="BS776" s="1" t="s">
        <v>7251</v>
      </c>
      <c r="BT776" s="1" t="str">
        <f>HYPERLINK("https%3A%2F%2Fwww.webofscience.com%2Fwos%2Fwoscc%2Ffull-record%2FWOS:000360101400071","View Full Record in Web of Science")</f>
        <v>View Full Record in Web of Science</v>
      </c>
    </row>
    <row r="777" ht="12.75" customHeight="1">
      <c r="A777" s="1" t="s">
        <v>72</v>
      </c>
      <c r="B777" s="1" t="s">
        <v>7252</v>
      </c>
      <c r="C777" s="1" t="s">
        <v>74</v>
      </c>
      <c r="D777" s="1" t="s">
        <v>74</v>
      </c>
      <c r="E777" s="1" t="s">
        <v>74</v>
      </c>
      <c r="F777" s="1" t="s">
        <v>7253</v>
      </c>
      <c r="G777" s="1" t="s">
        <v>74</v>
      </c>
      <c r="H777" s="1" t="s">
        <v>74</v>
      </c>
      <c r="I777" s="1" t="s">
        <v>7254</v>
      </c>
      <c r="J777" s="1" t="s">
        <v>84</v>
      </c>
      <c r="K777" s="1" t="s">
        <v>74</v>
      </c>
      <c r="L777" s="1" t="s">
        <v>74</v>
      </c>
      <c r="M777" s="1" t="s">
        <v>74</v>
      </c>
      <c r="N777" s="1" t="s">
        <v>74</v>
      </c>
      <c r="O777" s="1" t="s">
        <v>74</v>
      </c>
      <c r="P777" s="1" t="s">
        <v>74</v>
      </c>
      <c r="Q777" s="1" t="s">
        <v>74</v>
      </c>
      <c r="R777" s="1" t="s">
        <v>74</v>
      </c>
      <c r="S777" s="1" t="s">
        <v>74</v>
      </c>
      <c r="T777" s="1" t="s">
        <v>74</v>
      </c>
      <c r="U777" s="1" t="s">
        <v>74</v>
      </c>
      <c r="V777" s="1" t="s">
        <v>7255</v>
      </c>
      <c r="W777" s="1" t="s">
        <v>74</v>
      </c>
      <c r="X777" s="1" t="s">
        <v>74</v>
      </c>
      <c r="Y777" s="1" t="s">
        <v>74</v>
      </c>
      <c r="Z777" s="1" t="s">
        <v>74</v>
      </c>
      <c r="AA777" s="1" t="s">
        <v>4158</v>
      </c>
      <c r="AB777" s="1" t="s">
        <v>4159</v>
      </c>
      <c r="AC777" s="1" t="s">
        <v>74</v>
      </c>
      <c r="AD777" s="1" t="s">
        <v>74</v>
      </c>
      <c r="AE777" s="1" t="s">
        <v>74</v>
      </c>
      <c r="AF777" s="1" t="s">
        <v>74</v>
      </c>
      <c r="AG777" s="1" t="s">
        <v>74</v>
      </c>
      <c r="AH777" s="1" t="s">
        <v>74</v>
      </c>
      <c r="AI777" s="1" t="s">
        <v>74</v>
      </c>
      <c r="AJ777" s="1" t="s">
        <v>74</v>
      </c>
      <c r="AK777" s="1" t="s">
        <v>74</v>
      </c>
      <c r="AL777" s="1" t="s">
        <v>74</v>
      </c>
      <c r="AM777" s="1" t="s">
        <v>74</v>
      </c>
      <c r="AN777" s="1" t="s">
        <v>74</v>
      </c>
      <c r="AO777" s="1" t="s">
        <v>86</v>
      </c>
      <c r="AP777" s="1" t="s">
        <v>87</v>
      </c>
      <c r="AQ777" s="1" t="s">
        <v>74</v>
      </c>
      <c r="AR777" s="1" t="s">
        <v>74</v>
      </c>
      <c r="AS777" s="1" t="s">
        <v>74</v>
      </c>
      <c r="AT777" s="1" t="s">
        <v>123</v>
      </c>
      <c r="AU777" s="1">
        <v>2014.0</v>
      </c>
      <c r="AV777" s="1">
        <v>9.0</v>
      </c>
      <c r="AW777" s="1">
        <v>5.0</v>
      </c>
      <c r="AX777" s="1" t="s">
        <v>74</v>
      </c>
      <c r="AY777" s="1" t="s">
        <v>74</v>
      </c>
      <c r="AZ777" s="1" t="s">
        <v>74</v>
      </c>
      <c r="BA777" s="1" t="s">
        <v>74</v>
      </c>
      <c r="BB777" s="1">
        <v>593.0</v>
      </c>
      <c r="BC777" s="1">
        <v>601.0</v>
      </c>
      <c r="BD777" s="1" t="s">
        <v>74</v>
      </c>
      <c r="BE777" s="1" t="s">
        <v>7256</v>
      </c>
      <c r="BF777" s="2" t="str">
        <f>HYPERLINK("http://dx.doi.org/10.15837/ijccc.2014.5.1278","http://dx.doi.org/10.15837/ijccc.2014.5.1278")</f>
        <v>http://dx.doi.org/10.15837/ijccc.2014.5.1278</v>
      </c>
      <c r="BG777" s="1" t="s">
        <v>74</v>
      </c>
      <c r="BH777" s="1" t="s">
        <v>74</v>
      </c>
      <c r="BI777" s="1" t="s">
        <v>74</v>
      </c>
      <c r="BJ777" s="1" t="s">
        <v>74</v>
      </c>
      <c r="BK777" s="1" t="s">
        <v>74</v>
      </c>
      <c r="BL777" s="1" t="s">
        <v>74</v>
      </c>
      <c r="BM777" s="1" t="s">
        <v>74</v>
      </c>
      <c r="BN777" s="1" t="s">
        <v>74</v>
      </c>
      <c r="BO777" s="1" t="s">
        <v>74</v>
      </c>
      <c r="BP777" s="1" t="s">
        <v>74</v>
      </c>
      <c r="BQ777" s="1" t="s">
        <v>74</v>
      </c>
      <c r="BR777" s="1" t="s">
        <v>74</v>
      </c>
      <c r="BS777" s="1" t="s">
        <v>7257</v>
      </c>
      <c r="BT777" s="1" t="str">
        <f>HYPERLINK("https%3A%2F%2Fwww.webofscience.com%2Fwos%2Fwoscc%2Ffull-record%2FWOS:000340232400006","View Full Record in Web of Science")</f>
        <v>View Full Record in Web of Science</v>
      </c>
    </row>
    <row r="778" ht="12.75" customHeight="1">
      <c r="A778" s="1" t="s">
        <v>72</v>
      </c>
      <c r="B778" s="1" t="s">
        <v>7258</v>
      </c>
      <c r="C778" s="1" t="s">
        <v>74</v>
      </c>
      <c r="D778" s="1" t="s">
        <v>74</v>
      </c>
      <c r="E778" s="1" t="s">
        <v>74</v>
      </c>
      <c r="F778" s="1" t="s">
        <v>1337</v>
      </c>
      <c r="G778" s="1" t="s">
        <v>74</v>
      </c>
      <c r="H778" s="1" t="s">
        <v>74</v>
      </c>
      <c r="I778" s="1" t="s">
        <v>7259</v>
      </c>
      <c r="J778" s="1" t="s">
        <v>777</v>
      </c>
      <c r="K778" s="1" t="s">
        <v>74</v>
      </c>
      <c r="L778" s="1" t="s">
        <v>74</v>
      </c>
      <c r="M778" s="1" t="s">
        <v>74</v>
      </c>
      <c r="N778" s="1" t="s">
        <v>74</v>
      </c>
      <c r="O778" s="1" t="s">
        <v>74</v>
      </c>
      <c r="P778" s="1" t="s">
        <v>74</v>
      </c>
      <c r="Q778" s="1" t="s">
        <v>74</v>
      </c>
      <c r="R778" s="1" t="s">
        <v>74</v>
      </c>
      <c r="S778" s="1" t="s">
        <v>74</v>
      </c>
      <c r="T778" s="1" t="s">
        <v>74</v>
      </c>
      <c r="U778" s="1" t="s">
        <v>74</v>
      </c>
      <c r="V778" s="1" t="s">
        <v>7260</v>
      </c>
      <c r="W778" s="1" t="s">
        <v>74</v>
      </c>
      <c r="X778" s="1" t="s">
        <v>74</v>
      </c>
      <c r="Y778" s="1" t="s">
        <v>74</v>
      </c>
      <c r="Z778" s="1" t="s">
        <v>74</v>
      </c>
      <c r="AA778" s="1" t="s">
        <v>1341</v>
      </c>
      <c r="AB778" s="1" t="s">
        <v>74</v>
      </c>
      <c r="AC778" s="1" t="s">
        <v>74</v>
      </c>
      <c r="AD778" s="1" t="s">
        <v>74</v>
      </c>
      <c r="AE778" s="1" t="s">
        <v>74</v>
      </c>
      <c r="AF778" s="1" t="s">
        <v>74</v>
      </c>
      <c r="AG778" s="1" t="s">
        <v>74</v>
      </c>
      <c r="AH778" s="1" t="s">
        <v>74</v>
      </c>
      <c r="AI778" s="1" t="s">
        <v>74</v>
      </c>
      <c r="AJ778" s="1" t="s">
        <v>74</v>
      </c>
      <c r="AK778" s="1" t="s">
        <v>74</v>
      </c>
      <c r="AL778" s="1" t="s">
        <v>74</v>
      </c>
      <c r="AM778" s="1" t="s">
        <v>74</v>
      </c>
      <c r="AN778" s="1" t="s">
        <v>74</v>
      </c>
      <c r="AO778" s="1" t="s">
        <v>779</v>
      </c>
      <c r="AP778" s="1" t="s">
        <v>780</v>
      </c>
      <c r="AQ778" s="1" t="s">
        <v>74</v>
      </c>
      <c r="AR778" s="1" t="s">
        <v>74</v>
      </c>
      <c r="AS778" s="1" t="s">
        <v>74</v>
      </c>
      <c r="AT778" s="1" t="s">
        <v>6537</v>
      </c>
      <c r="AU778" s="1">
        <v>2013.0</v>
      </c>
      <c r="AV778" s="1">
        <v>254.0</v>
      </c>
      <c r="AW778" s="1">
        <v>6.0</v>
      </c>
      <c r="AX778" s="1" t="s">
        <v>74</v>
      </c>
      <c r="AY778" s="1" t="s">
        <v>74</v>
      </c>
      <c r="AZ778" s="1" t="s">
        <v>74</v>
      </c>
      <c r="BA778" s="1" t="s">
        <v>74</v>
      </c>
      <c r="BB778" s="1">
        <v>2603.0</v>
      </c>
      <c r="BC778" s="1">
        <v>2625.0</v>
      </c>
      <c r="BD778" s="1" t="s">
        <v>74</v>
      </c>
      <c r="BE778" s="1" t="s">
        <v>7261</v>
      </c>
      <c r="BF778" s="2" t="str">
        <f>HYPERLINK("http://dx.doi.org/10.1016/j.jde.2012.12.015","http://dx.doi.org/10.1016/j.jde.2012.12.015")</f>
        <v>http://dx.doi.org/10.1016/j.jde.2012.12.015</v>
      </c>
      <c r="BG778" s="1" t="s">
        <v>74</v>
      </c>
      <c r="BH778" s="1" t="s">
        <v>74</v>
      </c>
      <c r="BI778" s="1" t="s">
        <v>74</v>
      </c>
      <c r="BJ778" s="1" t="s">
        <v>74</v>
      </c>
      <c r="BK778" s="1" t="s">
        <v>74</v>
      </c>
      <c r="BL778" s="1" t="s">
        <v>74</v>
      </c>
      <c r="BM778" s="1" t="s">
        <v>74</v>
      </c>
      <c r="BN778" s="1" t="s">
        <v>74</v>
      </c>
      <c r="BO778" s="1" t="s">
        <v>74</v>
      </c>
      <c r="BP778" s="1" t="s">
        <v>74</v>
      </c>
      <c r="BQ778" s="1" t="s">
        <v>74</v>
      </c>
      <c r="BR778" s="1" t="s">
        <v>74</v>
      </c>
      <c r="BS778" s="1" t="s">
        <v>7262</v>
      </c>
      <c r="BT778" s="1" t="str">
        <f>HYPERLINK("https%3A%2F%2Fwww.webofscience.com%2Fwos%2Fwoscc%2Ffull-record%2FWOS:000315240300010","View Full Record in Web of Science")</f>
        <v>View Full Record in Web of Science</v>
      </c>
    </row>
    <row r="779" ht="12.75" customHeight="1">
      <c r="A779" s="1" t="s">
        <v>72</v>
      </c>
      <c r="B779" s="1" t="s">
        <v>7263</v>
      </c>
      <c r="C779" s="1" t="s">
        <v>74</v>
      </c>
      <c r="D779" s="1" t="s">
        <v>74</v>
      </c>
      <c r="E779" s="1" t="s">
        <v>74</v>
      </c>
      <c r="F779" s="1" t="s">
        <v>7264</v>
      </c>
      <c r="G779" s="1" t="s">
        <v>74</v>
      </c>
      <c r="H779" s="1" t="s">
        <v>74</v>
      </c>
      <c r="I779" s="1" t="s">
        <v>7265</v>
      </c>
      <c r="J779" s="1" t="s">
        <v>84</v>
      </c>
      <c r="K779" s="1" t="s">
        <v>74</v>
      </c>
      <c r="L779" s="1" t="s">
        <v>74</v>
      </c>
      <c r="M779" s="1" t="s">
        <v>74</v>
      </c>
      <c r="N779" s="1" t="s">
        <v>74</v>
      </c>
      <c r="O779" s="1" t="s">
        <v>74</v>
      </c>
      <c r="P779" s="1" t="s">
        <v>74</v>
      </c>
      <c r="Q779" s="1" t="s">
        <v>74</v>
      </c>
      <c r="R779" s="1" t="s">
        <v>74</v>
      </c>
      <c r="S779" s="1" t="s">
        <v>74</v>
      </c>
      <c r="T779" s="1" t="s">
        <v>74</v>
      </c>
      <c r="U779" s="1" t="s">
        <v>74</v>
      </c>
      <c r="V779" s="1" t="s">
        <v>7266</v>
      </c>
      <c r="W779" s="1" t="s">
        <v>74</v>
      </c>
      <c r="X779" s="1" t="s">
        <v>74</v>
      </c>
      <c r="Y779" s="1" t="s">
        <v>74</v>
      </c>
      <c r="Z779" s="1" t="s">
        <v>74</v>
      </c>
      <c r="AA779" s="1" t="s">
        <v>7267</v>
      </c>
      <c r="AB779" s="1" t="s">
        <v>7268</v>
      </c>
      <c r="AC779" s="1" t="s">
        <v>74</v>
      </c>
      <c r="AD779" s="1" t="s">
        <v>74</v>
      </c>
      <c r="AE779" s="1" t="s">
        <v>74</v>
      </c>
      <c r="AF779" s="1" t="s">
        <v>74</v>
      </c>
      <c r="AG779" s="1" t="s">
        <v>74</v>
      </c>
      <c r="AH779" s="1" t="s">
        <v>74</v>
      </c>
      <c r="AI779" s="1" t="s">
        <v>74</v>
      </c>
      <c r="AJ779" s="1" t="s">
        <v>74</v>
      </c>
      <c r="AK779" s="1" t="s">
        <v>74</v>
      </c>
      <c r="AL779" s="1" t="s">
        <v>74</v>
      </c>
      <c r="AM779" s="1" t="s">
        <v>74</v>
      </c>
      <c r="AN779" s="1" t="s">
        <v>74</v>
      </c>
      <c r="AO779" s="1" t="s">
        <v>86</v>
      </c>
      <c r="AP779" s="1" t="s">
        <v>87</v>
      </c>
      <c r="AQ779" s="1" t="s">
        <v>74</v>
      </c>
      <c r="AR779" s="1" t="s">
        <v>74</v>
      </c>
      <c r="AS779" s="1" t="s">
        <v>74</v>
      </c>
      <c r="AT779" s="1" t="s">
        <v>360</v>
      </c>
      <c r="AU779" s="1">
        <v>2013.0</v>
      </c>
      <c r="AV779" s="1">
        <v>8.0</v>
      </c>
      <c r="AW779" s="1">
        <v>1.0</v>
      </c>
      <c r="AX779" s="1" t="s">
        <v>74</v>
      </c>
      <c r="AY779" s="1" t="s">
        <v>74</v>
      </c>
      <c r="AZ779" s="1" t="s">
        <v>74</v>
      </c>
      <c r="BA779" s="1" t="s">
        <v>74</v>
      </c>
      <c r="BB779" s="1">
        <v>50.0</v>
      </c>
      <c r="BC779" s="1">
        <v>60.0</v>
      </c>
      <c r="BD779" s="1" t="s">
        <v>74</v>
      </c>
      <c r="BE779" s="1" t="s">
        <v>74</v>
      </c>
      <c r="BF779" s="1" t="s">
        <v>74</v>
      </c>
      <c r="BG779" s="1" t="s">
        <v>74</v>
      </c>
      <c r="BH779" s="1" t="s">
        <v>74</v>
      </c>
      <c r="BI779" s="1" t="s">
        <v>74</v>
      </c>
      <c r="BJ779" s="1" t="s">
        <v>74</v>
      </c>
      <c r="BK779" s="1" t="s">
        <v>74</v>
      </c>
      <c r="BL779" s="1" t="s">
        <v>74</v>
      </c>
      <c r="BM779" s="1" t="s">
        <v>74</v>
      </c>
      <c r="BN779" s="1" t="s">
        <v>74</v>
      </c>
      <c r="BO779" s="1" t="s">
        <v>74</v>
      </c>
      <c r="BP779" s="1" t="s">
        <v>74</v>
      </c>
      <c r="BQ779" s="1" t="s">
        <v>74</v>
      </c>
      <c r="BR779" s="1" t="s">
        <v>74</v>
      </c>
      <c r="BS779" s="1" t="s">
        <v>7269</v>
      </c>
      <c r="BT779" s="1" t="str">
        <f>HYPERLINK("https%3A%2F%2Fwww.webofscience.com%2Fwos%2Fwoscc%2Ffull-record%2FWOS:000312043600006","View Full Record in Web of Science")</f>
        <v>View Full Record in Web of Science</v>
      </c>
    </row>
    <row r="780" ht="12.75" customHeight="1">
      <c r="A780" s="1" t="s">
        <v>72</v>
      </c>
      <c r="B780" s="1" t="s">
        <v>4332</v>
      </c>
      <c r="C780" s="1" t="s">
        <v>74</v>
      </c>
      <c r="D780" s="1" t="s">
        <v>74</v>
      </c>
      <c r="E780" s="1" t="s">
        <v>74</v>
      </c>
      <c r="F780" s="1" t="s">
        <v>4333</v>
      </c>
      <c r="G780" s="1" t="s">
        <v>74</v>
      </c>
      <c r="H780" s="1" t="s">
        <v>74</v>
      </c>
      <c r="I780" s="1" t="s">
        <v>7270</v>
      </c>
      <c r="J780" s="1" t="s">
        <v>4545</v>
      </c>
      <c r="K780" s="1" t="s">
        <v>74</v>
      </c>
      <c r="L780" s="1" t="s">
        <v>74</v>
      </c>
      <c r="M780" s="1" t="s">
        <v>74</v>
      </c>
      <c r="N780" s="1" t="s">
        <v>74</v>
      </c>
      <c r="O780" s="1" t="s">
        <v>74</v>
      </c>
      <c r="P780" s="1" t="s">
        <v>74</v>
      </c>
      <c r="Q780" s="1" t="s">
        <v>74</v>
      </c>
      <c r="R780" s="1" t="s">
        <v>74</v>
      </c>
      <c r="S780" s="1" t="s">
        <v>74</v>
      </c>
      <c r="T780" s="1" t="s">
        <v>74</v>
      </c>
      <c r="U780" s="1" t="s">
        <v>74</v>
      </c>
      <c r="V780" s="1" t="s">
        <v>7271</v>
      </c>
      <c r="W780" s="1" t="s">
        <v>74</v>
      </c>
      <c r="X780" s="1" t="s">
        <v>74</v>
      </c>
      <c r="Y780" s="1" t="s">
        <v>74</v>
      </c>
      <c r="Z780" s="1" t="s">
        <v>74</v>
      </c>
      <c r="AA780" s="1" t="s">
        <v>74</v>
      </c>
      <c r="AB780" s="1" t="s">
        <v>74</v>
      </c>
      <c r="AC780" s="1" t="s">
        <v>74</v>
      </c>
      <c r="AD780" s="1" t="s">
        <v>74</v>
      </c>
      <c r="AE780" s="1" t="s">
        <v>74</v>
      </c>
      <c r="AF780" s="1" t="s">
        <v>74</v>
      </c>
      <c r="AG780" s="1" t="s">
        <v>74</v>
      </c>
      <c r="AH780" s="1" t="s">
        <v>74</v>
      </c>
      <c r="AI780" s="1" t="s">
        <v>74</v>
      </c>
      <c r="AJ780" s="1" t="s">
        <v>74</v>
      </c>
      <c r="AK780" s="1" t="s">
        <v>74</v>
      </c>
      <c r="AL780" s="1" t="s">
        <v>74</v>
      </c>
      <c r="AM780" s="1" t="s">
        <v>74</v>
      </c>
      <c r="AN780" s="1" t="s">
        <v>74</v>
      </c>
      <c r="AO780" s="1" t="s">
        <v>4548</v>
      </c>
      <c r="AP780" s="1" t="s">
        <v>74</v>
      </c>
      <c r="AQ780" s="1" t="s">
        <v>74</v>
      </c>
      <c r="AR780" s="1" t="s">
        <v>74</v>
      </c>
      <c r="AS780" s="1" t="s">
        <v>74</v>
      </c>
      <c r="AT780" s="1" t="s">
        <v>88</v>
      </c>
      <c r="AU780" s="1">
        <v>2012.0</v>
      </c>
      <c r="AV780" s="1">
        <v>55.0</v>
      </c>
      <c r="AW780" s="1" t="s">
        <v>5408</v>
      </c>
      <c r="AX780" s="1" t="s">
        <v>74</v>
      </c>
      <c r="AY780" s="1" t="s">
        <v>74</v>
      </c>
      <c r="AZ780" s="1" t="s">
        <v>74</v>
      </c>
      <c r="BA780" s="1" t="s">
        <v>74</v>
      </c>
      <c r="BB780" s="1">
        <v>2731.0</v>
      </c>
      <c r="BC780" s="1">
        <v>2745.0</v>
      </c>
      <c r="BD780" s="1" t="s">
        <v>74</v>
      </c>
      <c r="BE780" s="1" t="s">
        <v>7272</v>
      </c>
      <c r="BF780" s="2" t="str">
        <f>HYPERLINK("http://dx.doi.org/10.1016/j.ijheatmasstransfer.2011.07.035","http://dx.doi.org/10.1016/j.ijheatmasstransfer.2011.07.035")</f>
        <v>http://dx.doi.org/10.1016/j.ijheatmasstransfer.2011.07.035</v>
      </c>
      <c r="BG780" s="1" t="s">
        <v>74</v>
      </c>
      <c r="BH780" s="1" t="s">
        <v>74</v>
      </c>
      <c r="BI780" s="1" t="s">
        <v>74</v>
      </c>
      <c r="BJ780" s="1" t="s">
        <v>74</v>
      </c>
      <c r="BK780" s="1" t="s">
        <v>74</v>
      </c>
      <c r="BL780" s="1" t="s">
        <v>74</v>
      </c>
      <c r="BM780" s="1" t="s">
        <v>74</v>
      </c>
      <c r="BN780" s="1" t="s">
        <v>74</v>
      </c>
      <c r="BO780" s="1" t="s">
        <v>74</v>
      </c>
      <c r="BP780" s="1" t="s">
        <v>74</v>
      </c>
      <c r="BQ780" s="1" t="s">
        <v>74</v>
      </c>
      <c r="BR780" s="1" t="s">
        <v>74</v>
      </c>
      <c r="BS780" s="1" t="s">
        <v>7273</v>
      </c>
      <c r="BT780" s="1" t="str">
        <f>HYPERLINK("https%3A%2F%2Fwww.webofscience.com%2Fwos%2Fwoscc%2Ffull-record%2FWOS:000302191100055","View Full Record in Web of Science")</f>
        <v>View Full Record in Web of Science</v>
      </c>
    </row>
    <row r="781" ht="12.75" customHeight="1">
      <c r="A781" s="1" t="s">
        <v>72</v>
      </c>
      <c r="B781" s="1" t="s">
        <v>7274</v>
      </c>
      <c r="C781" s="1" t="s">
        <v>74</v>
      </c>
      <c r="D781" s="1" t="s">
        <v>74</v>
      </c>
      <c r="E781" s="1" t="s">
        <v>74</v>
      </c>
      <c r="F781" s="1" t="s">
        <v>7275</v>
      </c>
      <c r="G781" s="1" t="s">
        <v>74</v>
      </c>
      <c r="H781" s="1" t="s">
        <v>74</v>
      </c>
      <c r="I781" s="1" t="s">
        <v>7276</v>
      </c>
      <c r="J781" s="1" t="s">
        <v>2748</v>
      </c>
      <c r="K781" s="1" t="s">
        <v>74</v>
      </c>
      <c r="L781" s="1" t="s">
        <v>74</v>
      </c>
      <c r="M781" s="1" t="s">
        <v>74</v>
      </c>
      <c r="N781" s="1" t="s">
        <v>74</v>
      </c>
      <c r="O781" s="1" t="s">
        <v>74</v>
      </c>
      <c r="P781" s="1" t="s">
        <v>74</v>
      </c>
      <c r="Q781" s="1" t="s">
        <v>74</v>
      </c>
      <c r="R781" s="1" t="s">
        <v>74</v>
      </c>
      <c r="S781" s="1" t="s">
        <v>74</v>
      </c>
      <c r="T781" s="1" t="s">
        <v>74</v>
      </c>
      <c r="U781" s="1" t="s">
        <v>74</v>
      </c>
      <c r="V781" s="1" t="s">
        <v>7277</v>
      </c>
      <c r="W781" s="1" t="s">
        <v>74</v>
      </c>
      <c r="X781" s="1" t="s">
        <v>74</v>
      </c>
      <c r="Y781" s="1" t="s">
        <v>74</v>
      </c>
      <c r="Z781" s="1" t="s">
        <v>74</v>
      </c>
      <c r="AA781" s="1" t="s">
        <v>74</v>
      </c>
      <c r="AB781" s="1" t="s">
        <v>74</v>
      </c>
      <c r="AC781" s="1" t="s">
        <v>74</v>
      </c>
      <c r="AD781" s="1" t="s">
        <v>74</v>
      </c>
      <c r="AE781" s="1" t="s">
        <v>74</v>
      </c>
      <c r="AF781" s="1" t="s">
        <v>74</v>
      </c>
      <c r="AG781" s="1" t="s">
        <v>74</v>
      </c>
      <c r="AH781" s="1" t="s">
        <v>74</v>
      </c>
      <c r="AI781" s="1" t="s">
        <v>74</v>
      </c>
      <c r="AJ781" s="1" t="s">
        <v>74</v>
      </c>
      <c r="AK781" s="1" t="s">
        <v>74</v>
      </c>
      <c r="AL781" s="1" t="s">
        <v>74</v>
      </c>
      <c r="AM781" s="1" t="s">
        <v>74</v>
      </c>
      <c r="AN781" s="1" t="s">
        <v>74</v>
      </c>
      <c r="AO781" s="1" t="s">
        <v>2750</v>
      </c>
      <c r="AP781" s="1" t="s">
        <v>74</v>
      </c>
      <c r="AQ781" s="1" t="s">
        <v>74</v>
      </c>
      <c r="AR781" s="1" t="s">
        <v>74</v>
      </c>
      <c r="AS781" s="1" t="s">
        <v>74</v>
      </c>
      <c r="AT781" s="1" t="s">
        <v>320</v>
      </c>
      <c r="AU781" s="1">
        <v>2011.0</v>
      </c>
      <c r="AV781" s="1">
        <v>44.0</v>
      </c>
      <c r="AW781" s="1">
        <v>2.0</v>
      </c>
      <c r="AX781" s="1" t="s">
        <v>74</v>
      </c>
      <c r="AY781" s="1" t="s">
        <v>74</v>
      </c>
      <c r="AZ781" s="1" t="s">
        <v>74</v>
      </c>
      <c r="BA781" s="1" t="s">
        <v>74</v>
      </c>
      <c r="BB781" s="1">
        <v>401.0</v>
      </c>
      <c r="BC781" s="1">
        <v>442.0</v>
      </c>
      <c r="BD781" s="1" t="s">
        <v>74</v>
      </c>
      <c r="BE781" s="1" t="s">
        <v>74</v>
      </c>
      <c r="BF781" s="1" t="s">
        <v>74</v>
      </c>
      <c r="BG781" s="1" t="s">
        <v>74</v>
      </c>
      <c r="BH781" s="1" t="s">
        <v>74</v>
      </c>
      <c r="BI781" s="1" t="s">
        <v>74</v>
      </c>
      <c r="BJ781" s="1" t="s">
        <v>74</v>
      </c>
      <c r="BK781" s="1" t="s">
        <v>74</v>
      </c>
      <c r="BL781" s="1" t="s">
        <v>74</v>
      </c>
      <c r="BM781" s="1" t="s">
        <v>74</v>
      </c>
      <c r="BN781" s="1" t="s">
        <v>74</v>
      </c>
      <c r="BO781" s="1" t="s">
        <v>74</v>
      </c>
      <c r="BP781" s="1" t="s">
        <v>74</v>
      </c>
      <c r="BQ781" s="1" t="s">
        <v>74</v>
      </c>
      <c r="BR781" s="1" t="s">
        <v>74</v>
      </c>
      <c r="BS781" s="1" t="s">
        <v>7278</v>
      </c>
      <c r="BT781" s="1" t="str">
        <f>HYPERLINK("https%3A%2F%2Fwww.webofscience.com%2Fwos%2Fwoscc%2Ffull-record%2FWOS:000298577400005","View Full Record in Web of Science")</f>
        <v>View Full Record in Web of Science</v>
      </c>
    </row>
    <row r="782" ht="12.75" customHeight="1">
      <c r="A782" s="1" t="s">
        <v>72</v>
      </c>
      <c r="B782" s="1" t="s">
        <v>7279</v>
      </c>
      <c r="C782" s="1" t="s">
        <v>74</v>
      </c>
      <c r="D782" s="1" t="s">
        <v>74</v>
      </c>
      <c r="E782" s="1" t="s">
        <v>74</v>
      </c>
      <c r="F782" s="1" t="s">
        <v>7280</v>
      </c>
      <c r="G782" s="1" t="s">
        <v>74</v>
      </c>
      <c r="H782" s="1" t="s">
        <v>74</v>
      </c>
      <c r="I782" s="1" t="s">
        <v>7281</v>
      </c>
      <c r="J782" s="1" t="s">
        <v>3550</v>
      </c>
      <c r="K782" s="1" t="s">
        <v>74</v>
      </c>
      <c r="L782" s="1" t="s">
        <v>74</v>
      </c>
      <c r="M782" s="1" t="s">
        <v>74</v>
      </c>
      <c r="N782" s="1" t="s">
        <v>74</v>
      </c>
      <c r="O782" s="1" t="s">
        <v>74</v>
      </c>
      <c r="P782" s="1" t="s">
        <v>74</v>
      </c>
      <c r="Q782" s="1" t="s">
        <v>74</v>
      </c>
      <c r="R782" s="1" t="s">
        <v>74</v>
      </c>
      <c r="S782" s="1" t="s">
        <v>74</v>
      </c>
      <c r="T782" s="1" t="s">
        <v>74</v>
      </c>
      <c r="U782" s="1" t="s">
        <v>74</v>
      </c>
      <c r="V782" s="1" t="s">
        <v>7282</v>
      </c>
      <c r="W782" s="1" t="s">
        <v>74</v>
      </c>
      <c r="X782" s="1" t="s">
        <v>74</v>
      </c>
      <c r="Y782" s="1" t="s">
        <v>74</v>
      </c>
      <c r="Z782" s="1" t="s">
        <v>74</v>
      </c>
      <c r="AA782" s="1" t="s">
        <v>825</v>
      </c>
      <c r="AB782" s="1" t="s">
        <v>7283</v>
      </c>
      <c r="AC782" s="1" t="s">
        <v>74</v>
      </c>
      <c r="AD782" s="1" t="s">
        <v>74</v>
      </c>
      <c r="AE782" s="1" t="s">
        <v>74</v>
      </c>
      <c r="AF782" s="1" t="s">
        <v>74</v>
      </c>
      <c r="AG782" s="1" t="s">
        <v>74</v>
      </c>
      <c r="AH782" s="1" t="s">
        <v>74</v>
      </c>
      <c r="AI782" s="1" t="s">
        <v>74</v>
      </c>
      <c r="AJ782" s="1" t="s">
        <v>74</v>
      </c>
      <c r="AK782" s="1" t="s">
        <v>74</v>
      </c>
      <c r="AL782" s="1" t="s">
        <v>74</v>
      </c>
      <c r="AM782" s="1" t="s">
        <v>74</v>
      </c>
      <c r="AN782" s="1" t="s">
        <v>74</v>
      </c>
      <c r="AO782" s="1" t="s">
        <v>3554</v>
      </c>
      <c r="AP782" s="1" t="s">
        <v>3555</v>
      </c>
      <c r="AQ782" s="1" t="s">
        <v>74</v>
      </c>
      <c r="AR782" s="1" t="s">
        <v>74</v>
      </c>
      <c r="AS782" s="1" t="s">
        <v>74</v>
      </c>
      <c r="AT782" s="1" t="s">
        <v>180</v>
      </c>
      <c r="AU782" s="1">
        <v>2011.0</v>
      </c>
      <c r="AV782" s="1">
        <v>25.0</v>
      </c>
      <c r="AW782" s="1">
        <v>3.0</v>
      </c>
      <c r="AX782" s="1" t="s">
        <v>74</v>
      </c>
      <c r="AY782" s="1" t="s">
        <v>74</v>
      </c>
      <c r="AZ782" s="1" t="s">
        <v>74</v>
      </c>
      <c r="BA782" s="1" t="s">
        <v>74</v>
      </c>
      <c r="BB782" s="1">
        <v>529.0</v>
      </c>
      <c r="BC782" s="1">
        <v>535.0</v>
      </c>
      <c r="BD782" s="1" t="s">
        <v>74</v>
      </c>
      <c r="BE782" s="1" t="s">
        <v>7284</v>
      </c>
      <c r="BF782" s="2" t="str">
        <f>HYPERLINK("http://dx.doi.org/10.1016/j.foodhyd.2010.08.004","http://dx.doi.org/10.1016/j.foodhyd.2010.08.004")</f>
        <v>http://dx.doi.org/10.1016/j.foodhyd.2010.08.004</v>
      </c>
      <c r="BG782" s="1" t="s">
        <v>74</v>
      </c>
      <c r="BH782" s="1" t="s">
        <v>74</v>
      </c>
      <c r="BI782" s="1" t="s">
        <v>74</v>
      </c>
      <c r="BJ782" s="1" t="s">
        <v>74</v>
      </c>
      <c r="BK782" s="1" t="s">
        <v>74</v>
      </c>
      <c r="BL782" s="1" t="s">
        <v>74</v>
      </c>
      <c r="BM782" s="1" t="s">
        <v>74</v>
      </c>
      <c r="BN782" s="1" t="s">
        <v>74</v>
      </c>
      <c r="BO782" s="1" t="s">
        <v>74</v>
      </c>
      <c r="BP782" s="1" t="s">
        <v>74</v>
      </c>
      <c r="BQ782" s="1" t="s">
        <v>74</v>
      </c>
      <c r="BR782" s="1" t="s">
        <v>74</v>
      </c>
      <c r="BS782" s="1" t="s">
        <v>7285</v>
      </c>
      <c r="BT782" s="1" t="str">
        <f>HYPERLINK("https%3A%2F%2Fwww.webofscience.com%2Fwos%2Fwoscc%2Ffull-record%2FWOS:000282939200033","View Full Record in Web of Science")</f>
        <v>View Full Record in Web of Science</v>
      </c>
    </row>
    <row r="783" ht="12.75" customHeight="1">
      <c r="A783" s="1" t="s">
        <v>72</v>
      </c>
      <c r="B783" s="1" t="s">
        <v>7286</v>
      </c>
      <c r="C783" s="1" t="s">
        <v>74</v>
      </c>
      <c r="D783" s="1" t="s">
        <v>74</v>
      </c>
      <c r="E783" s="1" t="s">
        <v>74</v>
      </c>
      <c r="F783" s="1" t="s">
        <v>7287</v>
      </c>
      <c r="G783" s="1" t="s">
        <v>74</v>
      </c>
      <c r="H783" s="1" t="s">
        <v>74</v>
      </c>
      <c r="I783" s="1" t="s">
        <v>7288</v>
      </c>
      <c r="J783" s="1" t="s">
        <v>7289</v>
      </c>
      <c r="K783" s="1" t="s">
        <v>74</v>
      </c>
      <c r="L783" s="1" t="s">
        <v>74</v>
      </c>
      <c r="M783" s="1" t="s">
        <v>74</v>
      </c>
      <c r="N783" s="1" t="s">
        <v>74</v>
      </c>
      <c r="O783" s="1" t="s">
        <v>7290</v>
      </c>
      <c r="P783" s="1" t="s">
        <v>7291</v>
      </c>
      <c r="Q783" s="1" t="s">
        <v>7292</v>
      </c>
      <c r="R783" s="1" t="s">
        <v>7293</v>
      </c>
      <c r="S783" s="1" t="s">
        <v>74</v>
      </c>
      <c r="T783" s="1" t="s">
        <v>74</v>
      </c>
      <c r="U783" s="1" t="s">
        <v>74</v>
      </c>
      <c r="V783" s="1" t="s">
        <v>74</v>
      </c>
      <c r="W783" s="1" t="s">
        <v>74</v>
      </c>
      <c r="X783" s="1" t="s">
        <v>74</v>
      </c>
      <c r="Y783" s="1" t="s">
        <v>74</v>
      </c>
      <c r="Z783" s="1" t="s">
        <v>74</v>
      </c>
      <c r="AA783" s="1" t="s">
        <v>7294</v>
      </c>
      <c r="AB783" s="1" t="s">
        <v>74</v>
      </c>
      <c r="AC783" s="1" t="s">
        <v>74</v>
      </c>
      <c r="AD783" s="1" t="s">
        <v>74</v>
      </c>
      <c r="AE783" s="1" t="s">
        <v>74</v>
      </c>
      <c r="AF783" s="1" t="s">
        <v>74</v>
      </c>
      <c r="AG783" s="1" t="s">
        <v>74</v>
      </c>
      <c r="AH783" s="1" t="s">
        <v>74</v>
      </c>
      <c r="AI783" s="1" t="s">
        <v>74</v>
      </c>
      <c r="AJ783" s="1" t="s">
        <v>74</v>
      </c>
      <c r="AK783" s="1" t="s">
        <v>74</v>
      </c>
      <c r="AL783" s="1" t="s">
        <v>74</v>
      </c>
      <c r="AM783" s="1" t="s">
        <v>74</v>
      </c>
      <c r="AN783" s="1" t="s">
        <v>74</v>
      </c>
      <c r="AO783" s="1" t="s">
        <v>7295</v>
      </c>
      <c r="AP783" s="1" t="s">
        <v>74</v>
      </c>
      <c r="AQ783" s="1" t="s">
        <v>74</v>
      </c>
      <c r="AR783" s="1" t="s">
        <v>74</v>
      </c>
      <c r="AS783" s="1" t="s">
        <v>74</v>
      </c>
      <c r="AT783" s="1" t="s">
        <v>360</v>
      </c>
      <c r="AU783" s="1">
        <v>2011.0</v>
      </c>
      <c r="AV783" s="1">
        <v>127.0</v>
      </c>
      <c r="AW783" s="1">
        <v>2.0</v>
      </c>
      <c r="AX783" s="1" t="s">
        <v>74</v>
      </c>
      <c r="AY783" s="1" t="s">
        <v>1511</v>
      </c>
      <c r="AZ783" s="1" t="s">
        <v>74</v>
      </c>
      <c r="BA783" s="1" t="s">
        <v>74</v>
      </c>
      <c r="BB783" s="1" t="s">
        <v>7296</v>
      </c>
      <c r="BC783" s="1" t="s">
        <v>7296</v>
      </c>
      <c r="BD783" s="1" t="s">
        <v>74</v>
      </c>
      <c r="BE783" s="1" t="s">
        <v>7297</v>
      </c>
      <c r="BF783" s="2" t="str">
        <f>HYPERLINK("http://dx.doi.org/10.1016/j.jaci.2010.12.696","http://dx.doi.org/10.1016/j.jaci.2010.12.696")</f>
        <v>http://dx.doi.org/10.1016/j.jaci.2010.12.696</v>
      </c>
      <c r="BG783" s="1" t="s">
        <v>74</v>
      </c>
      <c r="BH783" s="1" t="s">
        <v>74</v>
      </c>
      <c r="BI783" s="1" t="s">
        <v>74</v>
      </c>
      <c r="BJ783" s="1" t="s">
        <v>74</v>
      </c>
      <c r="BK783" s="1" t="s">
        <v>74</v>
      </c>
      <c r="BL783" s="1" t="s">
        <v>74</v>
      </c>
      <c r="BM783" s="1" t="s">
        <v>74</v>
      </c>
      <c r="BN783" s="1" t="s">
        <v>74</v>
      </c>
      <c r="BO783" s="1" t="s">
        <v>74</v>
      </c>
      <c r="BP783" s="1" t="s">
        <v>74</v>
      </c>
      <c r="BQ783" s="1" t="s">
        <v>74</v>
      </c>
      <c r="BR783" s="1" t="s">
        <v>74</v>
      </c>
      <c r="BS783" s="1" t="s">
        <v>7298</v>
      </c>
      <c r="BT783" s="1" t="str">
        <f>HYPERLINK("https%3A%2F%2Fwww.webofscience.com%2Fwos%2Fwoscc%2Ffull-record%2FWOS:000295846400678","View Full Record in Web of Science")</f>
        <v>View Full Record in Web of Science</v>
      </c>
    </row>
    <row r="784" ht="12.75" customHeight="1">
      <c r="A784" s="1" t="s">
        <v>72</v>
      </c>
      <c r="B784" s="1" t="s">
        <v>7299</v>
      </c>
      <c r="C784" s="1" t="s">
        <v>74</v>
      </c>
      <c r="D784" s="1" t="s">
        <v>74</v>
      </c>
      <c r="E784" s="1" t="s">
        <v>74</v>
      </c>
      <c r="F784" s="1" t="s">
        <v>7300</v>
      </c>
      <c r="G784" s="1" t="s">
        <v>74</v>
      </c>
      <c r="H784" s="1" t="s">
        <v>74</v>
      </c>
      <c r="I784" s="1" t="s">
        <v>7301</v>
      </c>
      <c r="J784" s="1" t="s">
        <v>7302</v>
      </c>
      <c r="K784" s="1" t="s">
        <v>74</v>
      </c>
      <c r="L784" s="1" t="s">
        <v>74</v>
      </c>
      <c r="M784" s="1" t="s">
        <v>74</v>
      </c>
      <c r="N784" s="1" t="s">
        <v>74</v>
      </c>
      <c r="O784" s="1" t="s">
        <v>74</v>
      </c>
      <c r="P784" s="1" t="s">
        <v>74</v>
      </c>
      <c r="Q784" s="1" t="s">
        <v>74</v>
      </c>
      <c r="R784" s="1" t="s">
        <v>74</v>
      </c>
      <c r="S784" s="1" t="s">
        <v>74</v>
      </c>
      <c r="T784" s="1" t="s">
        <v>74</v>
      </c>
      <c r="U784" s="1" t="s">
        <v>74</v>
      </c>
      <c r="V784" s="1" t="s">
        <v>7303</v>
      </c>
      <c r="W784" s="1" t="s">
        <v>74</v>
      </c>
      <c r="X784" s="1" t="s">
        <v>74</v>
      </c>
      <c r="Y784" s="1" t="s">
        <v>74</v>
      </c>
      <c r="Z784" s="1" t="s">
        <v>74</v>
      </c>
      <c r="AA784" s="1" t="s">
        <v>74</v>
      </c>
      <c r="AB784" s="1" t="s">
        <v>74</v>
      </c>
      <c r="AC784" s="1" t="s">
        <v>74</v>
      </c>
      <c r="AD784" s="1" t="s">
        <v>74</v>
      </c>
      <c r="AE784" s="1" t="s">
        <v>74</v>
      </c>
      <c r="AF784" s="1" t="s">
        <v>74</v>
      </c>
      <c r="AG784" s="1" t="s">
        <v>74</v>
      </c>
      <c r="AH784" s="1" t="s">
        <v>74</v>
      </c>
      <c r="AI784" s="1" t="s">
        <v>74</v>
      </c>
      <c r="AJ784" s="1" t="s">
        <v>74</v>
      </c>
      <c r="AK784" s="1" t="s">
        <v>74</v>
      </c>
      <c r="AL784" s="1" t="s">
        <v>74</v>
      </c>
      <c r="AM784" s="1" t="s">
        <v>74</v>
      </c>
      <c r="AN784" s="1" t="s">
        <v>74</v>
      </c>
      <c r="AO784" s="1" t="s">
        <v>7304</v>
      </c>
      <c r="AP784" s="1" t="s">
        <v>74</v>
      </c>
      <c r="AQ784" s="1" t="s">
        <v>74</v>
      </c>
      <c r="AR784" s="1" t="s">
        <v>74</v>
      </c>
      <c r="AS784" s="1" t="s">
        <v>74</v>
      </c>
      <c r="AT784" s="1" t="s">
        <v>74</v>
      </c>
      <c r="AU784" s="1">
        <v>2010.0</v>
      </c>
      <c r="AV784" s="1">
        <v>4.0</v>
      </c>
      <c r="AW784" s="1">
        <v>1.0</v>
      </c>
      <c r="AX784" s="1" t="s">
        <v>74</v>
      </c>
      <c r="AY784" s="1" t="s">
        <v>74</v>
      </c>
      <c r="AZ784" s="1" t="s">
        <v>74</v>
      </c>
      <c r="BA784" s="1" t="s">
        <v>74</v>
      </c>
      <c r="BB784" s="1">
        <v>163.0</v>
      </c>
      <c r="BC784" s="1">
        <v>177.0</v>
      </c>
      <c r="BD784" s="1" t="s">
        <v>74</v>
      </c>
      <c r="BE784" s="1" t="s">
        <v>7305</v>
      </c>
      <c r="BF784" s="2" t="str">
        <f>HYPERLINK("http://dx.doi.org/10.4172/GGD/78","http://dx.doi.org/10.4172/GGD/78")</f>
        <v>http://dx.doi.org/10.4172/GGD/78</v>
      </c>
      <c r="BG784" s="1" t="s">
        <v>74</v>
      </c>
      <c r="BH784" s="1" t="s">
        <v>74</v>
      </c>
      <c r="BI784" s="1" t="s">
        <v>74</v>
      </c>
      <c r="BJ784" s="1" t="s">
        <v>74</v>
      </c>
      <c r="BK784" s="1" t="s">
        <v>74</v>
      </c>
      <c r="BL784" s="1" t="s">
        <v>74</v>
      </c>
      <c r="BM784" s="1" t="s">
        <v>74</v>
      </c>
      <c r="BN784" s="1" t="s">
        <v>74</v>
      </c>
      <c r="BO784" s="1" t="s">
        <v>74</v>
      </c>
      <c r="BP784" s="1" t="s">
        <v>74</v>
      </c>
      <c r="BQ784" s="1" t="s">
        <v>74</v>
      </c>
      <c r="BR784" s="1" t="s">
        <v>74</v>
      </c>
      <c r="BS784" s="1" t="s">
        <v>7306</v>
      </c>
      <c r="BT784" s="1" t="str">
        <f>HYPERLINK("https%3A%2F%2Fwww.webofscience.com%2Fwos%2Fwoscc%2Ffull-record%2FWOS:000272233500007","View Full Record in Web of Science")</f>
        <v>View Full Record in Web of Science</v>
      </c>
    </row>
    <row r="785" ht="12.75" customHeight="1">
      <c r="A785" s="1" t="s">
        <v>72</v>
      </c>
      <c r="B785" s="1" t="s">
        <v>7307</v>
      </c>
      <c r="C785" s="1" t="s">
        <v>74</v>
      </c>
      <c r="D785" s="1" t="s">
        <v>74</v>
      </c>
      <c r="E785" s="1" t="s">
        <v>74</v>
      </c>
      <c r="F785" s="1" t="s">
        <v>7308</v>
      </c>
      <c r="G785" s="1" t="s">
        <v>74</v>
      </c>
      <c r="H785" s="1" t="s">
        <v>74</v>
      </c>
      <c r="I785" s="1" t="s">
        <v>7309</v>
      </c>
      <c r="J785" s="1" t="s">
        <v>305</v>
      </c>
      <c r="K785" s="1" t="s">
        <v>74</v>
      </c>
      <c r="L785" s="1" t="s">
        <v>74</v>
      </c>
      <c r="M785" s="1" t="s">
        <v>74</v>
      </c>
      <c r="N785" s="1" t="s">
        <v>74</v>
      </c>
      <c r="O785" s="1" t="s">
        <v>74</v>
      </c>
      <c r="P785" s="1" t="s">
        <v>74</v>
      </c>
      <c r="Q785" s="1" t="s">
        <v>74</v>
      </c>
      <c r="R785" s="1" t="s">
        <v>74</v>
      </c>
      <c r="S785" s="1" t="s">
        <v>74</v>
      </c>
      <c r="T785" s="1" t="s">
        <v>74</v>
      </c>
      <c r="U785" s="1" t="s">
        <v>74</v>
      </c>
      <c r="V785" s="1" t="s">
        <v>7310</v>
      </c>
      <c r="W785" s="1" t="s">
        <v>74</v>
      </c>
      <c r="X785" s="1" t="s">
        <v>74</v>
      </c>
      <c r="Y785" s="1" t="s">
        <v>74</v>
      </c>
      <c r="Z785" s="1" t="s">
        <v>74</v>
      </c>
      <c r="AA785" s="1" t="s">
        <v>7311</v>
      </c>
      <c r="AB785" s="1" t="s">
        <v>7312</v>
      </c>
      <c r="AC785" s="1" t="s">
        <v>74</v>
      </c>
      <c r="AD785" s="1" t="s">
        <v>74</v>
      </c>
      <c r="AE785" s="1" t="s">
        <v>74</v>
      </c>
      <c r="AF785" s="1" t="s">
        <v>74</v>
      </c>
      <c r="AG785" s="1" t="s">
        <v>74</v>
      </c>
      <c r="AH785" s="1" t="s">
        <v>74</v>
      </c>
      <c r="AI785" s="1" t="s">
        <v>74</v>
      </c>
      <c r="AJ785" s="1" t="s">
        <v>74</v>
      </c>
      <c r="AK785" s="1" t="s">
        <v>74</v>
      </c>
      <c r="AL785" s="1" t="s">
        <v>74</v>
      </c>
      <c r="AM785" s="1" t="s">
        <v>74</v>
      </c>
      <c r="AN785" s="1" t="s">
        <v>74</v>
      </c>
      <c r="AO785" s="1" t="s">
        <v>309</v>
      </c>
      <c r="AP785" s="1" t="s">
        <v>74</v>
      </c>
      <c r="AQ785" s="1" t="s">
        <v>74</v>
      </c>
      <c r="AR785" s="1" t="s">
        <v>74</v>
      </c>
      <c r="AS785" s="1" t="s">
        <v>74</v>
      </c>
      <c r="AT785" s="1" t="s">
        <v>1049</v>
      </c>
      <c r="AU785" s="1">
        <v>2009.0</v>
      </c>
      <c r="AV785" s="1">
        <v>14.0</v>
      </c>
      <c r="AW785" s="1">
        <v>11.0</v>
      </c>
      <c r="AX785" s="1" t="s">
        <v>74</v>
      </c>
      <c r="AY785" s="1" t="s">
        <v>74</v>
      </c>
      <c r="AZ785" s="1" t="s">
        <v>74</v>
      </c>
      <c r="BA785" s="1" t="s">
        <v>74</v>
      </c>
      <c r="BB785" s="1">
        <v>4625.0</v>
      </c>
      <c r="BC785" s="1">
        <v>4633.0</v>
      </c>
      <c r="BD785" s="1" t="s">
        <v>74</v>
      </c>
      <c r="BE785" s="1" t="s">
        <v>7313</v>
      </c>
      <c r="BF785" s="2" t="str">
        <f>HYPERLINK("http://dx.doi.org/10.3390/molecules14114625","http://dx.doi.org/10.3390/molecules14114625")</f>
        <v>http://dx.doi.org/10.3390/molecules14114625</v>
      </c>
      <c r="BG785" s="1" t="s">
        <v>74</v>
      </c>
      <c r="BH785" s="1" t="s">
        <v>74</v>
      </c>
      <c r="BI785" s="1" t="s">
        <v>74</v>
      </c>
      <c r="BJ785" s="1" t="s">
        <v>74</v>
      </c>
      <c r="BK785" s="1" t="s">
        <v>74</v>
      </c>
      <c r="BL785" s="1" t="s">
        <v>74</v>
      </c>
      <c r="BM785" s="1" t="s">
        <v>74</v>
      </c>
      <c r="BN785" s="1">
        <v>1.992409E7</v>
      </c>
      <c r="BO785" s="1" t="s">
        <v>74</v>
      </c>
      <c r="BP785" s="1" t="s">
        <v>74</v>
      </c>
      <c r="BQ785" s="1" t="s">
        <v>74</v>
      </c>
      <c r="BR785" s="1" t="s">
        <v>74</v>
      </c>
      <c r="BS785" s="1" t="s">
        <v>7314</v>
      </c>
      <c r="BT785" s="1" t="str">
        <f>HYPERLINK("https%3A%2F%2Fwww.webofscience.com%2Fwos%2Fwoscc%2Ffull-record%2FWOS:000272190500026","View Full Record in Web of Science")</f>
        <v>View Full Record in Web of Science</v>
      </c>
    </row>
    <row r="786" ht="12.75" customHeight="1">
      <c r="A786" s="1" t="s">
        <v>72</v>
      </c>
      <c r="B786" s="1" t="s">
        <v>7315</v>
      </c>
      <c r="C786" s="1" t="s">
        <v>74</v>
      </c>
      <c r="D786" s="1" t="s">
        <v>74</v>
      </c>
      <c r="E786" s="1" t="s">
        <v>74</v>
      </c>
      <c r="F786" s="1" t="s">
        <v>7316</v>
      </c>
      <c r="G786" s="1" t="s">
        <v>74</v>
      </c>
      <c r="H786" s="1" t="s">
        <v>74</v>
      </c>
      <c r="I786" s="1" t="s">
        <v>7317</v>
      </c>
      <c r="J786" s="1" t="s">
        <v>3052</v>
      </c>
      <c r="K786" s="1" t="s">
        <v>74</v>
      </c>
      <c r="L786" s="1" t="s">
        <v>74</v>
      </c>
      <c r="M786" s="1" t="s">
        <v>74</v>
      </c>
      <c r="N786" s="1" t="s">
        <v>74</v>
      </c>
      <c r="O786" s="1" t="s">
        <v>74</v>
      </c>
      <c r="P786" s="1" t="s">
        <v>74</v>
      </c>
      <c r="Q786" s="1" t="s">
        <v>74</v>
      </c>
      <c r="R786" s="1" t="s">
        <v>74</v>
      </c>
      <c r="S786" s="1" t="s">
        <v>74</v>
      </c>
      <c r="T786" s="1" t="s">
        <v>74</v>
      </c>
      <c r="U786" s="1" t="s">
        <v>74</v>
      </c>
      <c r="V786" s="1" t="s">
        <v>7318</v>
      </c>
      <c r="W786" s="1" t="s">
        <v>74</v>
      </c>
      <c r="X786" s="1" t="s">
        <v>74</v>
      </c>
      <c r="Y786" s="1" t="s">
        <v>74</v>
      </c>
      <c r="Z786" s="1" t="s">
        <v>74</v>
      </c>
      <c r="AA786" s="1" t="s">
        <v>4990</v>
      </c>
      <c r="AB786" s="1" t="s">
        <v>843</v>
      </c>
      <c r="AC786" s="1" t="s">
        <v>74</v>
      </c>
      <c r="AD786" s="1" t="s">
        <v>74</v>
      </c>
      <c r="AE786" s="1" t="s">
        <v>74</v>
      </c>
      <c r="AF786" s="1" t="s">
        <v>74</v>
      </c>
      <c r="AG786" s="1" t="s">
        <v>74</v>
      </c>
      <c r="AH786" s="1" t="s">
        <v>74</v>
      </c>
      <c r="AI786" s="1" t="s">
        <v>74</v>
      </c>
      <c r="AJ786" s="1" t="s">
        <v>74</v>
      </c>
      <c r="AK786" s="1" t="s">
        <v>74</v>
      </c>
      <c r="AL786" s="1" t="s">
        <v>74</v>
      </c>
      <c r="AM786" s="1" t="s">
        <v>74</v>
      </c>
      <c r="AN786" s="1" t="s">
        <v>74</v>
      </c>
      <c r="AO786" s="1" t="s">
        <v>3055</v>
      </c>
      <c r="AP786" s="1" t="s">
        <v>74</v>
      </c>
      <c r="AQ786" s="1" t="s">
        <v>74</v>
      </c>
      <c r="AR786" s="1" t="s">
        <v>74</v>
      </c>
      <c r="AS786" s="1" t="s">
        <v>74</v>
      </c>
      <c r="AT786" s="1" t="s">
        <v>74</v>
      </c>
      <c r="AU786" s="1">
        <v>2009.0</v>
      </c>
      <c r="AV786" s="1" t="s">
        <v>74</v>
      </c>
      <c r="AW786" s="1" t="s">
        <v>74</v>
      </c>
      <c r="AX786" s="1" t="s">
        <v>74</v>
      </c>
      <c r="AY786" s="1" t="s">
        <v>74</v>
      </c>
      <c r="AZ786" s="1" t="s">
        <v>74</v>
      </c>
      <c r="BA786" s="1" t="s">
        <v>74</v>
      </c>
      <c r="BB786" s="1" t="s">
        <v>74</v>
      </c>
      <c r="BC786" s="1" t="s">
        <v>74</v>
      </c>
      <c r="BD786" s="1">
        <v>290625.0</v>
      </c>
      <c r="BE786" s="1" t="s">
        <v>7319</v>
      </c>
      <c r="BF786" s="2" t="str">
        <f>HYPERLINK("http://dx.doi.org/10.1155/2009/290625","http://dx.doi.org/10.1155/2009/290625")</f>
        <v>http://dx.doi.org/10.1155/2009/290625</v>
      </c>
      <c r="BG786" s="1" t="s">
        <v>74</v>
      </c>
      <c r="BH786" s="1" t="s">
        <v>74</v>
      </c>
      <c r="BI786" s="1" t="s">
        <v>74</v>
      </c>
      <c r="BJ786" s="1" t="s">
        <v>74</v>
      </c>
      <c r="BK786" s="1" t="s">
        <v>74</v>
      </c>
      <c r="BL786" s="1" t="s">
        <v>74</v>
      </c>
      <c r="BM786" s="1" t="s">
        <v>74</v>
      </c>
      <c r="BN786" s="1" t="s">
        <v>74</v>
      </c>
      <c r="BO786" s="1" t="s">
        <v>74</v>
      </c>
      <c r="BP786" s="1" t="s">
        <v>74</v>
      </c>
      <c r="BQ786" s="1" t="s">
        <v>74</v>
      </c>
      <c r="BR786" s="1" t="s">
        <v>74</v>
      </c>
      <c r="BS786" s="1" t="s">
        <v>7320</v>
      </c>
      <c r="BT786" s="1" t="str">
        <f>HYPERLINK("https%3A%2F%2Fwww.webofscience.com%2Fwos%2Fwoscc%2Ffull-record%2FWOS:000265717600001","View Full Record in Web of Science")</f>
        <v>View Full Record in Web of Science</v>
      </c>
    </row>
    <row r="787" ht="12.75" customHeight="1">
      <c r="A787" s="1" t="s">
        <v>242</v>
      </c>
      <c r="B787" s="1" t="s">
        <v>7321</v>
      </c>
      <c r="C787" s="1" t="s">
        <v>74</v>
      </c>
      <c r="D787" s="1" t="s">
        <v>7322</v>
      </c>
      <c r="E787" s="1" t="s">
        <v>74</v>
      </c>
      <c r="F787" s="1" t="s">
        <v>7323</v>
      </c>
      <c r="G787" s="1" t="s">
        <v>74</v>
      </c>
      <c r="H787" s="1" t="s">
        <v>74</v>
      </c>
      <c r="I787" s="1" t="s">
        <v>7324</v>
      </c>
      <c r="J787" s="1" t="s">
        <v>7325</v>
      </c>
      <c r="K787" s="1" t="s">
        <v>74</v>
      </c>
      <c r="L787" s="1" t="s">
        <v>74</v>
      </c>
      <c r="M787" s="1" t="s">
        <v>74</v>
      </c>
      <c r="N787" s="1" t="s">
        <v>74</v>
      </c>
      <c r="O787" s="1" t="s">
        <v>74</v>
      </c>
      <c r="P787" s="1" t="s">
        <v>74</v>
      </c>
      <c r="Q787" s="1" t="s">
        <v>74</v>
      </c>
      <c r="R787" s="1" t="s">
        <v>74</v>
      </c>
      <c r="S787" s="1" t="s">
        <v>74</v>
      </c>
      <c r="T787" s="1" t="s">
        <v>74</v>
      </c>
      <c r="U787" s="1" t="s">
        <v>74</v>
      </c>
      <c r="V787" s="1" t="s">
        <v>7326</v>
      </c>
      <c r="W787" s="1" t="s">
        <v>74</v>
      </c>
      <c r="X787" s="1" t="s">
        <v>74</v>
      </c>
      <c r="Y787" s="1" t="s">
        <v>74</v>
      </c>
      <c r="Z787" s="1" t="s">
        <v>74</v>
      </c>
      <c r="AA787" s="1" t="s">
        <v>7327</v>
      </c>
      <c r="AB787" s="1" t="s">
        <v>74</v>
      </c>
      <c r="AC787" s="1" t="s">
        <v>74</v>
      </c>
      <c r="AD787" s="1" t="s">
        <v>74</v>
      </c>
      <c r="AE787" s="1" t="s">
        <v>74</v>
      </c>
      <c r="AF787" s="1" t="s">
        <v>74</v>
      </c>
      <c r="AG787" s="1" t="s">
        <v>74</v>
      </c>
      <c r="AH787" s="1" t="s">
        <v>74</v>
      </c>
      <c r="AI787" s="1" t="s">
        <v>74</v>
      </c>
      <c r="AJ787" s="1" t="s">
        <v>74</v>
      </c>
      <c r="AK787" s="1" t="s">
        <v>74</v>
      </c>
      <c r="AL787" s="1" t="s">
        <v>74</v>
      </c>
      <c r="AM787" s="1" t="s">
        <v>74</v>
      </c>
      <c r="AN787" s="1" t="s">
        <v>74</v>
      </c>
      <c r="AO787" s="1" t="s">
        <v>74</v>
      </c>
      <c r="AP787" s="1" t="s">
        <v>74</v>
      </c>
      <c r="AQ787" s="1" t="s">
        <v>7328</v>
      </c>
      <c r="AR787" s="1" t="s">
        <v>74</v>
      </c>
      <c r="AS787" s="1" t="s">
        <v>74</v>
      </c>
      <c r="AT787" s="1" t="s">
        <v>74</v>
      </c>
      <c r="AU787" s="1">
        <v>2009.0</v>
      </c>
      <c r="AV787" s="1" t="s">
        <v>74</v>
      </c>
      <c r="AW787" s="1" t="s">
        <v>74</v>
      </c>
      <c r="AX787" s="1" t="s">
        <v>74</v>
      </c>
      <c r="AY787" s="1" t="s">
        <v>74</v>
      </c>
      <c r="AZ787" s="1" t="s">
        <v>74</v>
      </c>
      <c r="BA787" s="1" t="s">
        <v>74</v>
      </c>
      <c r="BB787" s="1">
        <v>121.0</v>
      </c>
      <c r="BC787" s="1">
        <v>131.0</v>
      </c>
      <c r="BD787" s="1" t="s">
        <v>74</v>
      </c>
      <c r="BE787" s="1" t="s">
        <v>7329</v>
      </c>
      <c r="BF787" s="2" t="str">
        <f>HYPERLINK("http://dx.doi.org/10.1007/978-1-4419-0555-0_9","http://dx.doi.org/10.1007/978-1-4419-0555-0_9")</f>
        <v>http://dx.doi.org/10.1007/978-1-4419-0555-0_9</v>
      </c>
      <c r="BG787" s="1" t="s">
        <v>7330</v>
      </c>
      <c r="BH787" s="1" t="s">
        <v>74</v>
      </c>
      <c r="BI787" s="1" t="s">
        <v>74</v>
      </c>
      <c r="BJ787" s="1" t="s">
        <v>74</v>
      </c>
      <c r="BK787" s="1" t="s">
        <v>74</v>
      </c>
      <c r="BL787" s="1" t="s">
        <v>74</v>
      </c>
      <c r="BM787" s="1" t="s">
        <v>74</v>
      </c>
      <c r="BN787" s="1" t="s">
        <v>74</v>
      </c>
      <c r="BO787" s="1" t="s">
        <v>74</v>
      </c>
      <c r="BP787" s="1" t="s">
        <v>74</v>
      </c>
      <c r="BQ787" s="1" t="s">
        <v>74</v>
      </c>
      <c r="BR787" s="1" t="s">
        <v>74</v>
      </c>
      <c r="BS787" s="1" t="s">
        <v>7331</v>
      </c>
      <c r="BT787" s="1" t="str">
        <f>HYPERLINK("https%3A%2F%2Fwww.webofscience.com%2Fwos%2Fwoscc%2Ffull-record%2FWOS:000270244600009","View Full Record in Web of Science")</f>
        <v>View Full Record in Web of Science</v>
      </c>
    </row>
    <row r="788" ht="12.75" customHeight="1">
      <c r="A788" s="1" t="s">
        <v>72</v>
      </c>
      <c r="B788" s="1" t="s">
        <v>7332</v>
      </c>
      <c r="C788" s="1" t="s">
        <v>74</v>
      </c>
      <c r="D788" s="1" t="s">
        <v>74</v>
      </c>
      <c r="E788" s="1" t="s">
        <v>74</v>
      </c>
      <c r="F788" s="1" t="s">
        <v>5712</v>
      </c>
      <c r="G788" s="1" t="s">
        <v>74</v>
      </c>
      <c r="H788" s="1" t="s">
        <v>74</v>
      </c>
      <c r="I788" s="1" t="s">
        <v>7333</v>
      </c>
      <c r="J788" s="1" t="s">
        <v>2371</v>
      </c>
      <c r="K788" s="1" t="s">
        <v>74</v>
      </c>
      <c r="L788" s="1" t="s">
        <v>74</v>
      </c>
      <c r="M788" s="1" t="s">
        <v>74</v>
      </c>
      <c r="N788" s="1" t="s">
        <v>74</v>
      </c>
      <c r="O788" s="1" t="s">
        <v>74</v>
      </c>
      <c r="P788" s="1" t="s">
        <v>74</v>
      </c>
      <c r="Q788" s="1" t="s">
        <v>74</v>
      </c>
      <c r="R788" s="1" t="s">
        <v>74</v>
      </c>
      <c r="S788" s="1" t="s">
        <v>74</v>
      </c>
      <c r="T788" s="1" t="s">
        <v>74</v>
      </c>
      <c r="U788" s="1" t="s">
        <v>74</v>
      </c>
      <c r="V788" s="1" t="s">
        <v>7334</v>
      </c>
      <c r="W788" s="1" t="s">
        <v>74</v>
      </c>
      <c r="X788" s="1" t="s">
        <v>74</v>
      </c>
      <c r="Y788" s="1" t="s">
        <v>74</v>
      </c>
      <c r="Z788" s="1" t="s">
        <v>74</v>
      </c>
      <c r="AA788" s="1" t="s">
        <v>1341</v>
      </c>
      <c r="AB788" s="1" t="s">
        <v>74</v>
      </c>
      <c r="AC788" s="1" t="s">
        <v>74</v>
      </c>
      <c r="AD788" s="1" t="s">
        <v>74</v>
      </c>
      <c r="AE788" s="1" t="s">
        <v>74</v>
      </c>
      <c r="AF788" s="1" t="s">
        <v>74</v>
      </c>
      <c r="AG788" s="1" t="s">
        <v>74</v>
      </c>
      <c r="AH788" s="1" t="s">
        <v>74</v>
      </c>
      <c r="AI788" s="1" t="s">
        <v>74</v>
      </c>
      <c r="AJ788" s="1" t="s">
        <v>74</v>
      </c>
      <c r="AK788" s="1" t="s">
        <v>74</v>
      </c>
      <c r="AL788" s="1" t="s">
        <v>74</v>
      </c>
      <c r="AM788" s="1" t="s">
        <v>74</v>
      </c>
      <c r="AN788" s="1" t="s">
        <v>74</v>
      </c>
      <c r="AO788" s="1" t="s">
        <v>2372</v>
      </c>
      <c r="AP788" s="1" t="s">
        <v>4363</v>
      </c>
      <c r="AQ788" s="1" t="s">
        <v>74</v>
      </c>
      <c r="AR788" s="1" t="s">
        <v>74</v>
      </c>
      <c r="AS788" s="1" t="s">
        <v>74</v>
      </c>
      <c r="AT788" s="1" t="s">
        <v>2668</v>
      </c>
      <c r="AU788" s="1">
        <v>2008.0</v>
      </c>
      <c r="AV788" s="1">
        <v>69.0</v>
      </c>
      <c r="AW788" s="1">
        <v>1.0</v>
      </c>
      <c r="AX788" s="1" t="s">
        <v>74</v>
      </c>
      <c r="AY788" s="1" t="s">
        <v>74</v>
      </c>
      <c r="AZ788" s="1" t="s">
        <v>74</v>
      </c>
      <c r="BA788" s="1" t="s">
        <v>74</v>
      </c>
      <c r="BB788" s="1">
        <v>349.0</v>
      </c>
      <c r="BC788" s="1">
        <v>362.0</v>
      </c>
      <c r="BD788" s="1" t="s">
        <v>74</v>
      </c>
      <c r="BE788" s="1" t="s">
        <v>7335</v>
      </c>
      <c r="BF788" s="2" t="str">
        <f>HYPERLINK("http://dx.doi.org/10.1016/j.na.2007.05.024","http://dx.doi.org/10.1016/j.na.2007.05.024")</f>
        <v>http://dx.doi.org/10.1016/j.na.2007.05.024</v>
      </c>
      <c r="BG788" s="1" t="s">
        <v>74</v>
      </c>
      <c r="BH788" s="1" t="s">
        <v>74</v>
      </c>
      <c r="BI788" s="1" t="s">
        <v>74</v>
      </c>
      <c r="BJ788" s="1" t="s">
        <v>74</v>
      </c>
      <c r="BK788" s="1" t="s">
        <v>74</v>
      </c>
      <c r="BL788" s="1" t="s">
        <v>74</v>
      </c>
      <c r="BM788" s="1" t="s">
        <v>74</v>
      </c>
      <c r="BN788" s="1" t="s">
        <v>74</v>
      </c>
      <c r="BO788" s="1" t="s">
        <v>74</v>
      </c>
      <c r="BP788" s="1" t="s">
        <v>74</v>
      </c>
      <c r="BQ788" s="1" t="s">
        <v>74</v>
      </c>
      <c r="BR788" s="1" t="s">
        <v>74</v>
      </c>
      <c r="BS788" s="1" t="s">
        <v>7336</v>
      </c>
      <c r="BT788" s="1" t="str">
        <f>HYPERLINK("https%3A%2F%2Fwww.webofscience.com%2Fwos%2Fwoscc%2Ffull-record%2FWOS:000256952200029","View Full Record in Web of Science")</f>
        <v>View Full Record in Web of Science</v>
      </c>
    </row>
    <row r="789" ht="12.75" customHeight="1">
      <c r="A789" s="1" t="s">
        <v>251</v>
      </c>
      <c r="B789" s="1" t="s">
        <v>7337</v>
      </c>
      <c r="C789" s="1" t="s">
        <v>74</v>
      </c>
      <c r="D789" s="1" t="s">
        <v>7338</v>
      </c>
      <c r="E789" s="1" t="s">
        <v>74</v>
      </c>
      <c r="F789" s="1" t="s">
        <v>7339</v>
      </c>
      <c r="G789" s="1" t="s">
        <v>74</v>
      </c>
      <c r="H789" s="1" t="s">
        <v>74</v>
      </c>
      <c r="I789" s="1" t="s">
        <v>7340</v>
      </c>
      <c r="J789" s="1" t="s">
        <v>7341</v>
      </c>
      <c r="K789" s="1" t="s">
        <v>7342</v>
      </c>
      <c r="L789" s="1" t="s">
        <v>74</v>
      </c>
      <c r="M789" s="1" t="s">
        <v>74</v>
      </c>
      <c r="N789" s="1" t="s">
        <v>74</v>
      </c>
      <c r="O789" s="1" t="s">
        <v>7343</v>
      </c>
      <c r="P789" s="1" t="s">
        <v>7344</v>
      </c>
      <c r="Q789" s="1" t="s">
        <v>7345</v>
      </c>
      <c r="R789" s="1" t="s">
        <v>7346</v>
      </c>
      <c r="S789" s="1" t="s">
        <v>74</v>
      </c>
      <c r="T789" s="1" t="s">
        <v>74</v>
      </c>
      <c r="U789" s="1" t="s">
        <v>74</v>
      </c>
      <c r="V789" s="1" t="s">
        <v>7347</v>
      </c>
      <c r="W789" s="1" t="s">
        <v>74</v>
      </c>
      <c r="X789" s="1" t="s">
        <v>74</v>
      </c>
      <c r="Y789" s="1" t="s">
        <v>74</v>
      </c>
      <c r="Z789" s="1" t="s">
        <v>74</v>
      </c>
      <c r="AA789" s="1" t="s">
        <v>7348</v>
      </c>
      <c r="AB789" s="1" t="s">
        <v>7349</v>
      </c>
      <c r="AC789" s="1" t="s">
        <v>74</v>
      </c>
      <c r="AD789" s="1" t="s">
        <v>74</v>
      </c>
      <c r="AE789" s="1" t="s">
        <v>74</v>
      </c>
      <c r="AF789" s="1" t="s">
        <v>74</v>
      </c>
      <c r="AG789" s="1" t="s">
        <v>74</v>
      </c>
      <c r="AH789" s="1" t="s">
        <v>74</v>
      </c>
      <c r="AI789" s="1" t="s">
        <v>74</v>
      </c>
      <c r="AJ789" s="1" t="s">
        <v>74</v>
      </c>
      <c r="AK789" s="1" t="s">
        <v>74</v>
      </c>
      <c r="AL789" s="1" t="s">
        <v>74</v>
      </c>
      <c r="AM789" s="1" t="s">
        <v>74</v>
      </c>
      <c r="AN789" s="1" t="s">
        <v>74</v>
      </c>
      <c r="AO789" s="1" t="s">
        <v>7350</v>
      </c>
      <c r="AP789" s="1" t="s">
        <v>74</v>
      </c>
      <c r="AQ789" s="1" t="s">
        <v>7351</v>
      </c>
      <c r="AR789" s="1" t="s">
        <v>74</v>
      </c>
      <c r="AS789" s="1" t="s">
        <v>74</v>
      </c>
      <c r="AT789" s="1" t="s">
        <v>74</v>
      </c>
      <c r="AU789" s="1">
        <v>2008.0</v>
      </c>
      <c r="AV789" s="1" t="s">
        <v>74</v>
      </c>
      <c r="AW789" s="1" t="s">
        <v>74</v>
      </c>
      <c r="AX789" s="1" t="s">
        <v>74</v>
      </c>
      <c r="AY789" s="1" t="s">
        <v>74</v>
      </c>
      <c r="AZ789" s="1" t="s">
        <v>74</v>
      </c>
      <c r="BA789" s="1" t="s">
        <v>74</v>
      </c>
      <c r="BB789" s="1">
        <v>414.0</v>
      </c>
      <c r="BC789" s="1" t="s">
        <v>576</v>
      </c>
      <c r="BD789" s="1" t="s">
        <v>74</v>
      </c>
      <c r="BE789" s="1" t="s">
        <v>7352</v>
      </c>
      <c r="BF789" s="2" t="str">
        <f>HYPERLINK("http://dx.doi.org/10.1109/PDP.2008.84","http://dx.doi.org/10.1109/PDP.2008.84")</f>
        <v>http://dx.doi.org/10.1109/PDP.2008.84</v>
      </c>
      <c r="BG789" s="1" t="s">
        <v>74</v>
      </c>
      <c r="BH789" s="1" t="s">
        <v>74</v>
      </c>
      <c r="BI789" s="1" t="s">
        <v>74</v>
      </c>
      <c r="BJ789" s="1" t="s">
        <v>74</v>
      </c>
      <c r="BK789" s="1" t="s">
        <v>74</v>
      </c>
      <c r="BL789" s="1" t="s">
        <v>74</v>
      </c>
      <c r="BM789" s="1" t="s">
        <v>74</v>
      </c>
      <c r="BN789" s="1" t="s">
        <v>74</v>
      </c>
      <c r="BO789" s="1" t="s">
        <v>74</v>
      </c>
      <c r="BP789" s="1" t="s">
        <v>74</v>
      </c>
      <c r="BQ789" s="1" t="s">
        <v>74</v>
      </c>
      <c r="BR789" s="1" t="s">
        <v>74</v>
      </c>
      <c r="BS789" s="1" t="s">
        <v>7353</v>
      </c>
      <c r="BT789" s="1" t="str">
        <f>HYPERLINK("https%3A%2F%2Fwww.webofscience.com%2Fwos%2Fwoscc%2Ffull-record%2FWOS:000254266500055","View Full Record in Web of Science")</f>
        <v>View Full Record in Web of Science</v>
      </c>
    </row>
    <row r="790" ht="12.75" customHeight="1">
      <c r="A790" s="1" t="s">
        <v>72</v>
      </c>
      <c r="B790" s="1" t="s">
        <v>7354</v>
      </c>
      <c r="C790" s="1" t="s">
        <v>74</v>
      </c>
      <c r="D790" s="1" t="s">
        <v>74</v>
      </c>
      <c r="E790" s="1" t="s">
        <v>74</v>
      </c>
      <c r="F790" s="1" t="s">
        <v>7355</v>
      </c>
      <c r="G790" s="1" t="s">
        <v>74</v>
      </c>
      <c r="H790" s="1" t="s">
        <v>74</v>
      </c>
      <c r="I790" s="1" t="s">
        <v>7356</v>
      </c>
      <c r="J790" s="1" t="s">
        <v>689</v>
      </c>
      <c r="K790" s="1" t="s">
        <v>74</v>
      </c>
      <c r="L790" s="1" t="s">
        <v>74</v>
      </c>
      <c r="M790" s="1" t="s">
        <v>74</v>
      </c>
      <c r="N790" s="1" t="s">
        <v>74</v>
      </c>
      <c r="O790" s="1" t="s">
        <v>74</v>
      </c>
      <c r="P790" s="1" t="s">
        <v>74</v>
      </c>
      <c r="Q790" s="1" t="s">
        <v>74</v>
      </c>
      <c r="R790" s="1" t="s">
        <v>74</v>
      </c>
      <c r="S790" s="1" t="s">
        <v>74</v>
      </c>
      <c r="T790" s="1" t="s">
        <v>74</v>
      </c>
      <c r="U790" s="1" t="s">
        <v>74</v>
      </c>
      <c r="V790" s="1" t="s">
        <v>7357</v>
      </c>
      <c r="W790" s="1" t="s">
        <v>74</v>
      </c>
      <c r="X790" s="1" t="s">
        <v>74</v>
      </c>
      <c r="Y790" s="1" t="s">
        <v>74</v>
      </c>
      <c r="Z790" s="1" t="s">
        <v>74</v>
      </c>
      <c r="AA790" s="1" t="s">
        <v>2302</v>
      </c>
      <c r="AB790" s="1" t="s">
        <v>2303</v>
      </c>
      <c r="AC790" s="1" t="s">
        <v>74</v>
      </c>
      <c r="AD790" s="1" t="s">
        <v>74</v>
      </c>
      <c r="AE790" s="1" t="s">
        <v>74</v>
      </c>
      <c r="AF790" s="1" t="s">
        <v>74</v>
      </c>
      <c r="AG790" s="1" t="s">
        <v>74</v>
      </c>
      <c r="AH790" s="1" t="s">
        <v>74</v>
      </c>
      <c r="AI790" s="1" t="s">
        <v>74</v>
      </c>
      <c r="AJ790" s="1" t="s">
        <v>74</v>
      </c>
      <c r="AK790" s="1" t="s">
        <v>74</v>
      </c>
      <c r="AL790" s="1" t="s">
        <v>74</v>
      </c>
      <c r="AM790" s="1" t="s">
        <v>74</v>
      </c>
      <c r="AN790" s="1" t="s">
        <v>74</v>
      </c>
      <c r="AO790" s="1" t="s">
        <v>692</v>
      </c>
      <c r="AP790" s="1" t="s">
        <v>693</v>
      </c>
      <c r="AQ790" s="1" t="s">
        <v>74</v>
      </c>
      <c r="AR790" s="1" t="s">
        <v>74</v>
      </c>
      <c r="AS790" s="1" t="s">
        <v>74</v>
      </c>
      <c r="AT790" s="1" t="s">
        <v>694</v>
      </c>
      <c r="AU790" s="1">
        <v>2007.0</v>
      </c>
      <c r="AV790" s="1">
        <v>331.0</v>
      </c>
      <c r="AW790" s="1">
        <v>2.0</v>
      </c>
      <c r="AX790" s="1" t="s">
        <v>74</v>
      </c>
      <c r="AY790" s="1" t="s">
        <v>74</v>
      </c>
      <c r="AZ790" s="1" t="s">
        <v>74</v>
      </c>
      <c r="BA790" s="1" t="s">
        <v>74</v>
      </c>
      <c r="BB790" s="1">
        <v>1135.0</v>
      </c>
      <c r="BC790" s="1">
        <v>1158.0</v>
      </c>
      <c r="BD790" s="1" t="s">
        <v>74</v>
      </c>
      <c r="BE790" s="1" t="s">
        <v>7358</v>
      </c>
      <c r="BF790" s="2" t="str">
        <f>HYPERLINK("http://dx.doi.org/10.1016/j.jmaa.2006.09.043","http://dx.doi.org/10.1016/j.jmaa.2006.09.043")</f>
        <v>http://dx.doi.org/10.1016/j.jmaa.2006.09.043</v>
      </c>
      <c r="BG790" s="1" t="s">
        <v>74</v>
      </c>
      <c r="BH790" s="1" t="s">
        <v>74</v>
      </c>
      <c r="BI790" s="1" t="s">
        <v>74</v>
      </c>
      <c r="BJ790" s="1" t="s">
        <v>74</v>
      </c>
      <c r="BK790" s="1" t="s">
        <v>74</v>
      </c>
      <c r="BL790" s="1" t="s">
        <v>74</v>
      </c>
      <c r="BM790" s="1" t="s">
        <v>74</v>
      </c>
      <c r="BN790" s="1" t="s">
        <v>74</v>
      </c>
      <c r="BO790" s="1" t="s">
        <v>74</v>
      </c>
      <c r="BP790" s="1" t="s">
        <v>74</v>
      </c>
      <c r="BQ790" s="1" t="s">
        <v>74</v>
      </c>
      <c r="BR790" s="1" t="s">
        <v>74</v>
      </c>
      <c r="BS790" s="1" t="s">
        <v>7359</v>
      </c>
      <c r="BT790" s="1" t="str">
        <f>HYPERLINK("https%3A%2F%2Fwww.webofscience.com%2Fwos%2Fwoscc%2Ffull-record%2FWOS:000245822600027","View Full Record in Web of Science")</f>
        <v>View Full Record in Web of Science</v>
      </c>
    </row>
    <row r="791" ht="12.75" customHeight="1">
      <c r="A791" s="1" t="s">
        <v>72</v>
      </c>
      <c r="B791" s="1" t="s">
        <v>7360</v>
      </c>
      <c r="C791" s="1" t="s">
        <v>74</v>
      </c>
      <c r="D791" s="1" t="s">
        <v>74</v>
      </c>
      <c r="E791" s="1" t="s">
        <v>74</v>
      </c>
      <c r="F791" s="1" t="s">
        <v>7360</v>
      </c>
      <c r="G791" s="1" t="s">
        <v>74</v>
      </c>
      <c r="H791" s="1" t="s">
        <v>74</v>
      </c>
      <c r="I791" s="1" t="s">
        <v>7361</v>
      </c>
      <c r="J791" s="1" t="s">
        <v>7362</v>
      </c>
      <c r="K791" s="1" t="s">
        <v>74</v>
      </c>
      <c r="L791" s="1" t="s">
        <v>74</v>
      </c>
      <c r="M791" s="1" t="s">
        <v>74</v>
      </c>
      <c r="N791" s="1" t="s">
        <v>74</v>
      </c>
      <c r="O791" s="1" t="s">
        <v>74</v>
      </c>
      <c r="P791" s="1" t="s">
        <v>74</v>
      </c>
      <c r="Q791" s="1" t="s">
        <v>74</v>
      </c>
      <c r="R791" s="1" t="s">
        <v>74</v>
      </c>
      <c r="S791" s="1" t="s">
        <v>74</v>
      </c>
      <c r="T791" s="1" t="s">
        <v>74</v>
      </c>
      <c r="U791" s="1" t="s">
        <v>74</v>
      </c>
      <c r="V791" s="1" t="s">
        <v>7363</v>
      </c>
      <c r="W791" s="1" t="s">
        <v>74</v>
      </c>
      <c r="X791" s="1" t="s">
        <v>74</v>
      </c>
      <c r="Y791" s="1" t="s">
        <v>74</v>
      </c>
      <c r="Z791" s="1" t="s">
        <v>74</v>
      </c>
      <c r="AA791" s="1" t="s">
        <v>7364</v>
      </c>
      <c r="AB791" s="1" t="s">
        <v>7365</v>
      </c>
      <c r="AC791" s="1" t="s">
        <v>74</v>
      </c>
      <c r="AD791" s="1" t="s">
        <v>74</v>
      </c>
      <c r="AE791" s="1" t="s">
        <v>74</v>
      </c>
      <c r="AF791" s="1" t="s">
        <v>74</v>
      </c>
      <c r="AG791" s="1" t="s">
        <v>74</v>
      </c>
      <c r="AH791" s="1" t="s">
        <v>74</v>
      </c>
      <c r="AI791" s="1" t="s">
        <v>74</v>
      </c>
      <c r="AJ791" s="1" t="s">
        <v>74</v>
      </c>
      <c r="AK791" s="1" t="s">
        <v>74</v>
      </c>
      <c r="AL791" s="1" t="s">
        <v>74</v>
      </c>
      <c r="AM791" s="1" t="s">
        <v>74</v>
      </c>
      <c r="AN791" s="1" t="s">
        <v>74</v>
      </c>
      <c r="AO791" s="1" t="s">
        <v>7366</v>
      </c>
      <c r="AP791" s="1" t="s">
        <v>74</v>
      </c>
      <c r="AQ791" s="1" t="s">
        <v>74</v>
      </c>
      <c r="AR791" s="1" t="s">
        <v>74</v>
      </c>
      <c r="AS791" s="1" t="s">
        <v>74</v>
      </c>
      <c r="AT791" s="1" t="s">
        <v>3903</v>
      </c>
      <c r="AU791" s="1">
        <v>2006.0</v>
      </c>
      <c r="AV791" s="1">
        <v>66.0</v>
      </c>
      <c r="AW791" s="1">
        <v>13.0</v>
      </c>
      <c r="AX791" s="1" t="s">
        <v>74</v>
      </c>
      <c r="AY791" s="1" t="s">
        <v>74</v>
      </c>
      <c r="AZ791" s="1" t="s">
        <v>74</v>
      </c>
      <c r="BA791" s="1" t="s">
        <v>74</v>
      </c>
      <c r="BB791" s="1">
        <v>2035.0</v>
      </c>
      <c r="BC791" s="1">
        <v>2063.0</v>
      </c>
      <c r="BD791" s="1" t="s">
        <v>74</v>
      </c>
      <c r="BE791" s="1" t="s">
        <v>7367</v>
      </c>
      <c r="BF791" s="2" t="str">
        <f>HYPERLINK("http://dx.doi.org/10.1002/nme.1616","http://dx.doi.org/10.1002/nme.1616")</f>
        <v>http://dx.doi.org/10.1002/nme.1616</v>
      </c>
      <c r="BG791" s="1" t="s">
        <v>74</v>
      </c>
      <c r="BH791" s="1" t="s">
        <v>74</v>
      </c>
      <c r="BI791" s="1" t="s">
        <v>74</v>
      </c>
      <c r="BJ791" s="1" t="s">
        <v>74</v>
      </c>
      <c r="BK791" s="1" t="s">
        <v>74</v>
      </c>
      <c r="BL791" s="1" t="s">
        <v>74</v>
      </c>
      <c r="BM791" s="1" t="s">
        <v>74</v>
      </c>
      <c r="BN791" s="1" t="s">
        <v>74</v>
      </c>
      <c r="BO791" s="1" t="s">
        <v>74</v>
      </c>
      <c r="BP791" s="1" t="s">
        <v>74</v>
      </c>
      <c r="BQ791" s="1" t="s">
        <v>74</v>
      </c>
      <c r="BR791" s="1" t="s">
        <v>74</v>
      </c>
      <c r="BS791" s="1" t="s">
        <v>7368</v>
      </c>
      <c r="BT791" s="1" t="str">
        <f>HYPERLINK("https%3A%2F%2Fwww.webofscience.com%2Fwos%2Fwoscc%2Ffull-record%2FWOS:000238703500003","View Full Record in Web of Science")</f>
        <v>View Full Record in Web of Science</v>
      </c>
    </row>
    <row r="792" ht="12.75" customHeight="1">
      <c r="A792" s="1" t="s">
        <v>72</v>
      </c>
      <c r="B792" s="1" t="s">
        <v>7369</v>
      </c>
      <c r="C792" s="1" t="s">
        <v>74</v>
      </c>
      <c r="D792" s="1" t="s">
        <v>74</v>
      </c>
      <c r="E792" s="1" t="s">
        <v>74</v>
      </c>
      <c r="F792" s="1" t="s">
        <v>7370</v>
      </c>
      <c r="G792" s="1" t="s">
        <v>74</v>
      </c>
      <c r="H792" s="1" t="s">
        <v>74</v>
      </c>
      <c r="I792" s="1" t="s">
        <v>7371</v>
      </c>
      <c r="J792" s="1" t="s">
        <v>7372</v>
      </c>
      <c r="K792" s="1" t="s">
        <v>74</v>
      </c>
      <c r="L792" s="1" t="s">
        <v>74</v>
      </c>
      <c r="M792" s="1" t="s">
        <v>74</v>
      </c>
      <c r="N792" s="1" t="s">
        <v>74</v>
      </c>
      <c r="O792" s="1" t="s">
        <v>74</v>
      </c>
      <c r="P792" s="1" t="s">
        <v>74</v>
      </c>
      <c r="Q792" s="1" t="s">
        <v>74</v>
      </c>
      <c r="R792" s="1" t="s">
        <v>74</v>
      </c>
      <c r="S792" s="1" t="s">
        <v>74</v>
      </c>
      <c r="T792" s="1" t="s">
        <v>74</v>
      </c>
      <c r="U792" s="1" t="s">
        <v>74</v>
      </c>
      <c r="V792" s="1" t="s">
        <v>7373</v>
      </c>
      <c r="W792" s="1" t="s">
        <v>74</v>
      </c>
      <c r="X792" s="1" t="s">
        <v>74</v>
      </c>
      <c r="Y792" s="1" t="s">
        <v>74</v>
      </c>
      <c r="Z792" s="1" t="s">
        <v>74</v>
      </c>
      <c r="AA792" s="1" t="s">
        <v>7374</v>
      </c>
      <c r="AB792" s="1" t="s">
        <v>7375</v>
      </c>
      <c r="AC792" s="1" t="s">
        <v>74</v>
      </c>
      <c r="AD792" s="1" t="s">
        <v>74</v>
      </c>
      <c r="AE792" s="1" t="s">
        <v>74</v>
      </c>
      <c r="AF792" s="1" t="s">
        <v>74</v>
      </c>
      <c r="AG792" s="1" t="s">
        <v>74</v>
      </c>
      <c r="AH792" s="1" t="s">
        <v>74</v>
      </c>
      <c r="AI792" s="1" t="s">
        <v>74</v>
      </c>
      <c r="AJ792" s="1" t="s">
        <v>74</v>
      </c>
      <c r="AK792" s="1" t="s">
        <v>74</v>
      </c>
      <c r="AL792" s="1" t="s">
        <v>74</v>
      </c>
      <c r="AM792" s="1" t="s">
        <v>74</v>
      </c>
      <c r="AN792" s="1" t="s">
        <v>74</v>
      </c>
      <c r="AO792" s="1" t="s">
        <v>7376</v>
      </c>
      <c r="AP792" s="1" t="s">
        <v>7377</v>
      </c>
      <c r="AQ792" s="1" t="s">
        <v>74</v>
      </c>
      <c r="AR792" s="1" t="s">
        <v>74</v>
      </c>
      <c r="AS792" s="1" t="s">
        <v>74</v>
      </c>
      <c r="AT792" s="1" t="s">
        <v>215</v>
      </c>
      <c r="AU792" s="1">
        <v>2006.0</v>
      </c>
      <c r="AV792" s="1">
        <v>12.0</v>
      </c>
      <c r="AW792" s="1">
        <v>2.0</v>
      </c>
      <c r="AX792" s="1" t="s">
        <v>74</v>
      </c>
      <c r="AY792" s="1" t="s">
        <v>74</v>
      </c>
      <c r="AZ792" s="1" t="s">
        <v>74</v>
      </c>
      <c r="BA792" s="1" t="s">
        <v>74</v>
      </c>
      <c r="BB792" s="1">
        <v>205.0</v>
      </c>
      <c r="BC792" s="1">
        <v>222.0</v>
      </c>
      <c r="BD792" s="1" t="s">
        <v>74</v>
      </c>
      <c r="BE792" s="1" t="s">
        <v>7378</v>
      </c>
      <c r="BF792" s="2" t="str">
        <f>HYPERLINK("http://dx.doi.org/10.1007/s10985-006-9001-5","http://dx.doi.org/10.1007/s10985-006-9001-5")</f>
        <v>http://dx.doi.org/10.1007/s10985-006-9001-5</v>
      </c>
      <c r="BG792" s="1" t="s">
        <v>74</v>
      </c>
      <c r="BH792" s="1" t="s">
        <v>74</v>
      </c>
      <c r="BI792" s="1" t="s">
        <v>74</v>
      </c>
      <c r="BJ792" s="1" t="s">
        <v>74</v>
      </c>
      <c r="BK792" s="1" t="s">
        <v>74</v>
      </c>
      <c r="BL792" s="1" t="s">
        <v>74</v>
      </c>
      <c r="BM792" s="1" t="s">
        <v>74</v>
      </c>
      <c r="BN792" s="1">
        <v>1.6868839E7</v>
      </c>
      <c r="BO792" s="1" t="s">
        <v>74</v>
      </c>
      <c r="BP792" s="1" t="s">
        <v>74</v>
      </c>
      <c r="BQ792" s="1" t="s">
        <v>74</v>
      </c>
      <c r="BR792" s="1" t="s">
        <v>74</v>
      </c>
      <c r="BS792" s="1" t="s">
        <v>7379</v>
      </c>
      <c r="BT792" s="1" t="str">
        <f>HYPERLINK("https%3A%2F%2Fwww.webofscience.com%2Fwos%2Fwoscc%2Ffull-record%2FWOS:000239737100005","View Full Record in Web of Science")</f>
        <v>View Full Record in Web of Science</v>
      </c>
    </row>
    <row r="793" ht="12.75" customHeight="1">
      <c r="A793" s="1" t="s">
        <v>72</v>
      </c>
      <c r="B793" s="1" t="s">
        <v>7380</v>
      </c>
      <c r="C793" s="1" t="s">
        <v>74</v>
      </c>
      <c r="D793" s="1" t="s">
        <v>74</v>
      </c>
      <c r="E793" s="1" t="s">
        <v>74</v>
      </c>
      <c r="F793" s="1" t="s">
        <v>7380</v>
      </c>
      <c r="G793" s="1" t="s">
        <v>74</v>
      </c>
      <c r="H793" s="1" t="s">
        <v>74</v>
      </c>
      <c r="I793" s="1" t="s">
        <v>7381</v>
      </c>
      <c r="J793" s="1" t="s">
        <v>2313</v>
      </c>
      <c r="K793" s="1" t="s">
        <v>74</v>
      </c>
      <c r="L793" s="1" t="s">
        <v>74</v>
      </c>
      <c r="M793" s="1" t="s">
        <v>74</v>
      </c>
      <c r="N793" s="1" t="s">
        <v>74</v>
      </c>
      <c r="O793" s="1" t="s">
        <v>74</v>
      </c>
      <c r="P793" s="1" t="s">
        <v>74</v>
      </c>
      <c r="Q793" s="1" t="s">
        <v>74</v>
      </c>
      <c r="R793" s="1" t="s">
        <v>74</v>
      </c>
      <c r="S793" s="1" t="s">
        <v>74</v>
      </c>
      <c r="T793" s="1" t="s">
        <v>74</v>
      </c>
      <c r="U793" s="1" t="s">
        <v>74</v>
      </c>
      <c r="V793" s="1" t="s">
        <v>7382</v>
      </c>
      <c r="W793" s="1" t="s">
        <v>74</v>
      </c>
      <c r="X793" s="1" t="s">
        <v>74</v>
      </c>
      <c r="Y793" s="1" t="s">
        <v>74</v>
      </c>
      <c r="Z793" s="1" t="s">
        <v>74</v>
      </c>
      <c r="AA793" s="1" t="s">
        <v>7383</v>
      </c>
      <c r="AB793" s="1" t="s">
        <v>7384</v>
      </c>
      <c r="AC793" s="1" t="s">
        <v>74</v>
      </c>
      <c r="AD793" s="1" t="s">
        <v>74</v>
      </c>
      <c r="AE793" s="1" t="s">
        <v>74</v>
      </c>
      <c r="AF793" s="1" t="s">
        <v>74</v>
      </c>
      <c r="AG793" s="1" t="s">
        <v>74</v>
      </c>
      <c r="AH793" s="1" t="s">
        <v>74</v>
      </c>
      <c r="AI793" s="1" t="s">
        <v>74</v>
      </c>
      <c r="AJ793" s="1" t="s">
        <v>74</v>
      </c>
      <c r="AK793" s="1" t="s">
        <v>74</v>
      </c>
      <c r="AL793" s="1" t="s">
        <v>74</v>
      </c>
      <c r="AM793" s="1" t="s">
        <v>74</v>
      </c>
      <c r="AN793" s="1" t="s">
        <v>74</v>
      </c>
      <c r="AO793" s="1" t="s">
        <v>2317</v>
      </c>
      <c r="AP793" s="1" t="s">
        <v>2318</v>
      </c>
      <c r="AQ793" s="1" t="s">
        <v>74</v>
      </c>
      <c r="AR793" s="1" t="s">
        <v>74</v>
      </c>
      <c r="AS793" s="1" t="s">
        <v>74</v>
      </c>
      <c r="AT793" s="1" t="s">
        <v>7385</v>
      </c>
      <c r="AU793" s="1">
        <v>2005.0</v>
      </c>
      <c r="AV793" s="1">
        <v>628.0</v>
      </c>
      <c r="AW793" s="1" t="s">
        <v>2150</v>
      </c>
      <c r="AX793" s="1" t="s">
        <v>74</v>
      </c>
      <c r="AY793" s="1" t="s">
        <v>74</v>
      </c>
      <c r="AZ793" s="1" t="s">
        <v>74</v>
      </c>
      <c r="BA793" s="1" t="s">
        <v>74</v>
      </c>
      <c r="BB793" s="1">
        <v>157.0</v>
      </c>
      <c r="BC793" s="1">
        <v>164.0</v>
      </c>
      <c r="BD793" s="1" t="s">
        <v>74</v>
      </c>
      <c r="BE793" s="1" t="s">
        <v>7386</v>
      </c>
      <c r="BF793" s="2" t="str">
        <f>HYPERLINK("http://dx.doi.org/10.1016/j.physletb.2005.09.046","http://dx.doi.org/10.1016/j.physletb.2005.09.046")</f>
        <v>http://dx.doi.org/10.1016/j.physletb.2005.09.046</v>
      </c>
      <c r="BG793" s="1" t="s">
        <v>74</v>
      </c>
      <c r="BH793" s="1" t="s">
        <v>74</v>
      </c>
      <c r="BI793" s="1" t="s">
        <v>74</v>
      </c>
      <c r="BJ793" s="1" t="s">
        <v>74</v>
      </c>
      <c r="BK793" s="1" t="s">
        <v>74</v>
      </c>
      <c r="BL793" s="1" t="s">
        <v>74</v>
      </c>
      <c r="BM793" s="1" t="s">
        <v>74</v>
      </c>
      <c r="BN793" s="1" t="s">
        <v>74</v>
      </c>
      <c r="BO793" s="1" t="s">
        <v>74</v>
      </c>
      <c r="BP793" s="1" t="s">
        <v>74</v>
      </c>
      <c r="BQ793" s="1" t="s">
        <v>74</v>
      </c>
      <c r="BR793" s="1" t="s">
        <v>74</v>
      </c>
      <c r="BS793" s="1" t="s">
        <v>7387</v>
      </c>
      <c r="BT793" s="1" t="str">
        <f>HYPERLINK("https%3A%2F%2Fwww.webofscience.com%2Fwos%2Fwoscc%2Ffull-record%2FWOS:000232955800019","View Full Record in Web of Science")</f>
        <v>View Full Record in Web of Science</v>
      </c>
    </row>
    <row r="794" ht="12.75" customHeight="1">
      <c r="A794" s="1" t="s">
        <v>72</v>
      </c>
      <c r="B794" s="1" t="s">
        <v>7388</v>
      </c>
      <c r="C794" s="1" t="s">
        <v>74</v>
      </c>
      <c r="D794" s="1" t="s">
        <v>74</v>
      </c>
      <c r="E794" s="1" t="s">
        <v>74</v>
      </c>
      <c r="F794" s="1" t="s">
        <v>7388</v>
      </c>
      <c r="G794" s="1" t="s">
        <v>74</v>
      </c>
      <c r="H794" s="1" t="s">
        <v>74</v>
      </c>
      <c r="I794" s="1" t="s">
        <v>7389</v>
      </c>
      <c r="J794" s="1" t="s">
        <v>7390</v>
      </c>
      <c r="K794" s="1" t="s">
        <v>74</v>
      </c>
      <c r="L794" s="1" t="s">
        <v>74</v>
      </c>
      <c r="M794" s="1" t="s">
        <v>74</v>
      </c>
      <c r="N794" s="1" t="s">
        <v>74</v>
      </c>
      <c r="O794" s="1" t="s">
        <v>74</v>
      </c>
      <c r="P794" s="1" t="s">
        <v>74</v>
      </c>
      <c r="Q794" s="1" t="s">
        <v>74</v>
      </c>
      <c r="R794" s="1" t="s">
        <v>74</v>
      </c>
      <c r="S794" s="1" t="s">
        <v>74</v>
      </c>
      <c r="T794" s="1" t="s">
        <v>74</v>
      </c>
      <c r="U794" s="1" t="s">
        <v>74</v>
      </c>
      <c r="V794" s="1" t="s">
        <v>7391</v>
      </c>
      <c r="W794" s="1" t="s">
        <v>74</v>
      </c>
      <c r="X794" s="1" t="s">
        <v>74</v>
      </c>
      <c r="Y794" s="1" t="s">
        <v>74</v>
      </c>
      <c r="Z794" s="1" t="s">
        <v>74</v>
      </c>
      <c r="AA794" s="1" t="s">
        <v>7392</v>
      </c>
      <c r="AB794" s="1" t="s">
        <v>7393</v>
      </c>
      <c r="AC794" s="1" t="s">
        <v>74</v>
      </c>
      <c r="AD794" s="1" t="s">
        <v>74</v>
      </c>
      <c r="AE794" s="1" t="s">
        <v>74</v>
      </c>
      <c r="AF794" s="1" t="s">
        <v>74</v>
      </c>
      <c r="AG794" s="1" t="s">
        <v>74</v>
      </c>
      <c r="AH794" s="1" t="s">
        <v>74</v>
      </c>
      <c r="AI794" s="1" t="s">
        <v>74</v>
      </c>
      <c r="AJ794" s="1" t="s">
        <v>74</v>
      </c>
      <c r="AK794" s="1" t="s">
        <v>74</v>
      </c>
      <c r="AL794" s="1" t="s">
        <v>74</v>
      </c>
      <c r="AM794" s="1" t="s">
        <v>74</v>
      </c>
      <c r="AN794" s="1" t="s">
        <v>74</v>
      </c>
      <c r="AO794" s="1" t="s">
        <v>7394</v>
      </c>
      <c r="AP794" s="1" t="s">
        <v>7395</v>
      </c>
      <c r="AQ794" s="1" t="s">
        <v>74</v>
      </c>
      <c r="AR794" s="1" t="s">
        <v>74</v>
      </c>
      <c r="AS794" s="1" t="s">
        <v>74</v>
      </c>
      <c r="AT794" s="1" t="s">
        <v>74</v>
      </c>
      <c r="AU794" s="1">
        <v>2004.0</v>
      </c>
      <c r="AV794" s="1">
        <v>96.0</v>
      </c>
      <c r="AW794" s="1">
        <v>5.0</v>
      </c>
      <c r="AX794" s="1" t="s">
        <v>74</v>
      </c>
      <c r="AY794" s="1" t="s">
        <v>74</v>
      </c>
      <c r="AZ794" s="1" t="s">
        <v>74</v>
      </c>
      <c r="BA794" s="1" t="s">
        <v>74</v>
      </c>
      <c r="BB794" s="1">
        <v>1161.0</v>
      </c>
      <c r="BC794" s="1">
        <v>1168.0</v>
      </c>
      <c r="BD794" s="1" t="s">
        <v>74</v>
      </c>
      <c r="BE794" s="1" t="s">
        <v>7396</v>
      </c>
      <c r="BF794" s="2" t="str">
        <f>HYPERLINK("http://dx.doi.org/10.1111/j.1365-2672.2004.02255.x","http://dx.doi.org/10.1111/j.1365-2672.2004.02255.x")</f>
        <v>http://dx.doi.org/10.1111/j.1365-2672.2004.02255.x</v>
      </c>
      <c r="BG794" s="1" t="s">
        <v>74</v>
      </c>
      <c r="BH794" s="1" t="s">
        <v>74</v>
      </c>
      <c r="BI794" s="1" t="s">
        <v>74</v>
      </c>
      <c r="BJ794" s="1" t="s">
        <v>74</v>
      </c>
      <c r="BK794" s="1" t="s">
        <v>74</v>
      </c>
      <c r="BL794" s="1" t="s">
        <v>74</v>
      </c>
      <c r="BM794" s="1" t="s">
        <v>74</v>
      </c>
      <c r="BN794" s="1">
        <v>1.5078534E7</v>
      </c>
      <c r="BO794" s="1" t="s">
        <v>74</v>
      </c>
      <c r="BP794" s="1" t="s">
        <v>74</v>
      </c>
      <c r="BQ794" s="1" t="s">
        <v>74</v>
      </c>
      <c r="BR794" s="1" t="s">
        <v>74</v>
      </c>
      <c r="BS794" s="1" t="s">
        <v>7397</v>
      </c>
      <c r="BT794" s="1" t="str">
        <f>HYPERLINK("https%3A%2F%2Fwww.webofscience.com%2Fwos%2Fwoscc%2Ffull-record%2FWOS:000221329000030","View Full Record in Web of Science")</f>
        <v>View Full Record in Web of Science</v>
      </c>
    </row>
    <row r="795" ht="12.75" customHeight="1">
      <c r="A795" s="1" t="s">
        <v>72</v>
      </c>
      <c r="B795" s="1" t="s">
        <v>7398</v>
      </c>
      <c r="C795" s="1" t="s">
        <v>74</v>
      </c>
      <c r="D795" s="1" t="s">
        <v>74</v>
      </c>
      <c r="E795" s="1" t="s">
        <v>74</v>
      </c>
      <c r="F795" s="1" t="s">
        <v>7398</v>
      </c>
      <c r="G795" s="1" t="s">
        <v>74</v>
      </c>
      <c r="H795" s="1" t="s">
        <v>74</v>
      </c>
      <c r="I795" s="1" t="s">
        <v>7399</v>
      </c>
      <c r="J795" s="1" t="s">
        <v>2640</v>
      </c>
      <c r="K795" s="1" t="s">
        <v>74</v>
      </c>
      <c r="L795" s="1" t="s">
        <v>74</v>
      </c>
      <c r="M795" s="1" t="s">
        <v>74</v>
      </c>
      <c r="N795" s="1" t="s">
        <v>74</v>
      </c>
      <c r="O795" s="1" t="s">
        <v>7400</v>
      </c>
      <c r="P795" s="1" t="s">
        <v>7401</v>
      </c>
      <c r="Q795" s="1" t="s">
        <v>7402</v>
      </c>
      <c r="R795" s="1" t="s">
        <v>74</v>
      </c>
      <c r="S795" s="1" t="s">
        <v>74</v>
      </c>
      <c r="T795" s="1" t="s">
        <v>74</v>
      </c>
      <c r="U795" s="1" t="s">
        <v>74</v>
      </c>
      <c r="V795" s="1" t="s">
        <v>7403</v>
      </c>
      <c r="W795" s="1" t="s">
        <v>74</v>
      </c>
      <c r="X795" s="1" t="s">
        <v>74</v>
      </c>
      <c r="Y795" s="1" t="s">
        <v>74</v>
      </c>
      <c r="Z795" s="1" t="s">
        <v>74</v>
      </c>
      <c r="AA795" s="1" t="s">
        <v>7404</v>
      </c>
      <c r="AB795" s="1" t="s">
        <v>2643</v>
      </c>
      <c r="AC795" s="1" t="s">
        <v>74</v>
      </c>
      <c r="AD795" s="1" t="s">
        <v>74</v>
      </c>
      <c r="AE795" s="1" t="s">
        <v>74</v>
      </c>
      <c r="AF795" s="1" t="s">
        <v>74</v>
      </c>
      <c r="AG795" s="1" t="s">
        <v>74</v>
      </c>
      <c r="AH795" s="1" t="s">
        <v>74</v>
      </c>
      <c r="AI795" s="1" t="s">
        <v>74</v>
      </c>
      <c r="AJ795" s="1" t="s">
        <v>74</v>
      </c>
      <c r="AK795" s="1" t="s">
        <v>74</v>
      </c>
      <c r="AL795" s="1" t="s">
        <v>74</v>
      </c>
      <c r="AM795" s="1" t="s">
        <v>74</v>
      </c>
      <c r="AN795" s="1" t="s">
        <v>74</v>
      </c>
      <c r="AO795" s="1" t="s">
        <v>2644</v>
      </c>
      <c r="AP795" s="1" t="s">
        <v>2645</v>
      </c>
      <c r="AQ795" s="1" t="s">
        <v>74</v>
      </c>
      <c r="AR795" s="1" t="s">
        <v>74</v>
      </c>
      <c r="AS795" s="1" t="s">
        <v>74</v>
      </c>
      <c r="AT795" s="1" t="s">
        <v>1049</v>
      </c>
      <c r="AU795" s="1">
        <v>2002.0</v>
      </c>
      <c r="AV795" s="1">
        <v>117.0</v>
      </c>
      <c r="AW795" s="1" t="s">
        <v>5625</v>
      </c>
      <c r="AX795" s="1" t="s">
        <v>74</v>
      </c>
      <c r="AY795" s="1" t="s">
        <v>74</v>
      </c>
      <c r="AZ795" s="1" t="s">
        <v>74</v>
      </c>
      <c r="BA795" s="1" t="s">
        <v>74</v>
      </c>
      <c r="BB795" s="1">
        <v>151.0</v>
      </c>
      <c r="BC795" s="1">
        <v>163.0</v>
      </c>
      <c r="BD795" s="1" t="s">
        <v>74</v>
      </c>
      <c r="BE795" s="1" t="s">
        <v>7405</v>
      </c>
      <c r="BF795" s="2" t="str">
        <f>HYPERLINK("http://dx.doi.org/10.1023/A:1021521523118","http://dx.doi.org/10.1023/A:1021521523118")</f>
        <v>http://dx.doi.org/10.1023/A:1021521523118</v>
      </c>
      <c r="BG795" s="1" t="s">
        <v>74</v>
      </c>
      <c r="BH795" s="1" t="s">
        <v>74</v>
      </c>
      <c r="BI795" s="1" t="s">
        <v>74</v>
      </c>
      <c r="BJ795" s="1" t="s">
        <v>74</v>
      </c>
      <c r="BK795" s="1" t="s">
        <v>74</v>
      </c>
      <c r="BL795" s="1" t="s">
        <v>74</v>
      </c>
      <c r="BM795" s="1" t="s">
        <v>74</v>
      </c>
      <c r="BN795" s="1" t="s">
        <v>74</v>
      </c>
      <c r="BO795" s="1" t="s">
        <v>74</v>
      </c>
      <c r="BP795" s="1" t="s">
        <v>74</v>
      </c>
      <c r="BQ795" s="1" t="s">
        <v>74</v>
      </c>
      <c r="BR795" s="1" t="s">
        <v>74</v>
      </c>
      <c r="BS795" s="1" t="s">
        <v>7406</v>
      </c>
      <c r="BT795" s="1" t="str">
        <f>HYPERLINK("https%3A%2F%2Fwww.webofscience.com%2Fwos%2Fwoscc%2Ffull-record%2FWOS:000179770500009","View Full Record in Web of Science")</f>
        <v>View Full Record in Web of Science</v>
      </c>
    </row>
    <row r="796" ht="12.75" customHeight="1">
      <c r="A796" s="1" t="s">
        <v>72</v>
      </c>
      <c r="B796" s="1" t="s">
        <v>7407</v>
      </c>
      <c r="C796" s="1" t="s">
        <v>74</v>
      </c>
      <c r="D796" s="1" t="s">
        <v>74</v>
      </c>
      <c r="E796" s="1" t="s">
        <v>74</v>
      </c>
      <c r="F796" s="1" t="s">
        <v>7407</v>
      </c>
      <c r="G796" s="1" t="s">
        <v>74</v>
      </c>
      <c r="H796" s="1" t="s">
        <v>74</v>
      </c>
      <c r="I796" s="1" t="s">
        <v>7408</v>
      </c>
      <c r="J796" s="1" t="s">
        <v>1543</v>
      </c>
      <c r="K796" s="1" t="s">
        <v>74</v>
      </c>
      <c r="L796" s="1" t="s">
        <v>74</v>
      </c>
      <c r="M796" s="1" t="s">
        <v>74</v>
      </c>
      <c r="N796" s="1" t="s">
        <v>74</v>
      </c>
      <c r="O796" s="1" t="s">
        <v>74</v>
      </c>
      <c r="P796" s="1" t="s">
        <v>74</v>
      </c>
      <c r="Q796" s="1" t="s">
        <v>74</v>
      </c>
      <c r="R796" s="1" t="s">
        <v>74</v>
      </c>
      <c r="S796" s="1" t="s">
        <v>74</v>
      </c>
      <c r="T796" s="1" t="s">
        <v>74</v>
      </c>
      <c r="U796" s="1" t="s">
        <v>74</v>
      </c>
      <c r="V796" s="1" t="s">
        <v>74</v>
      </c>
      <c r="W796" s="1" t="s">
        <v>74</v>
      </c>
      <c r="X796" s="1" t="s">
        <v>74</v>
      </c>
      <c r="Y796" s="1" t="s">
        <v>74</v>
      </c>
      <c r="Z796" s="1" t="s">
        <v>74</v>
      </c>
      <c r="AA796" s="1" t="s">
        <v>1545</v>
      </c>
      <c r="AB796" s="1" t="s">
        <v>1546</v>
      </c>
      <c r="AC796" s="1" t="s">
        <v>74</v>
      </c>
      <c r="AD796" s="1" t="s">
        <v>74</v>
      </c>
      <c r="AE796" s="1" t="s">
        <v>74</v>
      </c>
      <c r="AF796" s="1" t="s">
        <v>74</v>
      </c>
      <c r="AG796" s="1" t="s">
        <v>74</v>
      </c>
      <c r="AH796" s="1" t="s">
        <v>74</v>
      </c>
      <c r="AI796" s="1" t="s">
        <v>74</v>
      </c>
      <c r="AJ796" s="1" t="s">
        <v>74</v>
      </c>
      <c r="AK796" s="1" t="s">
        <v>74</v>
      </c>
      <c r="AL796" s="1" t="s">
        <v>74</v>
      </c>
      <c r="AM796" s="1" t="s">
        <v>74</v>
      </c>
      <c r="AN796" s="1" t="s">
        <v>74</v>
      </c>
      <c r="AO796" s="1" t="s">
        <v>1547</v>
      </c>
      <c r="AP796" s="1" t="s">
        <v>74</v>
      </c>
      <c r="AQ796" s="1" t="s">
        <v>74</v>
      </c>
      <c r="AR796" s="1" t="s">
        <v>74</v>
      </c>
      <c r="AS796" s="1" t="s">
        <v>74</v>
      </c>
      <c r="AT796" s="1" t="s">
        <v>1049</v>
      </c>
      <c r="AU796" s="1">
        <v>2001.0</v>
      </c>
      <c r="AV796" s="1">
        <v>16.0</v>
      </c>
      <c r="AW796" s="1">
        <v>4.0</v>
      </c>
      <c r="AX796" s="1" t="s">
        <v>74</v>
      </c>
      <c r="AY796" s="1" t="s">
        <v>74</v>
      </c>
      <c r="AZ796" s="1" t="s">
        <v>74</v>
      </c>
      <c r="BA796" s="1" t="s">
        <v>74</v>
      </c>
      <c r="BB796" s="1">
        <v>933.0</v>
      </c>
      <c r="BC796" s="1">
        <v>933.0</v>
      </c>
      <c r="BD796" s="1" t="s">
        <v>74</v>
      </c>
      <c r="BE796" s="1" t="s">
        <v>7409</v>
      </c>
      <c r="BF796" s="2" t="str">
        <f>HYPERLINK("http://dx.doi.org/10.1109/59.962455","http://dx.doi.org/10.1109/59.962455")</f>
        <v>http://dx.doi.org/10.1109/59.962455</v>
      </c>
      <c r="BG796" s="1" t="s">
        <v>74</v>
      </c>
      <c r="BH796" s="1" t="s">
        <v>74</v>
      </c>
      <c r="BI796" s="1" t="s">
        <v>74</v>
      </c>
      <c r="BJ796" s="1" t="s">
        <v>74</v>
      </c>
      <c r="BK796" s="1" t="s">
        <v>74</v>
      </c>
      <c r="BL796" s="1" t="s">
        <v>74</v>
      </c>
      <c r="BM796" s="1" t="s">
        <v>74</v>
      </c>
      <c r="BN796" s="1" t="s">
        <v>74</v>
      </c>
      <c r="BO796" s="1" t="s">
        <v>74</v>
      </c>
      <c r="BP796" s="1" t="s">
        <v>74</v>
      </c>
      <c r="BQ796" s="1" t="s">
        <v>74</v>
      </c>
      <c r="BR796" s="1" t="s">
        <v>74</v>
      </c>
      <c r="BS796" s="1" t="s">
        <v>7410</v>
      </c>
      <c r="BT796" s="1" t="str">
        <f>HYPERLINK("https%3A%2F%2Fwww.webofscience.com%2Fwos%2Fwoscc%2Ffull-record%2FWOS:000171787000056","View Full Record in Web of Science")</f>
        <v>View Full Record in Web of Science</v>
      </c>
    </row>
    <row r="797" ht="12.75" customHeight="1">
      <c r="A797" s="1" t="s">
        <v>72</v>
      </c>
      <c r="B797" s="1" t="s">
        <v>7411</v>
      </c>
      <c r="C797" s="1" t="s">
        <v>74</v>
      </c>
      <c r="D797" s="1" t="s">
        <v>74</v>
      </c>
      <c r="E797" s="1" t="s">
        <v>74</v>
      </c>
      <c r="F797" s="1" t="s">
        <v>7411</v>
      </c>
      <c r="G797" s="1" t="s">
        <v>74</v>
      </c>
      <c r="H797" s="1" t="s">
        <v>74</v>
      </c>
      <c r="I797" s="1" t="s">
        <v>7412</v>
      </c>
      <c r="J797" s="1" t="s">
        <v>4492</v>
      </c>
      <c r="K797" s="1" t="s">
        <v>74</v>
      </c>
      <c r="L797" s="1" t="s">
        <v>74</v>
      </c>
      <c r="M797" s="1" t="s">
        <v>74</v>
      </c>
      <c r="N797" s="1" t="s">
        <v>74</v>
      </c>
      <c r="O797" s="1" t="s">
        <v>74</v>
      </c>
      <c r="P797" s="1" t="s">
        <v>74</v>
      </c>
      <c r="Q797" s="1" t="s">
        <v>74</v>
      </c>
      <c r="R797" s="1" t="s">
        <v>74</v>
      </c>
      <c r="S797" s="1" t="s">
        <v>74</v>
      </c>
      <c r="T797" s="1" t="s">
        <v>74</v>
      </c>
      <c r="U797" s="1" t="s">
        <v>74</v>
      </c>
      <c r="V797" s="1" t="s">
        <v>7413</v>
      </c>
      <c r="W797" s="1" t="s">
        <v>74</v>
      </c>
      <c r="X797" s="1" t="s">
        <v>74</v>
      </c>
      <c r="Y797" s="1" t="s">
        <v>74</v>
      </c>
      <c r="Z797" s="1" t="s">
        <v>74</v>
      </c>
      <c r="AA797" s="1" t="s">
        <v>74</v>
      </c>
      <c r="AB797" s="1" t="s">
        <v>74</v>
      </c>
      <c r="AC797" s="1" t="s">
        <v>74</v>
      </c>
      <c r="AD797" s="1" t="s">
        <v>74</v>
      </c>
      <c r="AE797" s="1" t="s">
        <v>74</v>
      </c>
      <c r="AF797" s="1" t="s">
        <v>74</v>
      </c>
      <c r="AG797" s="1" t="s">
        <v>74</v>
      </c>
      <c r="AH797" s="1" t="s">
        <v>74</v>
      </c>
      <c r="AI797" s="1" t="s">
        <v>74</v>
      </c>
      <c r="AJ797" s="1" t="s">
        <v>74</v>
      </c>
      <c r="AK797" s="1" t="s">
        <v>74</v>
      </c>
      <c r="AL797" s="1" t="s">
        <v>74</v>
      </c>
      <c r="AM797" s="1" t="s">
        <v>74</v>
      </c>
      <c r="AN797" s="1" t="s">
        <v>74</v>
      </c>
      <c r="AO797" s="1" t="s">
        <v>4495</v>
      </c>
      <c r="AP797" s="1" t="s">
        <v>74</v>
      </c>
      <c r="AQ797" s="1" t="s">
        <v>74</v>
      </c>
      <c r="AR797" s="1" t="s">
        <v>74</v>
      </c>
      <c r="AS797" s="1" t="s">
        <v>74</v>
      </c>
      <c r="AT797" s="1" t="s">
        <v>7186</v>
      </c>
      <c r="AU797" s="1">
        <v>1999.0</v>
      </c>
      <c r="AV797" s="1">
        <v>55.0</v>
      </c>
      <c r="AW797" s="1" t="s">
        <v>74</v>
      </c>
      <c r="AX797" s="1">
        <v>6.0</v>
      </c>
      <c r="AY797" s="1" t="s">
        <v>74</v>
      </c>
      <c r="AZ797" s="1" t="s">
        <v>74</v>
      </c>
      <c r="BA797" s="1" t="s">
        <v>74</v>
      </c>
      <c r="BB797" s="1">
        <v>932.0</v>
      </c>
      <c r="BC797" s="1">
        <v>934.0</v>
      </c>
      <c r="BD797" s="1" t="s">
        <v>74</v>
      </c>
      <c r="BE797" s="1" t="s">
        <v>7414</v>
      </c>
      <c r="BF797" s="2" t="str">
        <f>HYPERLINK("http://dx.doi.org/10.1107/S0108270198017181","http://dx.doi.org/10.1107/S0108270198017181")</f>
        <v>http://dx.doi.org/10.1107/S0108270198017181</v>
      </c>
      <c r="BG797" s="1" t="s">
        <v>74</v>
      </c>
      <c r="BH797" s="1" t="s">
        <v>74</v>
      </c>
      <c r="BI797" s="1" t="s">
        <v>74</v>
      </c>
      <c r="BJ797" s="1" t="s">
        <v>74</v>
      </c>
      <c r="BK797" s="1" t="s">
        <v>74</v>
      </c>
      <c r="BL797" s="1" t="s">
        <v>74</v>
      </c>
      <c r="BM797" s="1" t="s">
        <v>74</v>
      </c>
      <c r="BN797" s="1" t="s">
        <v>74</v>
      </c>
      <c r="BO797" s="1" t="s">
        <v>74</v>
      </c>
      <c r="BP797" s="1" t="s">
        <v>74</v>
      </c>
      <c r="BQ797" s="1" t="s">
        <v>74</v>
      </c>
      <c r="BR797" s="1" t="s">
        <v>74</v>
      </c>
      <c r="BS797" s="1" t="s">
        <v>7415</v>
      </c>
      <c r="BT797" s="1" t="str">
        <f>HYPERLINK("https%3A%2F%2Fwww.webofscience.com%2Fwos%2Fwoscc%2Ffull-record%2FWOS:000081194400042","View Full Record in Web of Science")</f>
        <v>View Full Record in Web of Science</v>
      </c>
    </row>
    <row r="798" ht="12.75" customHeight="1">
      <c r="A798" s="1" t="s">
        <v>72</v>
      </c>
      <c r="B798" s="1" t="s">
        <v>7416</v>
      </c>
      <c r="C798" s="1" t="s">
        <v>74</v>
      </c>
      <c r="D798" s="1" t="s">
        <v>74</v>
      </c>
      <c r="E798" s="1" t="s">
        <v>74</v>
      </c>
      <c r="F798" s="1" t="s">
        <v>7416</v>
      </c>
      <c r="G798" s="1" t="s">
        <v>74</v>
      </c>
      <c r="H798" s="1" t="s">
        <v>74</v>
      </c>
      <c r="I798" s="1" t="s">
        <v>7417</v>
      </c>
      <c r="J798" s="1" t="s">
        <v>1651</v>
      </c>
      <c r="K798" s="1" t="s">
        <v>74</v>
      </c>
      <c r="L798" s="1" t="s">
        <v>74</v>
      </c>
      <c r="M798" s="1" t="s">
        <v>74</v>
      </c>
      <c r="N798" s="1" t="s">
        <v>74</v>
      </c>
      <c r="O798" s="1" t="s">
        <v>74</v>
      </c>
      <c r="P798" s="1" t="s">
        <v>74</v>
      </c>
      <c r="Q798" s="1" t="s">
        <v>74</v>
      </c>
      <c r="R798" s="1" t="s">
        <v>74</v>
      </c>
      <c r="S798" s="1" t="s">
        <v>74</v>
      </c>
      <c r="T798" s="1" t="s">
        <v>74</v>
      </c>
      <c r="U798" s="1" t="s">
        <v>74</v>
      </c>
      <c r="V798" s="1" t="s">
        <v>7418</v>
      </c>
      <c r="W798" s="1" t="s">
        <v>74</v>
      </c>
      <c r="X798" s="1" t="s">
        <v>74</v>
      </c>
      <c r="Y798" s="1" t="s">
        <v>74</v>
      </c>
      <c r="Z798" s="1" t="s">
        <v>74</v>
      </c>
      <c r="AA798" s="1" t="s">
        <v>5747</v>
      </c>
      <c r="AB798" s="1" t="s">
        <v>74</v>
      </c>
      <c r="AC798" s="1" t="s">
        <v>74</v>
      </c>
      <c r="AD798" s="1" t="s">
        <v>74</v>
      </c>
      <c r="AE798" s="1" t="s">
        <v>74</v>
      </c>
      <c r="AF798" s="1" t="s">
        <v>74</v>
      </c>
      <c r="AG798" s="1" t="s">
        <v>74</v>
      </c>
      <c r="AH798" s="1" t="s">
        <v>74</v>
      </c>
      <c r="AI798" s="1" t="s">
        <v>74</v>
      </c>
      <c r="AJ798" s="1" t="s">
        <v>74</v>
      </c>
      <c r="AK798" s="1" t="s">
        <v>74</v>
      </c>
      <c r="AL798" s="1" t="s">
        <v>74</v>
      </c>
      <c r="AM798" s="1" t="s">
        <v>74</v>
      </c>
      <c r="AN798" s="1" t="s">
        <v>74</v>
      </c>
      <c r="AO798" s="1" t="s">
        <v>1653</v>
      </c>
      <c r="AP798" s="1" t="s">
        <v>74</v>
      </c>
      <c r="AQ798" s="1" t="s">
        <v>74</v>
      </c>
      <c r="AR798" s="1" t="s">
        <v>74</v>
      </c>
      <c r="AS798" s="1" t="s">
        <v>74</v>
      </c>
      <c r="AT798" s="1" t="s">
        <v>459</v>
      </c>
      <c r="AU798" s="1">
        <v>1997.0</v>
      </c>
      <c r="AV798" s="1">
        <v>42.0</v>
      </c>
      <c r="AW798" s="1">
        <v>3.0</v>
      </c>
      <c r="AX798" s="1" t="s">
        <v>74</v>
      </c>
      <c r="AY798" s="1" t="s">
        <v>74</v>
      </c>
      <c r="AZ798" s="1" t="s">
        <v>74</v>
      </c>
      <c r="BA798" s="1" t="s">
        <v>74</v>
      </c>
      <c r="BB798" s="1">
        <v>379.0</v>
      </c>
      <c r="BC798" s="1">
        <v>386.0</v>
      </c>
      <c r="BD798" s="1" t="s">
        <v>74</v>
      </c>
      <c r="BE798" s="1" t="s">
        <v>74</v>
      </c>
      <c r="BF798" s="1" t="s">
        <v>74</v>
      </c>
      <c r="BG798" s="1" t="s">
        <v>74</v>
      </c>
      <c r="BH798" s="1" t="s">
        <v>74</v>
      </c>
      <c r="BI798" s="1" t="s">
        <v>74</v>
      </c>
      <c r="BJ798" s="1" t="s">
        <v>74</v>
      </c>
      <c r="BK798" s="1" t="s">
        <v>74</v>
      </c>
      <c r="BL798" s="1" t="s">
        <v>74</v>
      </c>
      <c r="BM798" s="1" t="s">
        <v>74</v>
      </c>
      <c r="BN798" s="1" t="s">
        <v>74</v>
      </c>
      <c r="BO798" s="1" t="s">
        <v>74</v>
      </c>
      <c r="BP798" s="1" t="s">
        <v>74</v>
      </c>
      <c r="BQ798" s="1" t="s">
        <v>74</v>
      </c>
      <c r="BR798" s="1" t="s">
        <v>74</v>
      </c>
      <c r="BS798" s="1" t="s">
        <v>7419</v>
      </c>
      <c r="BT798" s="1" t="str">
        <f>HYPERLINK("https%3A%2F%2Fwww.webofscience.com%2Fwos%2Fwoscc%2Ffull-record%2FWOS:A1997YA06800012","View Full Record in Web of Science")</f>
        <v>View Full Record in Web of Science</v>
      </c>
    </row>
    <row r="799" ht="12.75" customHeight="1">
      <c r="A799" s="1" t="s">
        <v>72</v>
      </c>
      <c r="B799" s="1" t="s">
        <v>7420</v>
      </c>
      <c r="C799" s="1" t="s">
        <v>74</v>
      </c>
      <c r="D799" s="1" t="s">
        <v>74</v>
      </c>
      <c r="E799" s="1" t="s">
        <v>74</v>
      </c>
      <c r="F799" s="1" t="s">
        <v>7420</v>
      </c>
      <c r="G799" s="1" t="s">
        <v>74</v>
      </c>
      <c r="H799" s="1" t="s">
        <v>74</v>
      </c>
      <c r="I799" s="1" t="s">
        <v>7421</v>
      </c>
      <c r="J799" s="1" t="s">
        <v>7422</v>
      </c>
      <c r="K799" s="1" t="s">
        <v>74</v>
      </c>
      <c r="L799" s="1" t="s">
        <v>74</v>
      </c>
      <c r="M799" s="1" t="s">
        <v>74</v>
      </c>
      <c r="N799" s="1" t="s">
        <v>74</v>
      </c>
      <c r="O799" s="1" t="s">
        <v>74</v>
      </c>
      <c r="P799" s="1" t="s">
        <v>74</v>
      </c>
      <c r="Q799" s="1" t="s">
        <v>74</v>
      </c>
      <c r="R799" s="1" t="s">
        <v>74</v>
      </c>
      <c r="S799" s="1" t="s">
        <v>74</v>
      </c>
      <c r="T799" s="1" t="s">
        <v>74</v>
      </c>
      <c r="U799" s="1" t="s">
        <v>74</v>
      </c>
      <c r="V799" s="1" t="s">
        <v>7423</v>
      </c>
      <c r="W799" s="1" t="s">
        <v>74</v>
      </c>
      <c r="X799" s="1" t="s">
        <v>74</v>
      </c>
      <c r="Y799" s="1" t="s">
        <v>74</v>
      </c>
      <c r="Z799" s="1" t="s">
        <v>74</v>
      </c>
      <c r="AA799" s="1" t="s">
        <v>7424</v>
      </c>
      <c r="AB799" s="1" t="s">
        <v>7425</v>
      </c>
      <c r="AC799" s="1" t="s">
        <v>74</v>
      </c>
      <c r="AD799" s="1" t="s">
        <v>74</v>
      </c>
      <c r="AE799" s="1" t="s">
        <v>74</v>
      </c>
      <c r="AF799" s="1" t="s">
        <v>74</v>
      </c>
      <c r="AG799" s="1" t="s">
        <v>74</v>
      </c>
      <c r="AH799" s="1" t="s">
        <v>74</v>
      </c>
      <c r="AI799" s="1" t="s">
        <v>74</v>
      </c>
      <c r="AJ799" s="1" t="s">
        <v>74</v>
      </c>
      <c r="AK799" s="1" t="s">
        <v>74</v>
      </c>
      <c r="AL799" s="1" t="s">
        <v>74</v>
      </c>
      <c r="AM799" s="1" t="s">
        <v>74</v>
      </c>
      <c r="AN799" s="1" t="s">
        <v>74</v>
      </c>
      <c r="AO799" s="1" t="s">
        <v>7426</v>
      </c>
      <c r="AP799" s="1" t="s">
        <v>74</v>
      </c>
      <c r="AQ799" s="1" t="s">
        <v>74</v>
      </c>
      <c r="AR799" s="1" t="s">
        <v>74</v>
      </c>
      <c r="AS799" s="1" t="s">
        <v>74</v>
      </c>
      <c r="AT799" s="1" t="s">
        <v>650</v>
      </c>
      <c r="AU799" s="1">
        <v>1997.0</v>
      </c>
      <c r="AV799" s="1">
        <v>167.0</v>
      </c>
      <c r="AW799" s="1" t="s">
        <v>2150</v>
      </c>
      <c r="AX799" s="1" t="s">
        <v>74</v>
      </c>
      <c r="AY799" s="1" t="s">
        <v>74</v>
      </c>
      <c r="AZ799" s="1" t="s">
        <v>74</v>
      </c>
      <c r="BA799" s="1" t="s">
        <v>74</v>
      </c>
      <c r="BB799" s="1">
        <v>161.0</v>
      </c>
      <c r="BC799" s="1">
        <v>165.0</v>
      </c>
      <c r="BD799" s="1" t="s">
        <v>74</v>
      </c>
      <c r="BE799" s="1" t="s">
        <v>7427</v>
      </c>
      <c r="BF799" s="2" t="str">
        <f>HYPERLINK("http://dx.doi.org/10.1016/S0304-8853(96)00629-4","http://dx.doi.org/10.1016/S0304-8853(96)00629-4")</f>
        <v>http://dx.doi.org/10.1016/S0304-8853(96)00629-4</v>
      </c>
      <c r="BG799" s="1" t="s">
        <v>74</v>
      </c>
      <c r="BH799" s="1" t="s">
        <v>74</v>
      </c>
      <c r="BI799" s="1" t="s">
        <v>74</v>
      </c>
      <c r="BJ799" s="1" t="s">
        <v>74</v>
      </c>
      <c r="BK799" s="1" t="s">
        <v>74</v>
      </c>
      <c r="BL799" s="1" t="s">
        <v>74</v>
      </c>
      <c r="BM799" s="1" t="s">
        <v>74</v>
      </c>
      <c r="BN799" s="1" t="s">
        <v>74</v>
      </c>
      <c r="BO799" s="1" t="s">
        <v>74</v>
      </c>
      <c r="BP799" s="1" t="s">
        <v>74</v>
      </c>
      <c r="BQ799" s="1" t="s">
        <v>74</v>
      </c>
      <c r="BR799" s="1" t="s">
        <v>74</v>
      </c>
      <c r="BS799" s="1" t="s">
        <v>7428</v>
      </c>
      <c r="BT799" s="1" t="str">
        <f>HYPERLINK("https%3A%2F%2Fwww.webofscience.com%2Fwos%2Fwoscc%2Ffull-record%2FWOS:A1997WN15700024","View Full Record in Web of Science")</f>
        <v>View Full Record in Web of Science</v>
      </c>
    </row>
    <row r="800" ht="12.75" customHeight="1">
      <c r="A800" s="1" t="s">
        <v>72</v>
      </c>
      <c r="B800" s="1" t="s">
        <v>7429</v>
      </c>
      <c r="C800" s="1" t="s">
        <v>74</v>
      </c>
      <c r="D800" s="1" t="s">
        <v>74</v>
      </c>
      <c r="E800" s="1" t="s">
        <v>74</v>
      </c>
      <c r="F800" s="1" t="s">
        <v>7429</v>
      </c>
      <c r="G800" s="1" t="s">
        <v>74</v>
      </c>
      <c r="H800" s="1" t="s">
        <v>74</v>
      </c>
      <c r="I800" s="1" t="s">
        <v>7430</v>
      </c>
      <c r="J800" s="1" t="s">
        <v>3096</v>
      </c>
      <c r="K800" s="1" t="s">
        <v>74</v>
      </c>
      <c r="L800" s="1" t="s">
        <v>74</v>
      </c>
      <c r="M800" s="1" t="s">
        <v>74</v>
      </c>
      <c r="N800" s="1" t="s">
        <v>74</v>
      </c>
      <c r="O800" s="1" t="s">
        <v>74</v>
      </c>
      <c r="P800" s="1" t="s">
        <v>74</v>
      </c>
      <c r="Q800" s="1" t="s">
        <v>74</v>
      </c>
      <c r="R800" s="1" t="s">
        <v>74</v>
      </c>
      <c r="S800" s="1" t="s">
        <v>74</v>
      </c>
      <c r="T800" s="1" t="s">
        <v>74</v>
      </c>
      <c r="U800" s="1" t="s">
        <v>74</v>
      </c>
      <c r="V800" s="1" t="s">
        <v>7431</v>
      </c>
      <c r="W800" s="1" t="s">
        <v>74</v>
      </c>
      <c r="X800" s="1" t="s">
        <v>74</v>
      </c>
      <c r="Y800" s="1" t="s">
        <v>74</v>
      </c>
      <c r="Z800" s="1" t="s">
        <v>74</v>
      </c>
      <c r="AA800" s="1" t="s">
        <v>74</v>
      </c>
      <c r="AB800" s="1" t="s">
        <v>74</v>
      </c>
      <c r="AC800" s="1" t="s">
        <v>74</v>
      </c>
      <c r="AD800" s="1" t="s">
        <v>74</v>
      </c>
      <c r="AE800" s="1" t="s">
        <v>74</v>
      </c>
      <c r="AF800" s="1" t="s">
        <v>74</v>
      </c>
      <c r="AG800" s="1" t="s">
        <v>74</v>
      </c>
      <c r="AH800" s="1" t="s">
        <v>74</v>
      </c>
      <c r="AI800" s="1" t="s">
        <v>74</v>
      </c>
      <c r="AJ800" s="1" t="s">
        <v>74</v>
      </c>
      <c r="AK800" s="1" t="s">
        <v>74</v>
      </c>
      <c r="AL800" s="1" t="s">
        <v>74</v>
      </c>
      <c r="AM800" s="1" t="s">
        <v>74</v>
      </c>
      <c r="AN800" s="1" t="s">
        <v>74</v>
      </c>
      <c r="AO800" s="1" t="s">
        <v>3103</v>
      </c>
      <c r="AP800" s="1" t="s">
        <v>74</v>
      </c>
      <c r="AQ800" s="1" t="s">
        <v>74</v>
      </c>
      <c r="AR800" s="1" t="s">
        <v>74</v>
      </c>
      <c r="AS800" s="1" t="s">
        <v>74</v>
      </c>
      <c r="AT800" s="1" t="s">
        <v>459</v>
      </c>
      <c r="AU800" s="1">
        <v>1996.0</v>
      </c>
      <c r="AV800" s="1">
        <v>43.0</v>
      </c>
      <c r="AW800" s="1">
        <v>3.0</v>
      </c>
      <c r="AX800" s="1" t="s">
        <v>74</v>
      </c>
      <c r="AY800" s="1" t="s">
        <v>74</v>
      </c>
      <c r="AZ800" s="1" t="s">
        <v>74</v>
      </c>
      <c r="BA800" s="1" t="s">
        <v>74</v>
      </c>
      <c r="BB800" s="1">
        <v>353.0</v>
      </c>
      <c r="BC800" s="1">
        <v>366.0</v>
      </c>
      <c r="BD800" s="1" t="s">
        <v>74</v>
      </c>
      <c r="BE800" s="1" t="s">
        <v>74</v>
      </c>
      <c r="BF800" s="1" t="s">
        <v>74</v>
      </c>
      <c r="BG800" s="1" t="s">
        <v>74</v>
      </c>
      <c r="BH800" s="1" t="s">
        <v>74</v>
      </c>
      <c r="BI800" s="1" t="s">
        <v>74</v>
      </c>
      <c r="BJ800" s="1" t="s">
        <v>74</v>
      </c>
      <c r="BK800" s="1" t="s">
        <v>74</v>
      </c>
      <c r="BL800" s="1" t="s">
        <v>74</v>
      </c>
      <c r="BM800" s="1" t="s">
        <v>74</v>
      </c>
      <c r="BN800" s="1" t="s">
        <v>74</v>
      </c>
      <c r="BO800" s="1" t="s">
        <v>74</v>
      </c>
      <c r="BP800" s="1" t="s">
        <v>74</v>
      </c>
      <c r="BQ800" s="1" t="s">
        <v>74</v>
      </c>
      <c r="BR800" s="1" t="s">
        <v>74</v>
      </c>
      <c r="BS800" s="1" t="s">
        <v>7432</v>
      </c>
      <c r="BT800" s="1" t="str">
        <f>HYPERLINK("https%3A%2F%2Fwww.webofscience.com%2Fwos%2Fwoscc%2Ffull-record%2FWOS:A1996VH11200005","View Full Record in Web of Science")</f>
        <v>View Full Record in Web of Science</v>
      </c>
    </row>
    <row r="801" ht="12.75" customHeight="1">
      <c r="A801" s="1" t="s">
        <v>72</v>
      </c>
      <c r="B801" s="1" t="s">
        <v>7433</v>
      </c>
      <c r="C801" s="1" t="s">
        <v>74</v>
      </c>
      <c r="D801" s="1" t="s">
        <v>74</v>
      </c>
      <c r="E801" s="1" t="s">
        <v>74</v>
      </c>
      <c r="F801" s="1" t="s">
        <v>7433</v>
      </c>
      <c r="G801" s="1" t="s">
        <v>74</v>
      </c>
      <c r="H801" s="1" t="s">
        <v>74</v>
      </c>
      <c r="I801" s="1" t="s">
        <v>7434</v>
      </c>
      <c r="J801" s="1" t="s">
        <v>7435</v>
      </c>
      <c r="K801" s="1" t="s">
        <v>74</v>
      </c>
      <c r="L801" s="1" t="s">
        <v>74</v>
      </c>
      <c r="M801" s="1" t="s">
        <v>74</v>
      </c>
      <c r="N801" s="1" t="s">
        <v>74</v>
      </c>
      <c r="O801" s="1" t="s">
        <v>7436</v>
      </c>
      <c r="P801" s="1" t="s">
        <v>7437</v>
      </c>
      <c r="Q801" s="1" t="s">
        <v>7438</v>
      </c>
      <c r="R801" s="1" t="s">
        <v>74</v>
      </c>
      <c r="S801" s="1" t="s">
        <v>74</v>
      </c>
      <c r="T801" s="1" t="s">
        <v>74</v>
      </c>
      <c r="U801" s="1" t="s">
        <v>74</v>
      </c>
      <c r="V801" s="1" t="s">
        <v>7439</v>
      </c>
      <c r="W801" s="1" t="s">
        <v>74</v>
      </c>
      <c r="X801" s="1" t="s">
        <v>74</v>
      </c>
      <c r="Y801" s="1" t="s">
        <v>74</v>
      </c>
      <c r="Z801" s="1" t="s">
        <v>74</v>
      </c>
      <c r="AA801" s="1" t="s">
        <v>74</v>
      </c>
      <c r="AB801" s="1" t="s">
        <v>7440</v>
      </c>
      <c r="AC801" s="1" t="s">
        <v>74</v>
      </c>
      <c r="AD801" s="1" t="s">
        <v>74</v>
      </c>
      <c r="AE801" s="1" t="s">
        <v>74</v>
      </c>
      <c r="AF801" s="1" t="s">
        <v>74</v>
      </c>
      <c r="AG801" s="1" t="s">
        <v>74</v>
      </c>
      <c r="AH801" s="1" t="s">
        <v>74</v>
      </c>
      <c r="AI801" s="1" t="s">
        <v>74</v>
      </c>
      <c r="AJ801" s="1" t="s">
        <v>74</v>
      </c>
      <c r="AK801" s="1" t="s">
        <v>74</v>
      </c>
      <c r="AL801" s="1" t="s">
        <v>74</v>
      </c>
      <c r="AM801" s="1" t="s">
        <v>74</v>
      </c>
      <c r="AN801" s="1" t="s">
        <v>74</v>
      </c>
      <c r="AO801" s="1" t="s">
        <v>7441</v>
      </c>
      <c r="AP801" s="1" t="s">
        <v>74</v>
      </c>
      <c r="AQ801" s="1" t="s">
        <v>74</v>
      </c>
      <c r="AR801" s="1" t="s">
        <v>74</v>
      </c>
      <c r="AS801" s="1" t="s">
        <v>74</v>
      </c>
      <c r="AT801" s="1" t="s">
        <v>310</v>
      </c>
      <c r="AU801" s="1">
        <v>1994.0</v>
      </c>
      <c r="AV801" s="1">
        <v>84.0</v>
      </c>
      <c r="AW801" s="1" t="s">
        <v>74</v>
      </c>
      <c r="AX801" s="1" t="s">
        <v>74</v>
      </c>
      <c r="AY801" s="1" t="s">
        <v>74</v>
      </c>
      <c r="AZ801" s="1" t="s">
        <v>74</v>
      </c>
      <c r="BA801" s="1" t="s">
        <v>74</v>
      </c>
      <c r="BB801" s="1">
        <v>103.0</v>
      </c>
      <c r="BC801" s="1">
        <v>112.0</v>
      </c>
      <c r="BD801" s="1" t="s">
        <v>74</v>
      </c>
      <c r="BE801" s="1" t="s">
        <v>7442</v>
      </c>
      <c r="BF801" s="2" t="str">
        <f>HYPERLINK("http://dx.doi.org/10.1002/masy.19940840114","http://dx.doi.org/10.1002/masy.19940840114")</f>
        <v>http://dx.doi.org/10.1002/masy.19940840114</v>
      </c>
      <c r="BG801" s="1" t="s">
        <v>74</v>
      </c>
      <c r="BH801" s="1" t="s">
        <v>74</v>
      </c>
      <c r="BI801" s="1" t="s">
        <v>74</v>
      </c>
      <c r="BJ801" s="1" t="s">
        <v>74</v>
      </c>
      <c r="BK801" s="1" t="s">
        <v>74</v>
      </c>
      <c r="BL801" s="1" t="s">
        <v>74</v>
      </c>
      <c r="BM801" s="1" t="s">
        <v>74</v>
      </c>
      <c r="BN801" s="1" t="s">
        <v>74</v>
      </c>
      <c r="BO801" s="1" t="s">
        <v>74</v>
      </c>
      <c r="BP801" s="1" t="s">
        <v>74</v>
      </c>
      <c r="BQ801" s="1" t="s">
        <v>74</v>
      </c>
      <c r="BR801" s="1" t="s">
        <v>74</v>
      </c>
      <c r="BS801" s="1" t="s">
        <v>7443</v>
      </c>
      <c r="BT801" s="1" t="str">
        <f>HYPERLINK("https%3A%2F%2Fwww.webofscience.com%2Fwos%2Fwoscc%2Ffull-record%2FWOS:A1994PA53200013","View Full Record in Web of Science")</f>
        <v>View Full Record in Web of Science</v>
      </c>
    </row>
    <row r="802" ht="12.75" customHeight="1">
      <c r="A802" s="1" t="s">
        <v>72</v>
      </c>
      <c r="B802" s="1" t="s">
        <v>3161</v>
      </c>
      <c r="C802" s="1" t="s">
        <v>74</v>
      </c>
      <c r="D802" s="1" t="s">
        <v>74</v>
      </c>
      <c r="E802" s="1" t="s">
        <v>74</v>
      </c>
      <c r="F802" s="1" t="s">
        <v>3161</v>
      </c>
      <c r="G802" s="1" t="s">
        <v>74</v>
      </c>
      <c r="H802" s="1" t="s">
        <v>74</v>
      </c>
      <c r="I802" s="1" t="s">
        <v>7444</v>
      </c>
      <c r="J802" s="1" t="s">
        <v>7445</v>
      </c>
      <c r="K802" s="1" t="s">
        <v>74</v>
      </c>
      <c r="L802" s="1" t="s">
        <v>74</v>
      </c>
      <c r="M802" s="1" t="s">
        <v>74</v>
      </c>
      <c r="N802" s="1" t="s">
        <v>74</v>
      </c>
      <c r="O802" s="1" t="s">
        <v>74</v>
      </c>
      <c r="P802" s="1" t="s">
        <v>74</v>
      </c>
      <c r="Q802" s="1" t="s">
        <v>74</v>
      </c>
      <c r="R802" s="1" t="s">
        <v>74</v>
      </c>
      <c r="S802" s="1" t="s">
        <v>74</v>
      </c>
      <c r="T802" s="1" t="s">
        <v>74</v>
      </c>
      <c r="U802" s="1" t="s">
        <v>74</v>
      </c>
      <c r="V802" s="1" t="s">
        <v>74</v>
      </c>
      <c r="W802" s="1" t="s">
        <v>74</v>
      </c>
      <c r="X802" s="1" t="s">
        <v>74</v>
      </c>
      <c r="Y802" s="1" t="s">
        <v>74</v>
      </c>
      <c r="Z802" s="1" t="s">
        <v>74</v>
      </c>
      <c r="AA802" s="1" t="s">
        <v>74</v>
      </c>
      <c r="AB802" s="1" t="s">
        <v>74</v>
      </c>
      <c r="AC802" s="1" t="s">
        <v>74</v>
      </c>
      <c r="AD802" s="1" t="s">
        <v>74</v>
      </c>
      <c r="AE802" s="1" t="s">
        <v>74</v>
      </c>
      <c r="AF802" s="1" t="s">
        <v>74</v>
      </c>
      <c r="AG802" s="1" t="s">
        <v>74</v>
      </c>
      <c r="AH802" s="1" t="s">
        <v>74</v>
      </c>
      <c r="AI802" s="1" t="s">
        <v>74</v>
      </c>
      <c r="AJ802" s="1" t="s">
        <v>74</v>
      </c>
      <c r="AK802" s="1" t="s">
        <v>74</v>
      </c>
      <c r="AL802" s="1" t="s">
        <v>74</v>
      </c>
      <c r="AM802" s="1" t="s">
        <v>74</v>
      </c>
      <c r="AN802" s="1" t="s">
        <v>74</v>
      </c>
      <c r="AO802" s="1" t="s">
        <v>7446</v>
      </c>
      <c r="AP802" s="1" t="s">
        <v>74</v>
      </c>
      <c r="AQ802" s="1" t="s">
        <v>74</v>
      </c>
      <c r="AR802" s="1" t="s">
        <v>74</v>
      </c>
      <c r="AS802" s="1" t="s">
        <v>74</v>
      </c>
      <c r="AT802" s="1" t="s">
        <v>650</v>
      </c>
      <c r="AU802" s="1">
        <v>1987.0</v>
      </c>
      <c r="AV802" s="1">
        <v>36.0</v>
      </c>
      <c r="AW802" s="1">
        <v>3.0</v>
      </c>
      <c r="AX802" s="1" t="s">
        <v>74</v>
      </c>
      <c r="AY802" s="1" t="s">
        <v>74</v>
      </c>
      <c r="AZ802" s="1" t="s">
        <v>74</v>
      </c>
      <c r="BA802" s="1" t="s">
        <v>74</v>
      </c>
      <c r="BB802" s="1">
        <v>389.0</v>
      </c>
      <c r="BC802" s="1">
        <v>393.0</v>
      </c>
      <c r="BD802" s="1" t="s">
        <v>74</v>
      </c>
      <c r="BE802" s="1" t="s">
        <v>7447</v>
      </c>
      <c r="BF802" s="2" t="str">
        <f>HYPERLINK("http://dx.doi.org/10.1016/0047-2670(87)80028-X","http://dx.doi.org/10.1016/0047-2670(87)80028-X")</f>
        <v>http://dx.doi.org/10.1016/0047-2670(87)80028-X</v>
      </c>
      <c r="BG802" s="1" t="s">
        <v>74</v>
      </c>
      <c r="BH802" s="1" t="s">
        <v>74</v>
      </c>
      <c r="BI802" s="1" t="s">
        <v>74</v>
      </c>
      <c r="BJ802" s="1" t="s">
        <v>74</v>
      </c>
      <c r="BK802" s="1" t="s">
        <v>74</v>
      </c>
      <c r="BL802" s="1" t="s">
        <v>74</v>
      </c>
      <c r="BM802" s="1" t="s">
        <v>74</v>
      </c>
      <c r="BN802" s="1" t="s">
        <v>74</v>
      </c>
      <c r="BO802" s="1" t="s">
        <v>74</v>
      </c>
      <c r="BP802" s="1" t="s">
        <v>74</v>
      </c>
      <c r="BQ802" s="1" t="s">
        <v>74</v>
      </c>
      <c r="BR802" s="1" t="s">
        <v>74</v>
      </c>
      <c r="BS802" s="1" t="s">
        <v>7448</v>
      </c>
      <c r="BT802" s="1" t="str">
        <f>HYPERLINK("https%3A%2F%2Fwww.webofscience.com%2Fwos%2Fwoscc%2Ffull-record%2FWOS:A1987G426700014","View Full Record in Web of Science")</f>
        <v>View Full Record in Web of Science</v>
      </c>
    </row>
    <row r="803" ht="12.75" customHeight="1">
      <c r="A803" s="1" t="s">
        <v>72</v>
      </c>
      <c r="B803" s="1" t="s">
        <v>7449</v>
      </c>
      <c r="C803" s="1" t="s">
        <v>74</v>
      </c>
      <c r="D803" s="1" t="s">
        <v>74</v>
      </c>
      <c r="E803" s="1" t="s">
        <v>74</v>
      </c>
      <c r="F803" s="1" t="s">
        <v>7449</v>
      </c>
      <c r="G803" s="1" t="s">
        <v>74</v>
      </c>
      <c r="H803" s="1" t="s">
        <v>74</v>
      </c>
      <c r="I803" s="1" t="s">
        <v>7450</v>
      </c>
      <c r="J803" s="1" t="s">
        <v>7451</v>
      </c>
      <c r="K803" s="1" t="s">
        <v>74</v>
      </c>
      <c r="L803" s="1" t="s">
        <v>74</v>
      </c>
      <c r="M803" s="1" t="s">
        <v>74</v>
      </c>
      <c r="N803" s="1" t="s">
        <v>74</v>
      </c>
      <c r="O803" s="1" t="s">
        <v>74</v>
      </c>
      <c r="P803" s="1" t="s">
        <v>74</v>
      </c>
      <c r="Q803" s="1" t="s">
        <v>74</v>
      </c>
      <c r="R803" s="1" t="s">
        <v>74</v>
      </c>
      <c r="S803" s="1" t="s">
        <v>74</v>
      </c>
      <c r="T803" s="1" t="s">
        <v>74</v>
      </c>
      <c r="U803" s="1" t="s">
        <v>74</v>
      </c>
      <c r="V803" s="1" t="s">
        <v>74</v>
      </c>
      <c r="W803" s="1" t="s">
        <v>74</v>
      </c>
      <c r="X803" s="1" t="s">
        <v>74</v>
      </c>
      <c r="Y803" s="1" t="s">
        <v>74</v>
      </c>
      <c r="Z803" s="1" t="s">
        <v>74</v>
      </c>
      <c r="AA803" s="1" t="s">
        <v>74</v>
      </c>
      <c r="AB803" s="1" t="s">
        <v>74</v>
      </c>
      <c r="AC803" s="1" t="s">
        <v>74</v>
      </c>
      <c r="AD803" s="1" t="s">
        <v>74</v>
      </c>
      <c r="AE803" s="1" t="s">
        <v>74</v>
      </c>
      <c r="AF803" s="1" t="s">
        <v>74</v>
      </c>
      <c r="AG803" s="1" t="s">
        <v>74</v>
      </c>
      <c r="AH803" s="1" t="s">
        <v>74</v>
      </c>
      <c r="AI803" s="1" t="s">
        <v>74</v>
      </c>
      <c r="AJ803" s="1" t="s">
        <v>74</v>
      </c>
      <c r="AK803" s="1" t="s">
        <v>74</v>
      </c>
      <c r="AL803" s="1" t="s">
        <v>74</v>
      </c>
      <c r="AM803" s="1" t="s">
        <v>74</v>
      </c>
      <c r="AN803" s="1" t="s">
        <v>74</v>
      </c>
      <c r="AO803" s="1" t="s">
        <v>7452</v>
      </c>
      <c r="AP803" s="1" t="s">
        <v>74</v>
      </c>
      <c r="AQ803" s="1" t="s">
        <v>74</v>
      </c>
      <c r="AR803" s="1" t="s">
        <v>74</v>
      </c>
      <c r="AS803" s="1" t="s">
        <v>74</v>
      </c>
      <c r="AT803" s="1" t="s">
        <v>74</v>
      </c>
      <c r="AU803" s="1">
        <v>1984.0</v>
      </c>
      <c r="AV803" s="1">
        <v>9.0</v>
      </c>
      <c r="AW803" s="1">
        <v>3.0</v>
      </c>
      <c r="AX803" s="1" t="s">
        <v>74</v>
      </c>
      <c r="AY803" s="1" t="s">
        <v>74</v>
      </c>
      <c r="AZ803" s="1" t="s">
        <v>74</v>
      </c>
      <c r="BA803" s="1" t="s">
        <v>74</v>
      </c>
      <c r="BB803" s="1">
        <v>106.0</v>
      </c>
      <c r="BC803" s="1">
        <v>108.0</v>
      </c>
      <c r="BD803" s="1" t="s">
        <v>74</v>
      </c>
      <c r="BE803" s="1" t="s">
        <v>7453</v>
      </c>
      <c r="BF803" s="2" t="str">
        <f>HYPERLINK("http://dx.doi.org/10.1007/BF00618586","http://dx.doi.org/10.1007/BF00618586")</f>
        <v>http://dx.doi.org/10.1007/BF00618586</v>
      </c>
      <c r="BG803" s="1" t="s">
        <v>74</v>
      </c>
      <c r="BH803" s="1" t="s">
        <v>74</v>
      </c>
      <c r="BI803" s="1" t="s">
        <v>74</v>
      </c>
      <c r="BJ803" s="1" t="s">
        <v>74</v>
      </c>
      <c r="BK803" s="1" t="s">
        <v>74</v>
      </c>
      <c r="BL803" s="1" t="s">
        <v>74</v>
      </c>
      <c r="BM803" s="1" t="s">
        <v>74</v>
      </c>
      <c r="BN803" s="1" t="s">
        <v>74</v>
      </c>
      <c r="BO803" s="1" t="s">
        <v>74</v>
      </c>
      <c r="BP803" s="1" t="s">
        <v>74</v>
      </c>
      <c r="BQ803" s="1" t="s">
        <v>74</v>
      </c>
      <c r="BR803" s="1" t="s">
        <v>74</v>
      </c>
      <c r="BS803" s="1" t="s">
        <v>7454</v>
      </c>
      <c r="BT803" s="1" t="str">
        <f>HYPERLINK("https%3A%2F%2Fwww.webofscience.com%2Fwos%2Fwoscc%2Ffull-record%2FWOS:A1984SR12300006","View Full Record in Web of Science")</f>
        <v>View Full Record in Web of Science</v>
      </c>
    </row>
    <row r="804" ht="12.75" customHeight="1">
      <c r="A804" s="1" t="s">
        <v>72</v>
      </c>
      <c r="B804" s="1" t="s">
        <v>7455</v>
      </c>
      <c r="C804" s="1" t="s">
        <v>74</v>
      </c>
      <c r="D804" s="1" t="s">
        <v>74</v>
      </c>
      <c r="E804" s="1" t="s">
        <v>74</v>
      </c>
      <c r="F804" s="1" t="s">
        <v>7455</v>
      </c>
      <c r="G804" s="1" t="s">
        <v>74</v>
      </c>
      <c r="H804" s="1" t="s">
        <v>74</v>
      </c>
      <c r="I804" s="1" t="s">
        <v>7456</v>
      </c>
      <c r="J804" s="1" t="s">
        <v>3394</v>
      </c>
      <c r="K804" s="1" t="s">
        <v>74</v>
      </c>
      <c r="L804" s="1" t="s">
        <v>74</v>
      </c>
      <c r="M804" s="1" t="s">
        <v>74</v>
      </c>
      <c r="N804" s="1" t="s">
        <v>74</v>
      </c>
      <c r="O804" s="1" t="s">
        <v>74</v>
      </c>
      <c r="P804" s="1" t="s">
        <v>74</v>
      </c>
      <c r="Q804" s="1" t="s">
        <v>74</v>
      </c>
      <c r="R804" s="1" t="s">
        <v>74</v>
      </c>
      <c r="S804" s="1" t="s">
        <v>74</v>
      </c>
      <c r="T804" s="1" t="s">
        <v>74</v>
      </c>
      <c r="U804" s="1" t="s">
        <v>74</v>
      </c>
      <c r="V804" s="1" t="s">
        <v>74</v>
      </c>
      <c r="W804" s="1" t="s">
        <v>74</v>
      </c>
      <c r="X804" s="1" t="s">
        <v>74</v>
      </c>
      <c r="Y804" s="1" t="s">
        <v>74</v>
      </c>
      <c r="Z804" s="1" t="s">
        <v>74</v>
      </c>
      <c r="AA804" s="1" t="s">
        <v>7457</v>
      </c>
      <c r="AB804" s="1" t="s">
        <v>7458</v>
      </c>
      <c r="AC804" s="1" t="s">
        <v>74</v>
      </c>
      <c r="AD804" s="1" t="s">
        <v>74</v>
      </c>
      <c r="AE804" s="1" t="s">
        <v>74</v>
      </c>
      <c r="AF804" s="1" t="s">
        <v>74</v>
      </c>
      <c r="AG804" s="1" t="s">
        <v>74</v>
      </c>
      <c r="AH804" s="1" t="s">
        <v>74</v>
      </c>
      <c r="AI804" s="1" t="s">
        <v>74</v>
      </c>
      <c r="AJ804" s="1" t="s">
        <v>74</v>
      </c>
      <c r="AK804" s="1" t="s">
        <v>74</v>
      </c>
      <c r="AL804" s="1" t="s">
        <v>74</v>
      </c>
      <c r="AM804" s="1" t="s">
        <v>74</v>
      </c>
      <c r="AN804" s="1" t="s">
        <v>74</v>
      </c>
      <c r="AO804" s="1" t="s">
        <v>7459</v>
      </c>
      <c r="AP804" s="1" t="s">
        <v>74</v>
      </c>
      <c r="AQ804" s="1" t="s">
        <v>74</v>
      </c>
      <c r="AR804" s="1" t="s">
        <v>74</v>
      </c>
      <c r="AS804" s="1" t="s">
        <v>74</v>
      </c>
      <c r="AT804" s="1" t="s">
        <v>74</v>
      </c>
      <c r="AU804" s="1">
        <v>1983.0</v>
      </c>
      <c r="AV804" s="1">
        <v>28.0</v>
      </c>
      <c r="AW804" s="1">
        <v>6.0</v>
      </c>
      <c r="AX804" s="1" t="s">
        <v>74</v>
      </c>
      <c r="AY804" s="1" t="s">
        <v>74</v>
      </c>
      <c r="AZ804" s="1" t="s">
        <v>74</v>
      </c>
      <c r="BA804" s="1" t="s">
        <v>74</v>
      </c>
      <c r="BB804" s="1">
        <v>1333.0</v>
      </c>
      <c r="BC804" s="1">
        <v>1336.0</v>
      </c>
      <c r="BD804" s="1" t="s">
        <v>74</v>
      </c>
      <c r="BE804" s="1" t="s">
        <v>7460</v>
      </c>
      <c r="BF804" s="2" t="str">
        <f>HYPERLINK("http://dx.doi.org/10.1103/PhysRevD.28.1333","http://dx.doi.org/10.1103/PhysRevD.28.1333")</f>
        <v>http://dx.doi.org/10.1103/PhysRevD.28.1333</v>
      </c>
      <c r="BG804" s="1" t="s">
        <v>74</v>
      </c>
      <c r="BH804" s="1" t="s">
        <v>74</v>
      </c>
      <c r="BI804" s="1" t="s">
        <v>74</v>
      </c>
      <c r="BJ804" s="1" t="s">
        <v>74</v>
      </c>
      <c r="BK804" s="1" t="s">
        <v>74</v>
      </c>
      <c r="BL804" s="1" t="s">
        <v>74</v>
      </c>
      <c r="BM804" s="1" t="s">
        <v>74</v>
      </c>
      <c r="BN804" s="1" t="s">
        <v>74</v>
      </c>
      <c r="BO804" s="1" t="s">
        <v>74</v>
      </c>
      <c r="BP804" s="1" t="s">
        <v>74</v>
      </c>
      <c r="BQ804" s="1" t="s">
        <v>74</v>
      </c>
      <c r="BR804" s="1" t="s">
        <v>74</v>
      </c>
      <c r="BS804" s="1" t="s">
        <v>7461</v>
      </c>
      <c r="BT804" s="1" t="str">
        <f>HYPERLINK("https%3A%2F%2Fwww.webofscience.com%2Fwos%2Fwoscc%2Ffull-record%2FWOS:A1983RG40800012","View Full Record in Web of Science")</f>
        <v>View Full Record in Web of Science</v>
      </c>
    </row>
    <row r="805" ht="12.75" customHeight="1">
      <c r="A805" s="1" t="s">
        <v>72</v>
      </c>
      <c r="B805" s="1" t="s">
        <v>7462</v>
      </c>
      <c r="C805" s="1" t="s">
        <v>74</v>
      </c>
      <c r="D805" s="1" t="s">
        <v>74</v>
      </c>
      <c r="E805" s="1" t="s">
        <v>74</v>
      </c>
      <c r="F805" s="1" t="s">
        <v>7463</v>
      </c>
      <c r="G805" s="1" t="s">
        <v>74</v>
      </c>
      <c r="H805" s="1" t="s">
        <v>74</v>
      </c>
      <c r="I805" s="1" t="s">
        <v>7464</v>
      </c>
      <c r="J805" s="1" t="s">
        <v>1185</v>
      </c>
      <c r="K805" s="1" t="s">
        <v>74</v>
      </c>
      <c r="L805" s="1" t="s">
        <v>74</v>
      </c>
      <c r="M805" s="1" t="s">
        <v>74</v>
      </c>
      <c r="N805" s="1" t="s">
        <v>74</v>
      </c>
      <c r="O805" s="1" t="s">
        <v>74</v>
      </c>
      <c r="P805" s="1" t="s">
        <v>74</v>
      </c>
      <c r="Q805" s="1" t="s">
        <v>74</v>
      </c>
      <c r="R805" s="1" t="s">
        <v>74</v>
      </c>
      <c r="S805" s="1" t="s">
        <v>74</v>
      </c>
      <c r="T805" s="1" t="s">
        <v>74</v>
      </c>
      <c r="U805" s="1" t="s">
        <v>74</v>
      </c>
      <c r="V805" s="1" t="s">
        <v>7465</v>
      </c>
      <c r="W805" s="1" t="s">
        <v>74</v>
      </c>
      <c r="X805" s="1" t="s">
        <v>74</v>
      </c>
      <c r="Y805" s="1" t="s">
        <v>74</v>
      </c>
      <c r="Z805" s="1" t="s">
        <v>74</v>
      </c>
      <c r="AA805" s="1" t="s">
        <v>7466</v>
      </c>
      <c r="AB805" s="1" t="s">
        <v>7467</v>
      </c>
      <c r="AC805" s="1" t="s">
        <v>74</v>
      </c>
      <c r="AD805" s="1" t="s">
        <v>74</v>
      </c>
      <c r="AE805" s="1" t="s">
        <v>74</v>
      </c>
      <c r="AF805" s="1" t="s">
        <v>74</v>
      </c>
      <c r="AG805" s="1" t="s">
        <v>74</v>
      </c>
      <c r="AH805" s="1" t="s">
        <v>74</v>
      </c>
      <c r="AI805" s="1" t="s">
        <v>74</v>
      </c>
      <c r="AJ805" s="1" t="s">
        <v>74</v>
      </c>
      <c r="AK805" s="1" t="s">
        <v>74</v>
      </c>
      <c r="AL805" s="1" t="s">
        <v>74</v>
      </c>
      <c r="AM805" s="1" t="s">
        <v>74</v>
      </c>
      <c r="AN805" s="1" t="s">
        <v>74</v>
      </c>
      <c r="AO805" s="1" t="s">
        <v>1189</v>
      </c>
      <c r="AP805" s="1" t="s">
        <v>1190</v>
      </c>
      <c r="AQ805" s="1" t="s">
        <v>74</v>
      </c>
      <c r="AR805" s="1" t="s">
        <v>74</v>
      </c>
      <c r="AS805" s="1" t="s">
        <v>74</v>
      </c>
      <c r="AT805" s="1" t="s">
        <v>7468</v>
      </c>
      <c r="AU805" s="1">
        <v>2024.0</v>
      </c>
      <c r="AV805" s="1" t="s">
        <v>74</v>
      </c>
      <c r="AW805" s="1" t="s">
        <v>74</v>
      </c>
      <c r="AX805" s="1" t="s">
        <v>74</v>
      </c>
      <c r="AY805" s="1" t="s">
        <v>74</v>
      </c>
      <c r="AZ805" s="1" t="s">
        <v>74</v>
      </c>
      <c r="BA805" s="1" t="s">
        <v>74</v>
      </c>
      <c r="BB805" s="1" t="s">
        <v>74</v>
      </c>
      <c r="BC805" s="1" t="s">
        <v>74</v>
      </c>
      <c r="BD805" s="1" t="s">
        <v>74</v>
      </c>
      <c r="BE805" s="1" t="s">
        <v>7469</v>
      </c>
      <c r="BF805" s="2" t="str">
        <f>HYPERLINK("http://dx.doi.org/10.1007/s10008-024-06149-1","http://dx.doi.org/10.1007/s10008-024-06149-1")</f>
        <v>http://dx.doi.org/10.1007/s10008-024-06149-1</v>
      </c>
      <c r="BG805" s="1" t="s">
        <v>74</v>
      </c>
      <c r="BH805" s="1" t="s">
        <v>7470</v>
      </c>
      <c r="BI805" s="1" t="s">
        <v>74</v>
      </c>
      <c r="BJ805" s="1" t="s">
        <v>74</v>
      </c>
      <c r="BK805" s="1" t="s">
        <v>74</v>
      </c>
      <c r="BL805" s="1" t="s">
        <v>74</v>
      </c>
      <c r="BM805" s="1" t="s">
        <v>74</v>
      </c>
      <c r="BN805" s="1" t="s">
        <v>74</v>
      </c>
      <c r="BO805" s="1" t="s">
        <v>74</v>
      </c>
      <c r="BP805" s="1" t="s">
        <v>74</v>
      </c>
      <c r="BQ805" s="1" t="s">
        <v>74</v>
      </c>
      <c r="BR805" s="1" t="s">
        <v>74</v>
      </c>
      <c r="BS805" s="1" t="s">
        <v>7471</v>
      </c>
      <c r="BT805" s="1" t="str">
        <f>HYPERLINK("https%3A%2F%2Fwww.webofscience.com%2Fwos%2Fwoscc%2Ffull-record%2FWOS:001361813300001","View Full Record in Web of Science")</f>
        <v>View Full Record in Web of Science</v>
      </c>
    </row>
    <row r="806" ht="12.75" customHeight="1">
      <c r="A806" s="1" t="s">
        <v>72</v>
      </c>
      <c r="B806" s="1" t="s">
        <v>7472</v>
      </c>
      <c r="C806" s="1" t="s">
        <v>74</v>
      </c>
      <c r="D806" s="1" t="s">
        <v>74</v>
      </c>
      <c r="E806" s="1" t="s">
        <v>74</v>
      </c>
      <c r="F806" s="1" t="s">
        <v>7473</v>
      </c>
      <c r="G806" s="1" t="s">
        <v>74</v>
      </c>
      <c r="H806" s="1" t="s">
        <v>74</v>
      </c>
      <c r="I806" s="1" t="s">
        <v>7474</v>
      </c>
      <c r="J806" s="1" t="s">
        <v>6007</v>
      </c>
      <c r="K806" s="1" t="s">
        <v>74</v>
      </c>
      <c r="L806" s="1" t="s">
        <v>74</v>
      </c>
      <c r="M806" s="1" t="s">
        <v>74</v>
      </c>
      <c r="N806" s="1" t="s">
        <v>74</v>
      </c>
      <c r="O806" s="1" t="s">
        <v>74</v>
      </c>
      <c r="P806" s="1" t="s">
        <v>74</v>
      </c>
      <c r="Q806" s="1" t="s">
        <v>74</v>
      </c>
      <c r="R806" s="1" t="s">
        <v>74</v>
      </c>
      <c r="S806" s="1" t="s">
        <v>74</v>
      </c>
      <c r="T806" s="1" t="s">
        <v>74</v>
      </c>
      <c r="U806" s="1" t="s">
        <v>74</v>
      </c>
      <c r="V806" s="1" t="s">
        <v>7475</v>
      </c>
      <c r="W806" s="1" t="s">
        <v>74</v>
      </c>
      <c r="X806" s="1" t="s">
        <v>74</v>
      </c>
      <c r="Y806" s="1" t="s">
        <v>74</v>
      </c>
      <c r="Z806" s="1" t="s">
        <v>74</v>
      </c>
      <c r="AA806" s="1" t="s">
        <v>74</v>
      </c>
      <c r="AB806" s="1" t="s">
        <v>74</v>
      </c>
      <c r="AC806" s="1" t="s">
        <v>74</v>
      </c>
      <c r="AD806" s="1" t="s">
        <v>74</v>
      </c>
      <c r="AE806" s="1" t="s">
        <v>74</v>
      </c>
      <c r="AF806" s="1" t="s">
        <v>74</v>
      </c>
      <c r="AG806" s="1" t="s">
        <v>74</v>
      </c>
      <c r="AH806" s="1" t="s">
        <v>74</v>
      </c>
      <c r="AI806" s="1" t="s">
        <v>74</v>
      </c>
      <c r="AJ806" s="1" t="s">
        <v>74</v>
      </c>
      <c r="AK806" s="1" t="s">
        <v>74</v>
      </c>
      <c r="AL806" s="1" t="s">
        <v>74</v>
      </c>
      <c r="AM806" s="1" t="s">
        <v>74</v>
      </c>
      <c r="AN806" s="1" t="s">
        <v>74</v>
      </c>
      <c r="AO806" s="1" t="s">
        <v>6011</v>
      </c>
      <c r="AP806" s="1" t="s">
        <v>6012</v>
      </c>
      <c r="AQ806" s="1" t="s">
        <v>74</v>
      </c>
      <c r="AR806" s="1" t="s">
        <v>74</v>
      </c>
      <c r="AS806" s="1" t="s">
        <v>74</v>
      </c>
      <c r="AT806" s="1" t="s">
        <v>74</v>
      </c>
      <c r="AU806" s="1">
        <v>2024.0</v>
      </c>
      <c r="AV806" s="1" t="s">
        <v>74</v>
      </c>
      <c r="AW806" s="1">
        <v>58.0</v>
      </c>
      <c r="AX806" s="1" t="s">
        <v>74</v>
      </c>
      <c r="AY806" s="1" t="s">
        <v>74</v>
      </c>
      <c r="AZ806" s="1" t="s">
        <v>74</v>
      </c>
      <c r="BA806" s="1" t="s">
        <v>74</v>
      </c>
      <c r="BB806" s="1">
        <v>298.0</v>
      </c>
      <c r="BC806" s="1">
        <v>318.0</v>
      </c>
      <c r="BD806" s="1" t="s">
        <v>74</v>
      </c>
      <c r="BE806" s="1" t="s">
        <v>7476</v>
      </c>
      <c r="BF806" s="2" t="str">
        <f>HYPERLINK("http://dx.doi.org/10.7764/cdi.58.66731","http://dx.doi.org/10.7764/cdi.58.66731")</f>
        <v>http://dx.doi.org/10.7764/cdi.58.66731</v>
      </c>
      <c r="BG806" s="1" t="s">
        <v>74</v>
      </c>
      <c r="BH806" s="1" t="s">
        <v>74</v>
      </c>
      <c r="BI806" s="1" t="s">
        <v>74</v>
      </c>
      <c r="BJ806" s="1" t="s">
        <v>74</v>
      </c>
      <c r="BK806" s="1" t="s">
        <v>74</v>
      </c>
      <c r="BL806" s="1" t="s">
        <v>74</v>
      </c>
      <c r="BM806" s="1" t="s">
        <v>74</v>
      </c>
      <c r="BN806" s="1" t="s">
        <v>74</v>
      </c>
      <c r="BO806" s="1" t="s">
        <v>74</v>
      </c>
      <c r="BP806" s="1" t="s">
        <v>74</v>
      </c>
      <c r="BQ806" s="1" t="s">
        <v>74</v>
      </c>
      <c r="BR806" s="1" t="s">
        <v>74</v>
      </c>
      <c r="BS806" s="1" t="s">
        <v>7477</v>
      </c>
      <c r="BT806" s="1" t="str">
        <f>HYPERLINK("https%3A%2F%2Fwww.webofscience.com%2Fwos%2Fwoscc%2Ffull-record%2FWOS:001278512400001","View Full Record in Web of Science")</f>
        <v>View Full Record in Web of Science</v>
      </c>
    </row>
    <row r="807" ht="12.75" customHeight="1">
      <c r="A807" s="1" t="s">
        <v>72</v>
      </c>
      <c r="B807" s="1" t="s">
        <v>7478</v>
      </c>
      <c r="C807" s="1" t="s">
        <v>74</v>
      </c>
      <c r="D807" s="1" t="s">
        <v>74</v>
      </c>
      <c r="E807" s="1" t="s">
        <v>74</v>
      </c>
      <c r="F807" s="1" t="s">
        <v>7479</v>
      </c>
      <c r="G807" s="1" t="s">
        <v>74</v>
      </c>
      <c r="H807" s="1" t="s">
        <v>74</v>
      </c>
      <c r="I807" s="1" t="s">
        <v>7480</v>
      </c>
      <c r="J807" s="1" t="s">
        <v>7481</v>
      </c>
      <c r="K807" s="1" t="s">
        <v>74</v>
      </c>
      <c r="L807" s="1" t="s">
        <v>74</v>
      </c>
      <c r="M807" s="1" t="s">
        <v>74</v>
      </c>
      <c r="N807" s="1" t="s">
        <v>74</v>
      </c>
      <c r="O807" s="1" t="s">
        <v>74</v>
      </c>
      <c r="P807" s="1" t="s">
        <v>74</v>
      </c>
      <c r="Q807" s="1" t="s">
        <v>74</v>
      </c>
      <c r="R807" s="1" t="s">
        <v>74</v>
      </c>
      <c r="S807" s="1" t="s">
        <v>74</v>
      </c>
      <c r="T807" s="1" t="s">
        <v>74</v>
      </c>
      <c r="U807" s="1" t="s">
        <v>74</v>
      </c>
      <c r="V807" s="1" t="s">
        <v>7482</v>
      </c>
      <c r="W807" s="1" t="s">
        <v>74</v>
      </c>
      <c r="X807" s="1" t="s">
        <v>74</v>
      </c>
      <c r="Y807" s="1" t="s">
        <v>74</v>
      </c>
      <c r="Z807" s="1" t="s">
        <v>74</v>
      </c>
      <c r="AA807" s="1" t="s">
        <v>1913</v>
      </c>
      <c r="AB807" s="1" t="s">
        <v>7483</v>
      </c>
      <c r="AC807" s="1" t="s">
        <v>74</v>
      </c>
      <c r="AD807" s="1" t="s">
        <v>74</v>
      </c>
      <c r="AE807" s="1" t="s">
        <v>74</v>
      </c>
      <c r="AF807" s="1" t="s">
        <v>74</v>
      </c>
      <c r="AG807" s="1" t="s">
        <v>74</v>
      </c>
      <c r="AH807" s="1" t="s">
        <v>74</v>
      </c>
      <c r="AI807" s="1" t="s">
        <v>74</v>
      </c>
      <c r="AJ807" s="1" t="s">
        <v>74</v>
      </c>
      <c r="AK807" s="1" t="s">
        <v>74</v>
      </c>
      <c r="AL807" s="1" t="s">
        <v>74</v>
      </c>
      <c r="AM807" s="1" t="s">
        <v>74</v>
      </c>
      <c r="AN807" s="1" t="s">
        <v>74</v>
      </c>
      <c r="AO807" s="1" t="s">
        <v>7484</v>
      </c>
      <c r="AP807" s="1" t="s">
        <v>7485</v>
      </c>
      <c r="AQ807" s="1" t="s">
        <v>74</v>
      </c>
      <c r="AR807" s="1" t="s">
        <v>74</v>
      </c>
      <c r="AS807" s="1" t="s">
        <v>74</v>
      </c>
      <c r="AT807" s="1" t="s">
        <v>3003</v>
      </c>
      <c r="AU807" s="1">
        <v>2024.0</v>
      </c>
      <c r="AV807" s="1">
        <v>36.0</v>
      </c>
      <c r="AW807" s="1">
        <v>2.0</v>
      </c>
      <c r="AX807" s="1" t="s">
        <v>74</v>
      </c>
      <c r="AY807" s="1" t="s">
        <v>74</v>
      </c>
      <c r="AZ807" s="1" t="s">
        <v>74</v>
      </c>
      <c r="BA807" s="1" t="s">
        <v>74</v>
      </c>
      <c r="BB807" s="1">
        <v>147.0</v>
      </c>
      <c r="BC807" s="1">
        <v>163.0</v>
      </c>
      <c r="BD807" s="1" t="s">
        <v>74</v>
      </c>
      <c r="BE807" s="1" t="s">
        <v>7486</v>
      </c>
      <c r="BF807" s="2" t="str">
        <f>HYPERLINK("http://dx.doi.org/10.1080/10429247.2023.2224707","http://dx.doi.org/10.1080/10429247.2023.2224707")</f>
        <v>http://dx.doi.org/10.1080/10429247.2023.2224707</v>
      </c>
      <c r="BG807" s="1" t="s">
        <v>74</v>
      </c>
      <c r="BH807" s="1" t="s">
        <v>7487</v>
      </c>
      <c r="BI807" s="1" t="s">
        <v>74</v>
      </c>
      <c r="BJ807" s="1" t="s">
        <v>74</v>
      </c>
      <c r="BK807" s="1" t="s">
        <v>74</v>
      </c>
      <c r="BL807" s="1" t="s">
        <v>74</v>
      </c>
      <c r="BM807" s="1" t="s">
        <v>74</v>
      </c>
      <c r="BN807" s="1" t="s">
        <v>74</v>
      </c>
      <c r="BO807" s="1" t="s">
        <v>74</v>
      </c>
      <c r="BP807" s="1" t="s">
        <v>74</v>
      </c>
      <c r="BQ807" s="1" t="s">
        <v>74</v>
      </c>
      <c r="BR807" s="1" t="s">
        <v>74</v>
      </c>
      <c r="BS807" s="1" t="s">
        <v>7488</v>
      </c>
      <c r="BT807" s="1" t="str">
        <f>HYPERLINK("https%3A%2F%2Fwww.webofscience.com%2Fwos%2Fwoscc%2Ffull-record%2FWOS:001022670800001","View Full Record in Web of Science")</f>
        <v>View Full Record in Web of Science</v>
      </c>
    </row>
    <row r="808" ht="12.75" customHeight="1">
      <c r="A808" s="1" t="s">
        <v>72</v>
      </c>
      <c r="B808" s="1" t="s">
        <v>3896</v>
      </c>
      <c r="C808" s="1" t="s">
        <v>74</v>
      </c>
      <c r="D808" s="1" t="s">
        <v>74</v>
      </c>
      <c r="E808" s="1" t="s">
        <v>74</v>
      </c>
      <c r="F808" s="1" t="s">
        <v>3897</v>
      </c>
      <c r="G808" s="1" t="s">
        <v>74</v>
      </c>
      <c r="H808" s="1" t="s">
        <v>74</v>
      </c>
      <c r="I808" s="1" t="s">
        <v>7489</v>
      </c>
      <c r="J808" s="1" t="s">
        <v>3899</v>
      </c>
      <c r="K808" s="1" t="s">
        <v>74</v>
      </c>
      <c r="L808" s="1" t="s">
        <v>74</v>
      </c>
      <c r="M808" s="1" t="s">
        <v>74</v>
      </c>
      <c r="N808" s="1" t="s">
        <v>74</v>
      </c>
      <c r="O808" s="1" t="s">
        <v>74</v>
      </c>
      <c r="P808" s="1" t="s">
        <v>74</v>
      </c>
      <c r="Q808" s="1" t="s">
        <v>74</v>
      </c>
      <c r="R808" s="1" t="s">
        <v>74</v>
      </c>
      <c r="S808" s="1" t="s">
        <v>74</v>
      </c>
      <c r="T808" s="1" t="s">
        <v>74</v>
      </c>
      <c r="U808" s="1" t="s">
        <v>74</v>
      </c>
      <c r="V808" s="1" t="s">
        <v>7490</v>
      </c>
      <c r="W808" s="1" t="s">
        <v>74</v>
      </c>
      <c r="X808" s="1" t="s">
        <v>74</v>
      </c>
      <c r="Y808" s="1" t="s">
        <v>74</v>
      </c>
      <c r="Z808" s="1" t="s">
        <v>74</v>
      </c>
      <c r="AA808" s="1" t="s">
        <v>7491</v>
      </c>
      <c r="AB808" s="1" t="s">
        <v>7492</v>
      </c>
      <c r="AC808" s="1" t="s">
        <v>74</v>
      </c>
      <c r="AD808" s="1" t="s">
        <v>74</v>
      </c>
      <c r="AE808" s="1" t="s">
        <v>74</v>
      </c>
      <c r="AF808" s="1" t="s">
        <v>74</v>
      </c>
      <c r="AG808" s="1" t="s">
        <v>74</v>
      </c>
      <c r="AH808" s="1" t="s">
        <v>74</v>
      </c>
      <c r="AI808" s="1" t="s">
        <v>74</v>
      </c>
      <c r="AJ808" s="1" t="s">
        <v>74</v>
      </c>
      <c r="AK808" s="1" t="s">
        <v>74</v>
      </c>
      <c r="AL808" s="1" t="s">
        <v>74</v>
      </c>
      <c r="AM808" s="1" t="s">
        <v>74</v>
      </c>
      <c r="AN808" s="1" t="s">
        <v>74</v>
      </c>
      <c r="AO808" s="1" t="s">
        <v>3902</v>
      </c>
      <c r="AP808" s="1" t="s">
        <v>74</v>
      </c>
      <c r="AQ808" s="1" t="s">
        <v>74</v>
      </c>
      <c r="AR808" s="1" t="s">
        <v>74</v>
      </c>
      <c r="AS808" s="1" t="s">
        <v>74</v>
      </c>
      <c r="AT808" s="1" t="s">
        <v>7493</v>
      </c>
      <c r="AU808" s="1">
        <v>2023.0</v>
      </c>
      <c r="AV808" s="1">
        <v>10.0</v>
      </c>
      <c r="AW808" s="1">
        <v>8.0</v>
      </c>
      <c r="AX808" s="1" t="s">
        <v>74</v>
      </c>
      <c r="AY808" s="1" t="s">
        <v>74</v>
      </c>
      <c r="AZ808" s="1" t="s">
        <v>74</v>
      </c>
      <c r="BA808" s="1" t="s">
        <v>74</v>
      </c>
      <c r="BB808" s="1">
        <v>2484.0</v>
      </c>
      <c r="BC808" s="1">
        <v>2492.0</v>
      </c>
      <c r="BD808" s="1" t="s">
        <v>74</v>
      </c>
      <c r="BE808" s="1" t="s">
        <v>7494</v>
      </c>
      <c r="BF808" s="2" t="str">
        <f>HYPERLINK("http://dx.doi.org/10.1039/d2qi02647c","http://dx.doi.org/10.1039/d2qi02647c")</f>
        <v>http://dx.doi.org/10.1039/d2qi02647c</v>
      </c>
      <c r="BG808" s="1" t="s">
        <v>74</v>
      </c>
      <c r="BH808" s="1" t="s">
        <v>3257</v>
      </c>
      <c r="BI808" s="1" t="s">
        <v>74</v>
      </c>
      <c r="BJ808" s="1" t="s">
        <v>74</v>
      </c>
      <c r="BK808" s="1" t="s">
        <v>74</v>
      </c>
      <c r="BL808" s="1" t="s">
        <v>74</v>
      </c>
      <c r="BM808" s="1" t="s">
        <v>74</v>
      </c>
      <c r="BN808" s="1" t="s">
        <v>74</v>
      </c>
      <c r="BO808" s="1" t="s">
        <v>74</v>
      </c>
      <c r="BP808" s="1" t="s">
        <v>74</v>
      </c>
      <c r="BQ808" s="1" t="s">
        <v>74</v>
      </c>
      <c r="BR808" s="1" t="s">
        <v>74</v>
      </c>
      <c r="BS808" s="1" t="s">
        <v>7495</v>
      </c>
      <c r="BT808" s="1" t="str">
        <f>HYPERLINK("https%3A%2F%2Fwww.webofscience.com%2Fwos%2Fwoscc%2Ffull-record%2FWOS:000962343400001","View Full Record in Web of Science")</f>
        <v>View Full Record in Web of Science</v>
      </c>
    </row>
    <row r="809" ht="12.75" customHeight="1">
      <c r="A809" s="1" t="s">
        <v>72</v>
      </c>
      <c r="B809" s="1" t="s">
        <v>7496</v>
      </c>
      <c r="C809" s="1" t="s">
        <v>74</v>
      </c>
      <c r="D809" s="1" t="s">
        <v>74</v>
      </c>
      <c r="E809" s="1" t="s">
        <v>74</v>
      </c>
      <c r="F809" s="1" t="s">
        <v>7497</v>
      </c>
      <c r="G809" s="1" t="s">
        <v>74</v>
      </c>
      <c r="H809" s="1" t="s">
        <v>74</v>
      </c>
      <c r="I809" s="1" t="s">
        <v>7498</v>
      </c>
      <c r="J809" s="1" t="s">
        <v>7499</v>
      </c>
      <c r="K809" s="1" t="s">
        <v>74</v>
      </c>
      <c r="L809" s="1" t="s">
        <v>74</v>
      </c>
      <c r="M809" s="1" t="s">
        <v>74</v>
      </c>
      <c r="N809" s="1" t="s">
        <v>74</v>
      </c>
      <c r="O809" s="1" t="s">
        <v>74</v>
      </c>
      <c r="P809" s="1" t="s">
        <v>74</v>
      </c>
      <c r="Q809" s="1" t="s">
        <v>74</v>
      </c>
      <c r="R809" s="1" t="s">
        <v>74</v>
      </c>
      <c r="S809" s="1" t="s">
        <v>74</v>
      </c>
      <c r="T809" s="1" t="s">
        <v>74</v>
      </c>
      <c r="U809" s="1" t="s">
        <v>74</v>
      </c>
      <c r="V809" s="1" t="s">
        <v>7500</v>
      </c>
      <c r="W809" s="1" t="s">
        <v>74</v>
      </c>
      <c r="X809" s="1" t="s">
        <v>74</v>
      </c>
      <c r="Y809" s="1" t="s">
        <v>74</v>
      </c>
      <c r="Z809" s="1" t="s">
        <v>74</v>
      </c>
      <c r="AA809" s="1" t="s">
        <v>1913</v>
      </c>
      <c r="AB809" s="1" t="s">
        <v>2552</v>
      </c>
      <c r="AC809" s="1" t="s">
        <v>74</v>
      </c>
      <c r="AD809" s="1" t="s">
        <v>74</v>
      </c>
      <c r="AE809" s="1" t="s">
        <v>74</v>
      </c>
      <c r="AF809" s="1" t="s">
        <v>74</v>
      </c>
      <c r="AG809" s="1" t="s">
        <v>74</v>
      </c>
      <c r="AH809" s="1" t="s">
        <v>74</v>
      </c>
      <c r="AI809" s="1" t="s">
        <v>74</v>
      </c>
      <c r="AJ809" s="1" t="s">
        <v>74</v>
      </c>
      <c r="AK809" s="1" t="s">
        <v>74</v>
      </c>
      <c r="AL809" s="1" t="s">
        <v>74</v>
      </c>
      <c r="AM809" s="1" t="s">
        <v>74</v>
      </c>
      <c r="AN809" s="1" t="s">
        <v>74</v>
      </c>
      <c r="AO809" s="1" t="s">
        <v>7501</v>
      </c>
      <c r="AP809" s="1" t="s">
        <v>7502</v>
      </c>
      <c r="AQ809" s="1" t="s">
        <v>74</v>
      </c>
      <c r="AR809" s="1" t="s">
        <v>74</v>
      </c>
      <c r="AS809" s="1" t="s">
        <v>74</v>
      </c>
      <c r="AT809" s="1" t="s">
        <v>310</v>
      </c>
      <c r="AU809" s="1">
        <v>2022.0</v>
      </c>
      <c r="AV809" s="1">
        <v>249.0</v>
      </c>
      <c r="AW809" s="1" t="s">
        <v>74</v>
      </c>
      <c r="AX809" s="1" t="s">
        <v>74</v>
      </c>
      <c r="AY809" s="1" t="s">
        <v>74</v>
      </c>
      <c r="AZ809" s="1" t="s">
        <v>74</v>
      </c>
      <c r="BA809" s="1" t="s">
        <v>74</v>
      </c>
      <c r="BB809" s="1" t="s">
        <v>74</v>
      </c>
      <c r="BC809" s="1" t="s">
        <v>74</v>
      </c>
      <c r="BD809" s="1">
        <v>108518.0</v>
      </c>
      <c r="BE809" s="1" t="s">
        <v>7503</v>
      </c>
      <c r="BF809" s="2" t="str">
        <f>HYPERLINK("http://dx.doi.org/10.1016/j.ijpe.2022.108518","http://dx.doi.org/10.1016/j.ijpe.2022.108518")</f>
        <v>http://dx.doi.org/10.1016/j.ijpe.2022.108518</v>
      </c>
      <c r="BG809" s="1" t="s">
        <v>74</v>
      </c>
      <c r="BH809" s="1" t="s">
        <v>6550</v>
      </c>
      <c r="BI809" s="1" t="s">
        <v>74</v>
      </c>
      <c r="BJ809" s="1" t="s">
        <v>74</v>
      </c>
      <c r="BK809" s="1" t="s">
        <v>74</v>
      </c>
      <c r="BL809" s="1" t="s">
        <v>74</v>
      </c>
      <c r="BM809" s="1" t="s">
        <v>74</v>
      </c>
      <c r="BN809" s="1" t="s">
        <v>74</v>
      </c>
      <c r="BO809" s="1" t="s">
        <v>74</v>
      </c>
      <c r="BP809" s="1" t="s">
        <v>74</v>
      </c>
      <c r="BQ809" s="1" t="s">
        <v>74</v>
      </c>
      <c r="BR809" s="1" t="s">
        <v>74</v>
      </c>
      <c r="BS809" s="1" t="s">
        <v>7504</v>
      </c>
      <c r="BT809" s="1" t="str">
        <f>HYPERLINK("https%3A%2F%2Fwww.webofscience.com%2Fwos%2Fwoscc%2Ffull-record%2FWOS:000804540200001","View Full Record in Web of Science")</f>
        <v>View Full Record in Web of Science</v>
      </c>
    </row>
    <row r="810" ht="12.75" customHeight="1">
      <c r="A810" s="1" t="s">
        <v>72</v>
      </c>
      <c r="B810" s="1" t="s">
        <v>7505</v>
      </c>
      <c r="C810" s="1" t="s">
        <v>74</v>
      </c>
      <c r="D810" s="1" t="s">
        <v>74</v>
      </c>
      <c r="E810" s="1" t="s">
        <v>74</v>
      </c>
      <c r="F810" s="1" t="s">
        <v>7506</v>
      </c>
      <c r="G810" s="1" t="s">
        <v>74</v>
      </c>
      <c r="H810" s="1" t="s">
        <v>74</v>
      </c>
      <c r="I810" s="1" t="s">
        <v>7507</v>
      </c>
      <c r="J810" s="1" t="s">
        <v>7508</v>
      </c>
      <c r="K810" s="1" t="s">
        <v>74</v>
      </c>
      <c r="L810" s="1" t="s">
        <v>74</v>
      </c>
      <c r="M810" s="1" t="s">
        <v>74</v>
      </c>
      <c r="N810" s="1" t="s">
        <v>74</v>
      </c>
      <c r="O810" s="1" t="s">
        <v>74</v>
      </c>
      <c r="P810" s="1" t="s">
        <v>74</v>
      </c>
      <c r="Q810" s="1" t="s">
        <v>74</v>
      </c>
      <c r="R810" s="1" t="s">
        <v>74</v>
      </c>
      <c r="S810" s="1" t="s">
        <v>74</v>
      </c>
      <c r="T810" s="1" t="s">
        <v>74</v>
      </c>
      <c r="U810" s="1" t="s">
        <v>74</v>
      </c>
      <c r="V810" s="1" t="s">
        <v>7509</v>
      </c>
      <c r="W810" s="1" t="s">
        <v>74</v>
      </c>
      <c r="X810" s="1" t="s">
        <v>74</v>
      </c>
      <c r="Y810" s="1" t="s">
        <v>74</v>
      </c>
      <c r="Z810" s="1" t="s">
        <v>74</v>
      </c>
      <c r="AA810" s="1" t="s">
        <v>74</v>
      </c>
      <c r="AB810" s="1" t="s">
        <v>74</v>
      </c>
      <c r="AC810" s="1" t="s">
        <v>74</v>
      </c>
      <c r="AD810" s="1" t="s">
        <v>74</v>
      </c>
      <c r="AE810" s="1" t="s">
        <v>74</v>
      </c>
      <c r="AF810" s="1" t="s">
        <v>74</v>
      </c>
      <c r="AG810" s="1" t="s">
        <v>74</v>
      </c>
      <c r="AH810" s="1" t="s">
        <v>74</v>
      </c>
      <c r="AI810" s="1" t="s">
        <v>74</v>
      </c>
      <c r="AJ810" s="1" t="s">
        <v>74</v>
      </c>
      <c r="AK810" s="1" t="s">
        <v>74</v>
      </c>
      <c r="AL810" s="1" t="s">
        <v>74</v>
      </c>
      <c r="AM810" s="1" t="s">
        <v>74</v>
      </c>
      <c r="AN810" s="1" t="s">
        <v>74</v>
      </c>
      <c r="AO810" s="1" t="s">
        <v>7510</v>
      </c>
      <c r="AP810" s="1" t="s">
        <v>74</v>
      </c>
      <c r="AQ810" s="1" t="s">
        <v>74</v>
      </c>
      <c r="AR810" s="1" t="s">
        <v>74</v>
      </c>
      <c r="AS810" s="1" t="s">
        <v>74</v>
      </c>
      <c r="AT810" s="1" t="s">
        <v>5369</v>
      </c>
      <c r="AU810" s="1">
        <v>2022.0</v>
      </c>
      <c r="AV810" s="1">
        <v>26.0</v>
      </c>
      <c r="AW810" s="1">
        <v>2.0</v>
      </c>
      <c r="AX810" s="1" t="s">
        <v>74</v>
      </c>
      <c r="AY810" s="1" t="s">
        <v>74</v>
      </c>
      <c r="AZ810" s="1" t="s">
        <v>74</v>
      </c>
      <c r="BA810" s="1" t="s">
        <v>74</v>
      </c>
      <c r="BB810" s="1" t="s">
        <v>74</v>
      </c>
      <c r="BC810" s="1" t="s">
        <v>74</v>
      </c>
      <c r="BD810" s="1" t="s">
        <v>74</v>
      </c>
      <c r="BE810" s="1" t="s">
        <v>7511</v>
      </c>
      <c r="BF810" s="2" t="str">
        <f>HYPERLINK("http://dx.doi.org/10.15359/ree.26-2.31","http://dx.doi.org/10.15359/ree.26-2.31")</f>
        <v>http://dx.doi.org/10.15359/ree.26-2.31</v>
      </c>
      <c r="BG810" s="1" t="s">
        <v>74</v>
      </c>
      <c r="BH810" s="1" t="s">
        <v>74</v>
      </c>
      <c r="BI810" s="1" t="s">
        <v>74</v>
      </c>
      <c r="BJ810" s="1" t="s">
        <v>74</v>
      </c>
      <c r="BK810" s="1" t="s">
        <v>74</v>
      </c>
      <c r="BL810" s="1" t="s">
        <v>74</v>
      </c>
      <c r="BM810" s="1" t="s">
        <v>74</v>
      </c>
      <c r="BN810" s="1" t="s">
        <v>74</v>
      </c>
      <c r="BO810" s="1" t="s">
        <v>74</v>
      </c>
      <c r="BP810" s="1" t="s">
        <v>74</v>
      </c>
      <c r="BQ810" s="1" t="s">
        <v>74</v>
      </c>
      <c r="BR810" s="1" t="s">
        <v>74</v>
      </c>
      <c r="BS810" s="1" t="s">
        <v>7512</v>
      </c>
      <c r="BT810" s="1" t="str">
        <f>HYPERLINK("https%3A%2F%2Fwww.webofscience.com%2Fwos%2Fwoscc%2Ffull-record%2FWOS:000796192300024","View Full Record in Web of Science")</f>
        <v>View Full Record in Web of Science</v>
      </c>
    </row>
    <row r="811" ht="12.75" customHeight="1">
      <c r="A811" s="1" t="s">
        <v>72</v>
      </c>
      <c r="B811" s="1" t="s">
        <v>7513</v>
      </c>
      <c r="C811" s="1" t="s">
        <v>74</v>
      </c>
      <c r="D811" s="1" t="s">
        <v>74</v>
      </c>
      <c r="E811" s="1" t="s">
        <v>74</v>
      </c>
      <c r="F811" s="1" t="s">
        <v>7514</v>
      </c>
      <c r="G811" s="1" t="s">
        <v>74</v>
      </c>
      <c r="H811" s="1" t="s">
        <v>74</v>
      </c>
      <c r="I811" s="1" t="s">
        <v>7515</v>
      </c>
      <c r="J811" s="1" t="s">
        <v>1033</v>
      </c>
      <c r="K811" s="1" t="s">
        <v>74</v>
      </c>
      <c r="L811" s="1" t="s">
        <v>74</v>
      </c>
      <c r="M811" s="1" t="s">
        <v>74</v>
      </c>
      <c r="N811" s="1" t="s">
        <v>74</v>
      </c>
      <c r="O811" s="1" t="s">
        <v>74</v>
      </c>
      <c r="P811" s="1" t="s">
        <v>74</v>
      </c>
      <c r="Q811" s="1" t="s">
        <v>74</v>
      </c>
      <c r="R811" s="1" t="s">
        <v>74</v>
      </c>
      <c r="S811" s="1" t="s">
        <v>74</v>
      </c>
      <c r="T811" s="1" t="s">
        <v>74</v>
      </c>
      <c r="U811" s="1" t="s">
        <v>74</v>
      </c>
      <c r="V811" s="1" t="s">
        <v>7516</v>
      </c>
      <c r="W811" s="1" t="s">
        <v>74</v>
      </c>
      <c r="X811" s="1" t="s">
        <v>74</v>
      </c>
      <c r="Y811" s="1" t="s">
        <v>74</v>
      </c>
      <c r="Z811" s="1" t="s">
        <v>74</v>
      </c>
      <c r="AA811" s="1" t="s">
        <v>3281</v>
      </c>
      <c r="AB811" s="1" t="s">
        <v>3282</v>
      </c>
      <c r="AC811" s="1" t="s">
        <v>74</v>
      </c>
      <c r="AD811" s="1" t="s">
        <v>74</v>
      </c>
      <c r="AE811" s="1" t="s">
        <v>74</v>
      </c>
      <c r="AF811" s="1" t="s">
        <v>74</v>
      </c>
      <c r="AG811" s="1" t="s">
        <v>74</v>
      </c>
      <c r="AH811" s="1" t="s">
        <v>74</v>
      </c>
      <c r="AI811" s="1" t="s">
        <v>74</v>
      </c>
      <c r="AJ811" s="1" t="s">
        <v>74</v>
      </c>
      <c r="AK811" s="1" t="s">
        <v>74</v>
      </c>
      <c r="AL811" s="1" t="s">
        <v>74</v>
      </c>
      <c r="AM811" s="1" t="s">
        <v>74</v>
      </c>
      <c r="AN811" s="1" t="s">
        <v>74</v>
      </c>
      <c r="AO811" s="1" t="s">
        <v>1035</v>
      </c>
      <c r="AP811" s="1" t="s">
        <v>1036</v>
      </c>
      <c r="AQ811" s="1" t="s">
        <v>74</v>
      </c>
      <c r="AR811" s="1" t="s">
        <v>74</v>
      </c>
      <c r="AS811" s="1" t="s">
        <v>74</v>
      </c>
      <c r="AT811" s="1" t="s">
        <v>135</v>
      </c>
      <c r="AU811" s="1">
        <v>2022.0</v>
      </c>
      <c r="AV811" s="1">
        <v>42.0</v>
      </c>
      <c r="AW811" s="1">
        <v>8.0</v>
      </c>
      <c r="AX811" s="1" t="s">
        <v>74</v>
      </c>
      <c r="AY811" s="1" t="s">
        <v>74</v>
      </c>
      <c r="AZ811" s="1" t="s">
        <v>74</v>
      </c>
      <c r="BA811" s="1" t="s">
        <v>74</v>
      </c>
      <c r="BB811" s="1">
        <v>3787.0</v>
      </c>
      <c r="BC811" s="1">
        <v>3807.0</v>
      </c>
      <c r="BD811" s="1" t="s">
        <v>74</v>
      </c>
      <c r="BE811" s="1" t="s">
        <v>7517</v>
      </c>
      <c r="BF811" s="2" t="str">
        <f>HYPERLINK("http://dx.doi.org/10.3934/dcds.2022032","http://dx.doi.org/10.3934/dcds.2022032")</f>
        <v>http://dx.doi.org/10.3934/dcds.2022032</v>
      </c>
      <c r="BG811" s="1" t="s">
        <v>74</v>
      </c>
      <c r="BH811" s="1" t="s">
        <v>6575</v>
      </c>
      <c r="BI811" s="1" t="s">
        <v>74</v>
      </c>
      <c r="BJ811" s="1" t="s">
        <v>74</v>
      </c>
      <c r="BK811" s="1" t="s">
        <v>74</v>
      </c>
      <c r="BL811" s="1" t="s">
        <v>74</v>
      </c>
      <c r="BM811" s="1" t="s">
        <v>74</v>
      </c>
      <c r="BN811" s="1" t="s">
        <v>74</v>
      </c>
      <c r="BO811" s="1" t="s">
        <v>74</v>
      </c>
      <c r="BP811" s="1" t="s">
        <v>74</v>
      </c>
      <c r="BQ811" s="1" t="s">
        <v>74</v>
      </c>
      <c r="BR811" s="1" t="s">
        <v>74</v>
      </c>
      <c r="BS811" s="1" t="s">
        <v>7518</v>
      </c>
      <c r="BT811" s="1" t="str">
        <f>HYPERLINK("https%3A%2F%2Fwww.webofscience.com%2Fwos%2Fwoscc%2Ffull-record%2FWOS:000777128900001","View Full Record in Web of Science")</f>
        <v>View Full Record in Web of Science</v>
      </c>
    </row>
    <row r="812" ht="12.75" customHeight="1">
      <c r="A812" s="1" t="s">
        <v>72</v>
      </c>
      <c r="B812" s="1" t="s">
        <v>7519</v>
      </c>
      <c r="C812" s="1" t="s">
        <v>74</v>
      </c>
      <c r="D812" s="1" t="s">
        <v>74</v>
      </c>
      <c r="E812" s="1" t="s">
        <v>74</v>
      </c>
      <c r="F812" s="1" t="s">
        <v>7520</v>
      </c>
      <c r="G812" s="1" t="s">
        <v>74</v>
      </c>
      <c r="H812" s="1" t="s">
        <v>74</v>
      </c>
      <c r="I812" s="1" t="s">
        <v>7521</v>
      </c>
      <c r="J812" s="1" t="s">
        <v>7522</v>
      </c>
      <c r="K812" s="1" t="s">
        <v>74</v>
      </c>
      <c r="L812" s="1" t="s">
        <v>74</v>
      </c>
      <c r="M812" s="1" t="s">
        <v>74</v>
      </c>
      <c r="N812" s="1" t="s">
        <v>74</v>
      </c>
      <c r="O812" s="1" t="s">
        <v>74</v>
      </c>
      <c r="P812" s="1" t="s">
        <v>74</v>
      </c>
      <c r="Q812" s="1" t="s">
        <v>74</v>
      </c>
      <c r="R812" s="1" t="s">
        <v>74</v>
      </c>
      <c r="S812" s="1" t="s">
        <v>74</v>
      </c>
      <c r="T812" s="1" t="s">
        <v>74</v>
      </c>
      <c r="U812" s="1" t="s">
        <v>74</v>
      </c>
      <c r="V812" s="1" t="s">
        <v>7523</v>
      </c>
      <c r="W812" s="1" t="s">
        <v>74</v>
      </c>
      <c r="X812" s="1" t="s">
        <v>74</v>
      </c>
      <c r="Y812" s="1" t="s">
        <v>74</v>
      </c>
      <c r="Z812" s="1" t="s">
        <v>74</v>
      </c>
      <c r="AA812" s="1" t="s">
        <v>7524</v>
      </c>
      <c r="AB812" s="1" t="s">
        <v>7525</v>
      </c>
      <c r="AC812" s="1" t="s">
        <v>74</v>
      </c>
      <c r="AD812" s="1" t="s">
        <v>74</v>
      </c>
      <c r="AE812" s="1" t="s">
        <v>74</v>
      </c>
      <c r="AF812" s="1" t="s">
        <v>74</v>
      </c>
      <c r="AG812" s="1" t="s">
        <v>74</v>
      </c>
      <c r="AH812" s="1" t="s">
        <v>74</v>
      </c>
      <c r="AI812" s="1" t="s">
        <v>74</v>
      </c>
      <c r="AJ812" s="1" t="s">
        <v>74</v>
      </c>
      <c r="AK812" s="1" t="s">
        <v>74</v>
      </c>
      <c r="AL812" s="1" t="s">
        <v>74</v>
      </c>
      <c r="AM812" s="1" t="s">
        <v>74</v>
      </c>
      <c r="AN812" s="1" t="s">
        <v>74</v>
      </c>
      <c r="AO812" s="1" t="s">
        <v>7526</v>
      </c>
      <c r="AP812" s="1" t="s">
        <v>7527</v>
      </c>
      <c r="AQ812" s="1" t="s">
        <v>74</v>
      </c>
      <c r="AR812" s="1" t="s">
        <v>74</v>
      </c>
      <c r="AS812" s="1" t="s">
        <v>74</v>
      </c>
      <c r="AT812" s="1" t="s">
        <v>2616</v>
      </c>
      <c r="AU812" s="1">
        <v>2021.0</v>
      </c>
      <c r="AV812" s="1" t="s">
        <v>74</v>
      </c>
      <c r="AW812" s="1">
        <v>101.0</v>
      </c>
      <c r="AX812" s="1" t="s">
        <v>74</v>
      </c>
      <c r="AY812" s="1" t="s">
        <v>74</v>
      </c>
      <c r="AZ812" s="1" t="s">
        <v>74</v>
      </c>
      <c r="BA812" s="1" t="s">
        <v>74</v>
      </c>
      <c r="BB812" s="1">
        <v>55.0</v>
      </c>
      <c r="BC812" s="1">
        <v>63.0</v>
      </c>
      <c r="BD812" s="1" t="s">
        <v>74</v>
      </c>
      <c r="BE812" s="1" t="s">
        <v>7528</v>
      </c>
      <c r="BF812" s="2" t="str">
        <f>HYPERLINK("http://dx.doi.org/10.17533/udea.redin.20200366","http://dx.doi.org/10.17533/udea.redin.20200366")</f>
        <v>http://dx.doi.org/10.17533/udea.redin.20200366</v>
      </c>
      <c r="BG812" s="1" t="s">
        <v>74</v>
      </c>
      <c r="BH812" s="1" t="s">
        <v>74</v>
      </c>
      <c r="BI812" s="1" t="s">
        <v>74</v>
      </c>
      <c r="BJ812" s="1" t="s">
        <v>74</v>
      </c>
      <c r="BK812" s="1" t="s">
        <v>74</v>
      </c>
      <c r="BL812" s="1" t="s">
        <v>74</v>
      </c>
      <c r="BM812" s="1" t="s">
        <v>74</v>
      </c>
      <c r="BN812" s="1" t="s">
        <v>74</v>
      </c>
      <c r="BO812" s="1" t="s">
        <v>74</v>
      </c>
      <c r="BP812" s="1" t="s">
        <v>74</v>
      </c>
      <c r="BQ812" s="1" t="s">
        <v>74</v>
      </c>
      <c r="BR812" s="1" t="s">
        <v>74</v>
      </c>
      <c r="BS812" s="1" t="s">
        <v>7529</v>
      </c>
      <c r="BT812" s="1" t="str">
        <f>HYPERLINK("https%3A%2F%2Fwww.webofscience.com%2Fwos%2Fwoscc%2Ffull-record%2FWOS:000672802100006","View Full Record in Web of Science")</f>
        <v>View Full Record in Web of Science</v>
      </c>
    </row>
    <row r="813" ht="12.75" customHeight="1">
      <c r="A813" s="1" t="s">
        <v>72</v>
      </c>
      <c r="B813" s="1" t="s">
        <v>7530</v>
      </c>
      <c r="C813" s="1" t="s">
        <v>74</v>
      </c>
      <c r="D813" s="1" t="s">
        <v>74</v>
      </c>
      <c r="E813" s="1" t="s">
        <v>74</v>
      </c>
      <c r="F813" s="1" t="s">
        <v>7531</v>
      </c>
      <c r="G813" s="1" t="s">
        <v>74</v>
      </c>
      <c r="H813" s="1" t="s">
        <v>74</v>
      </c>
      <c r="I813" s="1" t="s">
        <v>7532</v>
      </c>
      <c r="J813" s="1" t="s">
        <v>7533</v>
      </c>
      <c r="K813" s="1" t="s">
        <v>74</v>
      </c>
      <c r="L813" s="1" t="s">
        <v>74</v>
      </c>
      <c r="M813" s="1" t="s">
        <v>74</v>
      </c>
      <c r="N813" s="1" t="s">
        <v>74</v>
      </c>
      <c r="O813" s="1" t="s">
        <v>74</v>
      </c>
      <c r="P813" s="1" t="s">
        <v>74</v>
      </c>
      <c r="Q813" s="1" t="s">
        <v>74</v>
      </c>
      <c r="R813" s="1" t="s">
        <v>74</v>
      </c>
      <c r="S813" s="1" t="s">
        <v>74</v>
      </c>
      <c r="T813" s="1" t="s">
        <v>74</v>
      </c>
      <c r="U813" s="1" t="s">
        <v>74</v>
      </c>
      <c r="V813" s="1" t="s">
        <v>7534</v>
      </c>
      <c r="W813" s="1" t="s">
        <v>74</v>
      </c>
      <c r="X813" s="1" t="s">
        <v>74</v>
      </c>
      <c r="Y813" s="1" t="s">
        <v>74</v>
      </c>
      <c r="Z813" s="1" t="s">
        <v>74</v>
      </c>
      <c r="AA813" s="1" t="s">
        <v>74</v>
      </c>
      <c r="AB813" s="1" t="s">
        <v>74</v>
      </c>
      <c r="AC813" s="1" t="s">
        <v>74</v>
      </c>
      <c r="AD813" s="1" t="s">
        <v>74</v>
      </c>
      <c r="AE813" s="1" t="s">
        <v>74</v>
      </c>
      <c r="AF813" s="1" t="s">
        <v>74</v>
      </c>
      <c r="AG813" s="1" t="s">
        <v>74</v>
      </c>
      <c r="AH813" s="1" t="s">
        <v>74</v>
      </c>
      <c r="AI813" s="1" t="s">
        <v>74</v>
      </c>
      <c r="AJ813" s="1" t="s">
        <v>74</v>
      </c>
      <c r="AK813" s="1" t="s">
        <v>74</v>
      </c>
      <c r="AL813" s="1" t="s">
        <v>74</v>
      </c>
      <c r="AM813" s="1" t="s">
        <v>74</v>
      </c>
      <c r="AN813" s="1" t="s">
        <v>74</v>
      </c>
      <c r="AO813" s="1" t="s">
        <v>7535</v>
      </c>
      <c r="AP813" s="1" t="s">
        <v>7536</v>
      </c>
      <c r="AQ813" s="1" t="s">
        <v>74</v>
      </c>
      <c r="AR813" s="1" t="s">
        <v>74</v>
      </c>
      <c r="AS813" s="1" t="s">
        <v>74</v>
      </c>
      <c r="AT813" s="1" t="s">
        <v>123</v>
      </c>
      <c r="AU813" s="1">
        <v>2021.0</v>
      </c>
      <c r="AV813" s="1">
        <v>33.0</v>
      </c>
      <c r="AW813" s="1">
        <v>5.0</v>
      </c>
      <c r="AX813" s="1" t="s">
        <v>74</v>
      </c>
      <c r="AY813" s="1" t="s">
        <v>74</v>
      </c>
      <c r="AZ813" s="1" t="s">
        <v>74</v>
      </c>
      <c r="BA813" s="1" t="s">
        <v>74</v>
      </c>
      <c r="BB813" s="1">
        <v>2795.0</v>
      </c>
      <c r="BC813" s="1">
        <v>2804.0</v>
      </c>
      <c r="BD813" s="1" t="s">
        <v>74</v>
      </c>
      <c r="BE813" s="1" t="s">
        <v>7537</v>
      </c>
      <c r="BF813" s="2" t="str">
        <f>HYPERLINK("http://dx.doi.org/10.1007/s10811-021-02516-x","http://dx.doi.org/10.1007/s10811-021-02516-x")</f>
        <v>http://dx.doi.org/10.1007/s10811-021-02516-x</v>
      </c>
      <c r="BG813" s="1" t="s">
        <v>74</v>
      </c>
      <c r="BH813" s="1" t="s">
        <v>5311</v>
      </c>
      <c r="BI813" s="1" t="s">
        <v>74</v>
      </c>
      <c r="BJ813" s="1" t="s">
        <v>74</v>
      </c>
      <c r="BK813" s="1" t="s">
        <v>74</v>
      </c>
      <c r="BL813" s="1" t="s">
        <v>74</v>
      </c>
      <c r="BM813" s="1" t="s">
        <v>74</v>
      </c>
      <c r="BN813" s="1" t="s">
        <v>74</v>
      </c>
      <c r="BO813" s="1" t="s">
        <v>74</v>
      </c>
      <c r="BP813" s="1" t="s">
        <v>74</v>
      </c>
      <c r="BQ813" s="1" t="s">
        <v>74</v>
      </c>
      <c r="BR813" s="1" t="s">
        <v>74</v>
      </c>
      <c r="BS813" s="1" t="s">
        <v>7538</v>
      </c>
      <c r="BT813" s="1" t="str">
        <f>HYPERLINK("https%3A%2F%2Fwww.webofscience.com%2Fwos%2Fwoscc%2Ffull-record%2FWOS:000673381200002","View Full Record in Web of Science")</f>
        <v>View Full Record in Web of Science</v>
      </c>
    </row>
    <row r="814" ht="12.75" customHeight="1">
      <c r="A814" s="1" t="s">
        <v>72</v>
      </c>
      <c r="B814" s="1" t="s">
        <v>7539</v>
      </c>
      <c r="C814" s="1" t="s">
        <v>74</v>
      </c>
      <c r="D814" s="1" t="s">
        <v>74</v>
      </c>
      <c r="E814" s="1" t="s">
        <v>74</v>
      </c>
      <c r="F814" s="1" t="s">
        <v>7540</v>
      </c>
      <c r="G814" s="1" t="s">
        <v>74</v>
      </c>
      <c r="H814" s="1" t="s">
        <v>74</v>
      </c>
      <c r="I814" s="1" t="s">
        <v>7541</v>
      </c>
      <c r="J814" s="1" t="s">
        <v>7542</v>
      </c>
      <c r="K814" s="1" t="s">
        <v>74</v>
      </c>
      <c r="L814" s="1" t="s">
        <v>74</v>
      </c>
      <c r="M814" s="1" t="s">
        <v>74</v>
      </c>
      <c r="N814" s="1" t="s">
        <v>74</v>
      </c>
      <c r="O814" s="1" t="s">
        <v>74</v>
      </c>
      <c r="P814" s="1" t="s">
        <v>74</v>
      </c>
      <c r="Q814" s="1" t="s">
        <v>74</v>
      </c>
      <c r="R814" s="1" t="s">
        <v>74</v>
      </c>
      <c r="S814" s="1" t="s">
        <v>74</v>
      </c>
      <c r="T814" s="1" t="s">
        <v>74</v>
      </c>
      <c r="U814" s="1" t="s">
        <v>74</v>
      </c>
      <c r="V814" s="1" t="s">
        <v>7543</v>
      </c>
      <c r="W814" s="1" t="s">
        <v>74</v>
      </c>
      <c r="X814" s="1" t="s">
        <v>74</v>
      </c>
      <c r="Y814" s="1" t="s">
        <v>74</v>
      </c>
      <c r="Z814" s="1" t="s">
        <v>74</v>
      </c>
      <c r="AA814" s="1" t="s">
        <v>7544</v>
      </c>
      <c r="AB814" s="1" t="s">
        <v>7545</v>
      </c>
      <c r="AC814" s="1" t="s">
        <v>74</v>
      </c>
      <c r="AD814" s="1" t="s">
        <v>74</v>
      </c>
      <c r="AE814" s="1" t="s">
        <v>74</v>
      </c>
      <c r="AF814" s="1" t="s">
        <v>74</v>
      </c>
      <c r="AG814" s="1" t="s">
        <v>74</v>
      </c>
      <c r="AH814" s="1" t="s">
        <v>74</v>
      </c>
      <c r="AI814" s="1" t="s">
        <v>74</v>
      </c>
      <c r="AJ814" s="1" t="s">
        <v>74</v>
      </c>
      <c r="AK814" s="1" t="s">
        <v>74</v>
      </c>
      <c r="AL814" s="1" t="s">
        <v>74</v>
      </c>
      <c r="AM814" s="1" t="s">
        <v>74</v>
      </c>
      <c r="AN814" s="1" t="s">
        <v>74</v>
      </c>
      <c r="AO814" s="1" t="s">
        <v>7546</v>
      </c>
      <c r="AP814" s="1" t="s">
        <v>7547</v>
      </c>
      <c r="AQ814" s="1" t="s">
        <v>74</v>
      </c>
      <c r="AR814" s="1" t="s">
        <v>74</v>
      </c>
      <c r="AS814" s="1" t="s">
        <v>74</v>
      </c>
      <c r="AT814" s="1" t="s">
        <v>7548</v>
      </c>
      <c r="AU814" s="1">
        <v>2021.0</v>
      </c>
      <c r="AV814" s="1">
        <v>60.0</v>
      </c>
      <c r="AW814" s="1">
        <v>23.0</v>
      </c>
      <c r="AX814" s="1" t="s">
        <v>74</v>
      </c>
      <c r="AY814" s="1" t="s">
        <v>74</v>
      </c>
      <c r="AZ814" s="1" t="s">
        <v>74</v>
      </c>
      <c r="BA814" s="1" t="s">
        <v>74</v>
      </c>
      <c r="BB814" s="1">
        <v>12747.0</v>
      </c>
      <c r="BC814" s="1">
        <v>12753.0</v>
      </c>
      <c r="BD814" s="1" t="s">
        <v>74</v>
      </c>
      <c r="BE814" s="1" t="s">
        <v>7549</v>
      </c>
      <c r="BF814" s="2" t="str">
        <f>HYPERLINK("http://dx.doi.org/10.1002/anie.202101403","http://dx.doi.org/10.1002/anie.202101403")</f>
        <v>http://dx.doi.org/10.1002/anie.202101403</v>
      </c>
      <c r="BG814" s="1" t="s">
        <v>74</v>
      </c>
      <c r="BH814" s="1" t="s">
        <v>7550</v>
      </c>
      <c r="BI814" s="1" t="s">
        <v>74</v>
      </c>
      <c r="BJ814" s="1" t="s">
        <v>74</v>
      </c>
      <c r="BK814" s="1" t="s">
        <v>74</v>
      </c>
      <c r="BL814" s="1" t="s">
        <v>74</v>
      </c>
      <c r="BM814" s="1" t="s">
        <v>74</v>
      </c>
      <c r="BN814" s="1">
        <v>3.3876517E7</v>
      </c>
      <c r="BO814" s="1" t="s">
        <v>74</v>
      </c>
      <c r="BP814" s="1" t="s">
        <v>74</v>
      </c>
      <c r="BQ814" s="1" t="s">
        <v>74</v>
      </c>
      <c r="BR814" s="1" t="s">
        <v>74</v>
      </c>
      <c r="BS814" s="1" t="s">
        <v>7551</v>
      </c>
      <c r="BT814" s="1" t="str">
        <f>HYPERLINK("https%3A%2F%2Fwww.webofscience.com%2Fwos%2Fwoscc%2Ffull-record%2FWOS:000645900100001","View Full Record in Web of Science")</f>
        <v>View Full Record in Web of Science</v>
      </c>
    </row>
    <row r="815" ht="12.75" customHeight="1">
      <c r="A815" s="1" t="s">
        <v>72</v>
      </c>
      <c r="B815" s="1" t="s">
        <v>7552</v>
      </c>
      <c r="C815" s="1" t="s">
        <v>74</v>
      </c>
      <c r="D815" s="1" t="s">
        <v>74</v>
      </c>
      <c r="E815" s="1" t="s">
        <v>74</v>
      </c>
      <c r="F815" s="1" t="s">
        <v>7553</v>
      </c>
      <c r="G815" s="1" t="s">
        <v>74</v>
      </c>
      <c r="H815" s="1" t="s">
        <v>74</v>
      </c>
      <c r="I815" s="1" t="s">
        <v>7554</v>
      </c>
      <c r="J815" s="1" t="s">
        <v>6799</v>
      </c>
      <c r="K815" s="1" t="s">
        <v>74</v>
      </c>
      <c r="L815" s="1" t="s">
        <v>74</v>
      </c>
      <c r="M815" s="1" t="s">
        <v>74</v>
      </c>
      <c r="N815" s="1" t="s">
        <v>74</v>
      </c>
      <c r="O815" s="1" t="s">
        <v>74</v>
      </c>
      <c r="P815" s="1" t="s">
        <v>74</v>
      </c>
      <c r="Q815" s="1" t="s">
        <v>74</v>
      </c>
      <c r="R815" s="1" t="s">
        <v>74</v>
      </c>
      <c r="S815" s="1" t="s">
        <v>74</v>
      </c>
      <c r="T815" s="1" t="s">
        <v>74</v>
      </c>
      <c r="U815" s="1" t="s">
        <v>74</v>
      </c>
      <c r="V815" s="1" t="s">
        <v>7555</v>
      </c>
      <c r="W815" s="1" t="s">
        <v>74</v>
      </c>
      <c r="X815" s="1" t="s">
        <v>74</v>
      </c>
      <c r="Y815" s="1" t="s">
        <v>74</v>
      </c>
      <c r="Z815" s="1" t="s">
        <v>74</v>
      </c>
      <c r="AA815" s="1" t="s">
        <v>7556</v>
      </c>
      <c r="AB815" s="1" t="s">
        <v>74</v>
      </c>
      <c r="AC815" s="1" t="s">
        <v>74</v>
      </c>
      <c r="AD815" s="1" t="s">
        <v>74</v>
      </c>
      <c r="AE815" s="1" t="s">
        <v>74</v>
      </c>
      <c r="AF815" s="1" t="s">
        <v>74</v>
      </c>
      <c r="AG815" s="1" t="s">
        <v>74</v>
      </c>
      <c r="AH815" s="1" t="s">
        <v>74</v>
      </c>
      <c r="AI815" s="1" t="s">
        <v>74</v>
      </c>
      <c r="AJ815" s="1" t="s">
        <v>74</v>
      </c>
      <c r="AK815" s="1" t="s">
        <v>74</v>
      </c>
      <c r="AL815" s="1" t="s">
        <v>74</v>
      </c>
      <c r="AM815" s="1" t="s">
        <v>74</v>
      </c>
      <c r="AN815" s="1" t="s">
        <v>74</v>
      </c>
      <c r="AO815" s="1" t="s">
        <v>6802</v>
      </c>
      <c r="AP815" s="1" t="s">
        <v>6803</v>
      </c>
      <c r="AQ815" s="1" t="s">
        <v>74</v>
      </c>
      <c r="AR815" s="1" t="s">
        <v>74</v>
      </c>
      <c r="AS815" s="1" t="s">
        <v>74</v>
      </c>
      <c r="AT815" s="1" t="s">
        <v>650</v>
      </c>
      <c r="AU815" s="1">
        <v>2021.0</v>
      </c>
      <c r="AV815" s="1">
        <v>39.0</v>
      </c>
      <c r="AW815" s="1">
        <v>1.0</v>
      </c>
      <c r="AX815" s="1" t="s">
        <v>74</v>
      </c>
      <c r="AY815" s="1" t="s">
        <v>74</v>
      </c>
      <c r="AZ815" s="1" t="s">
        <v>74</v>
      </c>
      <c r="BA815" s="1" t="s">
        <v>74</v>
      </c>
      <c r="BB815" s="1">
        <v>99.0</v>
      </c>
      <c r="BC815" s="1">
        <v>127.0</v>
      </c>
      <c r="BD815" s="1" t="s">
        <v>7557</v>
      </c>
      <c r="BE815" s="1" t="s">
        <v>7558</v>
      </c>
      <c r="BF815" s="2" t="str">
        <f>HYPERLINK("http://dx.doi.org/10.1017/S0212610920000075","http://dx.doi.org/10.1017/S0212610920000075")</f>
        <v>http://dx.doi.org/10.1017/S0212610920000075</v>
      </c>
      <c r="BG815" s="1" t="s">
        <v>74</v>
      </c>
      <c r="BH815" s="1" t="s">
        <v>74</v>
      </c>
      <c r="BI815" s="1" t="s">
        <v>74</v>
      </c>
      <c r="BJ815" s="1" t="s">
        <v>74</v>
      </c>
      <c r="BK815" s="1" t="s">
        <v>74</v>
      </c>
      <c r="BL815" s="1" t="s">
        <v>74</v>
      </c>
      <c r="BM815" s="1" t="s">
        <v>74</v>
      </c>
      <c r="BN815" s="1" t="s">
        <v>74</v>
      </c>
      <c r="BO815" s="1" t="s">
        <v>74</v>
      </c>
      <c r="BP815" s="1" t="s">
        <v>74</v>
      </c>
      <c r="BQ815" s="1" t="s">
        <v>74</v>
      </c>
      <c r="BR815" s="1" t="s">
        <v>74</v>
      </c>
      <c r="BS815" s="1" t="s">
        <v>7559</v>
      </c>
      <c r="BT815" s="1" t="str">
        <f>HYPERLINK("https%3A%2F%2Fwww.webofscience.com%2Fwos%2Fwoscc%2Ffull-record%2FWOS:000625825500005","View Full Record in Web of Science")</f>
        <v>View Full Record in Web of Science</v>
      </c>
    </row>
    <row r="816" ht="12.75" customHeight="1">
      <c r="A816" s="1" t="s">
        <v>251</v>
      </c>
      <c r="B816" s="1" t="s">
        <v>7560</v>
      </c>
      <c r="C816" s="1" t="s">
        <v>74</v>
      </c>
      <c r="D816" s="1" t="s">
        <v>74</v>
      </c>
      <c r="E816" s="1" t="s">
        <v>253</v>
      </c>
      <c r="F816" s="1" t="s">
        <v>7561</v>
      </c>
      <c r="G816" s="1" t="s">
        <v>74</v>
      </c>
      <c r="H816" s="1" t="s">
        <v>74</v>
      </c>
      <c r="I816" s="1" t="s">
        <v>7562</v>
      </c>
      <c r="J816" s="1" t="s">
        <v>7563</v>
      </c>
      <c r="K816" s="1" t="s">
        <v>74</v>
      </c>
      <c r="L816" s="1" t="s">
        <v>74</v>
      </c>
      <c r="M816" s="1" t="s">
        <v>74</v>
      </c>
      <c r="N816" s="1" t="s">
        <v>74</v>
      </c>
      <c r="O816" s="1" t="s">
        <v>7564</v>
      </c>
      <c r="P816" s="1" t="s">
        <v>7565</v>
      </c>
      <c r="Q816" s="1" t="s">
        <v>7566</v>
      </c>
      <c r="R816" s="1" t="s">
        <v>7567</v>
      </c>
      <c r="S816" s="1" t="s">
        <v>74</v>
      </c>
      <c r="T816" s="1" t="s">
        <v>74</v>
      </c>
      <c r="U816" s="1" t="s">
        <v>74</v>
      </c>
      <c r="V816" s="1" t="s">
        <v>7568</v>
      </c>
      <c r="W816" s="1" t="s">
        <v>74</v>
      </c>
      <c r="X816" s="1" t="s">
        <v>74</v>
      </c>
      <c r="Y816" s="1" t="s">
        <v>74</v>
      </c>
      <c r="Z816" s="1" t="s">
        <v>74</v>
      </c>
      <c r="AA816" s="1" t="s">
        <v>7569</v>
      </c>
      <c r="AB816" s="1" t="s">
        <v>7570</v>
      </c>
      <c r="AC816" s="1" t="s">
        <v>74</v>
      </c>
      <c r="AD816" s="1" t="s">
        <v>74</v>
      </c>
      <c r="AE816" s="1" t="s">
        <v>74</v>
      </c>
      <c r="AF816" s="1" t="s">
        <v>74</v>
      </c>
      <c r="AG816" s="1" t="s">
        <v>74</v>
      </c>
      <c r="AH816" s="1" t="s">
        <v>74</v>
      </c>
      <c r="AI816" s="1" t="s">
        <v>74</v>
      </c>
      <c r="AJ816" s="1" t="s">
        <v>74</v>
      </c>
      <c r="AK816" s="1" t="s">
        <v>74</v>
      </c>
      <c r="AL816" s="1" t="s">
        <v>74</v>
      </c>
      <c r="AM816" s="1" t="s">
        <v>74</v>
      </c>
      <c r="AN816" s="1" t="s">
        <v>74</v>
      </c>
      <c r="AO816" s="1" t="s">
        <v>74</v>
      </c>
      <c r="AP816" s="1" t="s">
        <v>74</v>
      </c>
      <c r="AQ816" s="1" t="s">
        <v>7571</v>
      </c>
      <c r="AR816" s="1" t="s">
        <v>74</v>
      </c>
      <c r="AS816" s="1" t="s">
        <v>74</v>
      </c>
      <c r="AT816" s="1" t="s">
        <v>74</v>
      </c>
      <c r="AU816" s="1">
        <v>2021.0</v>
      </c>
      <c r="AV816" s="1" t="s">
        <v>74</v>
      </c>
      <c r="AW816" s="1" t="s">
        <v>74</v>
      </c>
      <c r="AX816" s="1" t="s">
        <v>74</v>
      </c>
      <c r="AY816" s="1" t="s">
        <v>74</v>
      </c>
      <c r="AZ816" s="1" t="s">
        <v>74</v>
      </c>
      <c r="BA816" s="1" t="s">
        <v>74</v>
      </c>
      <c r="BB816" s="1">
        <v>555.0</v>
      </c>
      <c r="BC816" s="1">
        <v>560.0</v>
      </c>
      <c r="BD816" s="1" t="s">
        <v>74</v>
      </c>
      <c r="BE816" s="1" t="s">
        <v>7572</v>
      </c>
      <c r="BF816" s="2" t="str">
        <f>HYPERLINK("http://dx.doi.org/10.1109/ICECET52533.2021.9698450","http://dx.doi.org/10.1109/ICECET52533.2021.9698450")</f>
        <v>http://dx.doi.org/10.1109/ICECET52533.2021.9698450</v>
      </c>
      <c r="BG816" s="1" t="s">
        <v>74</v>
      </c>
      <c r="BH816" s="1" t="s">
        <v>74</v>
      </c>
      <c r="BI816" s="1" t="s">
        <v>74</v>
      </c>
      <c r="BJ816" s="1" t="s">
        <v>74</v>
      </c>
      <c r="BK816" s="1" t="s">
        <v>74</v>
      </c>
      <c r="BL816" s="1" t="s">
        <v>74</v>
      </c>
      <c r="BM816" s="1" t="s">
        <v>74</v>
      </c>
      <c r="BN816" s="1" t="s">
        <v>74</v>
      </c>
      <c r="BO816" s="1" t="s">
        <v>74</v>
      </c>
      <c r="BP816" s="1" t="s">
        <v>74</v>
      </c>
      <c r="BQ816" s="1" t="s">
        <v>74</v>
      </c>
      <c r="BR816" s="1" t="s">
        <v>74</v>
      </c>
      <c r="BS816" s="1" t="s">
        <v>7573</v>
      </c>
      <c r="BT816" s="1" t="str">
        <f>HYPERLINK("https%3A%2F%2Fwww.webofscience.com%2Fwos%2Fwoscc%2Ffull-record%2FWOS:000814669100095","View Full Record in Web of Science")</f>
        <v>View Full Record in Web of Science</v>
      </c>
    </row>
    <row r="817" ht="12.75" customHeight="1">
      <c r="A817" s="1" t="s">
        <v>72</v>
      </c>
      <c r="B817" s="1" t="s">
        <v>7574</v>
      </c>
      <c r="C817" s="1" t="s">
        <v>74</v>
      </c>
      <c r="D817" s="1" t="s">
        <v>74</v>
      </c>
      <c r="E817" s="1" t="s">
        <v>74</v>
      </c>
      <c r="F817" s="1" t="s">
        <v>7575</v>
      </c>
      <c r="G817" s="1" t="s">
        <v>74</v>
      </c>
      <c r="H817" s="1" t="s">
        <v>74</v>
      </c>
      <c r="I817" s="1" t="s">
        <v>7576</v>
      </c>
      <c r="J817" s="1" t="s">
        <v>7577</v>
      </c>
      <c r="K817" s="1" t="s">
        <v>74</v>
      </c>
      <c r="L817" s="1" t="s">
        <v>74</v>
      </c>
      <c r="M817" s="1" t="s">
        <v>74</v>
      </c>
      <c r="N817" s="1" t="s">
        <v>74</v>
      </c>
      <c r="O817" s="1" t="s">
        <v>74</v>
      </c>
      <c r="P817" s="1" t="s">
        <v>74</v>
      </c>
      <c r="Q817" s="1" t="s">
        <v>74</v>
      </c>
      <c r="R817" s="1" t="s">
        <v>74</v>
      </c>
      <c r="S817" s="1" t="s">
        <v>74</v>
      </c>
      <c r="T817" s="1" t="s">
        <v>74</v>
      </c>
      <c r="U817" s="1" t="s">
        <v>74</v>
      </c>
      <c r="V817" s="1" t="s">
        <v>7578</v>
      </c>
      <c r="W817" s="1" t="s">
        <v>74</v>
      </c>
      <c r="X817" s="1" t="s">
        <v>74</v>
      </c>
      <c r="Y817" s="1" t="s">
        <v>74</v>
      </c>
      <c r="Z817" s="1" t="s">
        <v>74</v>
      </c>
      <c r="AA817" s="1" t="s">
        <v>7579</v>
      </c>
      <c r="AB817" s="1" t="s">
        <v>7580</v>
      </c>
      <c r="AC817" s="1" t="s">
        <v>74</v>
      </c>
      <c r="AD817" s="1" t="s">
        <v>74</v>
      </c>
      <c r="AE817" s="1" t="s">
        <v>74</v>
      </c>
      <c r="AF817" s="1" t="s">
        <v>74</v>
      </c>
      <c r="AG817" s="1" t="s">
        <v>74</v>
      </c>
      <c r="AH817" s="1" t="s">
        <v>74</v>
      </c>
      <c r="AI817" s="1" t="s">
        <v>74</v>
      </c>
      <c r="AJ817" s="1" t="s">
        <v>74</v>
      </c>
      <c r="AK817" s="1" t="s">
        <v>74</v>
      </c>
      <c r="AL817" s="1" t="s">
        <v>74</v>
      </c>
      <c r="AM817" s="1" t="s">
        <v>74</v>
      </c>
      <c r="AN817" s="1" t="s">
        <v>74</v>
      </c>
      <c r="AO817" s="1" t="s">
        <v>7581</v>
      </c>
      <c r="AP817" s="1" t="s">
        <v>7582</v>
      </c>
      <c r="AQ817" s="1" t="s">
        <v>74</v>
      </c>
      <c r="AR817" s="1" t="s">
        <v>74</v>
      </c>
      <c r="AS817" s="1" t="s">
        <v>74</v>
      </c>
      <c r="AT817" s="1" t="s">
        <v>360</v>
      </c>
      <c r="AU817" s="1">
        <v>2021.0</v>
      </c>
      <c r="AV817" s="1">
        <v>62.0</v>
      </c>
      <c r="AW817" s="1">
        <v>1.0</v>
      </c>
      <c r="AX817" s="1" t="s">
        <v>74</v>
      </c>
      <c r="AY817" s="1" t="s">
        <v>74</v>
      </c>
      <c r="AZ817" s="1" t="s">
        <v>74</v>
      </c>
      <c r="BA817" s="1" t="s">
        <v>74</v>
      </c>
      <c r="BB817" s="1">
        <v>141.0</v>
      </c>
      <c r="BC817" s="1">
        <v>173.0</v>
      </c>
      <c r="BD817" s="1" t="s">
        <v>74</v>
      </c>
      <c r="BE817" s="1" t="s">
        <v>7583</v>
      </c>
      <c r="BF817" s="2" t="str">
        <f>HYPERLINK("http://dx.doi.org/10.1111/iere.12481","http://dx.doi.org/10.1111/iere.12481")</f>
        <v>http://dx.doi.org/10.1111/iere.12481</v>
      </c>
      <c r="BG817" s="1" t="s">
        <v>74</v>
      </c>
      <c r="BH817" s="1" t="s">
        <v>6650</v>
      </c>
      <c r="BI817" s="1" t="s">
        <v>74</v>
      </c>
      <c r="BJ817" s="1" t="s">
        <v>74</v>
      </c>
      <c r="BK817" s="1" t="s">
        <v>74</v>
      </c>
      <c r="BL817" s="1" t="s">
        <v>74</v>
      </c>
      <c r="BM817" s="1" t="s">
        <v>74</v>
      </c>
      <c r="BN817" s="1" t="s">
        <v>74</v>
      </c>
      <c r="BO817" s="1" t="s">
        <v>74</v>
      </c>
      <c r="BP817" s="1" t="s">
        <v>74</v>
      </c>
      <c r="BQ817" s="1" t="s">
        <v>74</v>
      </c>
      <c r="BR817" s="1" t="s">
        <v>74</v>
      </c>
      <c r="BS817" s="1" t="s">
        <v>7584</v>
      </c>
      <c r="BT817" s="1" t="str">
        <f>HYPERLINK("https%3A%2F%2Fwww.webofscience.com%2Fwos%2Fwoscc%2Ffull-record%2FWOS:000570318300001","View Full Record in Web of Science")</f>
        <v>View Full Record in Web of Science</v>
      </c>
    </row>
    <row r="818" ht="12.75" customHeight="1">
      <c r="A818" s="1" t="s">
        <v>72</v>
      </c>
      <c r="B818" s="1" t="s">
        <v>7585</v>
      </c>
      <c r="C818" s="1" t="s">
        <v>74</v>
      </c>
      <c r="D818" s="1" t="s">
        <v>74</v>
      </c>
      <c r="E818" s="1" t="s">
        <v>74</v>
      </c>
      <c r="F818" s="1" t="s">
        <v>7586</v>
      </c>
      <c r="G818" s="1" t="s">
        <v>74</v>
      </c>
      <c r="H818" s="1" t="s">
        <v>74</v>
      </c>
      <c r="I818" s="1" t="s">
        <v>7587</v>
      </c>
      <c r="J818" s="1" t="s">
        <v>6586</v>
      </c>
      <c r="K818" s="1" t="s">
        <v>74</v>
      </c>
      <c r="L818" s="1" t="s">
        <v>74</v>
      </c>
      <c r="M818" s="1" t="s">
        <v>74</v>
      </c>
      <c r="N818" s="1" t="s">
        <v>74</v>
      </c>
      <c r="O818" s="1" t="s">
        <v>74</v>
      </c>
      <c r="P818" s="1" t="s">
        <v>74</v>
      </c>
      <c r="Q818" s="1" t="s">
        <v>74</v>
      </c>
      <c r="R818" s="1" t="s">
        <v>74</v>
      </c>
      <c r="S818" s="1" t="s">
        <v>74</v>
      </c>
      <c r="T818" s="1" t="s">
        <v>74</v>
      </c>
      <c r="U818" s="1" t="s">
        <v>74</v>
      </c>
      <c r="V818" s="1" t="s">
        <v>7588</v>
      </c>
      <c r="W818" s="1" t="s">
        <v>74</v>
      </c>
      <c r="X818" s="1" t="s">
        <v>74</v>
      </c>
      <c r="Y818" s="1" t="s">
        <v>74</v>
      </c>
      <c r="Z818" s="1" t="s">
        <v>74</v>
      </c>
      <c r="AA818" s="1" t="s">
        <v>4745</v>
      </c>
      <c r="AB818" s="1" t="s">
        <v>3112</v>
      </c>
      <c r="AC818" s="1" t="s">
        <v>74</v>
      </c>
      <c r="AD818" s="1" t="s">
        <v>74</v>
      </c>
      <c r="AE818" s="1" t="s">
        <v>74</v>
      </c>
      <c r="AF818" s="1" t="s">
        <v>74</v>
      </c>
      <c r="AG818" s="1" t="s">
        <v>74</v>
      </c>
      <c r="AH818" s="1" t="s">
        <v>74</v>
      </c>
      <c r="AI818" s="1" t="s">
        <v>74</v>
      </c>
      <c r="AJ818" s="1" t="s">
        <v>74</v>
      </c>
      <c r="AK818" s="1" t="s">
        <v>74</v>
      </c>
      <c r="AL818" s="1" t="s">
        <v>74</v>
      </c>
      <c r="AM818" s="1" t="s">
        <v>74</v>
      </c>
      <c r="AN818" s="1" t="s">
        <v>74</v>
      </c>
      <c r="AO818" s="1" t="s">
        <v>6589</v>
      </c>
      <c r="AP818" s="1" t="s">
        <v>6590</v>
      </c>
      <c r="AQ818" s="1" t="s">
        <v>74</v>
      </c>
      <c r="AR818" s="1" t="s">
        <v>74</v>
      </c>
      <c r="AS818" s="1" t="s">
        <v>74</v>
      </c>
      <c r="AT818" s="1" t="s">
        <v>4550</v>
      </c>
      <c r="AU818" s="1">
        <v>2020.0</v>
      </c>
      <c r="AV818" s="1">
        <v>312.0</v>
      </c>
      <c r="AW818" s="1" t="s">
        <v>74</v>
      </c>
      <c r="AX818" s="1" t="s">
        <v>74</v>
      </c>
      <c r="AY818" s="1" t="s">
        <v>74</v>
      </c>
      <c r="AZ818" s="1" t="s">
        <v>74</v>
      </c>
      <c r="BA818" s="1" t="s">
        <v>74</v>
      </c>
      <c r="BB818" s="1" t="s">
        <v>74</v>
      </c>
      <c r="BC818" s="1" t="s">
        <v>74</v>
      </c>
      <c r="BD818" s="1">
        <v>113362.0</v>
      </c>
      <c r="BE818" s="1" t="s">
        <v>7589</v>
      </c>
      <c r="BF818" s="2" t="str">
        <f>HYPERLINK("http://dx.doi.org/10.1016/j.molliq.2020.113362","http://dx.doi.org/10.1016/j.molliq.2020.113362")</f>
        <v>http://dx.doi.org/10.1016/j.molliq.2020.113362</v>
      </c>
      <c r="BG818" s="1" t="s">
        <v>74</v>
      </c>
      <c r="BH818" s="1" t="s">
        <v>74</v>
      </c>
      <c r="BI818" s="1" t="s">
        <v>74</v>
      </c>
      <c r="BJ818" s="1" t="s">
        <v>74</v>
      </c>
      <c r="BK818" s="1" t="s">
        <v>74</v>
      </c>
      <c r="BL818" s="1" t="s">
        <v>74</v>
      </c>
      <c r="BM818" s="1" t="s">
        <v>74</v>
      </c>
      <c r="BN818" s="1" t="s">
        <v>74</v>
      </c>
      <c r="BO818" s="1" t="s">
        <v>74</v>
      </c>
      <c r="BP818" s="1" t="s">
        <v>74</v>
      </c>
      <c r="BQ818" s="1" t="s">
        <v>74</v>
      </c>
      <c r="BR818" s="1" t="s">
        <v>74</v>
      </c>
      <c r="BS818" s="1" t="s">
        <v>7590</v>
      </c>
      <c r="BT818" s="1" t="str">
        <f>HYPERLINK("https%3A%2F%2Fwww.webofscience.com%2Fwos%2Fwoscc%2Ffull-record%2FWOS:000559968600062","View Full Record in Web of Science")</f>
        <v>View Full Record in Web of Science</v>
      </c>
    </row>
    <row r="819" ht="12.75" customHeight="1">
      <c r="A819" s="1" t="s">
        <v>72</v>
      </c>
      <c r="B819" s="1" t="s">
        <v>7591</v>
      </c>
      <c r="C819" s="1" t="s">
        <v>74</v>
      </c>
      <c r="D819" s="1" t="s">
        <v>74</v>
      </c>
      <c r="E819" s="1" t="s">
        <v>74</v>
      </c>
      <c r="F819" s="1" t="s">
        <v>7592</v>
      </c>
      <c r="G819" s="1" t="s">
        <v>74</v>
      </c>
      <c r="H819" s="1" t="s">
        <v>74</v>
      </c>
      <c r="I819" s="1" t="s">
        <v>7593</v>
      </c>
      <c r="J819" s="1" t="s">
        <v>7594</v>
      </c>
      <c r="K819" s="1" t="s">
        <v>74</v>
      </c>
      <c r="L819" s="1" t="s">
        <v>74</v>
      </c>
      <c r="M819" s="1" t="s">
        <v>74</v>
      </c>
      <c r="N819" s="1" t="s">
        <v>74</v>
      </c>
      <c r="O819" s="1" t="s">
        <v>7595</v>
      </c>
      <c r="P819" s="1" t="s">
        <v>7596</v>
      </c>
      <c r="Q819" s="1" t="s">
        <v>7597</v>
      </c>
      <c r="R819" s="1" t="s">
        <v>74</v>
      </c>
      <c r="S819" s="1" t="s">
        <v>74</v>
      </c>
      <c r="T819" s="1" t="s">
        <v>74</v>
      </c>
      <c r="U819" s="1" t="s">
        <v>74</v>
      </c>
      <c r="V819" s="1" t="s">
        <v>7598</v>
      </c>
      <c r="W819" s="1" t="s">
        <v>74</v>
      </c>
      <c r="X819" s="1" t="s">
        <v>74</v>
      </c>
      <c r="Y819" s="1" t="s">
        <v>74</v>
      </c>
      <c r="Z819" s="1" t="s">
        <v>74</v>
      </c>
      <c r="AA819" s="1" t="s">
        <v>7599</v>
      </c>
      <c r="AB819" s="1" t="s">
        <v>7600</v>
      </c>
      <c r="AC819" s="1" t="s">
        <v>74</v>
      </c>
      <c r="AD819" s="1" t="s">
        <v>74</v>
      </c>
      <c r="AE819" s="1" t="s">
        <v>74</v>
      </c>
      <c r="AF819" s="1" t="s">
        <v>74</v>
      </c>
      <c r="AG819" s="1" t="s">
        <v>74</v>
      </c>
      <c r="AH819" s="1" t="s">
        <v>74</v>
      </c>
      <c r="AI819" s="1" t="s">
        <v>74</v>
      </c>
      <c r="AJ819" s="1" t="s">
        <v>74</v>
      </c>
      <c r="AK819" s="1" t="s">
        <v>74</v>
      </c>
      <c r="AL819" s="1" t="s">
        <v>74</v>
      </c>
      <c r="AM819" s="1" t="s">
        <v>74</v>
      </c>
      <c r="AN819" s="1" t="s">
        <v>74</v>
      </c>
      <c r="AO819" s="1" t="s">
        <v>7601</v>
      </c>
      <c r="AP819" s="1" t="s">
        <v>7602</v>
      </c>
      <c r="AQ819" s="1" t="s">
        <v>74</v>
      </c>
      <c r="AR819" s="1" t="s">
        <v>74</v>
      </c>
      <c r="AS819" s="1" t="s">
        <v>74</v>
      </c>
      <c r="AT819" s="1" t="s">
        <v>135</v>
      </c>
      <c r="AU819" s="1">
        <v>2020.0</v>
      </c>
      <c r="AV819" s="1">
        <v>88.0</v>
      </c>
      <c r="AW819" s="1" t="s">
        <v>74</v>
      </c>
      <c r="AX819" s="1" t="s">
        <v>74</v>
      </c>
      <c r="AY819" s="1" t="s">
        <v>74</v>
      </c>
      <c r="AZ819" s="1" t="s">
        <v>74</v>
      </c>
      <c r="BA819" s="1" t="s">
        <v>74</v>
      </c>
      <c r="BB819" s="1" t="s">
        <v>74</v>
      </c>
      <c r="BC819" s="1" t="s">
        <v>74</v>
      </c>
      <c r="BD819" s="1">
        <v>103116.0</v>
      </c>
      <c r="BE819" s="1" t="s">
        <v>7603</v>
      </c>
      <c r="BF819" s="2" t="str">
        <f>HYPERLINK("http://dx.doi.org/10.1016/j.ejc.2020.103116","http://dx.doi.org/10.1016/j.ejc.2020.103116")</f>
        <v>http://dx.doi.org/10.1016/j.ejc.2020.103116</v>
      </c>
      <c r="BG819" s="1" t="s">
        <v>74</v>
      </c>
      <c r="BH819" s="1" t="s">
        <v>74</v>
      </c>
      <c r="BI819" s="1" t="s">
        <v>74</v>
      </c>
      <c r="BJ819" s="1" t="s">
        <v>74</v>
      </c>
      <c r="BK819" s="1" t="s">
        <v>74</v>
      </c>
      <c r="BL819" s="1" t="s">
        <v>74</v>
      </c>
      <c r="BM819" s="1" t="s">
        <v>74</v>
      </c>
      <c r="BN819" s="1" t="s">
        <v>74</v>
      </c>
      <c r="BO819" s="1" t="s">
        <v>74</v>
      </c>
      <c r="BP819" s="1" t="s">
        <v>74</v>
      </c>
      <c r="BQ819" s="1" t="s">
        <v>74</v>
      </c>
      <c r="BR819" s="1" t="s">
        <v>74</v>
      </c>
      <c r="BS819" s="1" t="s">
        <v>7604</v>
      </c>
      <c r="BT819" s="1" t="str">
        <f>HYPERLINK("https%3A%2F%2Fwww.webofscience.com%2Fwos%2Fwoscc%2Ffull-record%2FWOS:000541875000015","View Full Record in Web of Science")</f>
        <v>View Full Record in Web of Science</v>
      </c>
    </row>
    <row r="820" ht="12.75" customHeight="1">
      <c r="A820" s="1" t="s">
        <v>72</v>
      </c>
      <c r="B820" s="1" t="s">
        <v>7605</v>
      </c>
      <c r="C820" s="1" t="s">
        <v>74</v>
      </c>
      <c r="D820" s="1" t="s">
        <v>74</v>
      </c>
      <c r="E820" s="1" t="s">
        <v>74</v>
      </c>
      <c r="F820" s="1" t="s">
        <v>7606</v>
      </c>
      <c r="G820" s="1" t="s">
        <v>74</v>
      </c>
      <c r="H820" s="1" t="s">
        <v>74</v>
      </c>
      <c r="I820" s="1" t="s">
        <v>7607</v>
      </c>
      <c r="J820" s="1" t="s">
        <v>395</v>
      </c>
      <c r="K820" s="1" t="s">
        <v>74</v>
      </c>
      <c r="L820" s="1" t="s">
        <v>74</v>
      </c>
      <c r="M820" s="1" t="s">
        <v>74</v>
      </c>
      <c r="N820" s="1" t="s">
        <v>74</v>
      </c>
      <c r="O820" s="1" t="s">
        <v>74</v>
      </c>
      <c r="P820" s="1" t="s">
        <v>74</v>
      </c>
      <c r="Q820" s="1" t="s">
        <v>74</v>
      </c>
      <c r="R820" s="1" t="s">
        <v>74</v>
      </c>
      <c r="S820" s="1" t="s">
        <v>74</v>
      </c>
      <c r="T820" s="1" t="s">
        <v>74</v>
      </c>
      <c r="U820" s="1" t="s">
        <v>74</v>
      </c>
      <c r="V820" s="1" t="s">
        <v>7608</v>
      </c>
      <c r="W820" s="1" t="s">
        <v>74</v>
      </c>
      <c r="X820" s="1" t="s">
        <v>74</v>
      </c>
      <c r="Y820" s="1" t="s">
        <v>74</v>
      </c>
      <c r="Z820" s="1" t="s">
        <v>74</v>
      </c>
      <c r="AA820" s="1" t="s">
        <v>7609</v>
      </c>
      <c r="AB820" s="1" t="s">
        <v>7610</v>
      </c>
      <c r="AC820" s="1" t="s">
        <v>74</v>
      </c>
      <c r="AD820" s="1" t="s">
        <v>74</v>
      </c>
      <c r="AE820" s="1" t="s">
        <v>74</v>
      </c>
      <c r="AF820" s="1" t="s">
        <v>74</v>
      </c>
      <c r="AG820" s="1" t="s">
        <v>74</v>
      </c>
      <c r="AH820" s="1" t="s">
        <v>74</v>
      </c>
      <c r="AI820" s="1" t="s">
        <v>74</v>
      </c>
      <c r="AJ820" s="1" t="s">
        <v>74</v>
      </c>
      <c r="AK820" s="1" t="s">
        <v>74</v>
      </c>
      <c r="AL820" s="1" t="s">
        <v>74</v>
      </c>
      <c r="AM820" s="1" t="s">
        <v>74</v>
      </c>
      <c r="AN820" s="1" t="s">
        <v>74</v>
      </c>
      <c r="AO820" s="1" t="s">
        <v>398</v>
      </c>
      <c r="AP820" s="1" t="s">
        <v>399</v>
      </c>
      <c r="AQ820" s="1" t="s">
        <v>74</v>
      </c>
      <c r="AR820" s="1" t="s">
        <v>74</v>
      </c>
      <c r="AS820" s="1" t="s">
        <v>74</v>
      </c>
      <c r="AT820" s="1" t="s">
        <v>135</v>
      </c>
      <c r="AU820" s="1">
        <v>2020.0</v>
      </c>
      <c r="AV820" s="1" t="s">
        <v>74</v>
      </c>
      <c r="AW820" s="1">
        <v>81.0</v>
      </c>
      <c r="AX820" s="1" t="s">
        <v>74</v>
      </c>
      <c r="AY820" s="1" t="s">
        <v>74</v>
      </c>
      <c r="AZ820" s="1" t="s">
        <v>411</v>
      </c>
      <c r="BA820" s="1" t="s">
        <v>74</v>
      </c>
      <c r="BB820" s="1">
        <v>93.0</v>
      </c>
      <c r="BC820" s="1">
        <v>121.0</v>
      </c>
      <c r="BD820" s="1" t="s">
        <v>74</v>
      </c>
      <c r="BE820" s="1" t="s">
        <v>7611</v>
      </c>
      <c r="BF820" s="2" t="str">
        <f>HYPERLINK("http://dx.doi.org/10.26882/histagrar.081e04r","http://dx.doi.org/10.26882/histagrar.081e04r")</f>
        <v>http://dx.doi.org/10.26882/histagrar.081e04r</v>
      </c>
      <c r="BG820" s="1" t="s">
        <v>74</v>
      </c>
      <c r="BH820" s="1" t="s">
        <v>74</v>
      </c>
      <c r="BI820" s="1" t="s">
        <v>74</v>
      </c>
      <c r="BJ820" s="1" t="s">
        <v>74</v>
      </c>
      <c r="BK820" s="1" t="s">
        <v>74</v>
      </c>
      <c r="BL820" s="1" t="s">
        <v>74</v>
      </c>
      <c r="BM820" s="1" t="s">
        <v>74</v>
      </c>
      <c r="BN820" s="1" t="s">
        <v>74</v>
      </c>
      <c r="BO820" s="1" t="s">
        <v>74</v>
      </c>
      <c r="BP820" s="1" t="s">
        <v>74</v>
      </c>
      <c r="BQ820" s="1" t="s">
        <v>74</v>
      </c>
      <c r="BR820" s="1" t="s">
        <v>74</v>
      </c>
      <c r="BS820" s="1" t="s">
        <v>7612</v>
      </c>
      <c r="BT820" s="1" t="str">
        <f>HYPERLINK("https%3A%2F%2Fwww.webofscience.com%2Fwos%2Fwoscc%2Ffull-record%2FWOS:000600367700004","View Full Record in Web of Science")</f>
        <v>View Full Record in Web of Science</v>
      </c>
    </row>
    <row r="821" ht="12.75" customHeight="1">
      <c r="A821" s="1" t="s">
        <v>72</v>
      </c>
      <c r="B821" s="1" t="s">
        <v>6314</v>
      </c>
      <c r="C821" s="1" t="s">
        <v>74</v>
      </c>
      <c r="D821" s="1" t="s">
        <v>74</v>
      </c>
      <c r="E821" s="1" t="s">
        <v>74</v>
      </c>
      <c r="F821" s="1" t="s">
        <v>6315</v>
      </c>
      <c r="G821" s="1" t="s">
        <v>74</v>
      </c>
      <c r="H821" s="1" t="s">
        <v>74</v>
      </c>
      <c r="I821" s="1" t="s">
        <v>7613</v>
      </c>
      <c r="J821" s="1" t="s">
        <v>2630</v>
      </c>
      <c r="K821" s="1" t="s">
        <v>74</v>
      </c>
      <c r="L821" s="1" t="s">
        <v>74</v>
      </c>
      <c r="M821" s="1" t="s">
        <v>74</v>
      </c>
      <c r="N821" s="1" t="s">
        <v>74</v>
      </c>
      <c r="O821" s="1" t="s">
        <v>74</v>
      </c>
      <c r="P821" s="1" t="s">
        <v>74</v>
      </c>
      <c r="Q821" s="1" t="s">
        <v>74</v>
      </c>
      <c r="R821" s="1" t="s">
        <v>74</v>
      </c>
      <c r="S821" s="1" t="s">
        <v>74</v>
      </c>
      <c r="T821" s="1" t="s">
        <v>74</v>
      </c>
      <c r="U821" s="1" t="s">
        <v>74</v>
      </c>
      <c r="V821" s="1" t="s">
        <v>7614</v>
      </c>
      <c r="W821" s="1" t="s">
        <v>74</v>
      </c>
      <c r="X821" s="1" t="s">
        <v>74</v>
      </c>
      <c r="Y821" s="1" t="s">
        <v>74</v>
      </c>
      <c r="Z821" s="1" t="s">
        <v>74</v>
      </c>
      <c r="AA821" s="1" t="s">
        <v>7615</v>
      </c>
      <c r="AB821" s="1" t="s">
        <v>7616</v>
      </c>
      <c r="AC821" s="1" t="s">
        <v>74</v>
      </c>
      <c r="AD821" s="1" t="s">
        <v>74</v>
      </c>
      <c r="AE821" s="1" t="s">
        <v>74</v>
      </c>
      <c r="AF821" s="1" t="s">
        <v>74</v>
      </c>
      <c r="AG821" s="1" t="s">
        <v>74</v>
      </c>
      <c r="AH821" s="1" t="s">
        <v>74</v>
      </c>
      <c r="AI821" s="1" t="s">
        <v>74</v>
      </c>
      <c r="AJ821" s="1" t="s">
        <v>74</v>
      </c>
      <c r="AK821" s="1" t="s">
        <v>74</v>
      </c>
      <c r="AL821" s="1" t="s">
        <v>74</v>
      </c>
      <c r="AM821" s="1" t="s">
        <v>74</v>
      </c>
      <c r="AN821" s="1" t="s">
        <v>74</v>
      </c>
      <c r="AO821" s="1" t="s">
        <v>2634</v>
      </c>
      <c r="AP821" s="1" t="s">
        <v>74</v>
      </c>
      <c r="AQ821" s="1" t="s">
        <v>74</v>
      </c>
      <c r="AR821" s="1" t="s">
        <v>74</v>
      </c>
      <c r="AS821" s="1" t="s">
        <v>74</v>
      </c>
      <c r="AT821" s="1" t="s">
        <v>459</v>
      </c>
      <c r="AU821" s="1">
        <v>2019.0</v>
      </c>
      <c r="AV821" s="1">
        <v>54.0</v>
      </c>
      <c r="AW821" s="1">
        <v>1.0</v>
      </c>
      <c r="AX821" s="1" t="s">
        <v>74</v>
      </c>
      <c r="AY821" s="1" t="s">
        <v>74</v>
      </c>
      <c r="AZ821" s="1" t="s">
        <v>74</v>
      </c>
      <c r="BA821" s="1" t="s">
        <v>74</v>
      </c>
      <c r="BB821" s="1">
        <v>59.0</v>
      </c>
      <c r="BC821" s="1">
        <v>80.0</v>
      </c>
      <c r="BD821" s="1" t="s">
        <v>74</v>
      </c>
      <c r="BE821" s="1" t="s">
        <v>7617</v>
      </c>
      <c r="BF821" s="2" t="str">
        <f>HYPERLINK("http://dx.doi.org/10.12775/TMNA.2019.024","http://dx.doi.org/10.12775/TMNA.2019.024")</f>
        <v>http://dx.doi.org/10.12775/TMNA.2019.024</v>
      </c>
      <c r="BG821" s="1" t="s">
        <v>74</v>
      </c>
      <c r="BH821" s="1" t="s">
        <v>74</v>
      </c>
      <c r="BI821" s="1" t="s">
        <v>74</v>
      </c>
      <c r="BJ821" s="1" t="s">
        <v>74</v>
      </c>
      <c r="BK821" s="1" t="s">
        <v>74</v>
      </c>
      <c r="BL821" s="1" t="s">
        <v>74</v>
      </c>
      <c r="BM821" s="1" t="s">
        <v>74</v>
      </c>
      <c r="BN821" s="1" t="s">
        <v>74</v>
      </c>
      <c r="BO821" s="1" t="s">
        <v>74</v>
      </c>
      <c r="BP821" s="1" t="s">
        <v>74</v>
      </c>
      <c r="BQ821" s="1" t="s">
        <v>74</v>
      </c>
      <c r="BR821" s="1" t="s">
        <v>74</v>
      </c>
      <c r="BS821" s="1" t="s">
        <v>7618</v>
      </c>
      <c r="BT821" s="1" t="str">
        <f>HYPERLINK("https%3A%2F%2Fwww.webofscience.com%2Fwos%2Fwoscc%2Ffull-record%2FWOS:000488217000004","View Full Record in Web of Science")</f>
        <v>View Full Record in Web of Science</v>
      </c>
    </row>
    <row r="822" ht="12.75" customHeight="1">
      <c r="A822" s="1" t="s">
        <v>72</v>
      </c>
      <c r="B822" s="1" t="s">
        <v>7619</v>
      </c>
      <c r="C822" s="1" t="s">
        <v>74</v>
      </c>
      <c r="D822" s="1" t="s">
        <v>74</v>
      </c>
      <c r="E822" s="1" t="s">
        <v>74</v>
      </c>
      <c r="F822" s="1" t="s">
        <v>7620</v>
      </c>
      <c r="G822" s="1" t="s">
        <v>74</v>
      </c>
      <c r="H822" s="1" t="s">
        <v>74</v>
      </c>
      <c r="I822" s="1" t="s">
        <v>7621</v>
      </c>
      <c r="J822" s="1" t="s">
        <v>7622</v>
      </c>
      <c r="K822" s="1" t="s">
        <v>74</v>
      </c>
      <c r="L822" s="1" t="s">
        <v>74</v>
      </c>
      <c r="M822" s="1" t="s">
        <v>74</v>
      </c>
      <c r="N822" s="1" t="s">
        <v>74</v>
      </c>
      <c r="O822" s="1" t="s">
        <v>74</v>
      </c>
      <c r="P822" s="1" t="s">
        <v>74</v>
      </c>
      <c r="Q822" s="1" t="s">
        <v>74</v>
      </c>
      <c r="R822" s="1" t="s">
        <v>74</v>
      </c>
      <c r="S822" s="1" t="s">
        <v>74</v>
      </c>
      <c r="T822" s="1" t="s">
        <v>74</v>
      </c>
      <c r="U822" s="1" t="s">
        <v>74</v>
      </c>
      <c r="V822" s="1" t="s">
        <v>7623</v>
      </c>
      <c r="W822" s="1" t="s">
        <v>74</v>
      </c>
      <c r="X822" s="1" t="s">
        <v>74</v>
      </c>
      <c r="Y822" s="1" t="s">
        <v>74</v>
      </c>
      <c r="Z822" s="1" t="s">
        <v>74</v>
      </c>
      <c r="AA822" s="1" t="s">
        <v>7624</v>
      </c>
      <c r="AB822" s="1" t="s">
        <v>7625</v>
      </c>
      <c r="AC822" s="1" t="s">
        <v>74</v>
      </c>
      <c r="AD822" s="1" t="s">
        <v>74</v>
      </c>
      <c r="AE822" s="1" t="s">
        <v>74</v>
      </c>
      <c r="AF822" s="1" t="s">
        <v>74</v>
      </c>
      <c r="AG822" s="1" t="s">
        <v>74</v>
      </c>
      <c r="AH822" s="1" t="s">
        <v>74</v>
      </c>
      <c r="AI822" s="1" t="s">
        <v>74</v>
      </c>
      <c r="AJ822" s="1" t="s">
        <v>74</v>
      </c>
      <c r="AK822" s="1" t="s">
        <v>74</v>
      </c>
      <c r="AL822" s="1" t="s">
        <v>74</v>
      </c>
      <c r="AM822" s="1" t="s">
        <v>74</v>
      </c>
      <c r="AN822" s="1" t="s">
        <v>74</v>
      </c>
      <c r="AO822" s="1" t="s">
        <v>7626</v>
      </c>
      <c r="AP822" s="1" t="s">
        <v>7627</v>
      </c>
      <c r="AQ822" s="1" t="s">
        <v>74</v>
      </c>
      <c r="AR822" s="1" t="s">
        <v>74</v>
      </c>
      <c r="AS822" s="1" t="s">
        <v>74</v>
      </c>
      <c r="AT822" s="1" t="s">
        <v>88</v>
      </c>
      <c r="AU822" s="1">
        <v>2019.0</v>
      </c>
      <c r="AV822" s="1">
        <v>278.0</v>
      </c>
      <c r="AW822" s="1" t="s">
        <v>74</v>
      </c>
      <c r="AX822" s="1" t="s">
        <v>74</v>
      </c>
      <c r="AY822" s="1" t="s">
        <v>74</v>
      </c>
      <c r="AZ822" s="1" t="s">
        <v>74</v>
      </c>
      <c r="BA822" s="1" t="s">
        <v>74</v>
      </c>
      <c r="BB822" s="1">
        <v>296.0</v>
      </c>
      <c r="BC822" s="1">
        <v>302.0</v>
      </c>
      <c r="BD822" s="1" t="s">
        <v>74</v>
      </c>
      <c r="BE822" s="1" t="s">
        <v>7628</v>
      </c>
      <c r="BF822" s="2" t="str">
        <f>HYPERLINK("http://dx.doi.org/10.1016/j.biortech.2018.12.018","http://dx.doi.org/10.1016/j.biortech.2018.12.018")</f>
        <v>http://dx.doi.org/10.1016/j.biortech.2018.12.018</v>
      </c>
      <c r="BG822" s="1" t="s">
        <v>74</v>
      </c>
      <c r="BH822" s="1" t="s">
        <v>74</v>
      </c>
      <c r="BI822" s="1" t="s">
        <v>74</v>
      </c>
      <c r="BJ822" s="1" t="s">
        <v>74</v>
      </c>
      <c r="BK822" s="1" t="s">
        <v>74</v>
      </c>
      <c r="BL822" s="1" t="s">
        <v>74</v>
      </c>
      <c r="BM822" s="1" t="s">
        <v>74</v>
      </c>
      <c r="BN822" s="1">
        <v>3.0708333E7</v>
      </c>
      <c r="BO822" s="1" t="s">
        <v>74</v>
      </c>
      <c r="BP822" s="1" t="s">
        <v>74</v>
      </c>
      <c r="BQ822" s="1" t="s">
        <v>74</v>
      </c>
      <c r="BR822" s="1" t="s">
        <v>74</v>
      </c>
      <c r="BS822" s="1" t="s">
        <v>7629</v>
      </c>
      <c r="BT822" s="1" t="str">
        <f>HYPERLINK("https%3A%2F%2Fwww.webofscience.com%2Fwos%2Fwoscc%2Ffull-record%2FWOS:000457852400038","View Full Record in Web of Science")</f>
        <v>View Full Record in Web of Science</v>
      </c>
    </row>
    <row r="823" ht="12.75" customHeight="1">
      <c r="A823" s="1" t="s">
        <v>251</v>
      </c>
      <c r="B823" s="1" t="s">
        <v>7630</v>
      </c>
      <c r="C823" s="1" t="s">
        <v>74</v>
      </c>
      <c r="D823" s="1" t="s">
        <v>7631</v>
      </c>
      <c r="E823" s="1" t="s">
        <v>74</v>
      </c>
      <c r="F823" s="1" t="s">
        <v>7632</v>
      </c>
      <c r="G823" s="1" t="s">
        <v>74</v>
      </c>
      <c r="H823" s="1" t="s">
        <v>74</v>
      </c>
      <c r="I823" s="1" t="s">
        <v>7633</v>
      </c>
      <c r="J823" s="1" t="s">
        <v>7634</v>
      </c>
      <c r="K823" s="1" t="s">
        <v>7635</v>
      </c>
      <c r="L823" s="1" t="s">
        <v>74</v>
      </c>
      <c r="M823" s="1" t="s">
        <v>74</v>
      </c>
      <c r="N823" s="1" t="s">
        <v>74</v>
      </c>
      <c r="O823" s="1" t="s">
        <v>7636</v>
      </c>
      <c r="P823" s="1" t="s">
        <v>7637</v>
      </c>
      <c r="Q823" s="1" t="s">
        <v>7638</v>
      </c>
      <c r="R823" s="1" t="s">
        <v>74</v>
      </c>
      <c r="S823" s="1" t="s">
        <v>74</v>
      </c>
      <c r="T823" s="1" t="s">
        <v>74</v>
      </c>
      <c r="U823" s="1" t="s">
        <v>74</v>
      </c>
      <c r="V823" s="1" t="s">
        <v>7639</v>
      </c>
      <c r="W823" s="1" t="s">
        <v>74</v>
      </c>
      <c r="X823" s="1" t="s">
        <v>74</v>
      </c>
      <c r="Y823" s="1" t="s">
        <v>74</v>
      </c>
      <c r="Z823" s="1" t="s">
        <v>74</v>
      </c>
      <c r="AA823" s="1" t="s">
        <v>7640</v>
      </c>
      <c r="AB823" s="1" t="s">
        <v>7641</v>
      </c>
      <c r="AC823" s="1" t="s">
        <v>74</v>
      </c>
      <c r="AD823" s="1" t="s">
        <v>74</v>
      </c>
      <c r="AE823" s="1" t="s">
        <v>74</v>
      </c>
      <c r="AF823" s="1" t="s">
        <v>74</v>
      </c>
      <c r="AG823" s="1" t="s">
        <v>74</v>
      </c>
      <c r="AH823" s="1" t="s">
        <v>74</v>
      </c>
      <c r="AI823" s="1" t="s">
        <v>74</v>
      </c>
      <c r="AJ823" s="1" t="s">
        <v>74</v>
      </c>
      <c r="AK823" s="1" t="s">
        <v>74</v>
      </c>
      <c r="AL823" s="1" t="s">
        <v>74</v>
      </c>
      <c r="AM823" s="1" t="s">
        <v>74</v>
      </c>
      <c r="AN823" s="1" t="s">
        <v>74</v>
      </c>
      <c r="AO823" s="1" t="s">
        <v>7642</v>
      </c>
      <c r="AP823" s="1" t="s">
        <v>74</v>
      </c>
      <c r="AQ823" s="1" t="s">
        <v>7643</v>
      </c>
      <c r="AR823" s="1" t="s">
        <v>74</v>
      </c>
      <c r="AS823" s="1" t="s">
        <v>74</v>
      </c>
      <c r="AT823" s="1" t="s">
        <v>74</v>
      </c>
      <c r="AU823" s="1">
        <v>2019.0</v>
      </c>
      <c r="AV823" s="1" t="s">
        <v>74</v>
      </c>
      <c r="AW823" s="1" t="s">
        <v>74</v>
      </c>
      <c r="AX823" s="1" t="s">
        <v>74</v>
      </c>
      <c r="AY823" s="1" t="s">
        <v>74</v>
      </c>
      <c r="AZ823" s="1" t="s">
        <v>74</v>
      </c>
      <c r="BA823" s="1" t="s">
        <v>74</v>
      </c>
      <c r="BB823" s="1">
        <v>656.0</v>
      </c>
      <c r="BC823" s="1">
        <v>665.0</v>
      </c>
      <c r="BD823" s="1" t="s">
        <v>74</v>
      </c>
      <c r="BE823" s="1" t="s">
        <v>74</v>
      </c>
      <c r="BF823" s="1" t="s">
        <v>74</v>
      </c>
      <c r="BG823" s="1" t="s">
        <v>74</v>
      </c>
      <c r="BH823" s="1" t="s">
        <v>74</v>
      </c>
      <c r="BI823" s="1" t="s">
        <v>74</v>
      </c>
      <c r="BJ823" s="1" t="s">
        <v>74</v>
      </c>
      <c r="BK823" s="1" t="s">
        <v>74</v>
      </c>
      <c r="BL823" s="1" t="s">
        <v>74</v>
      </c>
      <c r="BM823" s="1" t="s">
        <v>74</v>
      </c>
      <c r="BN823" s="1" t="s">
        <v>74</v>
      </c>
      <c r="BO823" s="1" t="s">
        <v>74</v>
      </c>
      <c r="BP823" s="1" t="s">
        <v>74</v>
      </c>
      <c r="BQ823" s="1" t="s">
        <v>74</v>
      </c>
      <c r="BR823" s="1" t="s">
        <v>74</v>
      </c>
      <c r="BS823" s="1" t="s">
        <v>7644</v>
      </c>
      <c r="BT823" s="1" t="str">
        <f>HYPERLINK("https%3A%2F%2Fwww.webofscience.com%2Fwos%2Fwoscc%2Ffull-record%2FWOS:000551093100099","View Full Record in Web of Science")</f>
        <v>View Full Record in Web of Science</v>
      </c>
    </row>
    <row r="824" ht="12.75" customHeight="1">
      <c r="A824" s="1" t="s">
        <v>242</v>
      </c>
      <c r="B824" s="1" t="s">
        <v>7645</v>
      </c>
      <c r="C824" s="1" t="s">
        <v>74</v>
      </c>
      <c r="D824" s="1" t="s">
        <v>3445</v>
      </c>
      <c r="E824" s="1" t="s">
        <v>74</v>
      </c>
      <c r="F824" s="1" t="s">
        <v>7646</v>
      </c>
      <c r="G824" s="1" t="s">
        <v>74</v>
      </c>
      <c r="H824" s="1" t="s">
        <v>74</v>
      </c>
      <c r="I824" s="1" t="s">
        <v>7647</v>
      </c>
      <c r="J824" s="1" t="s">
        <v>3448</v>
      </c>
      <c r="K824" s="1" t="s">
        <v>74</v>
      </c>
      <c r="L824" s="1" t="s">
        <v>74</v>
      </c>
      <c r="M824" s="1" t="s">
        <v>74</v>
      </c>
      <c r="N824" s="1" t="s">
        <v>74</v>
      </c>
      <c r="O824" s="1" t="s">
        <v>74</v>
      </c>
      <c r="P824" s="1" t="s">
        <v>74</v>
      </c>
      <c r="Q824" s="1" t="s">
        <v>74</v>
      </c>
      <c r="R824" s="1" t="s">
        <v>74</v>
      </c>
      <c r="S824" s="1" t="s">
        <v>74</v>
      </c>
      <c r="T824" s="1" t="s">
        <v>74</v>
      </c>
      <c r="U824" s="1" t="s">
        <v>74</v>
      </c>
      <c r="V824" s="1" t="s">
        <v>74</v>
      </c>
      <c r="W824" s="1" t="s">
        <v>74</v>
      </c>
      <c r="X824" s="1" t="s">
        <v>74</v>
      </c>
      <c r="Y824" s="1" t="s">
        <v>74</v>
      </c>
      <c r="Z824" s="1" t="s">
        <v>74</v>
      </c>
      <c r="AA824" s="1" t="s">
        <v>74</v>
      </c>
      <c r="AB824" s="1" t="s">
        <v>74</v>
      </c>
      <c r="AC824" s="1" t="s">
        <v>74</v>
      </c>
      <c r="AD824" s="1" t="s">
        <v>74</v>
      </c>
      <c r="AE824" s="1" t="s">
        <v>74</v>
      </c>
      <c r="AF824" s="1" t="s">
        <v>74</v>
      </c>
      <c r="AG824" s="1" t="s">
        <v>74</v>
      </c>
      <c r="AH824" s="1" t="s">
        <v>74</v>
      </c>
      <c r="AI824" s="1" t="s">
        <v>74</v>
      </c>
      <c r="AJ824" s="1" t="s">
        <v>74</v>
      </c>
      <c r="AK824" s="1" t="s">
        <v>74</v>
      </c>
      <c r="AL824" s="1" t="s">
        <v>74</v>
      </c>
      <c r="AM824" s="1" t="s">
        <v>74</v>
      </c>
      <c r="AN824" s="1" t="s">
        <v>74</v>
      </c>
      <c r="AO824" s="1" t="s">
        <v>74</v>
      </c>
      <c r="AP824" s="1" t="s">
        <v>74</v>
      </c>
      <c r="AQ824" s="1" t="s">
        <v>3449</v>
      </c>
      <c r="AR824" s="1" t="s">
        <v>74</v>
      </c>
      <c r="AS824" s="1" t="s">
        <v>74</v>
      </c>
      <c r="AT824" s="1" t="s">
        <v>74</v>
      </c>
      <c r="AU824" s="1">
        <v>2019.0</v>
      </c>
      <c r="AV824" s="1" t="s">
        <v>74</v>
      </c>
      <c r="AW824" s="1" t="s">
        <v>74</v>
      </c>
      <c r="AX824" s="1" t="s">
        <v>74</v>
      </c>
      <c r="AY824" s="1" t="s">
        <v>74</v>
      </c>
      <c r="AZ824" s="1" t="s">
        <v>74</v>
      </c>
      <c r="BA824" s="1" t="s">
        <v>74</v>
      </c>
      <c r="BB824" s="1">
        <v>207.0</v>
      </c>
      <c r="BC824" s="1">
        <v>225.0</v>
      </c>
      <c r="BD824" s="1" t="s">
        <v>74</v>
      </c>
      <c r="BE824" s="1" t="s">
        <v>74</v>
      </c>
      <c r="BF824" s="1" t="s">
        <v>74</v>
      </c>
      <c r="BG824" s="1" t="s">
        <v>74</v>
      </c>
      <c r="BH824" s="1" t="s">
        <v>74</v>
      </c>
      <c r="BI824" s="1" t="s">
        <v>74</v>
      </c>
      <c r="BJ824" s="1" t="s">
        <v>74</v>
      </c>
      <c r="BK824" s="1" t="s">
        <v>74</v>
      </c>
      <c r="BL824" s="1" t="s">
        <v>74</v>
      </c>
      <c r="BM824" s="1" t="s">
        <v>74</v>
      </c>
      <c r="BN824" s="1" t="s">
        <v>74</v>
      </c>
      <c r="BO824" s="1" t="s">
        <v>74</v>
      </c>
      <c r="BP824" s="1" t="s">
        <v>74</v>
      </c>
      <c r="BQ824" s="1" t="s">
        <v>74</v>
      </c>
      <c r="BR824" s="1" t="s">
        <v>74</v>
      </c>
      <c r="BS824" s="1" t="s">
        <v>7648</v>
      </c>
      <c r="BT824" s="1" t="str">
        <f>HYPERLINK("https%3A%2F%2Fwww.webofscience.com%2Fwos%2Fwoscc%2Ffull-record%2FWOS:000480324700011","View Full Record in Web of Science")</f>
        <v>View Full Record in Web of Science</v>
      </c>
    </row>
    <row r="825" ht="12.75" customHeight="1">
      <c r="A825" s="1" t="s">
        <v>251</v>
      </c>
      <c r="B825" s="1" t="s">
        <v>7649</v>
      </c>
      <c r="C825" s="1" t="s">
        <v>74</v>
      </c>
      <c r="D825" s="1" t="s">
        <v>7650</v>
      </c>
      <c r="E825" s="1" t="s">
        <v>74</v>
      </c>
      <c r="F825" s="1" t="s">
        <v>7651</v>
      </c>
      <c r="G825" s="1" t="s">
        <v>74</v>
      </c>
      <c r="H825" s="1" t="s">
        <v>74</v>
      </c>
      <c r="I825" s="1" t="s">
        <v>7652</v>
      </c>
      <c r="J825" s="1" t="s">
        <v>7653</v>
      </c>
      <c r="K825" s="1" t="s">
        <v>7654</v>
      </c>
      <c r="L825" s="1" t="s">
        <v>74</v>
      </c>
      <c r="M825" s="1" t="s">
        <v>74</v>
      </c>
      <c r="N825" s="1" t="s">
        <v>74</v>
      </c>
      <c r="O825" s="1" t="s">
        <v>7655</v>
      </c>
      <c r="P825" s="1" t="s">
        <v>7656</v>
      </c>
      <c r="Q825" s="1" t="s">
        <v>7657</v>
      </c>
      <c r="R825" s="1" t="s">
        <v>74</v>
      </c>
      <c r="S825" s="1" t="s">
        <v>74</v>
      </c>
      <c r="T825" s="1" t="s">
        <v>74</v>
      </c>
      <c r="U825" s="1" t="s">
        <v>74</v>
      </c>
      <c r="V825" s="1" t="s">
        <v>7658</v>
      </c>
      <c r="W825" s="1" t="s">
        <v>74</v>
      </c>
      <c r="X825" s="1" t="s">
        <v>74</v>
      </c>
      <c r="Y825" s="1" t="s">
        <v>74</v>
      </c>
      <c r="Z825" s="1" t="s">
        <v>74</v>
      </c>
      <c r="AA825" s="1" t="s">
        <v>1913</v>
      </c>
      <c r="AB825" s="1" t="s">
        <v>2552</v>
      </c>
      <c r="AC825" s="1" t="s">
        <v>74</v>
      </c>
      <c r="AD825" s="1" t="s">
        <v>74</v>
      </c>
      <c r="AE825" s="1" t="s">
        <v>74</v>
      </c>
      <c r="AF825" s="1" t="s">
        <v>74</v>
      </c>
      <c r="AG825" s="1" t="s">
        <v>74</v>
      </c>
      <c r="AH825" s="1" t="s">
        <v>74</v>
      </c>
      <c r="AI825" s="1" t="s">
        <v>74</v>
      </c>
      <c r="AJ825" s="1" t="s">
        <v>74</v>
      </c>
      <c r="AK825" s="1" t="s">
        <v>74</v>
      </c>
      <c r="AL825" s="1" t="s">
        <v>74</v>
      </c>
      <c r="AM825" s="1" t="s">
        <v>74</v>
      </c>
      <c r="AN825" s="1" t="s">
        <v>74</v>
      </c>
      <c r="AO825" s="1" t="s">
        <v>7659</v>
      </c>
      <c r="AP825" s="1" t="s">
        <v>74</v>
      </c>
      <c r="AQ825" s="1" t="s">
        <v>74</v>
      </c>
      <c r="AR825" s="1" t="s">
        <v>74</v>
      </c>
      <c r="AS825" s="1" t="s">
        <v>74</v>
      </c>
      <c r="AT825" s="1" t="s">
        <v>74</v>
      </c>
      <c r="AU825" s="1">
        <v>2019.0</v>
      </c>
      <c r="AV825" s="1">
        <v>39.0</v>
      </c>
      <c r="AW825" s="1" t="s">
        <v>74</v>
      </c>
      <c r="AX825" s="1" t="s">
        <v>74</v>
      </c>
      <c r="AY825" s="1" t="s">
        <v>74</v>
      </c>
      <c r="AZ825" s="1" t="s">
        <v>74</v>
      </c>
      <c r="BA825" s="1" t="s">
        <v>74</v>
      </c>
      <c r="BB825" s="1">
        <v>565.0</v>
      </c>
      <c r="BC825" s="1">
        <v>573.0</v>
      </c>
      <c r="BD825" s="1" t="s">
        <v>74</v>
      </c>
      <c r="BE825" s="1" t="s">
        <v>7660</v>
      </c>
      <c r="BF825" s="2" t="str">
        <f>HYPERLINK("http://dx.doi.org/10.1016/j.promfg.2020.01.420","http://dx.doi.org/10.1016/j.promfg.2020.01.420")</f>
        <v>http://dx.doi.org/10.1016/j.promfg.2020.01.420</v>
      </c>
      <c r="BG825" s="1" t="s">
        <v>74</v>
      </c>
      <c r="BH825" s="1" t="s">
        <v>74</v>
      </c>
      <c r="BI825" s="1" t="s">
        <v>74</v>
      </c>
      <c r="BJ825" s="1" t="s">
        <v>74</v>
      </c>
      <c r="BK825" s="1" t="s">
        <v>74</v>
      </c>
      <c r="BL825" s="1" t="s">
        <v>74</v>
      </c>
      <c r="BM825" s="1" t="s">
        <v>74</v>
      </c>
      <c r="BN825" s="1" t="s">
        <v>74</v>
      </c>
      <c r="BO825" s="1" t="s">
        <v>74</v>
      </c>
      <c r="BP825" s="1" t="s">
        <v>74</v>
      </c>
      <c r="BQ825" s="1" t="s">
        <v>74</v>
      </c>
      <c r="BR825" s="1" t="s">
        <v>74</v>
      </c>
      <c r="BS825" s="1" t="s">
        <v>7661</v>
      </c>
      <c r="BT825" s="1" t="str">
        <f>HYPERLINK("https%3A%2F%2Fwww.webofscience.com%2Fwos%2Fwoscc%2Ffull-record%2FWOS:000889480200068","View Full Record in Web of Science")</f>
        <v>View Full Record in Web of Science</v>
      </c>
    </row>
    <row r="826" ht="12.75" customHeight="1">
      <c r="A826" s="1" t="s">
        <v>72</v>
      </c>
      <c r="B826" s="1" t="s">
        <v>7662</v>
      </c>
      <c r="C826" s="1" t="s">
        <v>74</v>
      </c>
      <c r="D826" s="1" t="s">
        <v>74</v>
      </c>
      <c r="E826" s="1" t="s">
        <v>74</v>
      </c>
      <c r="F826" s="1" t="s">
        <v>7663</v>
      </c>
      <c r="G826" s="1" t="s">
        <v>74</v>
      </c>
      <c r="H826" s="1" t="s">
        <v>74</v>
      </c>
      <c r="I826" s="1" t="s">
        <v>7664</v>
      </c>
      <c r="J826" s="1" t="s">
        <v>7665</v>
      </c>
      <c r="K826" s="1" t="s">
        <v>74</v>
      </c>
      <c r="L826" s="1" t="s">
        <v>74</v>
      </c>
      <c r="M826" s="1" t="s">
        <v>74</v>
      </c>
      <c r="N826" s="1" t="s">
        <v>74</v>
      </c>
      <c r="O826" s="1" t="s">
        <v>74</v>
      </c>
      <c r="P826" s="1" t="s">
        <v>74</v>
      </c>
      <c r="Q826" s="1" t="s">
        <v>74</v>
      </c>
      <c r="R826" s="1" t="s">
        <v>74</v>
      </c>
      <c r="S826" s="1" t="s">
        <v>74</v>
      </c>
      <c r="T826" s="1" t="s">
        <v>74</v>
      </c>
      <c r="U826" s="1" t="s">
        <v>74</v>
      </c>
      <c r="V826" s="1" t="s">
        <v>7666</v>
      </c>
      <c r="W826" s="1" t="s">
        <v>74</v>
      </c>
      <c r="X826" s="1" t="s">
        <v>74</v>
      </c>
      <c r="Y826" s="1" t="s">
        <v>74</v>
      </c>
      <c r="Z826" s="1" t="s">
        <v>74</v>
      </c>
      <c r="AA826" s="1" t="s">
        <v>7667</v>
      </c>
      <c r="AB826" s="1" t="s">
        <v>7668</v>
      </c>
      <c r="AC826" s="1" t="s">
        <v>74</v>
      </c>
      <c r="AD826" s="1" t="s">
        <v>74</v>
      </c>
      <c r="AE826" s="1" t="s">
        <v>74</v>
      </c>
      <c r="AF826" s="1" t="s">
        <v>74</v>
      </c>
      <c r="AG826" s="1" t="s">
        <v>74</v>
      </c>
      <c r="AH826" s="1" t="s">
        <v>74</v>
      </c>
      <c r="AI826" s="1" t="s">
        <v>74</v>
      </c>
      <c r="AJ826" s="1" t="s">
        <v>74</v>
      </c>
      <c r="AK826" s="1" t="s">
        <v>74</v>
      </c>
      <c r="AL826" s="1" t="s">
        <v>74</v>
      </c>
      <c r="AM826" s="1" t="s">
        <v>74</v>
      </c>
      <c r="AN826" s="1" t="s">
        <v>74</v>
      </c>
      <c r="AO826" s="1" t="s">
        <v>7669</v>
      </c>
      <c r="AP826" s="1" t="s">
        <v>7670</v>
      </c>
      <c r="AQ826" s="1" t="s">
        <v>74</v>
      </c>
      <c r="AR826" s="1" t="s">
        <v>74</v>
      </c>
      <c r="AS826" s="1" t="s">
        <v>74</v>
      </c>
      <c r="AT826" s="1" t="s">
        <v>1049</v>
      </c>
      <c r="AU826" s="1">
        <v>2018.0</v>
      </c>
      <c r="AV826" s="1">
        <v>365.0</v>
      </c>
      <c r="AW826" s="1">
        <v>21.0</v>
      </c>
      <c r="AX826" s="1" t="s">
        <v>74</v>
      </c>
      <c r="AY826" s="1" t="s">
        <v>74</v>
      </c>
      <c r="AZ826" s="1" t="s">
        <v>74</v>
      </c>
      <c r="BA826" s="1" t="s">
        <v>74</v>
      </c>
      <c r="BB826" s="1" t="s">
        <v>74</v>
      </c>
      <c r="BC826" s="1" t="s">
        <v>74</v>
      </c>
      <c r="BD826" s="1" t="s">
        <v>7671</v>
      </c>
      <c r="BE826" s="1" t="s">
        <v>7672</v>
      </c>
      <c r="BF826" s="2" t="str">
        <f>HYPERLINK("http://dx.doi.org/10.1093/femsle/fny228","http://dx.doi.org/10.1093/femsle/fny228")</f>
        <v>http://dx.doi.org/10.1093/femsle/fny228</v>
      </c>
      <c r="BG826" s="1" t="s">
        <v>74</v>
      </c>
      <c r="BH826" s="1" t="s">
        <v>74</v>
      </c>
      <c r="BI826" s="1" t="s">
        <v>74</v>
      </c>
      <c r="BJ826" s="1" t="s">
        <v>74</v>
      </c>
      <c r="BK826" s="1" t="s">
        <v>74</v>
      </c>
      <c r="BL826" s="1" t="s">
        <v>74</v>
      </c>
      <c r="BM826" s="1" t="s">
        <v>74</v>
      </c>
      <c r="BN826" s="1">
        <v>3.0239698E7</v>
      </c>
      <c r="BO826" s="1" t="s">
        <v>74</v>
      </c>
      <c r="BP826" s="1" t="s">
        <v>74</v>
      </c>
      <c r="BQ826" s="1" t="s">
        <v>74</v>
      </c>
      <c r="BR826" s="1" t="s">
        <v>74</v>
      </c>
      <c r="BS826" s="1" t="s">
        <v>7673</v>
      </c>
      <c r="BT826" s="1" t="str">
        <f>HYPERLINK("https%3A%2F%2Fwww.webofscience.com%2Fwos%2Fwoscc%2Ffull-record%2FWOS:000452555200002","View Full Record in Web of Science")</f>
        <v>View Full Record in Web of Science</v>
      </c>
    </row>
    <row r="827" ht="12.75" customHeight="1">
      <c r="A827" s="1" t="s">
        <v>72</v>
      </c>
      <c r="B827" s="1" t="s">
        <v>7674</v>
      </c>
      <c r="C827" s="1" t="s">
        <v>74</v>
      </c>
      <c r="D827" s="1" t="s">
        <v>74</v>
      </c>
      <c r="E827" s="1" t="s">
        <v>74</v>
      </c>
      <c r="F827" s="1" t="s">
        <v>7675</v>
      </c>
      <c r="G827" s="1" t="s">
        <v>74</v>
      </c>
      <c r="H827" s="1" t="s">
        <v>74</v>
      </c>
      <c r="I827" s="1" t="s">
        <v>7676</v>
      </c>
      <c r="J827" s="1" t="s">
        <v>4785</v>
      </c>
      <c r="K827" s="1" t="s">
        <v>74</v>
      </c>
      <c r="L827" s="1" t="s">
        <v>74</v>
      </c>
      <c r="M827" s="1" t="s">
        <v>74</v>
      </c>
      <c r="N827" s="1" t="s">
        <v>74</v>
      </c>
      <c r="O827" s="1" t="s">
        <v>74</v>
      </c>
      <c r="P827" s="1" t="s">
        <v>74</v>
      </c>
      <c r="Q827" s="1" t="s">
        <v>74</v>
      </c>
      <c r="R827" s="1" t="s">
        <v>74</v>
      </c>
      <c r="S827" s="1" t="s">
        <v>74</v>
      </c>
      <c r="T827" s="1" t="s">
        <v>74</v>
      </c>
      <c r="U827" s="1" t="s">
        <v>74</v>
      </c>
      <c r="V827" s="1" t="s">
        <v>7677</v>
      </c>
      <c r="W827" s="1" t="s">
        <v>74</v>
      </c>
      <c r="X827" s="1" t="s">
        <v>74</v>
      </c>
      <c r="Y827" s="1" t="s">
        <v>74</v>
      </c>
      <c r="Z827" s="1" t="s">
        <v>74</v>
      </c>
      <c r="AA827" s="1" t="s">
        <v>7678</v>
      </c>
      <c r="AB827" s="1" t="s">
        <v>7679</v>
      </c>
      <c r="AC827" s="1" t="s">
        <v>74</v>
      </c>
      <c r="AD827" s="1" t="s">
        <v>74</v>
      </c>
      <c r="AE827" s="1" t="s">
        <v>74</v>
      </c>
      <c r="AF827" s="1" t="s">
        <v>74</v>
      </c>
      <c r="AG827" s="1" t="s">
        <v>74</v>
      </c>
      <c r="AH827" s="1" t="s">
        <v>74</v>
      </c>
      <c r="AI827" s="1" t="s">
        <v>74</v>
      </c>
      <c r="AJ827" s="1" t="s">
        <v>74</v>
      </c>
      <c r="AK827" s="1" t="s">
        <v>74</v>
      </c>
      <c r="AL827" s="1" t="s">
        <v>74</v>
      </c>
      <c r="AM827" s="1" t="s">
        <v>74</v>
      </c>
      <c r="AN827" s="1" t="s">
        <v>74</v>
      </c>
      <c r="AO827" s="1" t="s">
        <v>4789</v>
      </c>
      <c r="AP827" s="1" t="s">
        <v>4790</v>
      </c>
      <c r="AQ827" s="1" t="s">
        <v>74</v>
      </c>
      <c r="AR827" s="1" t="s">
        <v>74</v>
      </c>
      <c r="AS827" s="1" t="s">
        <v>74</v>
      </c>
      <c r="AT827" s="1" t="s">
        <v>135</v>
      </c>
      <c r="AU827" s="1">
        <v>2018.0</v>
      </c>
      <c r="AV827" s="1">
        <v>227.0</v>
      </c>
      <c r="AW827" s="1">
        <v>1.0</v>
      </c>
      <c r="AX827" s="1" t="s">
        <v>74</v>
      </c>
      <c r="AY827" s="1" t="s">
        <v>74</v>
      </c>
      <c r="AZ827" s="1" t="s">
        <v>74</v>
      </c>
      <c r="BA827" s="1" t="s">
        <v>74</v>
      </c>
      <c r="BB827" s="1">
        <v>163.0</v>
      </c>
      <c r="BC827" s="1">
        <v>188.0</v>
      </c>
      <c r="BD827" s="1" t="s">
        <v>74</v>
      </c>
      <c r="BE827" s="1" t="s">
        <v>7680</v>
      </c>
      <c r="BF827" s="2" t="str">
        <f>HYPERLINK("http://dx.doi.org/10.1007/s11856-018-1723-z","http://dx.doi.org/10.1007/s11856-018-1723-z")</f>
        <v>http://dx.doi.org/10.1007/s11856-018-1723-z</v>
      </c>
      <c r="BG827" s="1" t="s">
        <v>74</v>
      </c>
      <c r="BH827" s="1" t="s">
        <v>74</v>
      </c>
      <c r="BI827" s="1" t="s">
        <v>74</v>
      </c>
      <c r="BJ827" s="1" t="s">
        <v>74</v>
      </c>
      <c r="BK827" s="1" t="s">
        <v>74</v>
      </c>
      <c r="BL827" s="1" t="s">
        <v>74</v>
      </c>
      <c r="BM827" s="1" t="s">
        <v>74</v>
      </c>
      <c r="BN827" s="1" t="s">
        <v>74</v>
      </c>
      <c r="BO827" s="1" t="s">
        <v>74</v>
      </c>
      <c r="BP827" s="1" t="s">
        <v>74</v>
      </c>
      <c r="BQ827" s="1" t="s">
        <v>74</v>
      </c>
      <c r="BR827" s="1" t="s">
        <v>74</v>
      </c>
      <c r="BS827" s="1" t="s">
        <v>7681</v>
      </c>
      <c r="BT827" s="1" t="str">
        <f>HYPERLINK("https%3A%2F%2Fwww.webofscience.com%2Fwos%2Fwoscc%2Ffull-record%2FWOS:000442512900006","View Full Record in Web of Science")</f>
        <v>View Full Record in Web of Science</v>
      </c>
    </row>
    <row r="828" ht="12.75" customHeight="1">
      <c r="A828" s="1" t="s">
        <v>72</v>
      </c>
      <c r="B828" s="1" t="s">
        <v>7682</v>
      </c>
      <c r="C828" s="1" t="s">
        <v>74</v>
      </c>
      <c r="D828" s="1" t="s">
        <v>74</v>
      </c>
      <c r="E828" s="1" t="s">
        <v>74</v>
      </c>
      <c r="F828" s="1" t="s">
        <v>7683</v>
      </c>
      <c r="G828" s="1" t="s">
        <v>74</v>
      </c>
      <c r="H828" s="1" t="s">
        <v>74</v>
      </c>
      <c r="I828" s="1" t="s">
        <v>7684</v>
      </c>
      <c r="J828" s="1" t="s">
        <v>2958</v>
      </c>
      <c r="K828" s="1" t="s">
        <v>74</v>
      </c>
      <c r="L828" s="1" t="s">
        <v>74</v>
      </c>
      <c r="M828" s="1" t="s">
        <v>74</v>
      </c>
      <c r="N828" s="1" t="s">
        <v>74</v>
      </c>
      <c r="O828" s="1" t="s">
        <v>74</v>
      </c>
      <c r="P828" s="1" t="s">
        <v>74</v>
      </c>
      <c r="Q828" s="1" t="s">
        <v>74</v>
      </c>
      <c r="R828" s="1" t="s">
        <v>74</v>
      </c>
      <c r="S828" s="1" t="s">
        <v>74</v>
      </c>
      <c r="T828" s="1" t="s">
        <v>74</v>
      </c>
      <c r="U828" s="1" t="s">
        <v>74</v>
      </c>
      <c r="V828" s="1" t="s">
        <v>7685</v>
      </c>
      <c r="W828" s="1" t="s">
        <v>74</v>
      </c>
      <c r="X828" s="1" t="s">
        <v>74</v>
      </c>
      <c r="Y828" s="1" t="s">
        <v>74</v>
      </c>
      <c r="Z828" s="1" t="s">
        <v>74</v>
      </c>
      <c r="AA828" s="1" t="s">
        <v>7686</v>
      </c>
      <c r="AB828" s="1" t="s">
        <v>7687</v>
      </c>
      <c r="AC828" s="1" t="s">
        <v>74</v>
      </c>
      <c r="AD828" s="1" t="s">
        <v>74</v>
      </c>
      <c r="AE828" s="1" t="s">
        <v>74</v>
      </c>
      <c r="AF828" s="1" t="s">
        <v>74</v>
      </c>
      <c r="AG828" s="1" t="s">
        <v>74</v>
      </c>
      <c r="AH828" s="1" t="s">
        <v>74</v>
      </c>
      <c r="AI828" s="1" t="s">
        <v>74</v>
      </c>
      <c r="AJ828" s="1" t="s">
        <v>74</v>
      </c>
      <c r="AK828" s="1" t="s">
        <v>74</v>
      </c>
      <c r="AL828" s="1" t="s">
        <v>74</v>
      </c>
      <c r="AM828" s="1" t="s">
        <v>74</v>
      </c>
      <c r="AN828" s="1" t="s">
        <v>74</v>
      </c>
      <c r="AO828" s="1" t="s">
        <v>2962</v>
      </c>
      <c r="AP828" s="1" t="s">
        <v>2963</v>
      </c>
      <c r="AQ828" s="1" t="s">
        <v>74</v>
      </c>
      <c r="AR828" s="1" t="s">
        <v>74</v>
      </c>
      <c r="AS828" s="1" t="s">
        <v>74</v>
      </c>
      <c r="AT828" s="1" t="s">
        <v>180</v>
      </c>
      <c r="AU828" s="1">
        <v>2018.0</v>
      </c>
      <c r="AV828" s="1">
        <v>90.0</v>
      </c>
      <c r="AW828" s="1" t="s">
        <v>74</v>
      </c>
      <c r="AX828" s="1" t="s">
        <v>74</v>
      </c>
      <c r="AY828" s="1" t="s">
        <v>74</v>
      </c>
      <c r="AZ828" s="1" t="s">
        <v>74</v>
      </c>
      <c r="BA828" s="1" t="s">
        <v>74</v>
      </c>
      <c r="BB828" s="1">
        <v>30.0</v>
      </c>
      <c r="BC828" s="1">
        <v>33.0</v>
      </c>
      <c r="BD828" s="1" t="s">
        <v>74</v>
      </c>
      <c r="BE828" s="1" t="s">
        <v>7688</v>
      </c>
      <c r="BF828" s="2" t="str">
        <f>HYPERLINK("http://dx.doi.org/10.1016/j.elecom.2018.03.007","http://dx.doi.org/10.1016/j.elecom.2018.03.007")</f>
        <v>http://dx.doi.org/10.1016/j.elecom.2018.03.007</v>
      </c>
      <c r="BG828" s="1" t="s">
        <v>74</v>
      </c>
      <c r="BH828" s="1" t="s">
        <v>74</v>
      </c>
      <c r="BI828" s="1" t="s">
        <v>74</v>
      </c>
      <c r="BJ828" s="1" t="s">
        <v>74</v>
      </c>
      <c r="BK828" s="1" t="s">
        <v>74</v>
      </c>
      <c r="BL828" s="1" t="s">
        <v>74</v>
      </c>
      <c r="BM828" s="1" t="s">
        <v>74</v>
      </c>
      <c r="BN828" s="1" t="s">
        <v>74</v>
      </c>
      <c r="BO828" s="1" t="s">
        <v>74</v>
      </c>
      <c r="BP828" s="1" t="s">
        <v>74</v>
      </c>
      <c r="BQ828" s="1" t="s">
        <v>74</v>
      </c>
      <c r="BR828" s="1" t="s">
        <v>74</v>
      </c>
      <c r="BS828" s="1" t="s">
        <v>7689</v>
      </c>
      <c r="BT828" s="1" t="str">
        <f>HYPERLINK("https%3A%2F%2Fwww.webofscience.com%2Fwos%2Fwoscc%2Ffull-record%2FWOS:000432165800007","View Full Record in Web of Science")</f>
        <v>View Full Record in Web of Science</v>
      </c>
    </row>
    <row r="829" ht="12.75" customHeight="1">
      <c r="A829" s="1" t="s">
        <v>72</v>
      </c>
      <c r="B829" s="1" t="s">
        <v>7690</v>
      </c>
      <c r="C829" s="1" t="s">
        <v>74</v>
      </c>
      <c r="D829" s="1" t="s">
        <v>74</v>
      </c>
      <c r="E829" s="1" t="s">
        <v>74</v>
      </c>
      <c r="F829" s="1" t="s">
        <v>7691</v>
      </c>
      <c r="G829" s="1" t="s">
        <v>74</v>
      </c>
      <c r="H829" s="1" t="s">
        <v>74</v>
      </c>
      <c r="I829" s="1" t="s">
        <v>7692</v>
      </c>
      <c r="J829" s="1" t="s">
        <v>4753</v>
      </c>
      <c r="K829" s="1" t="s">
        <v>74</v>
      </c>
      <c r="L829" s="1" t="s">
        <v>74</v>
      </c>
      <c r="M829" s="1" t="s">
        <v>74</v>
      </c>
      <c r="N829" s="1" t="s">
        <v>74</v>
      </c>
      <c r="O829" s="1" t="s">
        <v>74</v>
      </c>
      <c r="P829" s="1" t="s">
        <v>74</v>
      </c>
      <c r="Q829" s="1" t="s">
        <v>74</v>
      </c>
      <c r="R829" s="1" t="s">
        <v>74</v>
      </c>
      <c r="S829" s="1" t="s">
        <v>74</v>
      </c>
      <c r="T829" s="1" t="s">
        <v>74</v>
      </c>
      <c r="U829" s="1" t="s">
        <v>74</v>
      </c>
      <c r="V829" s="1" t="s">
        <v>7693</v>
      </c>
      <c r="W829" s="1" t="s">
        <v>74</v>
      </c>
      <c r="X829" s="1" t="s">
        <v>74</v>
      </c>
      <c r="Y829" s="1" t="s">
        <v>74</v>
      </c>
      <c r="Z829" s="1" t="s">
        <v>74</v>
      </c>
      <c r="AA829" s="1" t="s">
        <v>7694</v>
      </c>
      <c r="AB829" s="1" t="s">
        <v>7695</v>
      </c>
      <c r="AC829" s="1" t="s">
        <v>74</v>
      </c>
      <c r="AD829" s="1" t="s">
        <v>74</v>
      </c>
      <c r="AE829" s="1" t="s">
        <v>74</v>
      </c>
      <c r="AF829" s="1" t="s">
        <v>74</v>
      </c>
      <c r="AG829" s="1" t="s">
        <v>74</v>
      </c>
      <c r="AH829" s="1" t="s">
        <v>74</v>
      </c>
      <c r="AI829" s="1" t="s">
        <v>74</v>
      </c>
      <c r="AJ829" s="1" t="s">
        <v>74</v>
      </c>
      <c r="AK829" s="1" t="s">
        <v>74</v>
      </c>
      <c r="AL829" s="1" t="s">
        <v>74</v>
      </c>
      <c r="AM829" s="1" t="s">
        <v>74</v>
      </c>
      <c r="AN829" s="1" t="s">
        <v>74</v>
      </c>
      <c r="AO829" s="1" t="s">
        <v>4757</v>
      </c>
      <c r="AP829" s="1" t="s">
        <v>4758</v>
      </c>
      <c r="AQ829" s="1" t="s">
        <v>74</v>
      </c>
      <c r="AR829" s="1" t="s">
        <v>74</v>
      </c>
      <c r="AS829" s="1" t="s">
        <v>74</v>
      </c>
      <c r="AT829" s="1" t="s">
        <v>180</v>
      </c>
      <c r="AU829" s="1">
        <v>2018.0</v>
      </c>
      <c r="AV829" s="1">
        <v>198.0</v>
      </c>
      <c r="AW829" s="1" t="s">
        <v>74</v>
      </c>
      <c r="AX829" s="1" t="s">
        <v>74</v>
      </c>
      <c r="AY829" s="1" t="s">
        <v>74</v>
      </c>
      <c r="AZ829" s="1" t="s">
        <v>74</v>
      </c>
      <c r="BA829" s="1" t="s">
        <v>74</v>
      </c>
      <c r="BB829" s="1">
        <v>21.0</v>
      </c>
      <c r="BC829" s="1">
        <v>29.0</v>
      </c>
      <c r="BD829" s="1" t="s">
        <v>74</v>
      </c>
      <c r="BE829" s="1" t="s">
        <v>7696</v>
      </c>
      <c r="BF829" s="2" t="str">
        <f>HYPERLINK("http://dx.doi.org/10.1016/j.chemosphere.2017.12.092","http://dx.doi.org/10.1016/j.chemosphere.2017.12.092")</f>
        <v>http://dx.doi.org/10.1016/j.chemosphere.2017.12.092</v>
      </c>
      <c r="BG829" s="1" t="s">
        <v>74</v>
      </c>
      <c r="BH829" s="1" t="s">
        <v>74</v>
      </c>
      <c r="BI829" s="1" t="s">
        <v>74</v>
      </c>
      <c r="BJ829" s="1" t="s">
        <v>74</v>
      </c>
      <c r="BK829" s="1" t="s">
        <v>74</v>
      </c>
      <c r="BL829" s="1" t="s">
        <v>74</v>
      </c>
      <c r="BM829" s="1" t="s">
        <v>74</v>
      </c>
      <c r="BN829" s="1">
        <v>2.9421732E7</v>
      </c>
      <c r="BO829" s="1" t="s">
        <v>74</v>
      </c>
      <c r="BP829" s="1" t="s">
        <v>74</v>
      </c>
      <c r="BQ829" s="1" t="s">
        <v>74</v>
      </c>
      <c r="BR829" s="1" t="s">
        <v>74</v>
      </c>
      <c r="BS829" s="1" t="s">
        <v>7697</v>
      </c>
      <c r="BT829" s="1" t="str">
        <f>HYPERLINK("https%3A%2F%2Fwww.webofscience.com%2Fwos%2Fwoscc%2Ffull-record%2FWOS:000427338800003","View Full Record in Web of Science")</f>
        <v>View Full Record in Web of Science</v>
      </c>
    </row>
    <row r="830" ht="12.75" customHeight="1">
      <c r="A830" s="1" t="s">
        <v>72</v>
      </c>
      <c r="B830" s="1" t="s">
        <v>7698</v>
      </c>
      <c r="C830" s="1" t="s">
        <v>74</v>
      </c>
      <c r="D830" s="1" t="s">
        <v>74</v>
      </c>
      <c r="E830" s="1" t="s">
        <v>74</v>
      </c>
      <c r="F830" s="1" t="s">
        <v>7699</v>
      </c>
      <c r="G830" s="1" t="s">
        <v>74</v>
      </c>
      <c r="H830" s="1" t="s">
        <v>74</v>
      </c>
      <c r="I830" s="1" t="s">
        <v>7700</v>
      </c>
      <c r="J830" s="1" t="s">
        <v>7701</v>
      </c>
      <c r="K830" s="1" t="s">
        <v>74</v>
      </c>
      <c r="L830" s="1" t="s">
        <v>74</v>
      </c>
      <c r="M830" s="1" t="s">
        <v>74</v>
      </c>
      <c r="N830" s="1" t="s">
        <v>74</v>
      </c>
      <c r="O830" s="1" t="s">
        <v>74</v>
      </c>
      <c r="P830" s="1" t="s">
        <v>74</v>
      </c>
      <c r="Q830" s="1" t="s">
        <v>74</v>
      </c>
      <c r="R830" s="1" t="s">
        <v>74</v>
      </c>
      <c r="S830" s="1" t="s">
        <v>74</v>
      </c>
      <c r="T830" s="1" t="s">
        <v>74</v>
      </c>
      <c r="U830" s="1" t="s">
        <v>74</v>
      </c>
      <c r="V830" s="1" t="s">
        <v>7702</v>
      </c>
      <c r="W830" s="1" t="s">
        <v>74</v>
      </c>
      <c r="X830" s="1" t="s">
        <v>74</v>
      </c>
      <c r="Y830" s="1" t="s">
        <v>74</v>
      </c>
      <c r="Z830" s="1" t="s">
        <v>74</v>
      </c>
      <c r="AA830" s="1" t="s">
        <v>7703</v>
      </c>
      <c r="AB830" s="1" t="s">
        <v>7704</v>
      </c>
      <c r="AC830" s="1" t="s">
        <v>74</v>
      </c>
      <c r="AD830" s="1" t="s">
        <v>74</v>
      </c>
      <c r="AE830" s="1" t="s">
        <v>74</v>
      </c>
      <c r="AF830" s="1" t="s">
        <v>74</v>
      </c>
      <c r="AG830" s="1" t="s">
        <v>74</v>
      </c>
      <c r="AH830" s="1" t="s">
        <v>74</v>
      </c>
      <c r="AI830" s="1" t="s">
        <v>74</v>
      </c>
      <c r="AJ830" s="1" t="s">
        <v>74</v>
      </c>
      <c r="AK830" s="1" t="s">
        <v>74</v>
      </c>
      <c r="AL830" s="1" t="s">
        <v>74</v>
      </c>
      <c r="AM830" s="1" t="s">
        <v>74</v>
      </c>
      <c r="AN830" s="1" t="s">
        <v>74</v>
      </c>
      <c r="AO830" s="1" t="s">
        <v>7705</v>
      </c>
      <c r="AP830" s="1" t="s">
        <v>7706</v>
      </c>
      <c r="AQ830" s="1" t="s">
        <v>74</v>
      </c>
      <c r="AR830" s="1" t="s">
        <v>74</v>
      </c>
      <c r="AS830" s="1" t="s">
        <v>74</v>
      </c>
      <c r="AT830" s="1" t="s">
        <v>650</v>
      </c>
      <c r="AU830" s="1">
        <v>2018.0</v>
      </c>
      <c r="AV830" s="1">
        <v>12.0</v>
      </c>
      <c r="AW830" s="1">
        <v>3.0</v>
      </c>
      <c r="AX830" s="1" t="s">
        <v>74</v>
      </c>
      <c r="AY830" s="1" t="s">
        <v>74</v>
      </c>
      <c r="AZ830" s="1" t="s">
        <v>74</v>
      </c>
      <c r="BA830" s="1" t="s">
        <v>74</v>
      </c>
      <c r="BB830" s="1">
        <v>777.0</v>
      </c>
      <c r="BC830" s="1">
        <v>785.0</v>
      </c>
      <c r="BD830" s="1" t="s">
        <v>74</v>
      </c>
      <c r="BE830" s="1" t="s">
        <v>7707</v>
      </c>
      <c r="BF830" s="2" t="str">
        <f>HYPERLINK("http://dx.doi.org/10.1007/s11785-018-0763-z","http://dx.doi.org/10.1007/s11785-018-0763-z")</f>
        <v>http://dx.doi.org/10.1007/s11785-018-0763-z</v>
      </c>
      <c r="BG830" s="1" t="s">
        <v>74</v>
      </c>
      <c r="BH830" s="1" t="s">
        <v>74</v>
      </c>
      <c r="BI830" s="1" t="s">
        <v>74</v>
      </c>
      <c r="BJ830" s="1" t="s">
        <v>74</v>
      </c>
      <c r="BK830" s="1" t="s">
        <v>74</v>
      </c>
      <c r="BL830" s="1" t="s">
        <v>74</v>
      </c>
      <c r="BM830" s="1" t="s">
        <v>74</v>
      </c>
      <c r="BN830" s="1" t="s">
        <v>74</v>
      </c>
      <c r="BO830" s="1" t="s">
        <v>74</v>
      </c>
      <c r="BP830" s="1" t="s">
        <v>74</v>
      </c>
      <c r="BQ830" s="1" t="s">
        <v>74</v>
      </c>
      <c r="BR830" s="1" t="s">
        <v>74</v>
      </c>
      <c r="BS830" s="1" t="s">
        <v>7708</v>
      </c>
      <c r="BT830" s="1" t="str">
        <f>HYPERLINK("https%3A%2F%2Fwww.webofscience.com%2Fwos%2Fwoscc%2Ffull-record%2FWOS:000426698100012","View Full Record in Web of Science")</f>
        <v>View Full Record in Web of Science</v>
      </c>
    </row>
    <row r="831" ht="12.75" customHeight="1">
      <c r="A831" s="1" t="s">
        <v>251</v>
      </c>
      <c r="B831" s="1" t="s">
        <v>7709</v>
      </c>
      <c r="C831" s="1" t="s">
        <v>74</v>
      </c>
      <c r="D831" s="1" t="s">
        <v>7710</v>
      </c>
      <c r="E831" s="1" t="s">
        <v>74</v>
      </c>
      <c r="F831" s="1" t="s">
        <v>7711</v>
      </c>
      <c r="G831" s="1" t="s">
        <v>74</v>
      </c>
      <c r="H831" s="1" t="s">
        <v>74</v>
      </c>
      <c r="I831" s="1" t="s">
        <v>7712</v>
      </c>
      <c r="J831" s="1" t="s">
        <v>7713</v>
      </c>
      <c r="K831" s="1" t="s">
        <v>7714</v>
      </c>
      <c r="L831" s="1" t="s">
        <v>74</v>
      </c>
      <c r="M831" s="1" t="s">
        <v>74</v>
      </c>
      <c r="N831" s="1" t="s">
        <v>74</v>
      </c>
      <c r="O831" s="1" t="s">
        <v>7715</v>
      </c>
      <c r="P831" s="1" t="s">
        <v>7716</v>
      </c>
      <c r="Q831" s="1" t="s">
        <v>7717</v>
      </c>
      <c r="R831" s="1" t="s">
        <v>7718</v>
      </c>
      <c r="S831" s="1" t="s">
        <v>74</v>
      </c>
      <c r="T831" s="1" t="s">
        <v>74</v>
      </c>
      <c r="U831" s="1" t="s">
        <v>74</v>
      </c>
      <c r="V831" s="1" t="s">
        <v>7719</v>
      </c>
      <c r="W831" s="1" t="s">
        <v>74</v>
      </c>
      <c r="X831" s="1" t="s">
        <v>74</v>
      </c>
      <c r="Y831" s="1" t="s">
        <v>74</v>
      </c>
      <c r="Z831" s="1" t="s">
        <v>74</v>
      </c>
      <c r="AA831" s="1" t="s">
        <v>7720</v>
      </c>
      <c r="AB831" s="1" t="s">
        <v>7721</v>
      </c>
      <c r="AC831" s="1" t="s">
        <v>74</v>
      </c>
      <c r="AD831" s="1" t="s">
        <v>74</v>
      </c>
      <c r="AE831" s="1" t="s">
        <v>74</v>
      </c>
      <c r="AF831" s="1" t="s">
        <v>74</v>
      </c>
      <c r="AG831" s="1" t="s">
        <v>74</v>
      </c>
      <c r="AH831" s="1" t="s">
        <v>74</v>
      </c>
      <c r="AI831" s="1" t="s">
        <v>74</v>
      </c>
      <c r="AJ831" s="1" t="s">
        <v>74</v>
      </c>
      <c r="AK831" s="1" t="s">
        <v>74</v>
      </c>
      <c r="AL831" s="1" t="s">
        <v>74</v>
      </c>
      <c r="AM831" s="1" t="s">
        <v>74</v>
      </c>
      <c r="AN831" s="1" t="s">
        <v>74</v>
      </c>
      <c r="AO831" s="1" t="s">
        <v>7722</v>
      </c>
      <c r="AP831" s="1" t="s">
        <v>74</v>
      </c>
      <c r="AQ831" s="1" t="s">
        <v>74</v>
      </c>
      <c r="AR831" s="1" t="s">
        <v>74</v>
      </c>
      <c r="AS831" s="1" t="s">
        <v>74</v>
      </c>
      <c r="AT831" s="1" t="s">
        <v>74</v>
      </c>
      <c r="AU831" s="1">
        <v>2018.0</v>
      </c>
      <c r="AV831" s="1" t="s">
        <v>74</v>
      </c>
      <c r="AW831" s="1" t="s">
        <v>74</v>
      </c>
      <c r="AX831" s="1" t="s">
        <v>74</v>
      </c>
      <c r="AY831" s="1" t="s">
        <v>74</v>
      </c>
      <c r="AZ831" s="1" t="s">
        <v>74</v>
      </c>
      <c r="BA831" s="1" t="s">
        <v>74</v>
      </c>
      <c r="BB831" s="1">
        <v>309.0</v>
      </c>
      <c r="BC831" s="1">
        <v>317.0</v>
      </c>
      <c r="BD831" s="1" t="s">
        <v>74</v>
      </c>
      <c r="BE831" s="1" t="s">
        <v>7723</v>
      </c>
      <c r="BF831" s="2" t="str">
        <f>HYPERLINK("http://dx.doi.org/10.18462/iir.pcm.2018.0042","http://dx.doi.org/10.18462/iir.pcm.2018.0042")</f>
        <v>http://dx.doi.org/10.18462/iir.pcm.2018.0042</v>
      </c>
      <c r="BG831" s="1" t="s">
        <v>74</v>
      </c>
      <c r="BH831" s="1" t="s">
        <v>74</v>
      </c>
      <c r="BI831" s="1" t="s">
        <v>74</v>
      </c>
      <c r="BJ831" s="1" t="s">
        <v>74</v>
      </c>
      <c r="BK831" s="1" t="s">
        <v>74</v>
      </c>
      <c r="BL831" s="1" t="s">
        <v>74</v>
      </c>
      <c r="BM831" s="1" t="s">
        <v>74</v>
      </c>
      <c r="BN831" s="1" t="s">
        <v>74</v>
      </c>
      <c r="BO831" s="1" t="s">
        <v>74</v>
      </c>
      <c r="BP831" s="1" t="s">
        <v>74</v>
      </c>
      <c r="BQ831" s="1" t="s">
        <v>74</v>
      </c>
      <c r="BR831" s="1" t="s">
        <v>74</v>
      </c>
      <c r="BS831" s="1" t="s">
        <v>7724</v>
      </c>
      <c r="BT831" s="1" t="str">
        <f>HYPERLINK("https%3A%2F%2Fwww.webofscience.com%2Fwos%2Fwoscc%2Ffull-record%2FWOS:000535356700042","View Full Record in Web of Science")</f>
        <v>View Full Record in Web of Science</v>
      </c>
    </row>
    <row r="832" ht="12.75" customHeight="1">
      <c r="A832" s="1" t="s">
        <v>72</v>
      </c>
      <c r="B832" s="1" t="s">
        <v>7725</v>
      </c>
      <c r="C832" s="1" t="s">
        <v>74</v>
      </c>
      <c r="D832" s="1" t="s">
        <v>74</v>
      </c>
      <c r="E832" s="1" t="s">
        <v>74</v>
      </c>
      <c r="F832" s="1" t="s">
        <v>7726</v>
      </c>
      <c r="G832" s="1" t="s">
        <v>74</v>
      </c>
      <c r="H832" s="1" t="s">
        <v>74</v>
      </c>
      <c r="I832" s="1" t="s">
        <v>7727</v>
      </c>
      <c r="J832" s="1" t="s">
        <v>7728</v>
      </c>
      <c r="K832" s="1" t="s">
        <v>74</v>
      </c>
      <c r="L832" s="1" t="s">
        <v>74</v>
      </c>
      <c r="M832" s="1" t="s">
        <v>74</v>
      </c>
      <c r="N832" s="1" t="s">
        <v>74</v>
      </c>
      <c r="O832" s="1" t="s">
        <v>74</v>
      </c>
      <c r="P832" s="1" t="s">
        <v>74</v>
      </c>
      <c r="Q832" s="1" t="s">
        <v>74</v>
      </c>
      <c r="R832" s="1" t="s">
        <v>74</v>
      </c>
      <c r="S832" s="1" t="s">
        <v>74</v>
      </c>
      <c r="T832" s="1" t="s">
        <v>74</v>
      </c>
      <c r="U832" s="1" t="s">
        <v>74</v>
      </c>
      <c r="V832" s="1" t="s">
        <v>7729</v>
      </c>
      <c r="W832" s="1" t="s">
        <v>74</v>
      </c>
      <c r="X832" s="1" t="s">
        <v>74</v>
      </c>
      <c r="Y832" s="1" t="s">
        <v>74</v>
      </c>
      <c r="Z832" s="1" t="s">
        <v>74</v>
      </c>
      <c r="AA832" s="1" t="s">
        <v>7730</v>
      </c>
      <c r="AB832" s="1" t="s">
        <v>7731</v>
      </c>
      <c r="AC832" s="1" t="s">
        <v>74</v>
      </c>
      <c r="AD832" s="1" t="s">
        <v>74</v>
      </c>
      <c r="AE832" s="1" t="s">
        <v>74</v>
      </c>
      <c r="AF832" s="1" t="s">
        <v>74</v>
      </c>
      <c r="AG832" s="1" t="s">
        <v>74</v>
      </c>
      <c r="AH832" s="1" t="s">
        <v>74</v>
      </c>
      <c r="AI832" s="1" t="s">
        <v>74</v>
      </c>
      <c r="AJ832" s="1" t="s">
        <v>74</v>
      </c>
      <c r="AK832" s="1" t="s">
        <v>74</v>
      </c>
      <c r="AL832" s="1" t="s">
        <v>74</v>
      </c>
      <c r="AM832" s="1" t="s">
        <v>74</v>
      </c>
      <c r="AN832" s="1" t="s">
        <v>74</v>
      </c>
      <c r="AO832" s="1" t="s">
        <v>7732</v>
      </c>
      <c r="AP832" s="1" t="s">
        <v>7733</v>
      </c>
      <c r="AQ832" s="1" t="s">
        <v>74</v>
      </c>
      <c r="AR832" s="1" t="s">
        <v>74</v>
      </c>
      <c r="AS832" s="1" t="s">
        <v>74</v>
      </c>
      <c r="AT832" s="1" t="s">
        <v>123</v>
      </c>
      <c r="AU832" s="1">
        <v>2017.0</v>
      </c>
      <c r="AV832" s="1">
        <v>65.0</v>
      </c>
      <c r="AW832" s="1" t="s">
        <v>74</v>
      </c>
      <c r="AX832" s="1" t="s">
        <v>74</v>
      </c>
      <c r="AY832" s="1" t="s">
        <v>74</v>
      </c>
      <c r="AZ832" s="1" t="s">
        <v>74</v>
      </c>
      <c r="BA832" s="1" t="s">
        <v>74</v>
      </c>
      <c r="BB832" s="1">
        <v>1.0</v>
      </c>
      <c r="BC832" s="1">
        <v>11.0</v>
      </c>
      <c r="BD832" s="1" t="s">
        <v>74</v>
      </c>
      <c r="BE832" s="1" t="s">
        <v>7734</v>
      </c>
      <c r="BF832" s="2" t="str">
        <f>HYPERLINK("http://dx.doi.org/10.1016/j.comgeo.2017.04.002","http://dx.doi.org/10.1016/j.comgeo.2017.04.002")</f>
        <v>http://dx.doi.org/10.1016/j.comgeo.2017.04.002</v>
      </c>
      <c r="BG832" s="1" t="s">
        <v>74</v>
      </c>
      <c r="BH832" s="1" t="s">
        <v>74</v>
      </c>
      <c r="BI832" s="1" t="s">
        <v>74</v>
      </c>
      <c r="BJ832" s="1" t="s">
        <v>74</v>
      </c>
      <c r="BK832" s="1" t="s">
        <v>74</v>
      </c>
      <c r="BL832" s="1" t="s">
        <v>74</v>
      </c>
      <c r="BM832" s="1" t="s">
        <v>74</v>
      </c>
      <c r="BN832" s="1" t="s">
        <v>74</v>
      </c>
      <c r="BO832" s="1" t="s">
        <v>74</v>
      </c>
      <c r="BP832" s="1" t="s">
        <v>74</v>
      </c>
      <c r="BQ832" s="1" t="s">
        <v>74</v>
      </c>
      <c r="BR832" s="1" t="s">
        <v>74</v>
      </c>
      <c r="BS832" s="1" t="s">
        <v>7735</v>
      </c>
      <c r="BT832" s="1" t="str">
        <f>HYPERLINK("https%3A%2F%2Fwww.webofscience.com%2Fwos%2Fwoscc%2Ffull-record%2FWOS:000406734200001","View Full Record in Web of Science")</f>
        <v>View Full Record in Web of Science</v>
      </c>
    </row>
    <row r="833" ht="12.75" customHeight="1">
      <c r="A833" s="1" t="s">
        <v>72</v>
      </c>
      <c r="B833" s="1" t="s">
        <v>7736</v>
      </c>
      <c r="C833" s="1" t="s">
        <v>74</v>
      </c>
      <c r="D833" s="1" t="s">
        <v>74</v>
      </c>
      <c r="E833" s="1" t="s">
        <v>74</v>
      </c>
      <c r="F833" s="1" t="s">
        <v>7737</v>
      </c>
      <c r="G833" s="1" t="s">
        <v>74</v>
      </c>
      <c r="H833" s="1" t="s">
        <v>74</v>
      </c>
      <c r="I833" s="1" t="s">
        <v>7738</v>
      </c>
      <c r="J833" s="1" t="s">
        <v>305</v>
      </c>
      <c r="K833" s="1" t="s">
        <v>74</v>
      </c>
      <c r="L833" s="1" t="s">
        <v>74</v>
      </c>
      <c r="M833" s="1" t="s">
        <v>74</v>
      </c>
      <c r="N833" s="1" t="s">
        <v>74</v>
      </c>
      <c r="O833" s="1" t="s">
        <v>74</v>
      </c>
      <c r="P833" s="1" t="s">
        <v>74</v>
      </c>
      <c r="Q833" s="1" t="s">
        <v>74</v>
      </c>
      <c r="R833" s="1" t="s">
        <v>74</v>
      </c>
      <c r="S833" s="1" t="s">
        <v>74</v>
      </c>
      <c r="T833" s="1" t="s">
        <v>74</v>
      </c>
      <c r="U833" s="1" t="s">
        <v>74</v>
      </c>
      <c r="V833" s="1" t="s">
        <v>7739</v>
      </c>
      <c r="W833" s="1" t="s">
        <v>74</v>
      </c>
      <c r="X833" s="1" t="s">
        <v>74</v>
      </c>
      <c r="Y833" s="1" t="s">
        <v>74</v>
      </c>
      <c r="Z833" s="1" t="s">
        <v>74</v>
      </c>
      <c r="AA833" s="1" t="s">
        <v>7740</v>
      </c>
      <c r="AB833" s="1" t="s">
        <v>7741</v>
      </c>
      <c r="AC833" s="1" t="s">
        <v>74</v>
      </c>
      <c r="AD833" s="1" t="s">
        <v>74</v>
      </c>
      <c r="AE833" s="1" t="s">
        <v>74</v>
      </c>
      <c r="AF833" s="1" t="s">
        <v>74</v>
      </c>
      <c r="AG833" s="1" t="s">
        <v>74</v>
      </c>
      <c r="AH833" s="1" t="s">
        <v>74</v>
      </c>
      <c r="AI833" s="1" t="s">
        <v>74</v>
      </c>
      <c r="AJ833" s="1" t="s">
        <v>74</v>
      </c>
      <c r="AK833" s="1" t="s">
        <v>74</v>
      </c>
      <c r="AL833" s="1" t="s">
        <v>74</v>
      </c>
      <c r="AM833" s="1" t="s">
        <v>74</v>
      </c>
      <c r="AN833" s="1" t="s">
        <v>74</v>
      </c>
      <c r="AO833" s="1" t="s">
        <v>74</v>
      </c>
      <c r="AP833" s="1" t="s">
        <v>309</v>
      </c>
      <c r="AQ833" s="1" t="s">
        <v>74</v>
      </c>
      <c r="AR833" s="1" t="s">
        <v>74</v>
      </c>
      <c r="AS833" s="1" t="s">
        <v>74</v>
      </c>
      <c r="AT833" s="1" t="s">
        <v>310</v>
      </c>
      <c r="AU833" s="1">
        <v>2017.0</v>
      </c>
      <c r="AV833" s="1">
        <v>22.0</v>
      </c>
      <c r="AW833" s="1">
        <v>7.0</v>
      </c>
      <c r="AX833" s="1" t="s">
        <v>74</v>
      </c>
      <c r="AY833" s="1" t="s">
        <v>74</v>
      </c>
      <c r="AZ833" s="1" t="s">
        <v>74</v>
      </c>
      <c r="BA833" s="1" t="s">
        <v>74</v>
      </c>
      <c r="BB833" s="1" t="s">
        <v>74</v>
      </c>
      <c r="BC833" s="1" t="s">
        <v>74</v>
      </c>
      <c r="BD833" s="1">
        <v>1039.0</v>
      </c>
      <c r="BE833" s="1" t="s">
        <v>7742</v>
      </c>
      <c r="BF833" s="2" t="str">
        <f>HYPERLINK("http://dx.doi.org/10.3390/molecules22071039","http://dx.doi.org/10.3390/molecules22071039")</f>
        <v>http://dx.doi.org/10.3390/molecules22071039</v>
      </c>
      <c r="BG833" s="1" t="s">
        <v>74</v>
      </c>
      <c r="BH833" s="1" t="s">
        <v>74</v>
      </c>
      <c r="BI833" s="1" t="s">
        <v>74</v>
      </c>
      <c r="BJ833" s="1" t="s">
        <v>74</v>
      </c>
      <c r="BK833" s="1" t="s">
        <v>74</v>
      </c>
      <c r="BL833" s="1" t="s">
        <v>74</v>
      </c>
      <c r="BM833" s="1" t="s">
        <v>74</v>
      </c>
      <c r="BN833" s="1">
        <v>2.864441E7</v>
      </c>
      <c r="BO833" s="1" t="s">
        <v>74</v>
      </c>
      <c r="BP833" s="1" t="s">
        <v>74</v>
      </c>
      <c r="BQ833" s="1" t="s">
        <v>74</v>
      </c>
      <c r="BR833" s="1" t="s">
        <v>74</v>
      </c>
      <c r="BS833" s="1" t="s">
        <v>7743</v>
      </c>
      <c r="BT833" s="1" t="str">
        <f>HYPERLINK("https%3A%2F%2Fwww.webofscience.com%2Fwos%2Fwoscc%2Ffull-record%2FWOS:000406621300013","View Full Record in Web of Science")</f>
        <v>View Full Record in Web of Science</v>
      </c>
    </row>
    <row r="834" ht="12.75" customHeight="1">
      <c r="A834" s="1" t="s">
        <v>72</v>
      </c>
      <c r="B834" s="1" t="s">
        <v>7744</v>
      </c>
      <c r="C834" s="1" t="s">
        <v>74</v>
      </c>
      <c r="D834" s="1" t="s">
        <v>74</v>
      </c>
      <c r="E834" s="1" t="s">
        <v>74</v>
      </c>
      <c r="F834" s="1" t="s">
        <v>7745</v>
      </c>
      <c r="G834" s="1" t="s">
        <v>74</v>
      </c>
      <c r="H834" s="1" t="s">
        <v>74</v>
      </c>
      <c r="I834" s="1" t="s">
        <v>7746</v>
      </c>
      <c r="J834" s="1" t="s">
        <v>2534</v>
      </c>
      <c r="K834" s="1" t="s">
        <v>74</v>
      </c>
      <c r="L834" s="1" t="s">
        <v>74</v>
      </c>
      <c r="M834" s="1" t="s">
        <v>74</v>
      </c>
      <c r="N834" s="1" t="s">
        <v>74</v>
      </c>
      <c r="O834" s="1" t="s">
        <v>74</v>
      </c>
      <c r="P834" s="1" t="s">
        <v>74</v>
      </c>
      <c r="Q834" s="1" t="s">
        <v>74</v>
      </c>
      <c r="R834" s="1" t="s">
        <v>74</v>
      </c>
      <c r="S834" s="1" t="s">
        <v>74</v>
      </c>
      <c r="T834" s="1" t="s">
        <v>74</v>
      </c>
      <c r="U834" s="1" t="s">
        <v>74</v>
      </c>
      <c r="V834" s="1" t="s">
        <v>7747</v>
      </c>
      <c r="W834" s="1" t="s">
        <v>74</v>
      </c>
      <c r="X834" s="1" t="s">
        <v>74</v>
      </c>
      <c r="Y834" s="1" t="s">
        <v>74</v>
      </c>
      <c r="Z834" s="1" t="s">
        <v>74</v>
      </c>
      <c r="AA834" s="1" t="s">
        <v>74</v>
      </c>
      <c r="AB834" s="1" t="s">
        <v>74</v>
      </c>
      <c r="AC834" s="1" t="s">
        <v>74</v>
      </c>
      <c r="AD834" s="1" t="s">
        <v>74</v>
      </c>
      <c r="AE834" s="1" t="s">
        <v>74</v>
      </c>
      <c r="AF834" s="1" t="s">
        <v>74</v>
      </c>
      <c r="AG834" s="1" t="s">
        <v>74</v>
      </c>
      <c r="AH834" s="1" t="s">
        <v>74</v>
      </c>
      <c r="AI834" s="1" t="s">
        <v>74</v>
      </c>
      <c r="AJ834" s="1" t="s">
        <v>74</v>
      </c>
      <c r="AK834" s="1" t="s">
        <v>74</v>
      </c>
      <c r="AL834" s="1" t="s">
        <v>74</v>
      </c>
      <c r="AM834" s="1" t="s">
        <v>74</v>
      </c>
      <c r="AN834" s="1" t="s">
        <v>74</v>
      </c>
      <c r="AO834" s="1" t="s">
        <v>2537</v>
      </c>
      <c r="AP834" s="1" t="s">
        <v>74</v>
      </c>
      <c r="AQ834" s="1" t="s">
        <v>74</v>
      </c>
      <c r="AR834" s="1" t="s">
        <v>74</v>
      </c>
      <c r="AS834" s="1" t="s">
        <v>74</v>
      </c>
      <c r="AT834" s="1" t="s">
        <v>3621</v>
      </c>
      <c r="AU834" s="1">
        <v>2017.0</v>
      </c>
      <c r="AV834" s="1">
        <v>40.0</v>
      </c>
      <c r="AW834" s="1">
        <v>1.0</v>
      </c>
      <c r="AX834" s="1" t="s">
        <v>74</v>
      </c>
      <c r="AY834" s="1" t="s">
        <v>74</v>
      </c>
      <c r="AZ834" s="1" t="s">
        <v>74</v>
      </c>
      <c r="BA834" s="1" t="s">
        <v>74</v>
      </c>
      <c r="BB834" s="1">
        <v>151.0</v>
      </c>
      <c r="BC834" s="1">
        <v>163.0</v>
      </c>
      <c r="BD834" s="1" t="s">
        <v>74</v>
      </c>
      <c r="BE834" s="1" t="s">
        <v>7748</v>
      </c>
      <c r="BF834" s="2" t="str">
        <f>HYPERLINK("http://dx.doi.org/10.1590/S0101-31732017000100008","http://dx.doi.org/10.1590/S0101-31732017000100008")</f>
        <v>http://dx.doi.org/10.1590/S0101-31732017000100008</v>
      </c>
      <c r="BG834" s="1" t="s">
        <v>74</v>
      </c>
      <c r="BH834" s="1" t="s">
        <v>74</v>
      </c>
      <c r="BI834" s="1" t="s">
        <v>74</v>
      </c>
      <c r="BJ834" s="1" t="s">
        <v>74</v>
      </c>
      <c r="BK834" s="1" t="s">
        <v>74</v>
      </c>
      <c r="BL834" s="1" t="s">
        <v>74</v>
      </c>
      <c r="BM834" s="1" t="s">
        <v>74</v>
      </c>
      <c r="BN834" s="1" t="s">
        <v>74</v>
      </c>
      <c r="BO834" s="1" t="s">
        <v>74</v>
      </c>
      <c r="BP834" s="1" t="s">
        <v>74</v>
      </c>
      <c r="BQ834" s="1" t="s">
        <v>74</v>
      </c>
      <c r="BR834" s="1" t="s">
        <v>74</v>
      </c>
      <c r="BS834" s="1" t="s">
        <v>7749</v>
      </c>
      <c r="BT834" s="1" t="str">
        <f>HYPERLINK("https%3A%2F%2Fwww.webofscience.com%2Fwos%2Fwoscc%2Ffull-record%2FWOS:000405125600008","View Full Record in Web of Science")</f>
        <v>View Full Record in Web of Science</v>
      </c>
    </row>
    <row r="835" ht="12.75" customHeight="1">
      <c r="A835" s="1" t="s">
        <v>72</v>
      </c>
      <c r="B835" s="1" t="s">
        <v>7750</v>
      </c>
      <c r="C835" s="1" t="s">
        <v>74</v>
      </c>
      <c r="D835" s="1" t="s">
        <v>74</v>
      </c>
      <c r="E835" s="1" t="s">
        <v>74</v>
      </c>
      <c r="F835" s="1" t="s">
        <v>7751</v>
      </c>
      <c r="G835" s="1" t="s">
        <v>74</v>
      </c>
      <c r="H835" s="1" t="s">
        <v>74</v>
      </c>
      <c r="I835" s="1" t="s">
        <v>7752</v>
      </c>
      <c r="J835" s="1" t="s">
        <v>7753</v>
      </c>
      <c r="K835" s="1" t="s">
        <v>74</v>
      </c>
      <c r="L835" s="1" t="s">
        <v>74</v>
      </c>
      <c r="M835" s="1" t="s">
        <v>74</v>
      </c>
      <c r="N835" s="1" t="s">
        <v>74</v>
      </c>
      <c r="O835" s="1" t="s">
        <v>74</v>
      </c>
      <c r="P835" s="1" t="s">
        <v>74</v>
      </c>
      <c r="Q835" s="1" t="s">
        <v>74</v>
      </c>
      <c r="R835" s="1" t="s">
        <v>74</v>
      </c>
      <c r="S835" s="1" t="s">
        <v>74</v>
      </c>
      <c r="T835" s="1" t="s">
        <v>74</v>
      </c>
      <c r="U835" s="1" t="s">
        <v>74</v>
      </c>
      <c r="V835" s="1" t="s">
        <v>74</v>
      </c>
      <c r="W835" s="1" t="s">
        <v>74</v>
      </c>
      <c r="X835" s="1" t="s">
        <v>74</v>
      </c>
      <c r="Y835" s="1" t="s">
        <v>74</v>
      </c>
      <c r="Z835" s="1" t="s">
        <v>74</v>
      </c>
      <c r="AA835" s="1" t="s">
        <v>7754</v>
      </c>
      <c r="AB835" s="1" t="s">
        <v>7755</v>
      </c>
      <c r="AC835" s="1" t="s">
        <v>74</v>
      </c>
      <c r="AD835" s="1" t="s">
        <v>74</v>
      </c>
      <c r="AE835" s="1" t="s">
        <v>74</v>
      </c>
      <c r="AF835" s="1" t="s">
        <v>74</v>
      </c>
      <c r="AG835" s="1" t="s">
        <v>74</v>
      </c>
      <c r="AH835" s="1" t="s">
        <v>74</v>
      </c>
      <c r="AI835" s="1" t="s">
        <v>74</v>
      </c>
      <c r="AJ835" s="1" t="s">
        <v>74</v>
      </c>
      <c r="AK835" s="1" t="s">
        <v>74</v>
      </c>
      <c r="AL835" s="1" t="s">
        <v>74</v>
      </c>
      <c r="AM835" s="1" t="s">
        <v>74</v>
      </c>
      <c r="AN835" s="1" t="s">
        <v>74</v>
      </c>
      <c r="AO835" s="1" t="s">
        <v>7756</v>
      </c>
      <c r="AP835" s="1" t="s">
        <v>7757</v>
      </c>
      <c r="AQ835" s="1" t="s">
        <v>74</v>
      </c>
      <c r="AR835" s="1" t="s">
        <v>74</v>
      </c>
      <c r="AS835" s="1" t="s">
        <v>74</v>
      </c>
      <c r="AT835" s="1" t="s">
        <v>447</v>
      </c>
      <c r="AU835" s="1">
        <v>2017.0</v>
      </c>
      <c r="AV835" s="1">
        <v>19.0</v>
      </c>
      <c r="AW835" s="1">
        <v>1.0</v>
      </c>
      <c r="AX835" s="1" t="s">
        <v>74</v>
      </c>
      <c r="AY835" s="1" t="s">
        <v>74</v>
      </c>
      <c r="AZ835" s="1" t="s">
        <v>74</v>
      </c>
      <c r="BA835" s="1" t="s">
        <v>74</v>
      </c>
      <c r="BB835" s="1">
        <v>62.0</v>
      </c>
      <c r="BC835" s="1">
        <v>73.0</v>
      </c>
      <c r="BD835" s="1" t="s">
        <v>74</v>
      </c>
      <c r="BE835" s="1" t="s">
        <v>7758</v>
      </c>
      <c r="BF835" s="2" t="str">
        <f>HYPERLINK("http://dx.doi.org/10.1109/MCSE.2017.8","http://dx.doi.org/10.1109/MCSE.2017.8")</f>
        <v>http://dx.doi.org/10.1109/MCSE.2017.8</v>
      </c>
      <c r="BG835" s="1" t="s">
        <v>74</v>
      </c>
      <c r="BH835" s="1" t="s">
        <v>74</v>
      </c>
      <c r="BI835" s="1" t="s">
        <v>74</v>
      </c>
      <c r="BJ835" s="1" t="s">
        <v>74</v>
      </c>
      <c r="BK835" s="1" t="s">
        <v>74</v>
      </c>
      <c r="BL835" s="1" t="s">
        <v>74</v>
      </c>
      <c r="BM835" s="1" t="s">
        <v>74</v>
      </c>
      <c r="BN835" s="1" t="s">
        <v>74</v>
      </c>
      <c r="BO835" s="1" t="s">
        <v>74</v>
      </c>
      <c r="BP835" s="1" t="s">
        <v>74</v>
      </c>
      <c r="BQ835" s="1" t="s">
        <v>74</v>
      </c>
      <c r="BR835" s="1" t="s">
        <v>74</v>
      </c>
      <c r="BS835" s="1" t="s">
        <v>7759</v>
      </c>
      <c r="BT835" s="1" t="str">
        <f>HYPERLINK("https%3A%2F%2Fwww.webofscience.com%2Fwos%2Fwoscc%2Ffull-record%2FWOS:000391909100009","View Full Record in Web of Science")</f>
        <v>View Full Record in Web of Science</v>
      </c>
    </row>
    <row r="836" ht="12.75" customHeight="1">
      <c r="A836" s="1" t="s">
        <v>72</v>
      </c>
      <c r="B836" s="1" t="s">
        <v>7760</v>
      </c>
      <c r="C836" s="1" t="s">
        <v>74</v>
      </c>
      <c r="D836" s="1" t="s">
        <v>74</v>
      </c>
      <c r="E836" s="1" t="s">
        <v>74</v>
      </c>
      <c r="F836" s="1" t="s">
        <v>7761</v>
      </c>
      <c r="G836" s="1" t="s">
        <v>74</v>
      </c>
      <c r="H836" s="1" t="s">
        <v>74</v>
      </c>
      <c r="I836" s="1" t="s">
        <v>7762</v>
      </c>
      <c r="J836" s="1" t="s">
        <v>7763</v>
      </c>
      <c r="K836" s="1" t="s">
        <v>74</v>
      </c>
      <c r="L836" s="1" t="s">
        <v>74</v>
      </c>
      <c r="M836" s="1" t="s">
        <v>74</v>
      </c>
      <c r="N836" s="1" t="s">
        <v>74</v>
      </c>
      <c r="O836" s="1" t="s">
        <v>74</v>
      </c>
      <c r="P836" s="1" t="s">
        <v>74</v>
      </c>
      <c r="Q836" s="1" t="s">
        <v>74</v>
      </c>
      <c r="R836" s="1" t="s">
        <v>74</v>
      </c>
      <c r="S836" s="1" t="s">
        <v>74</v>
      </c>
      <c r="T836" s="1" t="s">
        <v>74</v>
      </c>
      <c r="U836" s="1" t="s">
        <v>74</v>
      </c>
      <c r="V836" s="1" t="s">
        <v>7764</v>
      </c>
      <c r="W836" s="1" t="s">
        <v>74</v>
      </c>
      <c r="X836" s="1" t="s">
        <v>74</v>
      </c>
      <c r="Y836" s="1" t="s">
        <v>74</v>
      </c>
      <c r="Z836" s="1" t="s">
        <v>74</v>
      </c>
      <c r="AA836" s="1" t="s">
        <v>7765</v>
      </c>
      <c r="AB836" s="1" t="s">
        <v>7766</v>
      </c>
      <c r="AC836" s="1" t="s">
        <v>74</v>
      </c>
      <c r="AD836" s="1" t="s">
        <v>74</v>
      </c>
      <c r="AE836" s="1" t="s">
        <v>74</v>
      </c>
      <c r="AF836" s="1" t="s">
        <v>74</v>
      </c>
      <c r="AG836" s="1" t="s">
        <v>74</v>
      </c>
      <c r="AH836" s="1" t="s">
        <v>74</v>
      </c>
      <c r="AI836" s="1" t="s">
        <v>74</v>
      </c>
      <c r="AJ836" s="1" t="s">
        <v>74</v>
      </c>
      <c r="AK836" s="1" t="s">
        <v>74</v>
      </c>
      <c r="AL836" s="1" t="s">
        <v>74</v>
      </c>
      <c r="AM836" s="1" t="s">
        <v>74</v>
      </c>
      <c r="AN836" s="1" t="s">
        <v>74</v>
      </c>
      <c r="AO836" s="1" t="s">
        <v>7767</v>
      </c>
      <c r="AP836" s="1" t="s">
        <v>7768</v>
      </c>
      <c r="AQ836" s="1" t="s">
        <v>74</v>
      </c>
      <c r="AR836" s="1" t="s">
        <v>74</v>
      </c>
      <c r="AS836" s="1" t="s">
        <v>74</v>
      </c>
      <c r="AT836" s="1" t="s">
        <v>6537</v>
      </c>
      <c r="AU836" s="1">
        <v>2015.0</v>
      </c>
      <c r="AV836" s="1">
        <v>164.0</v>
      </c>
      <c r="AW836" s="1" t="s">
        <v>2150</v>
      </c>
      <c r="AX836" s="1" t="s">
        <v>74</v>
      </c>
      <c r="AY836" s="1" t="s">
        <v>74</v>
      </c>
      <c r="AZ836" s="1" t="s">
        <v>74</v>
      </c>
      <c r="BA836" s="1" t="s">
        <v>74</v>
      </c>
      <c r="BB836" s="1">
        <v>93.0</v>
      </c>
      <c r="BC836" s="1">
        <v>100.0</v>
      </c>
      <c r="BD836" s="1" t="s">
        <v>74</v>
      </c>
      <c r="BE836" s="1" t="s">
        <v>7769</v>
      </c>
      <c r="BF836" s="2" t="str">
        <f>HYPERLINK("http://dx.doi.org/10.1016/j.vetimm.2015.01.001","http://dx.doi.org/10.1016/j.vetimm.2015.01.001")</f>
        <v>http://dx.doi.org/10.1016/j.vetimm.2015.01.001</v>
      </c>
      <c r="BG836" s="1" t="s">
        <v>74</v>
      </c>
      <c r="BH836" s="1" t="s">
        <v>74</v>
      </c>
      <c r="BI836" s="1" t="s">
        <v>74</v>
      </c>
      <c r="BJ836" s="1" t="s">
        <v>74</v>
      </c>
      <c r="BK836" s="1" t="s">
        <v>74</v>
      </c>
      <c r="BL836" s="1" t="s">
        <v>74</v>
      </c>
      <c r="BM836" s="1" t="s">
        <v>74</v>
      </c>
      <c r="BN836" s="1">
        <v>2.5631788E7</v>
      </c>
      <c r="BO836" s="1" t="s">
        <v>74</v>
      </c>
      <c r="BP836" s="1" t="s">
        <v>74</v>
      </c>
      <c r="BQ836" s="1" t="s">
        <v>74</v>
      </c>
      <c r="BR836" s="1" t="s">
        <v>74</v>
      </c>
      <c r="BS836" s="1" t="s">
        <v>7770</v>
      </c>
      <c r="BT836" s="1" t="str">
        <f>HYPERLINK("https%3A%2F%2Fwww.webofscience.com%2Fwos%2Fwoscc%2Ffull-record%2FWOS:000352251000013","View Full Record in Web of Science")</f>
        <v>View Full Record in Web of Science</v>
      </c>
    </row>
    <row r="837" ht="12.75" customHeight="1">
      <c r="A837" s="1" t="s">
        <v>72</v>
      </c>
      <c r="B837" s="1" t="s">
        <v>7771</v>
      </c>
      <c r="C837" s="1" t="s">
        <v>74</v>
      </c>
      <c r="D837" s="1" t="s">
        <v>74</v>
      </c>
      <c r="E837" s="1" t="s">
        <v>74</v>
      </c>
      <c r="F837" s="1" t="s">
        <v>7772</v>
      </c>
      <c r="G837" s="1" t="s">
        <v>74</v>
      </c>
      <c r="H837" s="1" t="s">
        <v>7773</v>
      </c>
      <c r="I837" s="1" t="s">
        <v>7774</v>
      </c>
      <c r="J837" s="1" t="s">
        <v>7775</v>
      </c>
      <c r="K837" s="1" t="s">
        <v>74</v>
      </c>
      <c r="L837" s="1" t="s">
        <v>74</v>
      </c>
      <c r="M837" s="1" t="s">
        <v>74</v>
      </c>
      <c r="N837" s="1" t="s">
        <v>74</v>
      </c>
      <c r="O837" s="1" t="s">
        <v>74</v>
      </c>
      <c r="P837" s="1" t="s">
        <v>74</v>
      </c>
      <c r="Q837" s="1" t="s">
        <v>74</v>
      </c>
      <c r="R837" s="1" t="s">
        <v>74</v>
      </c>
      <c r="S837" s="1" t="s">
        <v>74</v>
      </c>
      <c r="T837" s="1" t="s">
        <v>74</v>
      </c>
      <c r="U837" s="1" t="s">
        <v>74</v>
      </c>
      <c r="V837" s="1" t="s">
        <v>74</v>
      </c>
      <c r="W837" s="1" t="s">
        <v>74</v>
      </c>
      <c r="X837" s="1" t="s">
        <v>74</v>
      </c>
      <c r="Y837" s="1" t="s">
        <v>74</v>
      </c>
      <c r="Z837" s="1" t="s">
        <v>74</v>
      </c>
      <c r="AA837" s="1" t="s">
        <v>7294</v>
      </c>
      <c r="AB837" s="1" t="s">
        <v>7776</v>
      </c>
      <c r="AC837" s="1" t="s">
        <v>74</v>
      </c>
      <c r="AD837" s="1" t="s">
        <v>74</v>
      </c>
      <c r="AE837" s="1" t="s">
        <v>74</v>
      </c>
      <c r="AF837" s="1" t="s">
        <v>74</v>
      </c>
      <c r="AG837" s="1" t="s">
        <v>74</v>
      </c>
      <c r="AH837" s="1" t="s">
        <v>74</v>
      </c>
      <c r="AI837" s="1" t="s">
        <v>74</v>
      </c>
      <c r="AJ837" s="1" t="s">
        <v>74</v>
      </c>
      <c r="AK837" s="1" t="s">
        <v>74</v>
      </c>
      <c r="AL837" s="1" t="s">
        <v>74</v>
      </c>
      <c r="AM837" s="1" t="s">
        <v>74</v>
      </c>
      <c r="AN837" s="1" t="s">
        <v>74</v>
      </c>
      <c r="AO837" s="1" t="s">
        <v>7777</v>
      </c>
      <c r="AP837" s="1" t="s">
        <v>7778</v>
      </c>
      <c r="AQ837" s="1" t="s">
        <v>74</v>
      </c>
      <c r="AR837" s="1" t="s">
        <v>74</v>
      </c>
      <c r="AS837" s="1" t="s">
        <v>74</v>
      </c>
      <c r="AT837" s="1" t="s">
        <v>360</v>
      </c>
      <c r="AU837" s="1">
        <v>2015.0</v>
      </c>
      <c r="AV837" s="1">
        <v>26.0</v>
      </c>
      <c r="AW837" s="1">
        <v>1.0</v>
      </c>
      <c r="AX837" s="1" t="s">
        <v>74</v>
      </c>
      <c r="AY837" s="1" t="s">
        <v>74</v>
      </c>
      <c r="AZ837" s="1" t="s">
        <v>74</v>
      </c>
      <c r="BA837" s="1" t="s">
        <v>74</v>
      </c>
      <c r="BB837" s="1">
        <v>82.0</v>
      </c>
      <c r="BC837" s="1">
        <v>85.0</v>
      </c>
      <c r="BD837" s="1" t="s">
        <v>74</v>
      </c>
      <c r="BE837" s="1" t="s">
        <v>7779</v>
      </c>
      <c r="BF837" s="2" t="str">
        <f>HYPERLINK("http://dx.doi.org/10.1111/pai.12320","http://dx.doi.org/10.1111/pai.12320")</f>
        <v>http://dx.doi.org/10.1111/pai.12320</v>
      </c>
      <c r="BG837" s="1" t="s">
        <v>74</v>
      </c>
      <c r="BH837" s="1" t="s">
        <v>74</v>
      </c>
      <c r="BI837" s="1" t="s">
        <v>74</v>
      </c>
      <c r="BJ837" s="1" t="s">
        <v>74</v>
      </c>
      <c r="BK837" s="1" t="s">
        <v>74</v>
      </c>
      <c r="BL837" s="1" t="s">
        <v>74</v>
      </c>
      <c r="BM837" s="1" t="s">
        <v>74</v>
      </c>
      <c r="BN837" s="1">
        <v>2.546991E7</v>
      </c>
      <c r="BO837" s="1" t="s">
        <v>74</v>
      </c>
      <c r="BP837" s="1" t="s">
        <v>74</v>
      </c>
      <c r="BQ837" s="1" t="s">
        <v>74</v>
      </c>
      <c r="BR837" s="1" t="s">
        <v>74</v>
      </c>
      <c r="BS837" s="1" t="s">
        <v>7780</v>
      </c>
      <c r="BT837" s="1" t="str">
        <f>HYPERLINK("https%3A%2F%2Fwww.webofscience.com%2Fwos%2Fwoscc%2Ffull-record%2FWOS:000349992500012","View Full Record in Web of Science")</f>
        <v>View Full Record in Web of Science</v>
      </c>
    </row>
    <row r="838" ht="12.75" customHeight="1">
      <c r="A838" s="1" t="s">
        <v>1511</v>
      </c>
      <c r="B838" s="1" t="s">
        <v>7781</v>
      </c>
      <c r="C838" s="1" t="s">
        <v>74</v>
      </c>
      <c r="D838" s="1" t="s">
        <v>7782</v>
      </c>
      <c r="E838" s="1" t="s">
        <v>74</v>
      </c>
      <c r="F838" s="1" t="s">
        <v>7783</v>
      </c>
      <c r="G838" s="1" t="s">
        <v>74</v>
      </c>
      <c r="H838" s="1" t="s">
        <v>74</v>
      </c>
      <c r="I838" s="1" t="s">
        <v>7784</v>
      </c>
      <c r="J838" s="1" t="s">
        <v>7785</v>
      </c>
      <c r="K838" s="1" t="s">
        <v>7786</v>
      </c>
      <c r="L838" s="1" t="s">
        <v>74</v>
      </c>
      <c r="M838" s="1" t="s">
        <v>74</v>
      </c>
      <c r="N838" s="1" t="s">
        <v>74</v>
      </c>
      <c r="O838" s="1" t="s">
        <v>74</v>
      </c>
      <c r="P838" s="1" t="s">
        <v>74</v>
      </c>
      <c r="Q838" s="1" t="s">
        <v>74</v>
      </c>
      <c r="R838" s="1" t="s">
        <v>74</v>
      </c>
      <c r="S838" s="1" t="s">
        <v>74</v>
      </c>
      <c r="T838" s="1" t="s">
        <v>74</v>
      </c>
      <c r="U838" s="1" t="s">
        <v>74</v>
      </c>
      <c r="V838" s="1" t="s">
        <v>74</v>
      </c>
      <c r="W838" s="1" t="s">
        <v>74</v>
      </c>
      <c r="X838" s="1" t="s">
        <v>74</v>
      </c>
      <c r="Y838" s="1" t="s">
        <v>74</v>
      </c>
      <c r="Z838" s="1" t="s">
        <v>74</v>
      </c>
      <c r="AA838" s="1" t="s">
        <v>7787</v>
      </c>
      <c r="AB838" s="1" t="s">
        <v>7788</v>
      </c>
      <c r="AC838" s="1" t="s">
        <v>74</v>
      </c>
      <c r="AD838" s="1" t="s">
        <v>74</v>
      </c>
      <c r="AE838" s="1" t="s">
        <v>74</v>
      </c>
      <c r="AF838" s="1" t="s">
        <v>74</v>
      </c>
      <c r="AG838" s="1" t="s">
        <v>74</v>
      </c>
      <c r="AH838" s="1" t="s">
        <v>74</v>
      </c>
      <c r="AI838" s="1" t="s">
        <v>74</v>
      </c>
      <c r="AJ838" s="1" t="s">
        <v>74</v>
      </c>
      <c r="AK838" s="1" t="s">
        <v>74</v>
      </c>
      <c r="AL838" s="1" t="s">
        <v>74</v>
      </c>
      <c r="AM838" s="1" t="s">
        <v>74</v>
      </c>
      <c r="AN838" s="1" t="s">
        <v>74</v>
      </c>
      <c r="AO838" s="1" t="s">
        <v>7789</v>
      </c>
      <c r="AP838" s="1" t="s">
        <v>74</v>
      </c>
      <c r="AQ838" s="1" t="s">
        <v>7790</v>
      </c>
      <c r="AR838" s="1" t="s">
        <v>74</v>
      </c>
      <c r="AS838" s="1" t="s">
        <v>74</v>
      </c>
      <c r="AT838" s="1" t="s">
        <v>74</v>
      </c>
      <c r="AU838" s="1">
        <v>2015.0</v>
      </c>
      <c r="AV838" s="1" t="s">
        <v>74</v>
      </c>
      <c r="AW838" s="1" t="s">
        <v>74</v>
      </c>
      <c r="AX838" s="1" t="s">
        <v>74</v>
      </c>
      <c r="AY838" s="1" t="s">
        <v>74</v>
      </c>
      <c r="AZ838" s="1" t="s">
        <v>74</v>
      </c>
      <c r="BA838" s="1" t="s">
        <v>74</v>
      </c>
      <c r="BB838" s="1">
        <v>177.0</v>
      </c>
      <c r="BC838" s="1">
        <v>186.0</v>
      </c>
      <c r="BD838" s="1" t="s">
        <v>74</v>
      </c>
      <c r="BE838" s="1" t="s">
        <v>7791</v>
      </c>
      <c r="BF838" s="2" t="str">
        <f>HYPERLINK("http://dx.doi.org/10.1007/978-3-319-13596-0_10","http://dx.doi.org/10.1007/978-3-319-13596-0_10")</f>
        <v>http://dx.doi.org/10.1007/978-3-319-13596-0_10</v>
      </c>
      <c r="BG838" s="1" t="s">
        <v>7792</v>
      </c>
      <c r="BH838" s="1" t="s">
        <v>74</v>
      </c>
      <c r="BI838" s="1" t="s">
        <v>74</v>
      </c>
      <c r="BJ838" s="1" t="s">
        <v>74</v>
      </c>
      <c r="BK838" s="1" t="s">
        <v>74</v>
      </c>
      <c r="BL838" s="1" t="s">
        <v>74</v>
      </c>
      <c r="BM838" s="1" t="s">
        <v>74</v>
      </c>
      <c r="BN838" s="1" t="s">
        <v>74</v>
      </c>
      <c r="BO838" s="1" t="s">
        <v>74</v>
      </c>
      <c r="BP838" s="1" t="s">
        <v>74</v>
      </c>
      <c r="BQ838" s="1" t="s">
        <v>74</v>
      </c>
      <c r="BR838" s="1" t="s">
        <v>74</v>
      </c>
      <c r="BS838" s="1" t="s">
        <v>7793</v>
      </c>
      <c r="BT838" s="1" t="str">
        <f>HYPERLINK("https%3A%2F%2Fwww.webofscience.com%2Fwos%2Fwoscc%2Ffull-record%2FWOS:000374484200011","View Full Record in Web of Science")</f>
        <v>View Full Record in Web of Science</v>
      </c>
    </row>
    <row r="839" ht="12.75" customHeight="1">
      <c r="A839" s="1" t="s">
        <v>72</v>
      </c>
      <c r="B839" s="1" t="s">
        <v>1483</v>
      </c>
      <c r="C839" s="1" t="s">
        <v>74</v>
      </c>
      <c r="D839" s="1" t="s">
        <v>74</v>
      </c>
      <c r="E839" s="1" t="s">
        <v>74</v>
      </c>
      <c r="F839" s="1" t="s">
        <v>1484</v>
      </c>
      <c r="G839" s="1" t="s">
        <v>74</v>
      </c>
      <c r="H839" s="1" t="s">
        <v>74</v>
      </c>
      <c r="I839" s="1" t="s">
        <v>7794</v>
      </c>
      <c r="J839" s="1" t="s">
        <v>7795</v>
      </c>
      <c r="K839" s="1" t="s">
        <v>74</v>
      </c>
      <c r="L839" s="1" t="s">
        <v>74</v>
      </c>
      <c r="M839" s="1" t="s">
        <v>74</v>
      </c>
      <c r="N839" s="1" t="s">
        <v>74</v>
      </c>
      <c r="O839" s="1" t="s">
        <v>74</v>
      </c>
      <c r="P839" s="1" t="s">
        <v>74</v>
      </c>
      <c r="Q839" s="1" t="s">
        <v>74</v>
      </c>
      <c r="R839" s="1" t="s">
        <v>74</v>
      </c>
      <c r="S839" s="1" t="s">
        <v>74</v>
      </c>
      <c r="T839" s="1" t="s">
        <v>74</v>
      </c>
      <c r="U839" s="1" t="s">
        <v>74</v>
      </c>
      <c r="V839" s="1" t="s">
        <v>7796</v>
      </c>
      <c r="W839" s="1" t="s">
        <v>74</v>
      </c>
      <c r="X839" s="1" t="s">
        <v>74</v>
      </c>
      <c r="Y839" s="1" t="s">
        <v>74</v>
      </c>
      <c r="Z839" s="1" t="s">
        <v>74</v>
      </c>
      <c r="AA839" s="1" t="s">
        <v>2095</v>
      </c>
      <c r="AB839" s="1" t="s">
        <v>2281</v>
      </c>
      <c r="AC839" s="1" t="s">
        <v>74</v>
      </c>
      <c r="AD839" s="1" t="s">
        <v>74</v>
      </c>
      <c r="AE839" s="1" t="s">
        <v>74</v>
      </c>
      <c r="AF839" s="1" t="s">
        <v>74</v>
      </c>
      <c r="AG839" s="1" t="s">
        <v>74</v>
      </c>
      <c r="AH839" s="1" t="s">
        <v>74</v>
      </c>
      <c r="AI839" s="1" t="s">
        <v>74</v>
      </c>
      <c r="AJ839" s="1" t="s">
        <v>74</v>
      </c>
      <c r="AK839" s="1" t="s">
        <v>74</v>
      </c>
      <c r="AL839" s="1" t="s">
        <v>74</v>
      </c>
      <c r="AM839" s="1" t="s">
        <v>74</v>
      </c>
      <c r="AN839" s="1" t="s">
        <v>74</v>
      </c>
      <c r="AO839" s="1" t="s">
        <v>7797</v>
      </c>
      <c r="AP839" s="1" t="s">
        <v>74</v>
      </c>
      <c r="AQ839" s="1" t="s">
        <v>74</v>
      </c>
      <c r="AR839" s="1" t="s">
        <v>74</v>
      </c>
      <c r="AS839" s="1" t="s">
        <v>74</v>
      </c>
      <c r="AT839" s="1" t="s">
        <v>5194</v>
      </c>
      <c r="AU839" s="1">
        <v>2014.0</v>
      </c>
      <c r="AV839" s="1">
        <v>19.0</v>
      </c>
      <c r="AW839" s="1" t="s">
        <v>74</v>
      </c>
      <c r="AX839" s="1" t="s">
        <v>74</v>
      </c>
      <c r="AY839" s="1" t="s">
        <v>74</v>
      </c>
      <c r="AZ839" s="1" t="s">
        <v>74</v>
      </c>
      <c r="BA839" s="1" t="s">
        <v>74</v>
      </c>
      <c r="BB839" s="1">
        <v>1.0</v>
      </c>
      <c r="BC839" s="1">
        <v>14.0</v>
      </c>
      <c r="BD839" s="1" t="s">
        <v>74</v>
      </c>
      <c r="BE839" s="1" t="s">
        <v>7798</v>
      </c>
      <c r="BF839" s="2" t="str">
        <f>HYPERLINK("http://dx.doi.org/10.1214/ECP.v19-3365","http://dx.doi.org/10.1214/ECP.v19-3365")</f>
        <v>http://dx.doi.org/10.1214/ECP.v19-3365</v>
      </c>
      <c r="BG839" s="1" t="s">
        <v>74</v>
      </c>
      <c r="BH839" s="1" t="s">
        <v>74</v>
      </c>
      <c r="BI839" s="1" t="s">
        <v>74</v>
      </c>
      <c r="BJ839" s="1" t="s">
        <v>74</v>
      </c>
      <c r="BK839" s="1" t="s">
        <v>74</v>
      </c>
      <c r="BL839" s="1" t="s">
        <v>74</v>
      </c>
      <c r="BM839" s="1" t="s">
        <v>74</v>
      </c>
      <c r="BN839" s="1" t="s">
        <v>74</v>
      </c>
      <c r="BO839" s="1" t="s">
        <v>74</v>
      </c>
      <c r="BP839" s="1" t="s">
        <v>74</v>
      </c>
      <c r="BQ839" s="1" t="s">
        <v>74</v>
      </c>
      <c r="BR839" s="1" t="s">
        <v>74</v>
      </c>
      <c r="BS839" s="1" t="s">
        <v>7799</v>
      </c>
      <c r="BT839" s="1" t="str">
        <f>HYPERLINK("https%3A%2F%2Fwww.webofscience.com%2Fwos%2Fwoscc%2Ffull-record%2FWOS:000341862000001","View Full Record in Web of Science")</f>
        <v>View Full Record in Web of Science</v>
      </c>
    </row>
    <row r="840" ht="12.75" customHeight="1">
      <c r="A840" s="1" t="s">
        <v>72</v>
      </c>
      <c r="B840" s="1" t="s">
        <v>7800</v>
      </c>
      <c r="C840" s="1" t="s">
        <v>74</v>
      </c>
      <c r="D840" s="1" t="s">
        <v>74</v>
      </c>
      <c r="E840" s="1" t="s">
        <v>74</v>
      </c>
      <c r="F840" s="1" t="s">
        <v>7801</v>
      </c>
      <c r="G840" s="1" t="s">
        <v>74</v>
      </c>
      <c r="H840" s="1" t="s">
        <v>74</v>
      </c>
      <c r="I840" s="1" t="s">
        <v>7802</v>
      </c>
      <c r="J840" s="1" t="s">
        <v>7803</v>
      </c>
      <c r="K840" s="1" t="s">
        <v>74</v>
      </c>
      <c r="L840" s="1" t="s">
        <v>74</v>
      </c>
      <c r="M840" s="1" t="s">
        <v>74</v>
      </c>
      <c r="N840" s="1" t="s">
        <v>74</v>
      </c>
      <c r="O840" s="1" t="s">
        <v>74</v>
      </c>
      <c r="P840" s="1" t="s">
        <v>74</v>
      </c>
      <c r="Q840" s="1" t="s">
        <v>74</v>
      </c>
      <c r="R840" s="1" t="s">
        <v>74</v>
      </c>
      <c r="S840" s="1" t="s">
        <v>74</v>
      </c>
      <c r="T840" s="1" t="s">
        <v>74</v>
      </c>
      <c r="U840" s="1" t="s">
        <v>74</v>
      </c>
      <c r="V840" s="1" t="s">
        <v>7804</v>
      </c>
      <c r="W840" s="1" t="s">
        <v>74</v>
      </c>
      <c r="X840" s="1" t="s">
        <v>74</v>
      </c>
      <c r="Y840" s="1" t="s">
        <v>74</v>
      </c>
      <c r="Z840" s="1" t="s">
        <v>74</v>
      </c>
      <c r="AA840" s="1" t="s">
        <v>74</v>
      </c>
      <c r="AB840" s="1" t="s">
        <v>74</v>
      </c>
      <c r="AC840" s="1" t="s">
        <v>74</v>
      </c>
      <c r="AD840" s="1" t="s">
        <v>74</v>
      </c>
      <c r="AE840" s="1" t="s">
        <v>74</v>
      </c>
      <c r="AF840" s="1" t="s">
        <v>74</v>
      </c>
      <c r="AG840" s="1" t="s">
        <v>74</v>
      </c>
      <c r="AH840" s="1" t="s">
        <v>74</v>
      </c>
      <c r="AI840" s="1" t="s">
        <v>74</v>
      </c>
      <c r="AJ840" s="1" t="s">
        <v>74</v>
      </c>
      <c r="AK840" s="1" t="s">
        <v>74</v>
      </c>
      <c r="AL840" s="1" t="s">
        <v>74</v>
      </c>
      <c r="AM840" s="1" t="s">
        <v>74</v>
      </c>
      <c r="AN840" s="1" t="s">
        <v>74</v>
      </c>
      <c r="AO840" s="1" t="s">
        <v>7805</v>
      </c>
      <c r="AP840" s="1" t="s">
        <v>7806</v>
      </c>
      <c r="AQ840" s="1" t="s">
        <v>74</v>
      </c>
      <c r="AR840" s="1" t="s">
        <v>74</v>
      </c>
      <c r="AS840" s="1" t="s">
        <v>74</v>
      </c>
      <c r="AT840" s="1" t="s">
        <v>74</v>
      </c>
      <c r="AU840" s="1">
        <v>2014.0</v>
      </c>
      <c r="AV840" s="1" t="s">
        <v>74</v>
      </c>
      <c r="AW840" s="1" t="s">
        <v>74</v>
      </c>
      <c r="AX840" s="1" t="s">
        <v>74</v>
      </c>
      <c r="AY840" s="1" t="s">
        <v>74</v>
      </c>
      <c r="AZ840" s="1" t="s">
        <v>74</v>
      </c>
      <c r="BA840" s="1" t="s">
        <v>74</v>
      </c>
      <c r="BB840" s="1" t="s">
        <v>74</v>
      </c>
      <c r="BC840" s="1" t="s">
        <v>74</v>
      </c>
      <c r="BD840" s="1">
        <v>131379.0</v>
      </c>
      <c r="BE840" s="1" t="s">
        <v>7807</v>
      </c>
      <c r="BF840" s="2" t="str">
        <f>HYPERLINK("http://dx.doi.org/10.1155/2014/131379","http://dx.doi.org/10.1155/2014/131379")</f>
        <v>http://dx.doi.org/10.1155/2014/131379</v>
      </c>
      <c r="BG840" s="1" t="s">
        <v>74</v>
      </c>
      <c r="BH840" s="1" t="s">
        <v>74</v>
      </c>
      <c r="BI840" s="1" t="s">
        <v>74</v>
      </c>
      <c r="BJ840" s="1" t="s">
        <v>74</v>
      </c>
      <c r="BK840" s="1" t="s">
        <v>74</v>
      </c>
      <c r="BL840" s="1" t="s">
        <v>74</v>
      </c>
      <c r="BM840" s="1" t="s">
        <v>74</v>
      </c>
      <c r="BN840" s="1" t="s">
        <v>74</v>
      </c>
      <c r="BO840" s="1" t="s">
        <v>74</v>
      </c>
      <c r="BP840" s="1" t="s">
        <v>74</v>
      </c>
      <c r="BQ840" s="1" t="s">
        <v>74</v>
      </c>
      <c r="BR840" s="1" t="s">
        <v>74</v>
      </c>
      <c r="BS840" s="1" t="s">
        <v>7808</v>
      </c>
      <c r="BT840" s="1" t="str">
        <f>HYPERLINK("https%3A%2F%2Fwww.webofscience.com%2Fwos%2Fwoscc%2Ffull-record%2FWOS:000330642700001","View Full Record in Web of Science")</f>
        <v>View Full Record in Web of Science</v>
      </c>
    </row>
    <row r="841" ht="12.75" customHeight="1">
      <c r="A841" s="1" t="s">
        <v>251</v>
      </c>
      <c r="B841" s="1" t="s">
        <v>7809</v>
      </c>
      <c r="C841" s="1" t="s">
        <v>74</v>
      </c>
      <c r="D841" s="1" t="s">
        <v>74</v>
      </c>
      <c r="E841" s="1" t="s">
        <v>7810</v>
      </c>
      <c r="F841" s="1" t="s">
        <v>7811</v>
      </c>
      <c r="G841" s="1" t="s">
        <v>74</v>
      </c>
      <c r="H841" s="1" t="s">
        <v>74</v>
      </c>
      <c r="I841" s="1" t="s">
        <v>7812</v>
      </c>
      <c r="J841" s="1" t="s">
        <v>7813</v>
      </c>
      <c r="K841" s="1" t="s">
        <v>5569</v>
      </c>
      <c r="L841" s="1" t="s">
        <v>74</v>
      </c>
      <c r="M841" s="1" t="s">
        <v>74</v>
      </c>
      <c r="N841" s="1" t="s">
        <v>74</v>
      </c>
      <c r="O841" s="1" t="s">
        <v>7814</v>
      </c>
      <c r="P841" s="1" t="s">
        <v>7815</v>
      </c>
      <c r="Q841" s="1" t="s">
        <v>2707</v>
      </c>
      <c r="R841" s="1" t="s">
        <v>7816</v>
      </c>
      <c r="S841" s="1" t="s">
        <v>74</v>
      </c>
      <c r="T841" s="1" t="s">
        <v>74</v>
      </c>
      <c r="U841" s="1" t="s">
        <v>74</v>
      </c>
      <c r="V841" s="1" t="s">
        <v>7817</v>
      </c>
      <c r="W841" s="1" t="s">
        <v>74</v>
      </c>
      <c r="X841" s="1" t="s">
        <v>74</v>
      </c>
      <c r="Y841" s="1" t="s">
        <v>74</v>
      </c>
      <c r="Z841" s="1" t="s">
        <v>74</v>
      </c>
      <c r="AA841" s="1" t="s">
        <v>7818</v>
      </c>
      <c r="AB841" s="1" t="s">
        <v>74</v>
      </c>
      <c r="AC841" s="1" t="s">
        <v>74</v>
      </c>
      <c r="AD841" s="1" t="s">
        <v>74</v>
      </c>
      <c r="AE841" s="1" t="s">
        <v>74</v>
      </c>
      <c r="AF841" s="1" t="s">
        <v>74</v>
      </c>
      <c r="AG841" s="1" t="s">
        <v>74</v>
      </c>
      <c r="AH841" s="1" t="s">
        <v>74</v>
      </c>
      <c r="AI841" s="1" t="s">
        <v>74</v>
      </c>
      <c r="AJ841" s="1" t="s">
        <v>74</v>
      </c>
      <c r="AK841" s="1" t="s">
        <v>74</v>
      </c>
      <c r="AL841" s="1" t="s">
        <v>74</v>
      </c>
      <c r="AM841" s="1" t="s">
        <v>74</v>
      </c>
      <c r="AN841" s="1" t="s">
        <v>74</v>
      </c>
      <c r="AO841" s="1" t="s">
        <v>5575</v>
      </c>
      <c r="AP841" s="1" t="s">
        <v>5576</v>
      </c>
      <c r="AQ841" s="1" t="s">
        <v>74</v>
      </c>
      <c r="AR841" s="1" t="s">
        <v>74</v>
      </c>
      <c r="AS841" s="1" t="s">
        <v>74</v>
      </c>
      <c r="AT841" s="1" t="s">
        <v>74</v>
      </c>
      <c r="AU841" s="1">
        <v>2014.0</v>
      </c>
      <c r="AV841" s="1">
        <v>511.0</v>
      </c>
      <c r="AW841" s="1" t="s">
        <v>74</v>
      </c>
      <c r="AX841" s="1" t="s">
        <v>74</v>
      </c>
      <c r="AY841" s="1" t="s">
        <v>74</v>
      </c>
      <c r="AZ841" s="1" t="s">
        <v>74</v>
      </c>
      <c r="BA841" s="1" t="s">
        <v>74</v>
      </c>
      <c r="BB841" s="1" t="s">
        <v>74</v>
      </c>
      <c r="BC841" s="1" t="s">
        <v>74</v>
      </c>
      <c r="BD841" s="1">
        <v>12025.0</v>
      </c>
      <c r="BE841" s="1" t="s">
        <v>7819</v>
      </c>
      <c r="BF841" s="2" t="str">
        <f>HYPERLINK("http://dx.doi.org/10.1088/1742-6596/511/1/012025","http://dx.doi.org/10.1088/1742-6596/511/1/012025")</f>
        <v>http://dx.doi.org/10.1088/1742-6596/511/1/012025</v>
      </c>
      <c r="BG841" s="1" t="s">
        <v>74</v>
      </c>
      <c r="BH841" s="1" t="s">
        <v>74</v>
      </c>
      <c r="BI841" s="1" t="s">
        <v>74</v>
      </c>
      <c r="BJ841" s="1" t="s">
        <v>74</v>
      </c>
      <c r="BK841" s="1" t="s">
        <v>74</v>
      </c>
      <c r="BL841" s="1" t="s">
        <v>74</v>
      </c>
      <c r="BM841" s="1" t="s">
        <v>74</v>
      </c>
      <c r="BN841" s="1" t="s">
        <v>74</v>
      </c>
      <c r="BO841" s="1" t="s">
        <v>74</v>
      </c>
      <c r="BP841" s="1" t="s">
        <v>74</v>
      </c>
      <c r="BQ841" s="1" t="s">
        <v>74</v>
      </c>
      <c r="BR841" s="1" t="s">
        <v>74</v>
      </c>
      <c r="BS841" s="1" t="s">
        <v>7820</v>
      </c>
      <c r="BT841" s="1" t="str">
        <f>HYPERLINK("https%3A%2F%2Fwww.webofscience.com%2Fwos%2Fwoscc%2Ffull-record%2FWOS:000337223400025","View Full Record in Web of Science")</f>
        <v>View Full Record in Web of Science</v>
      </c>
    </row>
    <row r="842" ht="12.75" customHeight="1">
      <c r="A842" s="1" t="s">
        <v>72</v>
      </c>
      <c r="B842" s="1" t="s">
        <v>7821</v>
      </c>
      <c r="C842" s="1" t="s">
        <v>74</v>
      </c>
      <c r="D842" s="1" t="s">
        <v>74</v>
      </c>
      <c r="E842" s="1" t="s">
        <v>74</v>
      </c>
      <c r="F842" s="1" t="s">
        <v>7822</v>
      </c>
      <c r="G842" s="1" t="s">
        <v>74</v>
      </c>
      <c r="H842" s="1" t="s">
        <v>74</v>
      </c>
      <c r="I842" s="1" t="s">
        <v>7823</v>
      </c>
      <c r="J842" s="1" t="s">
        <v>7824</v>
      </c>
      <c r="K842" s="1" t="s">
        <v>74</v>
      </c>
      <c r="L842" s="1" t="s">
        <v>74</v>
      </c>
      <c r="M842" s="1" t="s">
        <v>74</v>
      </c>
      <c r="N842" s="1" t="s">
        <v>74</v>
      </c>
      <c r="O842" s="1" t="s">
        <v>74</v>
      </c>
      <c r="P842" s="1" t="s">
        <v>74</v>
      </c>
      <c r="Q842" s="1" t="s">
        <v>74</v>
      </c>
      <c r="R842" s="1" t="s">
        <v>74</v>
      </c>
      <c r="S842" s="1" t="s">
        <v>74</v>
      </c>
      <c r="T842" s="1" t="s">
        <v>74</v>
      </c>
      <c r="U842" s="1" t="s">
        <v>74</v>
      </c>
      <c r="V842" s="1" t="s">
        <v>7825</v>
      </c>
      <c r="W842" s="1" t="s">
        <v>74</v>
      </c>
      <c r="X842" s="1" t="s">
        <v>74</v>
      </c>
      <c r="Y842" s="1" t="s">
        <v>74</v>
      </c>
      <c r="Z842" s="1" t="s">
        <v>74</v>
      </c>
      <c r="AA842" s="1" t="s">
        <v>74</v>
      </c>
      <c r="AB842" s="1" t="s">
        <v>7826</v>
      </c>
      <c r="AC842" s="1" t="s">
        <v>74</v>
      </c>
      <c r="AD842" s="1" t="s">
        <v>74</v>
      </c>
      <c r="AE842" s="1" t="s">
        <v>74</v>
      </c>
      <c r="AF842" s="1" t="s">
        <v>74</v>
      </c>
      <c r="AG842" s="1" t="s">
        <v>74</v>
      </c>
      <c r="AH842" s="1" t="s">
        <v>74</v>
      </c>
      <c r="AI842" s="1" t="s">
        <v>74</v>
      </c>
      <c r="AJ842" s="1" t="s">
        <v>74</v>
      </c>
      <c r="AK842" s="1" t="s">
        <v>74</v>
      </c>
      <c r="AL842" s="1" t="s">
        <v>74</v>
      </c>
      <c r="AM842" s="1" t="s">
        <v>74</v>
      </c>
      <c r="AN842" s="1" t="s">
        <v>74</v>
      </c>
      <c r="AO842" s="1" t="s">
        <v>7827</v>
      </c>
      <c r="AP842" s="1" t="s">
        <v>7828</v>
      </c>
      <c r="AQ842" s="1" t="s">
        <v>74</v>
      </c>
      <c r="AR842" s="1" t="s">
        <v>74</v>
      </c>
      <c r="AS842" s="1" t="s">
        <v>74</v>
      </c>
      <c r="AT842" s="1" t="s">
        <v>1829</v>
      </c>
      <c r="AU842" s="1">
        <v>2014.0</v>
      </c>
      <c r="AV842" s="1">
        <v>26.0</v>
      </c>
      <c r="AW842" s="1">
        <v>38.0</v>
      </c>
      <c r="AX842" s="1" t="s">
        <v>74</v>
      </c>
      <c r="AY842" s="1" t="s">
        <v>74</v>
      </c>
      <c r="AZ842" s="1" t="s">
        <v>74</v>
      </c>
      <c r="BA842" s="1" t="s">
        <v>74</v>
      </c>
      <c r="BB842" s="1">
        <v>315.0</v>
      </c>
      <c r="BC842" s="1">
        <v>342.0</v>
      </c>
      <c r="BD842" s="1" t="s">
        <v>74</v>
      </c>
      <c r="BE842" s="1" t="s">
        <v>7829</v>
      </c>
      <c r="BF842" s="2" t="str">
        <f>HYPERLINK("http://dx.doi.org/10.7213/aurora.26.038.AO.08","http://dx.doi.org/10.7213/aurora.26.038.AO.08")</f>
        <v>http://dx.doi.org/10.7213/aurora.26.038.AO.08</v>
      </c>
      <c r="BG842" s="1" t="s">
        <v>74</v>
      </c>
      <c r="BH842" s="1" t="s">
        <v>74</v>
      </c>
      <c r="BI842" s="1" t="s">
        <v>74</v>
      </c>
      <c r="BJ842" s="1" t="s">
        <v>74</v>
      </c>
      <c r="BK842" s="1" t="s">
        <v>74</v>
      </c>
      <c r="BL842" s="1" t="s">
        <v>74</v>
      </c>
      <c r="BM842" s="1" t="s">
        <v>74</v>
      </c>
      <c r="BN842" s="1" t="s">
        <v>74</v>
      </c>
      <c r="BO842" s="1" t="s">
        <v>74</v>
      </c>
      <c r="BP842" s="1" t="s">
        <v>74</v>
      </c>
      <c r="BQ842" s="1" t="s">
        <v>74</v>
      </c>
      <c r="BR842" s="1" t="s">
        <v>74</v>
      </c>
      <c r="BS842" s="1" t="s">
        <v>7830</v>
      </c>
      <c r="BT842" s="1" t="str">
        <f>HYPERLINK("https%3A%2F%2Fwww.webofscience.com%2Fwos%2Fwoscc%2Ffull-record%2FWOS:000338839600015","View Full Record in Web of Science")</f>
        <v>View Full Record in Web of Science</v>
      </c>
    </row>
    <row r="843" ht="12.75" customHeight="1">
      <c r="A843" s="1" t="s">
        <v>251</v>
      </c>
      <c r="B843" s="1" t="s">
        <v>7831</v>
      </c>
      <c r="C843" s="1" t="s">
        <v>74</v>
      </c>
      <c r="D843" s="1" t="s">
        <v>74</v>
      </c>
      <c r="E843" s="1" t="s">
        <v>253</v>
      </c>
      <c r="F843" s="1" t="s">
        <v>7832</v>
      </c>
      <c r="G843" s="1" t="s">
        <v>74</v>
      </c>
      <c r="H843" s="1" t="s">
        <v>74</v>
      </c>
      <c r="I843" s="1" t="s">
        <v>7833</v>
      </c>
      <c r="J843" s="1" t="s">
        <v>7834</v>
      </c>
      <c r="K843" s="1" t="s">
        <v>74</v>
      </c>
      <c r="L843" s="1" t="s">
        <v>74</v>
      </c>
      <c r="M843" s="1" t="s">
        <v>74</v>
      </c>
      <c r="N843" s="1" t="s">
        <v>74</v>
      </c>
      <c r="O843" s="1" t="s">
        <v>7835</v>
      </c>
      <c r="P843" s="1" t="s">
        <v>7836</v>
      </c>
      <c r="Q843" s="1" t="s">
        <v>7837</v>
      </c>
      <c r="R843" s="1" t="s">
        <v>74</v>
      </c>
      <c r="S843" s="1" t="s">
        <v>74</v>
      </c>
      <c r="T843" s="1" t="s">
        <v>74</v>
      </c>
      <c r="U843" s="1" t="s">
        <v>74</v>
      </c>
      <c r="V843" s="1" t="s">
        <v>7838</v>
      </c>
      <c r="W843" s="1" t="s">
        <v>74</v>
      </c>
      <c r="X843" s="1" t="s">
        <v>74</v>
      </c>
      <c r="Y843" s="1" t="s">
        <v>74</v>
      </c>
      <c r="Z843" s="1" t="s">
        <v>74</v>
      </c>
      <c r="AA843" s="1" t="s">
        <v>7839</v>
      </c>
      <c r="AB843" s="1" t="s">
        <v>7840</v>
      </c>
      <c r="AC843" s="1" t="s">
        <v>74</v>
      </c>
      <c r="AD843" s="1" t="s">
        <v>74</v>
      </c>
      <c r="AE843" s="1" t="s">
        <v>74</v>
      </c>
      <c r="AF843" s="1" t="s">
        <v>74</v>
      </c>
      <c r="AG843" s="1" t="s">
        <v>74</v>
      </c>
      <c r="AH843" s="1" t="s">
        <v>74</v>
      </c>
      <c r="AI843" s="1" t="s">
        <v>74</v>
      </c>
      <c r="AJ843" s="1" t="s">
        <v>74</v>
      </c>
      <c r="AK843" s="1" t="s">
        <v>74</v>
      </c>
      <c r="AL843" s="1" t="s">
        <v>74</v>
      </c>
      <c r="AM843" s="1" t="s">
        <v>74</v>
      </c>
      <c r="AN843" s="1" t="s">
        <v>74</v>
      </c>
      <c r="AO843" s="1" t="s">
        <v>74</v>
      </c>
      <c r="AP843" s="1" t="s">
        <v>74</v>
      </c>
      <c r="AQ843" s="1" t="s">
        <v>7841</v>
      </c>
      <c r="AR843" s="1" t="s">
        <v>74</v>
      </c>
      <c r="AS843" s="1" t="s">
        <v>74</v>
      </c>
      <c r="AT843" s="1" t="s">
        <v>74</v>
      </c>
      <c r="AU843" s="1">
        <v>2014.0</v>
      </c>
      <c r="AV843" s="1" t="s">
        <v>74</v>
      </c>
      <c r="AW843" s="1" t="s">
        <v>74</v>
      </c>
      <c r="AX843" s="1" t="s">
        <v>74</v>
      </c>
      <c r="AY843" s="1" t="s">
        <v>74</v>
      </c>
      <c r="AZ843" s="1" t="s">
        <v>74</v>
      </c>
      <c r="BA843" s="1" t="s">
        <v>74</v>
      </c>
      <c r="BB843" s="1" t="s">
        <v>74</v>
      </c>
      <c r="BC843" s="1" t="s">
        <v>74</v>
      </c>
      <c r="BD843" s="1" t="s">
        <v>74</v>
      </c>
      <c r="BE843" s="1" t="s">
        <v>74</v>
      </c>
      <c r="BF843" s="1" t="s">
        <v>74</v>
      </c>
      <c r="BG843" s="1" t="s">
        <v>74</v>
      </c>
      <c r="BH843" s="1" t="s">
        <v>74</v>
      </c>
      <c r="BI843" s="1" t="s">
        <v>74</v>
      </c>
      <c r="BJ843" s="1" t="s">
        <v>74</v>
      </c>
      <c r="BK843" s="1" t="s">
        <v>74</v>
      </c>
      <c r="BL843" s="1" t="s">
        <v>74</v>
      </c>
      <c r="BM843" s="1" t="s">
        <v>74</v>
      </c>
      <c r="BN843" s="1" t="s">
        <v>74</v>
      </c>
      <c r="BO843" s="1" t="s">
        <v>74</v>
      </c>
      <c r="BP843" s="1" t="s">
        <v>74</v>
      </c>
      <c r="BQ843" s="1" t="s">
        <v>74</v>
      </c>
      <c r="BR843" s="1" t="s">
        <v>74</v>
      </c>
      <c r="BS843" s="1" t="s">
        <v>7842</v>
      </c>
      <c r="BT843" s="1" t="str">
        <f>HYPERLINK("https%3A%2F%2Fwww.webofscience.com%2Fwos%2Fwoscc%2Ffull-record%2FWOS:000358734100045","View Full Record in Web of Science")</f>
        <v>View Full Record in Web of Science</v>
      </c>
    </row>
    <row r="844" ht="12.75" customHeight="1">
      <c r="A844" s="1" t="s">
        <v>72</v>
      </c>
      <c r="B844" s="1" t="s">
        <v>7843</v>
      </c>
      <c r="C844" s="1" t="s">
        <v>74</v>
      </c>
      <c r="D844" s="1" t="s">
        <v>74</v>
      </c>
      <c r="E844" s="1" t="s">
        <v>74</v>
      </c>
      <c r="F844" s="1" t="s">
        <v>7844</v>
      </c>
      <c r="G844" s="1" t="s">
        <v>74</v>
      </c>
      <c r="H844" s="1" t="s">
        <v>74</v>
      </c>
      <c r="I844" s="1" t="s">
        <v>7845</v>
      </c>
      <c r="J844" s="1" t="s">
        <v>84</v>
      </c>
      <c r="K844" s="1" t="s">
        <v>74</v>
      </c>
      <c r="L844" s="1" t="s">
        <v>74</v>
      </c>
      <c r="M844" s="1" t="s">
        <v>74</v>
      </c>
      <c r="N844" s="1" t="s">
        <v>74</v>
      </c>
      <c r="O844" s="1" t="s">
        <v>74</v>
      </c>
      <c r="P844" s="1" t="s">
        <v>74</v>
      </c>
      <c r="Q844" s="1" t="s">
        <v>74</v>
      </c>
      <c r="R844" s="1" t="s">
        <v>74</v>
      </c>
      <c r="S844" s="1" t="s">
        <v>74</v>
      </c>
      <c r="T844" s="1" t="s">
        <v>74</v>
      </c>
      <c r="U844" s="1" t="s">
        <v>74</v>
      </c>
      <c r="V844" s="1" t="s">
        <v>7846</v>
      </c>
      <c r="W844" s="1" t="s">
        <v>74</v>
      </c>
      <c r="X844" s="1" t="s">
        <v>74</v>
      </c>
      <c r="Y844" s="1" t="s">
        <v>74</v>
      </c>
      <c r="Z844" s="1" t="s">
        <v>74</v>
      </c>
      <c r="AA844" s="1" t="s">
        <v>74</v>
      </c>
      <c r="AB844" s="1" t="s">
        <v>7847</v>
      </c>
      <c r="AC844" s="1" t="s">
        <v>74</v>
      </c>
      <c r="AD844" s="1" t="s">
        <v>74</v>
      </c>
      <c r="AE844" s="1" t="s">
        <v>74</v>
      </c>
      <c r="AF844" s="1" t="s">
        <v>74</v>
      </c>
      <c r="AG844" s="1" t="s">
        <v>74</v>
      </c>
      <c r="AH844" s="1" t="s">
        <v>74</v>
      </c>
      <c r="AI844" s="1" t="s">
        <v>74</v>
      </c>
      <c r="AJ844" s="1" t="s">
        <v>74</v>
      </c>
      <c r="AK844" s="1" t="s">
        <v>74</v>
      </c>
      <c r="AL844" s="1" t="s">
        <v>74</v>
      </c>
      <c r="AM844" s="1" t="s">
        <v>74</v>
      </c>
      <c r="AN844" s="1" t="s">
        <v>74</v>
      </c>
      <c r="AO844" s="1" t="s">
        <v>86</v>
      </c>
      <c r="AP844" s="1" t="s">
        <v>87</v>
      </c>
      <c r="AQ844" s="1" t="s">
        <v>74</v>
      </c>
      <c r="AR844" s="1" t="s">
        <v>74</v>
      </c>
      <c r="AS844" s="1" t="s">
        <v>74</v>
      </c>
      <c r="AT844" s="1" t="s">
        <v>88</v>
      </c>
      <c r="AU844" s="1">
        <v>2013.0</v>
      </c>
      <c r="AV844" s="1">
        <v>8.0</v>
      </c>
      <c r="AW844" s="1">
        <v>2.0</v>
      </c>
      <c r="AX844" s="1" t="s">
        <v>74</v>
      </c>
      <c r="AY844" s="1" t="s">
        <v>74</v>
      </c>
      <c r="AZ844" s="1" t="s">
        <v>74</v>
      </c>
      <c r="BA844" s="1" t="s">
        <v>74</v>
      </c>
      <c r="BB844" s="1">
        <v>334.0</v>
      </c>
      <c r="BC844" s="1">
        <v>345.0</v>
      </c>
      <c r="BD844" s="1" t="s">
        <v>74</v>
      </c>
      <c r="BE844" s="1" t="s">
        <v>7848</v>
      </c>
      <c r="BF844" s="2" t="str">
        <f>HYPERLINK("http://dx.doi.org/10.15837/ijccc.2013.2.313","http://dx.doi.org/10.15837/ijccc.2013.2.313")</f>
        <v>http://dx.doi.org/10.15837/ijccc.2013.2.313</v>
      </c>
      <c r="BG844" s="1" t="s">
        <v>74</v>
      </c>
      <c r="BH844" s="1" t="s">
        <v>74</v>
      </c>
      <c r="BI844" s="1" t="s">
        <v>74</v>
      </c>
      <c r="BJ844" s="1" t="s">
        <v>74</v>
      </c>
      <c r="BK844" s="1" t="s">
        <v>74</v>
      </c>
      <c r="BL844" s="1" t="s">
        <v>74</v>
      </c>
      <c r="BM844" s="1" t="s">
        <v>74</v>
      </c>
      <c r="BN844" s="1" t="s">
        <v>74</v>
      </c>
      <c r="BO844" s="1" t="s">
        <v>74</v>
      </c>
      <c r="BP844" s="1" t="s">
        <v>74</v>
      </c>
      <c r="BQ844" s="1" t="s">
        <v>74</v>
      </c>
      <c r="BR844" s="1" t="s">
        <v>74</v>
      </c>
      <c r="BS844" s="1" t="s">
        <v>7849</v>
      </c>
      <c r="BT844" s="1" t="str">
        <f>HYPERLINK("https%3A%2F%2Fwww.webofscience.com%2Fwos%2Fwoscc%2Ffull-record%2FWOS:000314903200014","View Full Record in Web of Science")</f>
        <v>View Full Record in Web of Science</v>
      </c>
    </row>
    <row r="845" ht="12.75" customHeight="1">
      <c r="A845" s="1" t="s">
        <v>72</v>
      </c>
      <c r="B845" s="1" t="s">
        <v>7850</v>
      </c>
      <c r="C845" s="1" t="s">
        <v>74</v>
      </c>
      <c r="D845" s="1" t="s">
        <v>74</v>
      </c>
      <c r="E845" s="1" t="s">
        <v>74</v>
      </c>
      <c r="F845" s="1" t="s">
        <v>7851</v>
      </c>
      <c r="G845" s="1" t="s">
        <v>74</v>
      </c>
      <c r="H845" s="1" t="s">
        <v>74</v>
      </c>
      <c r="I845" s="1" t="s">
        <v>7852</v>
      </c>
      <c r="J845" s="1" t="s">
        <v>7853</v>
      </c>
      <c r="K845" s="1" t="s">
        <v>74</v>
      </c>
      <c r="L845" s="1" t="s">
        <v>74</v>
      </c>
      <c r="M845" s="1" t="s">
        <v>74</v>
      </c>
      <c r="N845" s="1" t="s">
        <v>74</v>
      </c>
      <c r="O845" s="1" t="s">
        <v>74</v>
      </c>
      <c r="P845" s="1" t="s">
        <v>74</v>
      </c>
      <c r="Q845" s="1" t="s">
        <v>74</v>
      </c>
      <c r="R845" s="1" t="s">
        <v>74</v>
      </c>
      <c r="S845" s="1" t="s">
        <v>74</v>
      </c>
      <c r="T845" s="1" t="s">
        <v>74</v>
      </c>
      <c r="U845" s="1" t="s">
        <v>74</v>
      </c>
      <c r="V845" s="1" t="s">
        <v>7854</v>
      </c>
      <c r="W845" s="1" t="s">
        <v>74</v>
      </c>
      <c r="X845" s="1" t="s">
        <v>74</v>
      </c>
      <c r="Y845" s="1" t="s">
        <v>74</v>
      </c>
      <c r="Z845" s="1" t="s">
        <v>74</v>
      </c>
      <c r="AA845" s="1" t="s">
        <v>7855</v>
      </c>
      <c r="AB845" s="1" t="s">
        <v>7856</v>
      </c>
      <c r="AC845" s="1" t="s">
        <v>74</v>
      </c>
      <c r="AD845" s="1" t="s">
        <v>74</v>
      </c>
      <c r="AE845" s="1" t="s">
        <v>74</v>
      </c>
      <c r="AF845" s="1" t="s">
        <v>74</v>
      </c>
      <c r="AG845" s="1" t="s">
        <v>74</v>
      </c>
      <c r="AH845" s="1" t="s">
        <v>74</v>
      </c>
      <c r="AI845" s="1" t="s">
        <v>74</v>
      </c>
      <c r="AJ845" s="1" t="s">
        <v>74</v>
      </c>
      <c r="AK845" s="1" t="s">
        <v>74</v>
      </c>
      <c r="AL845" s="1" t="s">
        <v>74</v>
      </c>
      <c r="AM845" s="1" t="s">
        <v>74</v>
      </c>
      <c r="AN845" s="1" t="s">
        <v>74</v>
      </c>
      <c r="AO845" s="1" t="s">
        <v>7857</v>
      </c>
      <c r="AP845" s="1" t="s">
        <v>7858</v>
      </c>
      <c r="AQ845" s="1" t="s">
        <v>74</v>
      </c>
      <c r="AR845" s="1" t="s">
        <v>74</v>
      </c>
      <c r="AS845" s="1" t="s">
        <v>74</v>
      </c>
      <c r="AT845" s="1" t="s">
        <v>360</v>
      </c>
      <c r="AU845" s="1">
        <v>2013.0</v>
      </c>
      <c r="AV845" s="1">
        <v>3.0</v>
      </c>
      <c r="AW845" s="1">
        <v>1.0</v>
      </c>
      <c r="AX845" s="1" t="s">
        <v>74</v>
      </c>
      <c r="AY845" s="1" t="s">
        <v>74</v>
      </c>
      <c r="AZ845" s="1" t="s">
        <v>74</v>
      </c>
      <c r="BA845" s="1" t="s">
        <v>74</v>
      </c>
      <c r="BB845" s="1">
        <v>4.0</v>
      </c>
      <c r="BC845" s="1">
        <v>21.0</v>
      </c>
      <c r="BD845" s="1" t="s">
        <v>74</v>
      </c>
      <c r="BE845" s="1" t="s">
        <v>7859</v>
      </c>
      <c r="BF845" s="2" t="str">
        <f>HYPERLINK("http://dx.doi.org/10.1166/jbt.2013.1067","http://dx.doi.org/10.1166/jbt.2013.1067")</f>
        <v>http://dx.doi.org/10.1166/jbt.2013.1067</v>
      </c>
      <c r="BG845" s="1" t="s">
        <v>74</v>
      </c>
      <c r="BH845" s="1" t="s">
        <v>74</v>
      </c>
      <c r="BI845" s="1" t="s">
        <v>74</v>
      </c>
      <c r="BJ845" s="1" t="s">
        <v>74</v>
      </c>
      <c r="BK845" s="1" t="s">
        <v>74</v>
      </c>
      <c r="BL845" s="1" t="s">
        <v>74</v>
      </c>
      <c r="BM845" s="1" t="s">
        <v>74</v>
      </c>
      <c r="BN845" s="1" t="s">
        <v>74</v>
      </c>
      <c r="BO845" s="1" t="s">
        <v>74</v>
      </c>
      <c r="BP845" s="1" t="s">
        <v>74</v>
      </c>
      <c r="BQ845" s="1" t="s">
        <v>74</v>
      </c>
      <c r="BR845" s="1" t="s">
        <v>74</v>
      </c>
      <c r="BS845" s="1" t="s">
        <v>7860</v>
      </c>
      <c r="BT845" s="1" t="str">
        <f>HYPERLINK("https%3A%2F%2Fwww.webofscience.com%2Fwos%2Fwoscc%2Ffull-record%2FWOS:000314191700002","View Full Record in Web of Science")</f>
        <v>View Full Record in Web of Science</v>
      </c>
    </row>
    <row r="846" ht="12.75" customHeight="1">
      <c r="A846" s="1" t="s">
        <v>72</v>
      </c>
      <c r="B846" s="1" t="s">
        <v>7861</v>
      </c>
      <c r="C846" s="1" t="s">
        <v>74</v>
      </c>
      <c r="D846" s="1" t="s">
        <v>74</v>
      </c>
      <c r="E846" s="1" t="s">
        <v>74</v>
      </c>
      <c r="F846" s="1" t="s">
        <v>7862</v>
      </c>
      <c r="G846" s="1" t="s">
        <v>74</v>
      </c>
      <c r="H846" s="1" t="s">
        <v>74</v>
      </c>
      <c r="I846" s="1" t="s">
        <v>7863</v>
      </c>
      <c r="J846" s="1" t="s">
        <v>682</v>
      </c>
      <c r="K846" s="1" t="s">
        <v>74</v>
      </c>
      <c r="L846" s="1" t="s">
        <v>74</v>
      </c>
      <c r="M846" s="1" t="s">
        <v>74</v>
      </c>
      <c r="N846" s="1" t="s">
        <v>74</v>
      </c>
      <c r="O846" s="1" t="s">
        <v>74</v>
      </c>
      <c r="P846" s="1" t="s">
        <v>74</v>
      </c>
      <c r="Q846" s="1" t="s">
        <v>74</v>
      </c>
      <c r="R846" s="1" t="s">
        <v>74</v>
      </c>
      <c r="S846" s="1" t="s">
        <v>74</v>
      </c>
      <c r="T846" s="1" t="s">
        <v>74</v>
      </c>
      <c r="U846" s="1" t="s">
        <v>74</v>
      </c>
      <c r="V846" s="1" t="s">
        <v>7864</v>
      </c>
      <c r="W846" s="1" t="s">
        <v>74</v>
      </c>
      <c r="X846" s="1" t="s">
        <v>74</v>
      </c>
      <c r="Y846" s="1" t="s">
        <v>74</v>
      </c>
      <c r="Z846" s="1" t="s">
        <v>74</v>
      </c>
      <c r="AA846" s="1" t="s">
        <v>7865</v>
      </c>
      <c r="AB846" s="1" t="s">
        <v>74</v>
      </c>
      <c r="AC846" s="1" t="s">
        <v>74</v>
      </c>
      <c r="AD846" s="1" t="s">
        <v>74</v>
      </c>
      <c r="AE846" s="1" t="s">
        <v>74</v>
      </c>
      <c r="AF846" s="1" t="s">
        <v>74</v>
      </c>
      <c r="AG846" s="1" t="s">
        <v>74</v>
      </c>
      <c r="AH846" s="1" t="s">
        <v>74</v>
      </c>
      <c r="AI846" s="1" t="s">
        <v>74</v>
      </c>
      <c r="AJ846" s="1" t="s">
        <v>74</v>
      </c>
      <c r="AK846" s="1" t="s">
        <v>74</v>
      </c>
      <c r="AL846" s="1" t="s">
        <v>74</v>
      </c>
      <c r="AM846" s="1" t="s">
        <v>74</v>
      </c>
      <c r="AN846" s="1" t="s">
        <v>74</v>
      </c>
      <c r="AO846" s="1" t="s">
        <v>7866</v>
      </c>
      <c r="AP846" s="1" t="s">
        <v>74</v>
      </c>
      <c r="AQ846" s="1" t="s">
        <v>74</v>
      </c>
      <c r="AR846" s="1" t="s">
        <v>74</v>
      </c>
      <c r="AS846" s="1" t="s">
        <v>74</v>
      </c>
      <c r="AT846" s="1" t="s">
        <v>74</v>
      </c>
      <c r="AU846" s="1">
        <v>2013.0</v>
      </c>
      <c r="AV846" s="1">
        <v>31.0</v>
      </c>
      <c r="AW846" s="1">
        <v>3.0</v>
      </c>
      <c r="AX846" s="1" t="s">
        <v>74</v>
      </c>
      <c r="AY846" s="1" t="s">
        <v>74</v>
      </c>
      <c r="AZ846" s="1" t="s">
        <v>74</v>
      </c>
      <c r="BA846" s="1" t="s">
        <v>74</v>
      </c>
      <c r="BB846" s="1">
        <v>363.0</v>
      </c>
      <c r="BC846" s="1">
        <v>371.0</v>
      </c>
      <c r="BD846" s="1" t="s">
        <v>74</v>
      </c>
      <c r="BE846" s="1" t="s">
        <v>7867</v>
      </c>
      <c r="BF846" s="2" t="str">
        <f>HYPERLINK("http://dx.doi.org/10.4067/S0718-48082013000300011","http://dx.doi.org/10.4067/S0718-48082013000300011")</f>
        <v>http://dx.doi.org/10.4067/S0718-48082013000300011</v>
      </c>
      <c r="BG846" s="1" t="s">
        <v>74</v>
      </c>
      <c r="BH846" s="1" t="s">
        <v>74</v>
      </c>
      <c r="BI846" s="1" t="s">
        <v>74</v>
      </c>
      <c r="BJ846" s="1" t="s">
        <v>74</v>
      </c>
      <c r="BK846" s="1" t="s">
        <v>74</v>
      </c>
      <c r="BL846" s="1" t="s">
        <v>74</v>
      </c>
      <c r="BM846" s="1" t="s">
        <v>74</v>
      </c>
      <c r="BN846" s="1" t="s">
        <v>74</v>
      </c>
      <c r="BO846" s="1" t="s">
        <v>74</v>
      </c>
      <c r="BP846" s="1" t="s">
        <v>74</v>
      </c>
      <c r="BQ846" s="1" t="s">
        <v>74</v>
      </c>
      <c r="BR846" s="1" t="s">
        <v>74</v>
      </c>
      <c r="BS846" s="1" t="s">
        <v>7868</v>
      </c>
      <c r="BT846" s="1" t="str">
        <f>HYPERLINK("https%3A%2F%2Fwww.webofscience.com%2Fwos%2Fwoscc%2Ffull-record%2FWOS:000334076400011","View Full Record in Web of Science")</f>
        <v>View Full Record in Web of Science</v>
      </c>
    </row>
    <row r="847" ht="12.75" customHeight="1">
      <c r="A847" s="1" t="s">
        <v>72</v>
      </c>
      <c r="B847" s="1" t="s">
        <v>7869</v>
      </c>
      <c r="C847" s="1" t="s">
        <v>74</v>
      </c>
      <c r="D847" s="1" t="s">
        <v>74</v>
      </c>
      <c r="E847" s="1" t="s">
        <v>74</v>
      </c>
      <c r="F847" s="1" t="s">
        <v>7870</v>
      </c>
      <c r="G847" s="1" t="s">
        <v>74</v>
      </c>
      <c r="H847" s="1" t="s">
        <v>74</v>
      </c>
      <c r="I847" s="1" t="s">
        <v>7871</v>
      </c>
      <c r="J847" s="1" t="s">
        <v>7872</v>
      </c>
      <c r="K847" s="1" t="s">
        <v>74</v>
      </c>
      <c r="L847" s="1" t="s">
        <v>74</v>
      </c>
      <c r="M847" s="1" t="s">
        <v>74</v>
      </c>
      <c r="N847" s="1" t="s">
        <v>74</v>
      </c>
      <c r="O847" s="1" t="s">
        <v>74</v>
      </c>
      <c r="P847" s="1" t="s">
        <v>74</v>
      </c>
      <c r="Q847" s="1" t="s">
        <v>74</v>
      </c>
      <c r="R847" s="1" t="s">
        <v>74</v>
      </c>
      <c r="S847" s="1" t="s">
        <v>74</v>
      </c>
      <c r="T847" s="1" t="s">
        <v>74</v>
      </c>
      <c r="U847" s="1" t="s">
        <v>74</v>
      </c>
      <c r="V847" s="1" t="s">
        <v>7873</v>
      </c>
      <c r="W847" s="1" t="s">
        <v>74</v>
      </c>
      <c r="X847" s="1" t="s">
        <v>74</v>
      </c>
      <c r="Y847" s="1" t="s">
        <v>74</v>
      </c>
      <c r="Z847" s="1" t="s">
        <v>74</v>
      </c>
      <c r="AA847" s="1" t="s">
        <v>2116</v>
      </c>
      <c r="AB847" s="1" t="s">
        <v>7874</v>
      </c>
      <c r="AC847" s="1" t="s">
        <v>74</v>
      </c>
      <c r="AD847" s="1" t="s">
        <v>74</v>
      </c>
      <c r="AE847" s="1" t="s">
        <v>74</v>
      </c>
      <c r="AF847" s="1" t="s">
        <v>74</v>
      </c>
      <c r="AG847" s="1" t="s">
        <v>74</v>
      </c>
      <c r="AH847" s="1" t="s">
        <v>74</v>
      </c>
      <c r="AI847" s="1" t="s">
        <v>74</v>
      </c>
      <c r="AJ847" s="1" t="s">
        <v>74</v>
      </c>
      <c r="AK847" s="1" t="s">
        <v>74</v>
      </c>
      <c r="AL847" s="1" t="s">
        <v>74</v>
      </c>
      <c r="AM847" s="1" t="s">
        <v>74</v>
      </c>
      <c r="AN847" s="1" t="s">
        <v>74</v>
      </c>
      <c r="AO847" s="1" t="s">
        <v>7875</v>
      </c>
      <c r="AP847" s="1" t="s">
        <v>74</v>
      </c>
      <c r="AQ847" s="1" t="s">
        <v>74</v>
      </c>
      <c r="AR847" s="1" t="s">
        <v>74</v>
      </c>
      <c r="AS847" s="1" t="s">
        <v>74</v>
      </c>
      <c r="AT847" s="1" t="s">
        <v>310</v>
      </c>
      <c r="AU847" s="1">
        <v>2012.0</v>
      </c>
      <c r="AV847" s="1">
        <v>53.0</v>
      </c>
      <c r="AW847" s="1">
        <v>7.0</v>
      </c>
      <c r="AX847" s="1" t="s">
        <v>74</v>
      </c>
      <c r="AY847" s="1" t="s">
        <v>74</v>
      </c>
      <c r="AZ847" s="1" t="s">
        <v>74</v>
      </c>
      <c r="BA847" s="1" t="s">
        <v>74</v>
      </c>
      <c r="BB847" s="1" t="s">
        <v>74</v>
      </c>
      <c r="BC847" s="1" t="s">
        <v>74</v>
      </c>
      <c r="BD847" s="1">
        <v>73710.0</v>
      </c>
      <c r="BE847" s="1" t="s">
        <v>7876</v>
      </c>
      <c r="BF847" s="2" t="str">
        <f>HYPERLINK("http://dx.doi.org/10.1063/1.4736845","http://dx.doi.org/10.1063/1.4736845")</f>
        <v>http://dx.doi.org/10.1063/1.4736845</v>
      </c>
      <c r="BG847" s="1" t="s">
        <v>74</v>
      </c>
      <c r="BH847" s="1" t="s">
        <v>74</v>
      </c>
      <c r="BI847" s="1" t="s">
        <v>74</v>
      </c>
      <c r="BJ847" s="1" t="s">
        <v>74</v>
      </c>
      <c r="BK847" s="1" t="s">
        <v>74</v>
      </c>
      <c r="BL847" s="1" t="s">
        <v>74</v>
      </c>
      <c r="BM847" s="1" t="s">
        <v>74</v>
      </c>
      <c r="BN847" s="1" t="s">
        <v>74</v>
      </c>
      <c r="BO847" s="1" t="s">
        <v>74</v>
      </c>
      <c r="BP847" s="1" t="s">
        <v>74</v>
      </c>
      <c r="BQ847" s="1" t="s">
        <v>74</v>
      </c>
      <c r="BR847" s="1" t="s">
        <v>74</v>
      </c>
      <c r="BS847" s="1" t="s">
        <v>7877</v>
      </c>
      <c r="BT847" s="1" t="str">
        <f>HYPERLINK("https%3A%2F%2Fwww.webofscience.com%2Fwos%2Fwoscc%2Ffull-record%2FWOS:000307609900054","View Full Record in Web of Science")</f>
        <v>View Full Record in Web of Science</v>
      </c>
    </row>
    <row r="848" ht="12.75" customHeight="1">
      <c r="A848" s="1" t="s">
        <v>72</v>
      </c>
      <c r="B848" s="1" t="s">
        <v>7878</v>
      </c>
      <c r="C848" s="1" t="s">
        <v>74</v>
      </c>
      <c r="D848" s="1" t="s">
        <v>74</v>
      </c>
      <c r="E848" s="1" t="s">
        <v>74</v>
      </c>
      <c r="F848" s="1" t="s">
        <v>7879</v>
      </c>
      <c r="G848" s="1" t="s">
        <v>74</v>
      </c>
      <c r="H848" s="1" t="s">
        <v>74</v>
      </c>
      <c r="I848" s="1" t="s">
        <v>7880</v>
      </c>
      <c r="J848" s="1" t="s">
        <v>7881</v>
      </c>
      <c r="K848" s="1" t="s">
        <v>74</v>
      </c>
      <c r="L848" s="1" t="s">
        <v>74</v>
      </c>
      <c r="M848" s="1" t="s">
        <v>74</v>
      </c>
      <c r="N848" s="1" t="s">
        <v>74</v>
      </c>
      <c r="O848" s="1" t="s">
        <v>74</v>
      </c>
      <c r="P848" s="1" t="s">
        <v>74</v>
      </c>
      <c r="Q848" s="1" t="s">
        <v>74</v>
      </c>
      <c r="R848" s="1" t="s">
        <v>74</v>
      </c>
      <c r="S848" s="1" t="s">
        <v>74</v>
      </c>
      <c r="T848" s="1" t="s">
        <v>74</v>
      </c>
      <c r="U848" s="1" t="s">
        <v>74</v>
      </c>
      <c r="V848" s="1" t="s">
        <v>7882</v>
      </c>
      <c r="W848" s="1" t="s">
        <v>74</v>
      </c>
      <c r="X848" s="1" t="s">
        <v>74</v>
      </c>
      <c r="Y848" s="1" t="s">
        <v>74</v>
      </c>
      <c r="Z848" s="1" t="s">
        <v>74</v>
      </c>
      <c r="AA848" s="1" t="s">
        <v>7883</v>
      </c>
      <c r="AB848" s="1" t="s">
        <v>7884</v>
      </c>
      <c r="AC848" s="1" t="s">
        <v>74</v>
      </c>
      <c r="AD848" s="1" t="s">
        <v>74</v>
      </c>
      <c r="AE848" s="1" t="s">
        <v>74</v>
      </c>
      <c r="AF848" s="1" t="s">
        <v>74</v>
      </c>
      <c r="AG848" s="1" t="s">
        <v>74</v>
      </c>
      <c r="AH848" s="1" t="s">
        <v>74</v>
      </c>
      <c r="AI848" s="1" t="s">
        <v>74</v>
      </c>
      <c r="AJ848" s="1" t="s">
        <v>74</v>
      </c>
      <c r="AK848" s="1" t="s">
        <v>74</v>
      </c>
      <c r="AL848" s="1" t="s">
        <v>74</v>
      </c>
      <c r="AM848" s="1" t="s">
        <v>74</v>
      </c>
      <c r="AN848" s="1" t="s">
        <v>74</v>
      </c>
      <c r="AO848" s="1" t="s">
        <v>7885</v>
      </c>
      <c r="AP848" s="1" t="s">
        <v>74</v>
      </c>
      <c r="AQ848" s="1" t="s">
        <v>74</v>
      </c>
      <c r="AR848" s="1" t="s">
        <v>74</v>
      </c>
      <c r="AS848" s="1" t="s">
        <v>74</v>
      </c>
      <c r="AT848" s="1" t="s">
        <v>74</v>
      </c>
      <c r="AU848" s="1">
        <v>2012.0</v>
      </c>
      <c r="AV848" s="1">
        <v>199.0</v>
      </c>
      <c r="AW848" s="1">
        <v>5.0</v>
      </c>
      <c r="AX848" s="1" t="s">
        <v>74</v>
      </c>
      <c r="AY848" s="1" t="s">
        <v>74</v>
      </c>
      <c r="AZ848" s="1" t="s">
        <v>74</v>
      </c>
      <c r="BA848" s="1" t="s">
        <v>74</v>
      </c>
      <c r="BB848" s="1">
        <v>644.0</v>
      </c>
      <c r="BC848" s="1">
        <v>657.0</v>
      </c>
      <c r="BD848" s="1" t="s">
        <v>74</v>
      </c>
      <c r="BE848" s="1" t="s">
        <v>7886</v>
      </c>
      <c r="BF848" s="2" t="str">
        <f>HYPERLINK("http://dx.doi.org/10.1080/00986445.2011.613974","http://dx.doi.org/10.1080/00986445.2011.613974")</f>
        <v>http://dx.doi.org/10.1080/00986445.2011.613974</v>
      </c>
      <c r="BG848" s="1" t="s">
        <v>74</v>
      </c>
      <c r="BH848" s="1" t="s">
        <v>74</v>
      </c>
      <c r="BI848" s="1" t="s">
        <v>74</v>
      </c>
      <c r="BJ848" s="1" t="s">
        <v>74</v>
      </c>
      <c r="BK848" s="1" t="s">
        <v>74</v>
      </c>
      <c r="BL848" s="1" t="s">
        <v>74</v>
      </c>
      <c r="BM848" s="1" t="s">
        <v>74</v>
      </c>
      <c r="BN848" s="1" t="s">
        <v>74</v>
      </c>
      <c r="BO848" s="1" t="s">
        <v>74</v>
      </c>
      <c r="BP848" s="1" t="s">
        <v>74</v>
      </c>
      <c r="BQ848" s="1" t="s">
        <v>74</v>
      </c>
      <c r="BR848" s="1" t="s">
        <v>74</v>
      </c>
      <c r="BS848" s="1" t="s">
        <v>7887</v>
      </c>
      <c r="BT848" s="1" t="str">
        <f>HYPERLINK("https%3A%2F%2Fwww.webofscience.com%2Fwos%2Fwoscc%2Ffull-record%2FWOS:000304852500006","View Full Record in Web of Science")</f>
        <v>View Full Record in Web of Science</v>
      </c>
    </row>
    <row r="849" ht="12.75" customHeight="1">
      <c r="A849" s="1" t="s">
        <v>72</v>
      </c>
      <c r="B849" s="1" t="s">
        <v>7888</v>
      </c>
      <c r="C849" s="1" t="s">
        <v>74</v>
      </c>
      <c r="D849" s="1" t="s">
        <v>74</v>
      </c>
      <c r="E849" s="1" t="s">
        <v>74</v>
      </c>
      <c r="F849" s="1" t="s">
        <v>7889</v>
      </c>
      <c r="G849" s="1" t="s">
        <v>74</v>
      </c>
      <c r="H849" s="1" t="s">
        <v>74</v>
      </c>
      <c r="I849" s="1" t="s">
        <v>7890</v>
      </c>
      <c r="J849" s="1" t="s">
        <v>6989</v>
      </c>
      <c r="K849" s="1" t="s">
        <v>74</v>
      </c>
      <c r="L849" s="1" t="s">
        <v>74</v>
      </c>
      <c r="M849" s="1" t="s">
        <v>74</v>
      </c>
      <c r="N849" s="1" t="s">
        <v>74</v>
      </c>
      <c r="O849" s="1" t="s">
        <v>74</v>
      </c>
      <c r="P849" s="1" t="s">
        <v>74</v>
      </c>
      <c r="Q849" s="1" t="s">
        <v>74</v>
      </c>
      <c r="R849" s="1" t="s">
        <v>74</v>
      </c>
      <c r="S849" s="1" t="s">
        <v>74</v>
      </c>
      <c r="T849" s="1" t="s">
        <v>74</v>
      </c>
      <c r="U849" s="1" t="s">
        <v>74</v>
      </c>
      <c r="V849" s="1" t="s">
        <v>7891</v>
      </c>
      <c r="W849" s="1" t="s">
        <v>74</v>
      </c>
      <c r="X849" s="1" t="s">
        <v>74</v>
      </c>
      <c r="Y849" s="1" t="s">
        <v>74</v>
      </c>
      <c r="Z849" s="1" t="s">
        <v>74</v>
      </c>
      <c r="AA849" s="1" t="s">
        <v>3054</v>
      </c>
      <c r="AB849" s="1" t="s">
        <v>7892</v>
      </c>
      <c r="AC849" s="1" t="s">
        <v>74</v>
      </c>
      <c r="AD849" s="1" t="s">
        <v>74</v>
      </c>
      <c r="AE849" s="1" t="s">
        <v>74</v>
      </c>
      <c r="AF849" s="1" t="s">
        <v>74</v>
      </c>
      <c r="AG849" s="1" t="s">
        <v>74</v>
      </c>
      <c r="AH849" s="1" t="s">
        <v>74</v>
      </c>
      <c r="AI849" s="1" t="s">
        <v>74</v>
      </c>
      <c r="AJ849" s="1" t="s">
        <v>74</v>
      </c>
      <c r="AK849" s="1" t="s">
        <v>74</v>
      </c>
      <c r="AL849" s="1" t="s">
        <v>74</v>
      </c>
      <c r="AM849" s="1" t="s">
        <v>74</v>
      </c>
      <c r="AN849" s="1" t="s">
        <v>74</v>
      </c>
      <c r="AO849" s="1" t="s">
        <v>6990</v>
      </c>
      <c r="AP849" s="1" t="s">
        <v>7893</v>
      </c>
      <c r="AQ849" s="1" t="s">
        <v>74</v>
      </c>
      <c r="AR849" s="1" t="s">
        <v>74</v>
      </c>
      <c r="AS849" s="1" t="s">
        <v>74</v>
      </c>
      <c r="AT849" s="1" t="s">
        <v>459</v>
      </c>
      <c r="AU849" s="1">
        <v>2011.0</v>
      </c>
      <c r="AV849" s="1">
        <v>60.0</v>
      </c>
      <c r="AW849" s="1">
        <v>9.0</v>
      </c>
      <c r="AX849" s="1" t="s">
        <v>74</v>
      </c>
      <c r="AY849" s="1" t="s">
        <v>74</v>
      </c>
      <c r="AZ849" s="1" t="s">
        <v>74</v>
      </c>
      <c r="BA849" s="1" t="s">
        <v>74</v>
      </c>
      <c r="BB849" s="1">
        <v>675.0</v>
      </c>
      <c r="BC849" s="1">
        <v>682.0</v>
      </c>
      <c r="BD849" s="1" t="s">
        <v>74</v>
      </c>
      <c r="BE849" s="1" t="s">
        <v>7894</v>
      </c>
      <c r="BF849" s="2" t="str">
        <f>HYPERLINK("http://dx.doi.org/10.1016/j.sysconle.2011.04.012","http://dx.doi.org/10.1016/j.sysconle.2011.04.012")</f>
        <v>http://dx.doi.org/10.1016/j.sysconle.2011.04.012</v>
      </c>
      <c r="BG849" s="1" t="s">
        <v>74</v>
      </c>
      <c r="BH849" s="1" t="s">
        <v>74</v>
      </c>
      <c r="BI849" s="1" t="s">
        <v>74</v>
      </c>
      <c r="BJ849" s="1" t="s">
        <v>74</v>
      </c>
      <c r="BK849" s="1" t="s">
        <v>74</v>
      </c>
      <c r="BL849" s="1" t="s">
        <v>74</v>
      </c>
      <c r="BM849" s="1" t="s">
        <v>74</v>
      </c>
      <c r="BN849" s="1" t="s">
        <v>74</v>
      </c>
      <c r="BO849" s="1" t="s">
        <v>74</v>
      </c>
      <c r="BP849" s="1" t="s">
        <v>74</v>
      </c>
      <c r="BQ849" s="1" t="s">
        <v>74</v>
      </c>
      <c r="BR849" s="1" t="s">
        <v>74</v>
      </c>
      <c r="BS849" s="1" t="s">
        <v>7895</v>
      </c>
      <c r="BT849" s="1" t="str">
        <f>HYPERLINK("https%3A%2F%2Fwww.webofscience.com%2Fwos%2Fwoscc%2Ffull-record%2FWOS:000295251600001","View Full Record in Web of Science")</f>
        <v>View Full Record in Web of Science</v>
      </c>
    </row>
    <row r="850" ht="12.75" customHeight="1">
      <c r="A850" s="1" t="s">
        <v>72</v>
      </c>
      <c r="B850" s="1" t="s">
        <v>7896</v>
      </c>
      <c r="C850" s="1" t="s">
        <v>74</v>
      </c>
      <c r="D850" s="1" t="s">
        <v>74</v>
      </c>
      <c r="E850" s="1" t="s">
        <v>74</v>
      </c>
      <c r="F850" s="1" t="s">
        <v>7897</v>
      </c>
      <c r="G850" s="1" t="s">
        <v>74</v>
      </c>
      <c r="H850" s="1" t="s">
        <v>74</v>
      </c>
      <c r="I850" s="1" t="s">
        <v>7898</v>
      </c>
      <c r="J850" s="1" t="s">
        <v>582</v>
      </c>
      <c r="K850" s="1" t="s">
        <v>74</v>
      </c>
      <c r="L850" s="1" t="s">
        <v>74</v>
      </c>
      <c r="M850" s="1" t="s">
        <v>74</v>
      </c>
      <c r="N850" s="1" t="s">
        <v>74</v>
      </c>
      <c r="O850" s="1" t="s">
        <v>74</v>
      </c>
      <c r="P850" s="1" t="s">
        <v>74</v>
      </c>
      <c r="Q850" s="1" t="s">
        <v>74</v>
      </c>
      <c r="R850" s="1" t="s">
        <v>74</v>
      </c>
      <c r="S850" s="1" t="s">
        <v>74</v>
      </c>
      <c r="T850" s="1" t="s">
        <v>74</v>
      </c>
      <c r="U850" s="1" t="s">
        <v>74</v>
      </c>
      <c r="V850" s="1" t="s">
        <v>7899</v>
      </c>
      <c r="W850" s="1" t="s">
        <v>74</v>
      </c>
      <c r="X850" s="1" t="s">
        <v>74</v>
      </c>
      <c r="Y850" s="1" t="s">
        <v>74</v>
      </c>
      <c r="Z850" s="1" t="s">
        <v>74</v>
      </c>
      <c r="AA850" s="1" t="s">
        <v>7900</v>
      </c>
      <c r="AB850" s="1" t="s">
        <v>7901</v>
      </c>
      <c r="AC850" s="1" t="s">
        <v>74</v>
      </c>
      <c r="AD850" s="1" t="s">
        <v>74</v>
      </c>
      <c r="AE850" s="1" t="s">
        <v>74</v>
      </c>
      <c r="AF850" s="1" t="s">
        <v>74</v>
      </c>
      <c r="AG850" s="1" t="s">
        <v>74</v>
      </c>
      <c r="AH850" s="1" t="s">
        <v>74</v>
      </c>
      <c r="AI850" s="1" t="s">
        <v>74</v>
      </c>
      <c r="AJ850" s="1" t="s">
        <v>74</v>
      </c>
      <c r="AK850" s="1" t="s">
        <v>74</v>
      </c>
      <c r="AL850" s="1" t="s">
        <v>74</v>
      </c>
      <c r="AM850" s="1" t="s">
        <v>74</v>
      </c>
      <c r="AN850" s="1" t="s">
        <v>74</v>
      </c>
      <c r="AO850" s="1" t="s">
        <v>585</v>
      </c>
      <c r="AP850" s="1" t="s">
        <v>74</v>
      </c>
      <c r="AQ850" s="1" t="s">
        <v>74</v>
      </c>
      <c r="AR850" s="1" t="s">
        <v>74</v>
      </c>
      <c r="AS850" s="1" t="s">
        <v>74</v>
      </c>
      <c r="AT850" s="1" t="s">
        <v>459</v>
      </c>
      <c r="AU850" s="1">
        <v>2010.0</v>
      </c>
      <c r="AV850" s="1">
        <v>55.0</v>
      </c>
      <c r="AW850" s="1">
        <v>3.0</v>
      </c>
      <c r="AX850" s="1" t="s">
        <v>74</v>
      </c>
      <c r="AY850" s="1" t="s">
        <v>74</v>
      </c>
      <c r="AZ850" s="1" t="s">
        <v>74</v>
      </c>
      <c r="BA850" s="1" t="s">
        <v>74</v>
      </c>
      <c r="BB850" s="1">
        <v>392.0</v>
      </c>
      <c r="BC850" s="1">
        <v>395.0</v>
      </c>
      <c r="BD850" s="1" t="s">
        <v>74</v>
      </c>
      <c r="BE850" s="1" t="s">
        <v>7902</v>
      </c>
      <c r="BF850" s="2" t="str">
        <f>HYPERLINK("http://dx.doi.org/10.4067/S0717-97072010000300026","http://dx.doi.org/10.4067/S0717-97072010000300026")</f>
        <v>http://dx.doi.org/10.4067/S0717-97072010000300026</v>
      </c>
      <c r="BG850" s="1" t="s">
        <v>74</v>
      </c>
      <c r="BH850" s="1" t="s">
        <v>74</v>
      </c>
      <c r="BI850" s="1" t="s">
        <v>74</v>
      </c>
      <c r="BJ850" s="1" t="s">
        <v>74</v>
      </c>
      <c r="BK850" s="1" t="s">
        <v>74</v>
      </c>
      <c r="BL850" s="1" t="s">
        <v>74</v>
      </c>
      <c r="BM850" s="1" t="s">
        <v>74</v>
      </c>
      <c r="BN850" s="1" t="s">
        <v>74</v>
      </c>
      <c r="BO850" s="1" t="s">
        <v>74</v>
      </c>
      <c r="BP850" s="1" t="s">
        <v>74</v>
      </c>
      <c r="BQ850" s="1" t="s">
        <v>74</v>
      </c>
      <c r="BR850" s="1" t="s">
        <v>74</v>
      </c>
      <c r="BS850" s="1" t="s">
        <v>7903</v>
      </c>
      <c r="BT850" s="1" t="str">
        <f>HYPERLINK("https%3A%2F%2Fwww.webofscience.com%2Fwos%2Fwoscc%2Ffull-record%2FWOS:000283404400026","View Full Record in Web of Science")</f>
        <v>View Full Record in Web of Science</v>
      </c>
    </row>
    <row r="851" ht="12.75" customHeight="1">
      <c r="A851" s="1" t="s">
        <v>72</v>
      </c>
      <c r="B851" s="1" t="s">
        <v>7904</v>
      </c>
      <c r="C851" s="1" t="s">
        <v>74</v>
      </c>
      <c r="D851" s="1" t="s">
        <v>74</v>
      </c>
      <c r="E851" s="1" t="s">
        <v>74</v>
      </c>
      <c r="F851" s="1" t="s">
        <v>7905</v>
      </c>
      <c r="G851" s="1" t="s">
        <v>74</v>
      </c>
      <c r="H851" s="1" t="s">
        <v>7906</v>
      </c>
      <c r="I851" s="1" t="s">
        <v>7907</v>
      </c>
      <c r="J851" s="1" t="s">
        <v>7775</v>
      </c>
      <c r="K851" s="1" t="s">
        <v>74</v>
      </c>
      <c r="L851" s="1" t="s">
        <v>74</v>
      </c>
      <c r="M851" s="1" t="s">
        <v>74</v>
      </c>
      <c r="N851" s="1" t="s">
        <v>74</v>
      </c>
      <c r="O851" s="1" t="s">
        <v>74</v>
      </c>
      <c r="P851" s="1" t="s">
        <v>74</v>
      </c>
      <c r="Q851" s="1" t="s">
        <v>74</v>
      </c>
      <c r="R851" s="1" t="s">
        <v>74</v>
      </c>
      <c r="S851" s="1" t="s">
        <v>74</v>
      </c>
      <c r="T851" s="1" t="s">
        <v>74</v>
      </c>
      <c r="U851" s="1" t="s">
        <v>74</v>
      </c>
      <c r="V851" s="1" t="s">
        <v>7908</v>
      </c>
      <c r="W851" s="1" t="s">
        <v>74</v>
      </c>
      <c r="X851" s="1" t="s">
        <v>74</v>
      </c>
      <c r="Y851" s="1" t="s">
        <v>74</v>
      </c>
      <c r="Z851" s="1" t="s">
        <v>74</v>
      </c>
      <c r="AA851" s="1" t="s">
        <v>7909</v>
      </c>
      <c r="AB851" s="1" t="s">
        <v>7910</v>
      </c>
      <c r="AC851" s="1" t="s">
        <v>74</v>
      </c>
      <c r="AD851" s="1" t="s">
        <v>74</v>
      </c>
      <c r="AE851" s="1" t="s">
        <v>74</v>
      </c>
      <c r="AF851" s="1" t="s">
        <v>74</v>
      </c>
      <c r="AG851" s="1" t="s">
        <v>74</v>
      </c>
      <c r="AH851" s="1" t="s">
        <v>74</v>
      </c>
      <c r="AI851" s="1" t="s">
        <v>74</v>
      </c>
      <c r="AJ851" s="1" t="s">
        <v>74</v>
      </c>
      <c r="AK851" s="1" t="s">
        <v>74</v>
      </c>
      <c r="AL851" s="1" t="s">
        <v>74</v>
      </c>
      <c r="AM851" s="1" t="s">
        <v>74</v>
      </c>
      <c r="AN851" s="1" t="s">
        <v>74</v>
      </c>
      <c r="AO851" s="1" t="s">
        <v>7777</v>
      </c>
      <c r="AP851" s="1" t="s">
        <v>7778</v>
      </c>
      <c r="AQ851" s="1" t="s">
        <v>74</v>
      </c>
      <c r="AR851" s="1" t="s">
        <v>74</v>
      </c>
      <c r="AS851" s="1" t="s">
        <v>74</v>
      </c>
      <c r="AT851" s="1" t="s">
        <v>360</v>
      </c>
      <c r="AU851" s="1">
        <v>2010.0</v>
      </c>
      <c r="AV851" s="1">
        <v>21.0</v>
      </c>
      <c r="AW851" s="1">
        <v>1.0</v>
      </c>
      <c r="AX851" s="1">
        <v>2.0</v>
      </c>
      <c r="AY851" s="1" t="s">
        <v>74</v>
      </c>
      <c r="AZ851" s="1" t="s">
        <v>74</v>
      </c>
      <c r="BA851" s="1" t="s">
        <v>74</v>
      </c>
      <c r="BB851" s="1" t="s">
        <v>7911</v>
      </c>
      <c r="BC851" s="1" t="s">
        <v>7912</v>
      </c>
      <c r="BD851" s="1" t="s">
        <v>74</v>
      </c>
      <c r="BE851" s="1" t="s">
        <v>7913</v>
      </c>
      <c r="BF851" s="2" t="str">
        <f>HYPERLINK("http://dx.doi.org/10.1111/j.1399-3038.2009.00947.x","http://dx.doi.org/10.1111/j.1399-3038.2009.00947.x")</f>
        <v>http://dx.doi.org/10.1111/j.1399-3038.2009.00947.x</v>
      </c>
      <c r="BG851" s="1" t="s">
        <v>74</v>
      </c>
      <c r="BH851" s="1" t="s">
        <v>74</v>
      </c>
      <c r="BI851" s="1" t="s">
        <v>74</v>
      </c>
      <c r="BJ851" s="1" t="s">
        <v>74</v>
      </c>
      <c r="BK851" s="1" t="s">
        <v>74</v>
      </c>
      <c r="BL851" s="1" t="s">
        <v>74</v>
      </c>
      <c r="BM851" s="1" t="s">
        <v>74</v>
      </c>
      <c r="BN851" s="1">
        <v>1.9788538E7</v>
      </c>
      <c r="BO851" s="1" t="s">
        <v>74</v>
      </c>
      <c r="BP851" s="1" t="s">
        <v>74</v>
      </c>
      <c r="BQ851" s="1" t="s">
        <v>74</v>
      </c>
      <c r="BR851" s="1" t="s">
        <v>74</v>
      </c>
      <c r="BS851" s="1" t="s">
        <v>7914</v>
      </c>
      <c r="BT851" s="1" t="str">
        <f>HYPERLINK("https%3A%2F%2Fwww.webofscience.com%2Fwos%2Fwoscc%2Ffull-record%2FWOS:000276186200005","View Full Record in Web of Science")</f>
        <v>View Full Record in Web of Science</v>
      </c>
    </row>
    <row r="852" ht="12.75" customHeight="1">
      <c r="A852" s="1" t="s">
        <v>72</v>
      </c>
      <c r="B852" s="1" t="s">
        <v>7915</v>
      </c>
      <c r="C852" s="1" t="s">
        <v>74</v>
      </c>
      <c r="D852" s="1" t="s">
        <v>74</v>
      </c>
      <c r="E852" s="1" t="s">
        <v>74</v>
      </c>
      <c r="F852" s="1" t="s">
        <v>7916</v>
      </c>
      <c r="G852" s="1" t="s">
        <v>74</v>
      </c>
      <c r="H852" s="1" t="s">
        <v>74</v>
      </c>
      <c r="I852" s="1" t="s">
        <v>7917</v>
      </c>
      <c r="J852" s="1" t="s">
        <v>7918</v>
      </c>
      <c r="K852" s="1" t="s">
        <v>74</v>
      </c>
      <c r="L852" s="1" t="s">
        <v>74</v>
      </c>
      <c r="M852" s="1" t="s">
        <v>74</v>
      </c>
      <c r="N852" s="1" t="s">
        <v>74</v>
      </c>
      <c r="O852" s="1" t="s">
        <v>74</v>
      </c>
      <c r="P852" s="1" t="s">
        <v>74</v>
      </c>
      <c r="Q852" s="1" t="s">
        <v>74</v>
      </c>
      <c r="R852" s="1" t="s">
        <v>74</v>
      </c>
      <c r="S852" s="1" t="s">
        <v>74</v>
      </c>
      <c r="T852" s="1" t="s">
        <v>74</v>
      </c>
      <c r="U852" s="1" t="s">
        <v>74</v>
      </c>
      <c r="V852" s="1" t="s">
        <v>7919</v>
      </c>
      <c r="W852" s="1" t="s">
        <v>74</v>
      </c>
      <c r="X852" s="1" t="s">
        <v>74</v>
      </c>
      <c r="Y852" s="1" t="s">
        <v>74</v>
      </c>
      <c r="Z852" s="1" t="s">
        <v>74</v>
      </c>
      <c r="AA852" s="1" t="s">
        <v>1377</v>
      </c>
      <c r="AB852" s="1" t="s">
        <v>7920</v>
      </c>
      <c r="AC852" s="1" t="s">
        <v>74</v>
      </c>
      <c r="AD852" s="1" t="s">
        <v>74</v>
      </c>
      <c r="AE852" s="1" t="s">
        <v>74</v>
      </c>
      <c r="AF852" s="1" t="s">
        <v>74</v>
      </c>
      <c r="AG852" s="1" t="s">
        <v>74</v>
      </c>
      <c r="AH852" s="1" t="s">
        <v>74</v>
      </c>
      <c r="AI852" s="1" t="s">
        <v>74</v>
      </c>
      <c r="AJ852" s="1" t="s">
        <v>74</v>
      </c>
      <c r="AK852" s="1" t="s">
        <v>74</v>
      </c>
      <c r="AL852" s="1" t="s">
        <v>74</v>
      </c>
      <c r="AM852" s="1" t="s">
        <v>74</v>
      </c>
      <c r="AN852" s="1" t="s">
        <v>74</v>
      </c>
      <c r="AO852" s="1" t="s">
        <v>7921</v>
      </c>
      <c r="AP852" s="1" t="s">
        <v>7922</v>
      </c>
      <c r="AQ852" s="1" t="s">
        <v>74</v>
      </c>
      <c r="AR852" s="1" t="s">
        <v>74</v>
      </c>
      <c r="AS852" s="1" t="s">
        <v>74</v>
      </c>
      <c r="AT852" s="1" t="s">
        <v>447</v>
      </c>
      <c r="AU852" s="1">
        <v>2010.0</v>
      </c>
      <c r="AV852" s="1">
        <v>80.0</v>
      </c>
      <c r="AW852" s="1" t="s">
        <v>2150</v>
      </c>
      <c r="AX852" s="1" t="s">
        <v>74</v>
      </c>
      <c r="AY852" s="1" t="s">
        <v>74</v>
      </c>
      <c r="AZ852" s="1" t="s">
        <v>74</v>
      </c>
      <c r="BA852" s="1" t="s">
        <v>74</v>
      </c>
      <c r="BB852" s="1">
        <v>75.0</v>
      </c>
      <c r="BC852" s="1">
        <v>88.0</v>
      </c>
      <c r="BD852" s="1" t="s">
        <v>74</v>
      </c>
      <c r="BE852" s="1" t="s">
        <v>7923</v>
      </c>
      <c r="BF852" s="2" t="str">
        <f>HYPERLINK("http://dx.doi.org/10.1080/00949650802482386","http://dx.doi.org/10.1080/00949650802482386")</f>
        <v>http://dx.doi.org/10.1080/00949650802482386</v>
      </c>
      <c r="BG852" s="1" t="s">
        <v>74</v>
      </c>
      <c r="BH852" s="1" t="s">
        <v>74</v>
      </c>
      <c r="BI852" s="1" t="s">
        <v>74</v>
      </c>
      <c r="BJ852" s="1" t="s">
        <v>74</v>
      </c>
      <c r="BK852" s="1" t="s">
        <v>74</v>
      </c>
      <c r="BL852" s="1" t="s">
        <v>74</v>
      </c>
      <c r="BM852" s="1" t="s">
        <v>74</v>
      </c>
      <c r="BN852" s="1" t="s">
        <v>74</v>
      </c>
      <c r="BO852" s="1" t="s">
        <v>74</v>
      </c>
      <c r="BP852" s="1" t="s">
        <v>74</v>
      </c>
      <c r="BQ852" s="1" t="s">
        <v>74</v>
      </c>
      <c r="BR852" s="1" t="s">
        <v>74</v>
      </c>
      <c r="BS852" s="1" t="s">
        <v>7924</v>
      </c>
      <c r="BT852" s="1" t="str">
        <f>HYPERLINK("https%3A%2F%2Fwww.webofscience.com%2Fwos%2Fwoscc%2Ffull-record%2FWOS:000273913800006","View Full Record in Web of Science")</f>
        <v>View Full Record in Web of Science</v>
      </c>
    </row>
    <row r="853" ht="12.75" customHeight="1">
      <c r="A853" s="1" t="s">
        <v>72</v>
      </c>
      <c r="B853" s="1" t="s">
        <v>7925</v>
      </c>
      <c r="C853" s="1" t="s">
        <v>74</v>
      </c>
      <c r="D853" s="1" t="s">
        <v>74</v>
      </c>
      <c r="E853" s="1" t="s">
        <v>74</v>
      </c>
      <c r="F853" s="1" t="s">
        <v>7926</v>
      </c>
      <c r="G853" s="1" t="s">
        <v>74</v>
      </c>
      <c r="H853" s="1" t="s">
        <v>74</v>
      </c>
      <c r="I853" s="1" t="s">
        <v>7927</v>
      </c>
      <c r="J853" s="1" t="s">
        <v>2272</v>
      </c>
      <c r="K853" s="1" t="s">
        <v>74</v>
      </c>
      <c r="L853" s="1" t="s">
        <v>74</v>
      </c>
      <c r="M853" s="1" t="s">
        <v>74</v>
      </c>
      <c r="N853" s="1" t="s">
        <v>74</v>
      </c>
      <c r="O853" s="1" t="s">
        <v>74</v>
      </c>
      <c r="P853" s="1" t="s">
        <v>74</v>
      </c>
      <c r="Q853" s="1" t="s">
        <v>74</v>
      </c>
      <c r="R853" s="1" t="s">
        <v>74</v>
      </c>
      <c r="S853" s="1" t="s">
        <v>74</v>
      </c>
      <c r="T853" s="1" t="s">
        <v>74</v>
      </c>
      <c r="U853" s="1" t="s">
        <v>74</v>
      </c>
      <c r="V853" s="1" t="s">
        <v>7928</v>
      </c>
      <c r="W853" s="1" t="s">
        <v>74</v>
      </c>
      <c r="X853" s="1" t="s">
        <v>74</v>
      </c>
      <c r="Y853" s="1" t="s">
        <v>74</v>
      </c>
      <c r="Z853" s="1" t="s">
        <v>74</v>
      </c>
      <c r="AA853" s="1" t="s">
        <v>5054</v>
      </c>
      <c r="AB853" s="1" t="s">
        <v>7929</v>
      </c>
      <c r="AC853" s="1" t="s">
        <v>74</v>
      </c>
      <c r="AD853" s="1" t="s">
        <v>74</v>
      </c>
      <c r="AE853" s="1" t="s">
        <v>74</v>
      </c>
      <c r="AF853" s="1" t="s">
        <v>74</v>
      </c>
      <c r="AG853" s="1" t="s">
        <v>74</v>
      </c>
      <c r="AH853" s="1" t="s">
        <v>74</v>
      </c>
      <c r="AI853" s="1" t="s">
        <v>74</v>
      </c>
      <c r="AJ853" s="1" t="s">
        <v>74</v>
      </c>
      <c r="AK853" s="1" t="s">
        <v>74</v>
      </c>
      <c r="AL853" s="1" t="s">
        <v>74</v>
      </c>
      <c r="AM853" s="1" t="s">
        <v>74</v>
      </c>
      <c r="AN853" s="1" t="s">
        <v>74</v>
      </c>
      <c r="AO853" s="1" t="s">
        <v>2275</v>
      </c>
      <c r="AP853" s="1" t="s">
        <v>2276</v>
      </c>
      <c r="AQ853" s="1" t="s">
        <v>74</v>
      </c>
      <c r="AR853" s="1" t="s">
        <v>74</v>
      </c>
      <c r="AS853" s="1" t="s">
        <v>74</v>
      </c>
      <c r="AT853" s="1" t="s">
        <v>88</v>
      </c>
      <c r="AU853" s="1">
        <v>2009.0</v>
      </c>
      <c r="AV853" s="1">
        <v>91.0</v>
      </c>
      <c r="AW853" s="1">
        <v>3.0</v>
      </c>
      <c r="AX853" s="1" t="s">
        <v>74</v>
      </c>
      <c r="AY853" s="1" t="s">
        <v>74</v>
      </c>
      <c r="AZ853" s="1" t="s">
        <v>74</v>
      </c>
      <c r="BA853" s="1" t="s">
        <v>74</v>
      </c>
      <c r="BB853" s="1">
        <v>443.0</v>
      </c>
      <c r="BC853" s="1">
        <v>447.0</v>
      </c>
      <c r="BD853" s="1" t="s">
        <v>74</v>
      </c>
      <c r="BE853" s="1" t="s">
        <v>7930</v>
      </c>
      <c r="BF853" s="2" t="str">
        <f>HYPERLINK("http://dx.doi.org/10.1016/j.jfoodeng.2008.09.022","http://dx.doi.org/10.1016/j.jfoodeng.2008.09.022")</f>
        <v>http://dx.doi.org/10.1016/j.jfoodeng.2008.09.022</v>
      </c>
      <c r="BG853" s="1" t="s">
        <v>74</v>
      </c>
      <c r="BH853" s="1" t="s">
        <v>74</v>
      </c>
      <c r="BI853" s="1" t="s">
        <v>74</v>
      </c>
      <c r="BJ853" s="1" t="s">
        <v>74</v>
      </c>
      <c r="BK853" s="1" t="s">
        <v>74</v>
      </c>
      <c r="BL853" s="1" t="s">
        <v>74</v>
      </c>
      <c r="BM853" s="1" t="s">
        <v>74</v>
      </c>
      <c r="BN853" s="1" t="s">
        <v>74</v>
      </c>
      <c r="BO853" s="1" t="s">
        <v>74</v>
      </c>
      <c r="BP853" s="1" t="s">
        <v>74</v>
      </c>
      <c r="BQ853" s="1" t="s">
        <v>74</v>
      </c>
      <c r="BR853" s="1" t="s">
        <v>74</v>
      </c>
      <c r="BS853" s="1" t="s">
        <v>7931</v>
      </c>
      <c r="BT853" s="1" t="str">
        <f>HYPERLINK("https%3A%2F%2Fwww.webofscience.com%2Fwos%2Fwoscc%2Ffull-record%2FWOS:000262760100011","View Full Record in Web of Science")</f>
        <v>View Full Record in Web of Science</v>
      </c>
    </row>
    <row r="854" ht="12.75" customHeight="1">
      <c r="A854" s="1" t="s">
        <v>72</v>
      </c>
      <c r="B854" s="1" t="s">
        <v>7932</v>
      </c>
      <c r="C854" s="1" t="s">
        <v>74</v>
      </c>
      <c r="D854" s="1" t="s">
        <v>74</v>
      </c>
      <c r="E854" s="1" t="s">
        <v>74</v>
      </c>
      <c r="F854" s="1" t="s">
        <v>7933</v>
      </c>
      <c r="G854" s="1" t="s">
        <v>74</v>
      </c>
      <c r="H854" s="1" t="s">
        <v>74</v>
      </c>
      <c r="I854" s="1" t="s">
        <v>7934</v>
      </c>
      <c r="J854" s="1" t="s">
        <v>7935</v>
      </c>
      <c r="K854" s="1" t="s">
        <v>74</v>
      </c>
      <c r="L854" s="1" t="s">
        <v>74</v>
      </c>
      <c r="M854" s="1" t="s">
        <v>74</v>
      </c>
      <c r="N854" s="1" t="s">
        <v>74</v>
      </c>
      <c r="O854" s="1" t="s">
        <v>74</v>
      </c>
      <c r="P854" s="1" t="s">
        <v>74</v>
      </c>
      <c r="Q854" s="1" t="s">
        <v>74</v>
      </c>
      <c r="R854" s="1" t="s">
        <v>74</v>
      </c>
      <c r="S854" s="1" t="s">
        <v>74</v>
      </c>
      <c r="T854" s="1" t="s">
        <v>74</v>
      </c>
      <c r="U854" s="1" t="s">
        <v>74</v>
      </c>
      <c r="V854" s="1" t="s">
        <v>7936</v>
      </c>
      <c r="W854" s="1" t="s">
        <v>74</v>
      </c>
      <c r="X854" s="1" t="s">
        <v>74</v>
      </c>
      <c r="Y854" s="1" t="s">
        <v>74</v>
      </c>
      <c r="Z854" s="1" t="s">
        <v>74</v>
      </c>
      <c r="AA854" s="1" t="s">
        <v>7937</v>
      </c>
      <c r="AB854" s="1" t="s">
        <v>7938</v>
      </c>
      <c r="AC854" s="1" t="s">
        <v>74</v>
      </c>
      <c r="AD854" s="1" t="s">
        <v>74</v>
      </c>
      <c r="AE854" s="1" t="s">
        <v>74</v>
      </c>
      <c r="AF854" s="1" t="s">
        <v>74</v>
      </c>
      <c r="AG854" s="1" t="s">
        <v>74</v>
      </c>
      <c r="AH854" s="1" t="s">
        <v>74</v>
      </c>
      <c r="AI854" s="1" t="s">
        <v>74</v>
      </c>
      <c r="AJ854" s="1" t="s">
        <v>74</v>
      </c>
      <c r="AK854" s="1" t="s">
        <v>74</v>
      </c>
      <c r="AL854" s="1" t="s">
        <v>74</v>
      </c>
      <c r="AM854" s="1" t="s">
        <v>74</v>
      </c>
      <c r="AN854" s="1" t="s">
        <v>74</v>
      </c>
      <c r="AO854" s="1" t="s">
        <v>7939</v>
      </c>
      <c r="AP854" s="1" t="s">
        <v>7940</v>
      </c>
      <c r="AQ854" s="1" t="s">
        <v>74</v>
      </c>
      <c r="AR854" s="1" t="s">
        <v>74</v>
      </c>
      <c r="AS854" s="1" t="s">
        <v>74</v>
      </c>
      <c r="AT854" s="1" t="s">
        <v>169</v>
      </c>
      <c r="AU854" s="1">
        <v>2009.0</v>
      </c>
      <c r="AV854" s="1">
        <v>67.0</v>
      </c>
      <c r="AW854" s="1">
        <v>1.0</v>
      </c>
      <c r="AX854" s="1" t="s">
        <v>74</v>
      </c>
      <c r="AY854" s="1" t="s">
        <v>74</v>
      </c>
      <c r="AZ854" s="1" t="s">
        <v>74</v>
      </c>
      <c r="BA854" s="1" t="s">
        <v>74</v>
      </c>
      <c r="BB854" s="1">
        <v>162.0</v>
      </c>
      <c r="BC854" s="1">
        <v>170.0</v>
      </c>
      <c r="BD854" s="1" t="s">
        <v>74</v>
      </c>
      <c r="BE854" s="1" t="s">
        <v>7941</v>
      </c>
      <c r="BF854" s="2" t="str">
        <f>HYPERLINK("http://dx.doi.org/10.1111/j.1574-6941.2008.00600.x","http://dx.doi.org/10.1111/j.1574-6941.2008.00600.x")</f>
        <v>http://dx.doi.org/10.1111/j.1574-6941.2008.00600.x</v>
      </c>
      <c r="BG854" s="1" t="s">
        <v>74</v>
      </c>
      <c r="BH854" s="1" t="s">
        <v>74</v>
      </c>
      <c r="BI854" s="1" t="s">
        <v>74</v>
      </c>
      <c r="BJ854" s="1" t="s">
        <v>74</v>
      </c>
      <c r="BK854" s="1" t="s">
        <v>74</v>
      </c>
      <c r="BL854" s="1" t="s">
        <v>74</v>
      </c>
      <c r="BM854" s="1" t="s">
        <v>74</v>
      </c>
      <c r="BN854" s="1">
        <v>1.9016866E7</v>
      </c>
      <c r="BO854" s="1" t="s">
        <v>74</v>
      </c>
      <c r="BP854" s="1" t="s">
        <v>74</v>
      </c>
      <c r="BQ854" s="1" t="s">
        <v>74</v>
      </c>
      <c r="BR854" s="1" t="s">
        <v>74</v>
      </c>
      <c r="BS854" s="1" t="s">
        <v>7942</v>
      </c>
      <c r="BT854" s="1" t="str">
        <f>HYPERLINK("https%3A%2F%2Fwww.webofscience.com%2Fwos%2Fwoscc%2Ffull-record%2FWOS:000261622000015","View Full Record in Web of Science")</f>
        <v>View Full Record in Web of Science</v>
      </c>
    </row>
    <row r="855" ht="12.75" customHeight="1">
      <c r="A855" s="1" t="s">
        <v>72</v>
      </c>
      <c r="B855" s="1" t="s">
        <v>7943</v>
      </c>
      <c r="C855" s="1" t="s">
        <v>74</v>
      </c>
      <c r="D855" s="1" t="s">
        <v>74</v>
      </c>
      <c r="E855" s="1" t="s">
        <v>74</v>
      </c>
      <c r="F855" s="1" t="s">
        <v>7944</v>
      </c>
      <c r="G855" s="1" t="s">
        <v>74</v>
      </c>
      <c r="H855" s="1" t="s">
        <v>74</v>
      </c>
      <c r="I855" s="1" t="s">
        <v>7945</v>
      </c>
      <c r="J855" s="1" t="s">
        <v>7946</v>
      </c>
      <c r="K855" s="1" t="s">
        <v>74</v>
      </c>
      <c r="L855" s="1" t="s">
        <v>74</v>
      </c>
      <c r="M855" s="1" t="s">
        <v>74</v>
      </c>
      <c r="N855" s="1" t="s">
        <v>74</v>
      </c>
      <c r="O855" s="1" t="s">
        <v>74</v>
      </c>
      <c r="P855" s="1" t="s">
        <v>74</v>
      </c>
      <c r="Q855" s="1" t="s">
        <v>74</v>
      </c>
      <c r="R855" s="1" t="s">
        <v>74</v>
      </c>
      <c r="S855" s="1" t="s">
        <v>74</v>
      </c>
      <c r="T855" s="1" t="s">
        <v>74</v>
      </c>
      <c r="U855" s="1" t="s">
        <v>74</v>
      </c>
      <c r="V855" s="1" t="s">
        <v>7947</v>
      </c>
      <c r="W855" s="1" t="s">
        <v>74</v>
      </c>
      <c r="X855" s="1" t="s">
        <v>74</v>
      </c>
      <c r="Y855" s="1" t="s">
        <v>74</v>
      </c>
      <c r="Z855" s="1" t="s">
        <v>74</v>
      </c>
      <c r="AA855" s="1" t="s">
        <v>74</v>
      </c>
      <c r="AB855" s="1" t="s">
        <v>74</v>
      </c>
      <c r="AC855" s="1" t="s">
        <v>74</v>
      </c>
      <c r="AD855" s="1" t="s">
        <v>74</v>
      </c>
      <c r="AE855" s="1" t="s">
        <v>74</v>
      </c>
      <c r="AF855" s="1" t="s">
        <v>74</v>
      </c>
      <c r="AG855" s="1" t="s">
        <v>74</v>
      </c>
      <c r="AH855" s="1" t="s">
        <v>74</v>
      </c>
      <c r="AI855" s="1" t="s">
        <v>74</v>
      </c>
      <c r="AJ855" s="1" t="s">
        <v>74</v>
      </c>
      <c r="AK855" s="1" t="s">
        <v>74</v>
      </c>
      <c r="AL855" s="1" t="s">
        <v>74</v>
      </c>
      <c r="AM855" s="1" t="s">
        <v>74</v>
      </c>
      <c r="AN855" s="1" t="s">
        <v>74</v>
      </c>
      <c r="AO855" s="1" t="s">
        <v>7948</v>
      </c>
      <c r="AP855" s="1" t="s">
        <v>74</v>
      </c>
      <c r="AQ855" s="1" t="s">
        <v>74</v>
      </c>
      <c r="AR855" s="1" t="s">
        <v>74</v>
      </c>
      <c r="AS855" s="1" t="s">
        <v>74</v>
      </c>
      <c r="AT855" s="1" t="s">
        <v>74</v>
      </c>
      <c r="AU855" s="1">
        <v>2009.0</v>
      </c>
      <c r="AV855" s="1">
        <v>28.0</v>
      </c>
      <c r="AW855" s="1">
        <v>1.0</v>
      </c>
      <c r="AX855" s="1" t="s">
        <v>74</v>
      </c>
      <c r="AY855" s="1" t="s">
        <v>74</v>
      </c>
      <c r="AZ855" s="1" t="s">
        <v>74</v>
      </c>
      <c r="BA855" s="1" t="s">
        <v>74</v>
      </c>
      <c r="BB855" s="1">
        <v>103.0</v>
      </c>
      <c r="BC855" s="1">
        <v>118.0</v>
      </c>
      <c r="BD855" s="1" t="s">
        <v>74</v>
      </c>
      <c r="BE855" s="1" t="s">
        <v>74</v>
      </c>
      <c r="BF855" s="1" t="s">
        <v>74</v>
      </c>
      <c r="BG855" s="1" t="s">
        <v>74</v>
      </c>
      <c r="BH855" s="1" t="s">
        <v>74</v>
      </c>
      <c r="BI855" s="1" t="s">
        <v>74</v>
      </c>
      <c r="BJ855" s="1" t="s">
        <v>74</v>
      </c>
      <c r="BK855" s="1" t="s">
        <v>74</v>
      </c>
      <c r="BL855" s="1" t="s">
        <v>74</v>
      </c>
      <c r="BM855" s="1" t="s">
        <v>74</v>
      </c>
      <c r="BN855" s="1" t="s">
        <v>74</v>
      </c>
      <c r="BO855" s="1" t="s">
        <v>74</v>
      </c>
      <c r="BP855" s="1" t="s">
        <v>74</v>
      </c>
      <c r="BQ855" s="1" t="s">
        <v>74</v>
      </c>
      <c r="BR855" s="1" t="s">
        <v>74</v>
      </c>
      <c r="BS855" s="1" t="s">
        <v>7949</v>
      </c>
      <c r="BT855" s="1" t="str">
        <f>HYPERLINK("https%3A%2F%2Fwww.webofscience.com%2Fwos%2Fwoscc%2Ffull-record%2FWOS:000262847500007","View Full Record in Web of Science")</f>
        <v>View Full Record in Web of Science</v>
      </c>
    </row>
    <row r="856" ht="12.75" customHeight="1">
      <c r="A856" s="1" t="s">
        <v>72</v>
      </c>
      <c r="B856" s="1" t="s">
        <v>7950</v>
      </c>
      <c r="C856" s="1" t="s">
        <v>74</v>
      </c>
      <c r="D856" s="1" t="s">
        <v>74</v>
      </c>
      <c r="E856" s="1" t="s">
        <v>74</v>
      </c>
      <c r="F856" s="1" t="s">
        <v>7951</v>
      </c>
      <c r="G856" s="1" t="s">
        <v>74</v>
      </c>
      <c r="H856" s="1" t="s">
        <v>74</v>
      </c>
      <c r="I856" s="1" t="s">
        <v>7952</v>
      </c>
      <c r="J856" s="1" t="s">
        <v>7953</v>
      </c>
      <c r="K856" s="1" t="s">
        <v>74</v>
      </c>
      <c r="L856" s="1" t="s">
        <v>74</v>
      </c>
      <c r="M856" s="1" t="s">
        <v>74</v>
      </c>
      <c r="N856" s="1" t="s">
        <v>74</v>
      </c>
      <c r="O856" s="1" t="s">
        <v>7954</v>
      </c>
      <c r="P856" s="1" t="s">
        <v>7955</v>
      </c>
      <c r="Q856" s="1" t="s">
        <v>7956</v>
      </c>
      <c r="R856" s="1" t="s">
        <v>7957</v>
      </c>
      <c r="S856" s="1" t="s">
        <v>74</v>
      </c>
      <c r="T856" s="1" t="s">
        <v>74</v>
      </c>
      <c r="U856" s="1" t="s">
        <v>74</v>
      </c>
      <c r="V856" s="1" t="s">
        <v>74</v>
      </c>
      <c r="W856" s="1" t="s">
        <v>74</v>
      </c>
      <c r="X856" s="1" t="s">
        <v>74</v>
      </c>
      <c r="Y856" s="1" t="s">
        <v>74</v>
      </c>
      <c r="Z856" s="1" t="s">
        <v>74</v>
      </c>
      <c r="AA856" s="1" t="s">
        <v>74</v>
      </c>
      <c r="AB856" s="1" t="s">
        <v>74</v>
      </c>
      <c r="AC856" s="1" t="s">
        <v>74</v>
      </c>
      <c r="AD856" s="1" t="s">
        <v>74</v>
      </c>
      <c r="AE856" s="1" t="s">
        <v>74</v>
      </c>
      <c r="AF856" s="1" t="s">
        <v>74</v>
      </c>
      <c r="AG856" s="1" t="s">
        <v>74</v>
      </c>
      <c r="AH856" s="1" t="s">
        <v>74</v>
      </c>
      <c r="AI856" s="1" t="s">
        <v>74</v>
      </c>
      <c r="AJ856" s="1" t="s">
        <v>74</v>
      </c>
      <c r="AK856" s="1" t="s">
        <v>74</v>
      </c>
      <c r="AL856" s="1" t="s">
        <v>74</v>
      </c>
      <c r="AM856" s="1" t="s">
        <v>74</v>
      </c>
      <c r="AN856" s="1" t="s">
        <v>74</v>
      </c>
      <c r="AO856" s="1" t="s">
        <v>7958</v>
      </c>
      <c r="AP856" s="1" t="s">
        <v>74</v>
      </c>
      <c r="AQ856" s="1" t="s">
        <v>74</v>
      </c>
      <c r="AR856" s="1" t="s">
        <v>74</v>
      </c>
      <c r="AS856" s="1" t="s">
        <v>74</v>
      </c>
      <c r="AT856" s="1" t="s">
        <v>74</v>
      </c>
      <c r="AU856" s="1">
        <v>2009.0</v>
      </c>
      <c r="AV856" s="1" t="s">
        <v>74</v>
      </c>
      <c r="AW856" s="1" t="s">
        <v>74</v>
      </c>
      <c r="AX856" s="1" t="s">
        <v>74</v>
      </c>
      <c r="AY856" s="1" t="s">
        <v>1511</v>
      </c>
      <c r="AZ856" s="1" t="s">
        <v>74</v>
      </c>
      <c r="BA856" s="1">
        <v>321.0</v>
      </c>
      <c r="BB856" s="1">
        <v>120.0</v>
      </c>
      <c r="BC856" s="1">
        <v>120.0</v>
      </c>
      <c r="BD856" s="1" t="s">
        <v>74</v>
      </c>
      <c r="BE856" s="1" t="s">
        <v>74</v>
      </c>
      <c r="BF856" s="1" t="s">
        <v>74</v>
      </c>
      <c r="BG856" s="1" t="s">
        <v>74</v>
      </c>
      <c r="BH856" s="1" t="s">
        <v>74</v>
      </c>
      <c r="BI856" s="1" t="s">
        <v>74</v>
      </c>
      <c r="BJ856" s="1" t="s">
        <v>74</v>
      </c>
      <c r="BK856" s="1" t="s">
        <v>74</v>
      </c>
      <c r="BL856" s="1" t="s">
        <v>74</v>
      </c>
      <c r="BM856" s="1" t="s">
        <v>74</v>
      </c>
      <c r="BN856" s="1" t="s">
        <v>74</v>
      </c>
      <c r="BO856" s="1" t="s">
        <v>74</v>
      </c>
      <c r="BP856" s="1" t="s">
        <v>74</v>
      </c>
      <c r="BQ856" s="1" t="s">
        <v>74</v>
      </c>
      <c r="BR856" s="1" t="s">
        <v>74</v>
      </c>
      <c r="BS856" s="1" t="s">
        <v>7959</v>
      </c>
      <c r="BT856" s="1" t="str">
        <f>HYPERLINK("https%3A%2F%2Fwww.webofscience.com%2Fwos%2Fwoscc%2Ffull-record%2FWOS:000273605500309","View Full Record in Web of Science")</f>
        <v>View Full Record in Web of Science</v>
      </c>
    </row>
    <row r="857" ht="12.75" customHeight="1">
      <c r="A857" s="1" t="s">
        <v>72</v>
      </c>
      <c r="B857" s="1" t="s">
        <v>7960</v>
      </c>
      <c r="C857" s="1" t="s">
        <v>74</v>
      </c>
      <c r="D857" s="1" t="s">
        <v>74</v>
      </c>
      <c r="E857" s="1" t="s">
        <v>74</v>
      </c>
      <c r="F857" s="1" t="s">
        <v>7961</v>
      </c>
      <c r="G857" s="1" t="s">
        <v>74</v>
      </c>
      <c r="H857" s="1" t="s">
        <v>74</v>
      </c>
      <c r="I857" s="1" t="s">
        <v>7962</v>
      </c>
      <c r="J857" s="1" t="s">
        <v>7963</v>
      </c>
      <c r="K857" s="1" t="s">
        <v>74</v>
      </c>
      <c r="L857" s="1" t="s">
        <v>74</v>
      </c>
      <c r="M857" s="1" t="s">
        <v>74</v>
      </c>
      <c r="N857" s="1" t="s">
        <v>74</v>
      </c>
      <c r="O857" s="1" t="s">
        <v>74</v>
      </c>
      <c r="P857" s="1" t="s">
        <v>74</v>
      </c>
      <c r="Q857" s="1" t="s">
        <v>74</v>
      </c>
      <c r="R857" s="1" t="s">
        <v>74</v>
      </c>
      <c r="S857" s="1" t="s">
        <v>74</v>
      </c>
      <c r="T857" s="1" t="s">
        <v>74</v>
      </c>
      <c r="U857" s="1" t="s">
        <v>74</v>
      </c>
      <c r="V857" s="1" t="s">
        <v>7964</v>
      </c>
      <c r="W857" s="1" t="s">
        <v>74</v>
      </c>
      <c r="X857" s="1" t="s">
        <v>74</v>
      </c>
      <c r="Y857" s="1" t="s">
        <v>74</v>
      </c>
      <c r="Z857" s="1" t="s">
        <v>74</v>
      </c>
      <c r="AA857" s="1" t="s">
        <v>7965</v>
      </c>
      <c r="AB857" s="1" t="s">
        <v>74</v>
      </c>
      <c r="AC857" s="1" t="s">
        <v>74</v>
      </c>
      <c r="AD857" s="1" t="s">
        <v>74</v>
      </c>
      <c r="AE857" s="1" t="s">
        <v>74</v>
      </c>
      <c r="AF857" s="1" t="s">
        <v>74</v>
      </c>
      <c r="AG857" s="1" t="s">
        <v>74</v>
      </c>
      <c r="AH857" s="1" t="s">
        <v>74</v>
      </c>
      <c r="AI857" s="1" t="s">
        <v>74</v>
      </c>
      <c r="AJ857" s="1" t="s">
        <v>74</v>
      </c>
      <c r="AK857" s="1" t="s">
        <v>74</v>
      </c>
      <c r="AL857" s="1" t="s">
        <v>74</v>
      </c>
      <c r="AM857" s="1" t="s">
        <v>74</v>
      </c>
      <c r="AN857" s="1" t="s">
        <v>74</v>
      </c>
      <c r="AO857" s="1" t="s">
        <v>7966</v>
      </c>
      <c r="AP857" s="1" t="s">
        <v>74</v>
      </c>
      <c r="AQ857" s="1" t="s">
        <v>74</v>
      </c>
      <c r="AR857" s="1" t="s">
        <v>74</v>
      </c>
      <c r="AS857" s="1" t="s">
        <v>74</v>
      </c>
      <c r="AT857" s="1" t="s">
        <v>135</v>
      </c>
      <c r="AU857" s="1">
        <v>2007.0</v>
      </c>
      <c r="AV857" s="1">
        <v>57.0</v>
      </c>
      <c r="AW857" s="1">
        <v>3.0</v>
      </c>
      <c r="AX857" s="1" t="s">
        <v>74</v>
      </c>
      <c r="AY857" s="1" t="s">
        <v>74</v>
      </c>
      <c r="AZ857" s="1" t="s">
        <v>74</v>
      </c>
      <c r="BA857" s="1" t="s">
        <v>74</v>
      </c>
      <c r="BB857" s="1">
        <v>213.0</v>
      </c>
      <c r="BC857" s="1">
        <v>216.0</v>
      </c>
      <c r="BD857" s="1" t="s">
        <v>74</v>
      </c>
      <c r="BE857" s="1" t="s">
        <v>7967</v>
      </c>
      <c r="BF857" s="2" t="str">
        <f>HYPERLINK("http://dx.doi.org/10.1016/j.scriptamat.2007.04.006","http://dx.doi.org/10.1016/j.scriptamat.2007.04.006")</f>
        <v>http://dx.doi.org/10.1016/j.scriptamat.2007.04.006</v>
      </c>
      <c r="BG857" s="1" t="s">
        <v>74</v>
      </c>
      <c r="BH857" s="1" t="s">
        <v>74</v>
      </c>
      <c r="BI857" s="1" t="s">
        <v>74</v>
      </c>
      <c r="BJ857" s="1" t="s">
        <v>74</v>
      </c>
      <c r="BK857" s="1" t="s">
        <v>74</v>
      </c>
      <c r="BL857" s="1" t="s">
        <v>74</v>
      </c>
      <c r="BM857" s="1" t="s">
        <v>74</v>
      </c>
      <c r="BN857" s="1" t="s">
        <v>74</v>
      </c>
      <c r="BO857" s="1" t="s">
        <v>74</v>
      </c>
      <c r="BP857" s="1" t="s">
        <v>74</v>
      </c>
      <c r="BQ857" s="1" t="s">
        <v>74</v>
      </c>
      <c r="BR857" s="1" t="s">
        <v>74</v>
      </c>
      <c r="BS857" s="1" t="s">
        <v>7968</v>
      </c>
      <c r="BT857" s="1" t="str">
        <f>HYPERLINK("https%3A%2F%2Fwww.webofscience.com%2Fwos%2Fwoscc%2Ffull-record%2FWOS:000247406100009","View Full Record in Web of Science")</f>
        <v>View Full Record in Web of Science</v>
      </c>
    </row>
    <row r="858" ht="12.75" customHeight="1">
      <c r="A858" s="1" t="s">
        <v>72</v>
      </c>
      <c r="B858" s="1" t="s">
        <v>7969</v>
      </c>
      <c r="C858" s="1" t="s">
        <v>74</v>
      </c>
      <c r="D858" s="1" t="s">
        <v>74</v>
      </c>
      <c r="E858" s="1" t="s">
        <v>74</v>
      </c>
      <c r="F858" s="1" t="s">
        <v>7970</v>
      </c>
      <c r="G858" s="1" t="s">
        <v>74</v>
      </c>
      <c r="H858" s="1" t="s">
        <v>74</v>
      </c>
      <c r="I858" s="1" t="s">
        <v>7971</v>
      </c>
      <c r="J858" s="1" t="s">
        <v>7972</v>
      </c>
      <c r="K858" s="1" t="s">
        <v>74</v>
      </c>
      <c r="L858" s="1" t="s">
        <v>74</v>
      </c>
      <c r="M858" s="1" t="s">
        <v>74</v>
      </c>
      <c r="N858" s="1" t="s">
        <v>74</v>
      </c>
      <c r="O858" s="1" t="s">
        <v>7973</v>
      </c>
      <c r="P858" s="1" t="s">
        <v>7974</v>
      </c>
      <c r="Q858" s="1" t="s">
        <v>7975</v>
      </c>
      <c r="R858" s="1" t="s">
        <v>7976</v>
      </c>
      <c r="S858" s="1" t="s">
        <v>74</v>
      </c>
      <c r="T858" s="1" t="s">
        <v>74</v>
      </c>
      <c r="U858" s="1" t="s">
        <v>74</v>
      </c>
      <c r="V858" s="1" t="s">
        <v>7977</v>
      </c>
      <c r="W858" s="1" t="s">
        <v>74</v>
      </c>
      <c r="X858" s="1" t="s">
        <v>74</v>
      </c>
      <c r="Y858" s="1" t="s">
        <v>74</v>
      </c>
      <c r="Z858" s="1" t="s">
        <v>74</v>
      </c>
      <c r="AA858" s="1" t="s">
        <v>7978</v>
      </c>
      <c r="AB858" s="1" t="s">
        <v>7979</v>
      </c>
      <c r="AC858" s="1" t="s">
        <v>74</v>
      </c>
      <c r="AD858" s="1" t="s">
        <v>74</v>
      </c>
      <c r="AE858" s="1" t="s">
        <v>74</v>
      </c>
      <c r="AF858" s="1" t="s">
        <v>74</v>
      </c>
      <c r="AG858" s="1" t="s">
        <v>74</v>
      </c>
      <c r="AH858" s="1" t="s">
        <v>74</v>
      </c>
      <c r="AI858" s="1" t="s">
        <v>74</v>
      </c>
      <c r="AJ858" s="1" t="s">
        <v>74</v>
      </c>
      <c r="AK858" s="1" t="s">
        <v>74</v>
      </c>
      <c r="AL858" s="1" t="s">
        <v>74</v>
      </c>
      <c r="AM858" s="1" t="s">
        <v>74</v>
      </c>
      <c r="AN858" s="1" t="s">
        <v>74</v>
      </c>
      <c r="AO858" s="1" t="s">
        <v>7980</v>
      </c>
      <c r="AP858" s="1" t="s">
        <v>7981</v>
      </c>
      <c r="AQ858" s="1" t="s">
        <v>74</v>
      </c>
      <c r="AR858" s="1" t="s">
        <v>74</v>
      </c>
      <c r="AS858" s="1" t="s">
        <v>74</v>
      </c>
      <c r="AT858" s="1" t="s">
        <v>5666</v>
      </c>
      <c r="AU858" s="1">
        <v>2007.0</v>
      </c>
      <c r="AV858" s="1">
        <v>48.0</v>
      </c>
      <c r="AW858" s="1">
        <v>16.0</v>
      </c>
      <c r="AX858" s="1" t="s">
        <v>74</v>
      </c>
      <c r="AY858" s="1" t="s">
        <v>74</v>
      </c>
      <c r="AZ858" s="1" t="s">
        <v>74</v>
      </c>
      <c r="BA858" s="1" t="s">
        <v>74</v>
      </c>
      <c r="BB858" s="1">
        <v>4646.0</v>
      </c>
      <c r="BC858" s="1">
        <v>4652.0</v>
      </c>
      <c r="BD858" s="1" t="s">
        <v>74</v>
      </c>
      <c r="BE858" s="1" t="s">
        <v>7982</v>
      </c>
      <c r="BF858" s="2" t="str">
        <f>HYPERLINK("http://dx.doi.org/10.1016/j.polymer.2007.06.009","http://dx.doi.org/10.1016/j.polymer.2007.06.009")</f>
        <v>http://dx.doi.org/10.1016/j.polymer.2007.06.009</v>
      </c>
      <c r="BG858" s="1" t="s">
        <v>74</v>
      </c>
      <c r="BH858" s="1" t="s">
        <v>74</v>
      </c>
      <c r="BI858" s="1" t="s">
        <v>74</v>
      </c>
      <c r="BJ858" s="1" t="s">
        <v>74</v>
      </c>
      <c r="BK858" s="1" t="s">
        <v>74</v>
      </c>
      <c r="BL858" s="1" t="s">
        <v>74</v>
      </c>
      <c r="BM858" s="1" t="s">
        <v>74</v>
      </c>
      <c r="BN858" s="1" t="s">
        <v>74</v>
      </c>
      <c r="BO858" s="1" t="s">
        <v>74</v>
      </c>
      <c r="BP858" s="1" t="s">
        <v>74</v>
      </c>
      <c r="BQ858" s="1" t="s">
        <v>74</v>
      </c>
      <c r="BR858" s="1" t="s">
        <v>74</v>
      </c>
      <c r="BS858" s="1" t="s">
        <v>7983</v>
      </c>
      <c r="BT858" s="1" t="str">
        <f>HYPERLINK("https%3A%2F%2Fwww.webofscience.com%2Fwos%2Fwoscc%2Ffull-record%2FWOS:000248860400005","View Full Record in Web of Science")</f>
        <v>View Full Record in Web of Science</v>
      </c>
    </row>
    <row r="859" ht="12.75" customHeight="1">
      <c r="A859" s="1" t="s">
        <v>72</v>
      </c>
      <c r="B859" s="1" t="s">
        <v>7984</v>
      </c>
      <c r="C859" s="1" t="s">
        <v>74</v>
      </c>
      <c r="D859" s="1" t="s">
        <v>74</v>
      </c>
      <c r="E859" s="1" t="s">
        <v>74</v>
      </c>
      <c r="F859" s="1" t="s">
        <v>7984</v>
      </c>
      <c r="G859" s="1" t="s">
        <v>74</v>
      </c>
      <c r="H859" s="1" t="s">
        <v>74</v>
      </c>
      <c r="I859" s="1" t="s">
        <v>7985</v>
      </c>
      <c r="J859" s="1" t="s">
        <v>7986</v>
      </c>
      <c r="K859" s="1" t="s">
        <v>74</v>
      </c>
      <c r="L859" s="1" t="s">
        <v>74</v>
      </c>
      <c r="M859" s="1" t="s">
        <v>74</v>
      </c>
      <c r="N859" s="1" t="s">
        <v>74</v>
      </c>
      <c r="O859" s="1" t="s">
        <v>74</v>
      </c>
      <c r="P859" s="1" t="s">
        <v>74</v>
      </c>
      <c r="Q859" s="1" t="s">
        <v>74</v>
      </c>
      <c r="R859" s="1" t="s">
        <v>74</v>
      </c>
      <c r="S859" s="1" t="s">
        <v>74</v>
      </c>
      <c r="T859" s="1" t="s">
        <v>74</v>
      </c>
      <c r="U859" s="1" t="s">
        <v>74</v>
      </c>
      <c r="V859" s="1" t="s">
        <v>7987</v>
      </c>
      <c r="W859" s="1" t="s">
        <v>74</v>
      </c>
      <c r="X859" s="1" t="s">
        <v>74</v>
      </c>
      <c r="Y859" s="1" t="s">
        <v>74</v>
      </c>
      <c r="Z859" s="1" t="s">
        <v>74</v>
      </c>
      <c r="AA859" s="1" t="s">
        <v>7988</v>
      </c>
      <c r="AB859" s="1" t="s">
        <v>456</v>
      </c>
      <c r="AC859" s="1" t="s">
        <v>74</v>
      </c>
      <c r="AD859" s="1" t="s">
        <v>74</v>
      </c>
      <c r="AE859" s="1" t="s">
        <v>74</v>
      </c>
      <c r="AF859" s="1" t="s">
        <v>74</v>
      </c>
      <c r="AG859" s="1" t="s">
        <v>74</v>
      </c>
      <c r="AH859" s="1" t="s">
        <v>74</v>
      </c>
      <c r="AI859" s="1" t="s">
        <v>74</v>
      </c>
      <c r="AJ859" s="1" t="s">
        <v>74</v>
      </c>
      <c r="AK859" s="1" t="s">
        <v>74</v>
      </c>
      <c r="AL859" s="1" t="s">
        <v>74</v>
      </c>
      <c r="AM859" s="1" t="s">
        <v>74</v>
      </c>
      <c r="AN859" s="1" t="s">
        <v>74</v>
      </c>
      <c r="AO859" s="1" t="s">
        <v>7989</v>
      </c>
      <c r="AP859" s="1" t="s">
        <v>74</v>
      </c>
      <c r="AQ859" s="1" t="s">
        <v>74</v>
      </c>
      <c r="AR859" s="1" t="s">
        <v>74</v>
      </c>
      <c r="AS859" s="1" t="s">
        <v>74</v>
      </c>
      <c r="AT859" s="1" t="s">
        <v>215</v>
      </c>
      <c r="AU859" s="1">
        <v>2003.0</v>
      </c>
      <c r="AV859" s="1">
        <v>50.0</v>
      </c>
      <c r="AW859" s="1">
        <v>3.0</v>
      </c>
      <c r="AX859" s="1">
        <v>1.0</v>
      </c>
      <c r="AY859" s="1" t="s">
        <v>74</v>
      </c>
      <c r="AZ859" s="1" t="s">
        <v>74</v>
      </c>
      <c r="BA859" s="1" t="s">
        <v>74</v>
      </c>
      <c r="BB859" s="1">
        <v>307.0</v>
      </c>
      <c r="BC859" s="1">
        <v>312.0</v>
      </c>
      <c r="BD859" s="1" t="s">
        <v>74</v>
      </c>
      <c r="BE859" s="1" t="s">
        <v>7990</v>
      </c>
      <c r="BF859" s="2" t="str">
        <f>HYPERLINK("http://dx.doi.org/10.1109/TNS.2003.812430","http://dx.doi.org/10.1109/TNS.2003.812430")</f>
        <v>http://dx.doi.org/10.1109/TNS.2003.812430</v>
      </c>
      <c r="BG859" s="1" t="s">
        <v>74</v>
      </c>
      <c r="BH859" s="1" t="s">
        <v>74</v>
      </c>
      <c r="BI859" s="1" t="s">
        <v>74</v>
      </c>
      <c r="BJ859" s="1" t="s">
        <v>74</v>
      </c>
      <c r="BK859" s="1" t="s">
        <v>74</v>
      </c>
      <c r="BL859" s="1" t="s">
        <v>74</v>
      </c>
      <c r="BM859" s="1" t="s">
        <v>74</v>
      </c>
      <c r="BN859" s="1" t="s">
        <v>74</v>
      </c>
      <c r="BO859" s="1" t="s">
        <v>74</v>
      </c>
      <c r="BP859" s="1" t="s">
        <v>74</v>
      </c>
      <c r="BQ859" s="1" t="s">
        <v>74</v>
      </c>
      <c r="BR859" s="1" t="s">
        <v>74</v>
      </c>
      <c r="BS859" s="1" t="s">
        <v>7991</v>
      </c>
      <c r="BT859" s="1" t="str">
        <f>HYPERLINK("https%3A%2F%2Fwww.webofscience.com%2Fwos%2Fwoscc%2Ffull-record%2FWOS:000183933100003","View Full Record in Web of Science")</f>
        <v>View Full Record in Web of Science</v>
      </c>
    </row>
    <row r="860" ht="12.75" customHeight="1">
      <c r="A860" s="1" t="s">
        <v>72</v>
      </c>
      <c r="B860" s="1" t="s">
        <v>7992</v>
      </c>
      <c r="C860" s="1" t="s">
        <v>74</v>
      </c>
      <c r="D860" s="1" t="s">
        <v>74</v>
      </c>
      <c r="E860" s="1" t="s">
        <v>74</v>
      </c>
      <c r="F860" s="1" t="s">
        <v>7992</v>
      </c>
      <c r="G860" s="1" t="s">
        <v>74</v>
      </c>
      <c r="H860" s="1" t="s">
        <v>74</v>
      </c>
      <c r="I860" s="1" t="s">
        <v>7993</v>
      </c>
      <c r="J860" s="1" t="s">
        <v>2395</v>
      </c>
      <c r="K860" s="1" t="s">
        <v>74</v>
      </c>
      <c r="L860" s="1" t="s">
        <v>74</v>
      </c>
      <c r="M860" s="1" t="s">
        <v>74</v>
      </c>
      <c r="N860" s="1" t="s">
        <v>74</v>
      </c>
      <c r="O860" s="1" t="s">
        <v>74</v>
      </c>
      <c r="P860" s="1" t="s">
        <v>74</v>
      </c>
      <c r="Q860" s="1" t="s">
        <v>74</v>
      </c>
      <c r="R860" s="1" t="s">
        <v>74</v>
      </c>
      <c r="S860" s="1" t="s">
        <v>74</v>
      </c>
      <c r="T860" s="1" t="s">
        <v>74</v>
      </c>
      <c r="U860" s="1" t="s">
        <v>74</v>
      </c>
      <c r="V860" s="1" t="s">
        <v>7994</v>
      </c>
      <c r="W860" s="1" t="s">
        <v>74</v>
      </c>
      <c r="X860" s="1" t="s">
        <v>74</v>
      </c>
      <c r="Y860" s="1" t="s">
        <v>74</v>
      </c>
      <c r="Z860" s="1" t="s">
        <v>74</v>
      </c>
      <c r="AA860" s="1" t="s">
        <v>7995</v>
      </c>
      <c r="AB860" s="1" t="s">
        <v>7996</v>
      </c>
      <c r="AC860" s="1" t="s">
        <v>74</v>
      </c>
      <c r="AD860" s="1" t="s">
        <v>74</v>
      </c>
      <c r="AE860" s="1" t="s">
        <v>74</v>
      </c>
      <c r="AF860" s="1" t="s">
        <v>74</v>
      </c>
      <c r="AG860" s="1" t="s">
        <v>74</v>
      </c>
      <c r="AH860" s="1" t="s">
        <v>74</v>
      </c>
      <c r="AI860" s="1" t="s">
        <v>74</v>
      </c>
      <c r="AJ860" s="1" t="s">
        <v>74</v>
      </c>
      <c r="AK860" s="1" t="s">
        <v>74</v>
      </c>
      <c r="AL860" s="1" t="s">
        <v>74</v>
      </c>
      <c r="AM860" s="1" t="s">
        <v>74</v>
      </c>
      <c r="AN860" s="1" t="s">
        <v>74</v>
      </c>
      <c r="AO860" s="1" t="s">
        <v>2397</v>
      </c>
      <c r="AP860" s="1" t="s">
        <v>74</v>
      </c>
      <c r="AQ860" s="1" t="s">
        <v>74</v>
      </c>
      <c r="AR860" s="1" t="s">
        <v>74</v>
      </c>
      <c r="AS860" s="1" t="s">
        <v>74</v>
      </c>
      <c r="AT860" s="1" t="s">
        <v>4583</v>
      </c>
      <c r="AU860" s="1">
        <v>2002.0</v>
      </c>
      <c r="AV860" s="1">
        <v>152.0</v>
      </c>
      <c r="AW860" s="1" t="s">
        <v>1614</v>
      </c>
      <c r="AX860" s="1" t="s">
        <v>74</v>
      </c>
      <c r="AY860" s="1" t="s">
        <v>74</v>
      </c>
      <c r="AZ860" s="1" t="s">
        <v>74</v>
      </c>
      <c r="BA860" s="1" t="s">
        <v>74</v>
      </c>
      <c r="BB860" s="1">
        <v>79.0</v>
      </c>
      <c r="BC860" s="1">
        <v>93.0</v>
      </c>
      <c r="BD860" s="1" t="s">
        <v>7997</v>
      </c>
      <c r="BE860" s="1" t="s">
        <v>7998</v>
      </c>
      <c r="BF860" s="2" t="str">
        <f>HYPERLINK("http://dx.doi.org/10.1016/S1010-6030(02)00209-5","http://dx.doi.org/10.1016/S1010-6030(02)00209-5")</f>
        <v>http://dx.doi.org/10.1016/S1010-6030(02)00209-5</v>
      </c>
      <c r="BG860" s="1" t="s">
        <v>74</v>
      </c>
      <c r="BH860" s="1" t="s">
        <v>74</v>
      </c>
      <c r="BI860" s="1" t="s">
        <v>74</v>
      </c>
      <c r="BJ860" s="1" t="s">
        <v>74</v>
      </c>
      <c r="BK860" s="1" t="s">
        <v>74</v>
      </c>
      <c r="BL860" s="1" t="s">
        <v>74</v>
      </c>
      <c r="BM860" s="1" t="s">
        <v>74</v>
      </c>
      <c r="BN860" s="1" t="s">
        <v>74</v>
      </c>
      <c r="BO860" s="1" t="s">
        <v>74</v>
      </c>
      <c r="BP860" s="1" t="s">
        <v>74</v>
      </c>
      <c r="BQ860" s="1" t="s">
        <v>74</v>
      </c>
      <c r="BR860" s="1" t="s">
        <v>74</v>
      </c>
      <c r="BS860" s="1" t="s">
        <v>7999</v>
      </c>
      <c r="BT860" s="1" t="str">
        <f>HYPERLINK("https%3A%2F%2Fwww.webofscience.com%2Fwos%2Fwoscc%2Ffull-record%2FWOS:000178202600010","View Full Record in Web of Science")</f>
        <v>View Full Record in Web of Science</v>
      </c>
    </row>
    <row r="861" ht="12.75" customHeight="1">
      <c r="A861" s="1" t="s">
        <v>72</v>
      </c>
      <c r="B861" s="1" t="s">
        <v>8000</v>
      </c>
      <c r="C861" s="1" t="s">
        <v>74</v>
      </c>
      <c r="D861" s="1" t="s">
        <v>74</v>
      </c>
      <c r="E861" s="1" t="s">
        <v>74</v>
      </c>
      <c r="F861" s="1" t="s">
        <v>8000</v>
      </c>
      <c r="G861" s="1" t="s">
        <v>74</v>
      </c>
      <c r="H861" s="1" t="s">
        <v>74</v>
      </c>
      <c r="I861" s="1" t="s">
        <v>8001</v>
      </c>
      <c r="J861" s="1" t="s">
        <v>8002</v>
      </c>
      <c r="K861" s="1" t="s">
        <v>74</v>
      </c>
      <c r="L861" s="1" t="s">
        <v>74</v>
      </c>
      <c r="M861" s="1" t="s">
        <v>74</v>
      </c>
      <c r="N861" s="1" t="s">
        <v>74</v>
      </c>
      <c r="O861" s="1" t="s">
        <v>74</v>
      </c>
      <c r="P861" s="1" t="s">
        <v>74</v>
      </c>
      <c r="Q861" s="1" t="s">
        <v>74</v>
      </c>
      <c r="R861" s="1" t="s">
        <v>74</v>
      </c>
      <c r="S861" s="1" t="s">
        <v>74</v>
      </c>
      <c r="T861" s="1" t="s">
        <v>74</v>
      </c>
      <c r="U861" s="1" t="s">
        <v>74</v>
      </c>
      <c r="V861" s="1" t="s">
        <v>8003</v>
      </c>
      <c r="W861" s="1" t="s">
        <v>74</v>
      </c>
      <c r="X861" s="1" t="s">
        <v>74</v>
      </c>
      <c r="Y861" s="1" t="s">
        <v>74</v>
      </c>
      <c r="Z861" s="1" t="s">
        <v>74</v>
      </c>
      <c r="AA861" s="1" t="s">
        <v>74</v>
      </c>
      <c r="AB861" s="1" t="s">
        <v>74</v>
      </c>
      <c r="AC861" s="1" t="s">
        <v>74</v>
      </c>
      <c r="AD861" s="1" t="s">
        <v>74</v>
      </c>
      <c r="AE861" s="1" t="s">
        <v>74</v>
      </c>
      <c r="AF861" s="1" t="s">
        <v>74</v>
      </c>
      <c r="AG861" s="1" t="s">
        <v>74</v>
      </c>
      <c r="AH861" s="1" t="s">
        <v>74</v>
      </c>
      <c r="AI861" s="1" t="s">
        <v>74</v>
      </c>
      <c r="AJ861" s="1" t="s">
        <v>74</v>
      </c>
      <c r="AK861" s="1" t="s">
        <v>74</v>
      </c>
      <c r="AL861" s="1" t="s">
        <v>74</v>
      </c>
      <c r="AM861" s="1" t="s">
        <v>74</v>
      </c>
      <c r="AN861" s="1" t="s">
        <v>74</v>
      </c>
      <c r="AO861" s="1" t="s">
        <v>8004</v>
      </c>
      <c r="AP861" s="1" t="s">
        <v>8005</v>
      </c>
      <c r="AQ861" s="1" t="s">
        <v>74</v>
      </c>
      <c r="AR861" s="1" t="s">
        <v>74</v>
      </c>
      <c r="AS861" s="1" t="s">
        <v>74</v>
      </c>
      <c r="AT861" s="1" t="s">
        <v>447</v>
      </c>
      <c r="AU861" s="1">
        <v>2001.0</v>
      </c>
      <c r="AV861" s="1">
        <v>57.0</v>
      </c>
      <c r="AW861" s="1">
        <v>491.0</v>
      </c>
      <c r="AX861" s="1" t="s">
        <v>74</v>
      </c>
      <c r="AY861" s="1" t="s">
        <v>74</v>
      </c>
      <c r="AZ861" s="1" t="s">
        <v>74</v>
      </c>
      <c r="BA861" s="1" t="s">
        <v>74</v>
      </c>
      <c r="BB861" s="1">
        <v>49.0</v>
      </c>
      <c r="BC861" s="1">
        <v>53.0</v>
      </c>
      <c r="BD861" s="1" t="s">
        <v>74</v>
      </c>
      <c r="BE861" s="1" t="s">
        <v>74</v>
      </c>
      <c r="BF861" s="1" t="s">
        <v>74</v>
      </c>
      <c r="BG861" s="1" t="s">
        <v>74</v>
      </c>
      <c r="BH861" s="1" t="s">
        <v>74</v>
      </c>
      <c r="BI861" s="1" t="s">
        <v>74</v>
      </c>
      <c r="BJ861" s="1" t="s">
        <v>74</v>
      </c>
      <c r="BK861" s="1" t="s">
        <v>74</v>
      </c>
      <c r="BL861" s="1" t="s">
        <v>74</v>
      </c>
      <c r="BM861" s="1" t="s">
        <v>74</v>
      </c>
      <c r="BN861" s="1" t="s">
        <v>74</v>
      </c>
      <c r="BO861" s="1" t="s">
        <v>74</v>
      </c>
      <c r="BP861" s="1" t="s">
        <v>74</v>
      </c>
      <c r="BQ861" s="1" t="s">
        <v>74</v>
      </c>
      <c r="BR861" s="1" t="s">
        <v>74</v>
      </c>
      <c r="BS861" s="1" t="s">
        <v>8006</v>
      </c>
      <c r="BT861" s="1" t="str">
        <f>HYPERLINK("https%3A%2F%2Fwww.webofscience.com%2Fwos%2Fwoscc%2Ffull-record%2FWOS:000168230700010","View Full Record in Web of Science")</f>
        <v>View Full Record in Web of Science</v>
      </c>
    </row>
    <row r="862" ht="12.75" customHeight="1">
      <c r="A862" s="1" t="s">
        <v>72</v>
      </c>
      <c r="B862" s="1" t="s">
        <v>8007</v>
      </c>
      <c r="C862" s="1" t="s">
        <v>74</v>
      </c>
      <c r="D862" s="1" t="s">
        <v>74</v>
      </c>
      <c r="E862" s="1" t="s">
        <v>74</v>
      </c>
      <c r="F862" s="1" t="s">
        <v>8007</v>
      </c>
      <c r="G862" s="1" t="s">
        <v>74</v>
      </c>
      <c r="H862" s="1" t="s">
        <v>74</v>
      </c>
      <c r="I862" s="1" t="s">
        <v>8008</v>
      </c>
      <c r="J862" s="1" t="s">
        <v>5441</v>
      </c>
      <c r="K862" s="1" t="s">
        <v>74</v>
      </c>
      <c r="L862" s="1" t="s">
        <v>74</v>
      </c>
      <c r="M862" s="1" t="s">
        <v>74</v>
      </c>
      <c r="N862" s="1" t="s">
        <v>74</v>
      </c>
      <c r="O862" s="1" t="s">
        <v>74</v>
      </c>
      <c r="P862" s="1" t="s">
        <v>74</v>
      </c>
      <c r="Q862" s="1" t="s">
        <v>74</v>
      </c>
      <c r="R862" s="1" t="s">
        <v>74</v>
      </c>
      <c r="S862" s="1" t="s">
        <v>74</v>
      </c>
      <c r="T862" s="1" t="s">
        <v>74</v>
      </c>
      <c r="U862" s="1" t="s">
        <v>74</v>
      </c>
      <c r="V862" s="1" t="s">
        <v>8009</v>
      </c>
      <c r="W862" s="1" t="s">
        <v>74</v>
      </c>
      <c r="X862" s="1" t="s">
        <v>74</v>
      </c>
      <c r="Y862" s="1" t="s">
        <v>74</v>
      </c>
      <c r="Z862" s="1" t="s">
        <v>74</v>
      </c>
      <c r="AA862" s="1" t="s">
        <v>3418</v>
      </c>
      <c r="AB862" s="1" t="s">
        <v>8010</v>
      </c>
      <c r="AC862" s="1" t="s">
        <v>74</v>
      </c>
      <c r="AD862" s="1" t="s">
        <v>74</v>
      </c>
      <c r="AE862" s="1" t="s">
        <v>74</v>
      </c>
      <c r="AF862" s="1" t="s">
        <v>74</v>
      </c>
      <c r="AG862" s="1" t="s">
        <v>74</v>
      </c>
      <c r="AH862" s="1" t="s">
        <v>74</v>
      </c>
      <c r="AI862" s="1" t="s">
        <v>74</v>
      </c>
      <c r="AJ862" s="1" t="s">
        <v>74</v>
      </c>
      <c r="AK862" s="1" t="s">
        <v>74</v>
      </c>
      <c r="AL862" s="1" t="s">
        <v>74</v>
      </c>
      <c r="AM862" s="1" t="s">
        <v>74</v>
      </c>
      <c r="AN862" s="1" t="s">
        <v>74</v>
      </c>
      <c r="AO862" s="1" t="s">
        <v>5445</v>
      </c>
      <c r="AP862" s="1" t="s">
        <v>5446</v>
      </c>
      <c r="AQ862" s="1" t="s">
        <v>74</v>
      </c>
      <c r="AR862" s="1" t="s">
        <v>74</v>
      </c>
      <c r="AS862" s="1" t="s">
        <v>74</v>
      </c>
      <c r="AT862" s="1" t="s">
        <v>74</v>
      </c>
      <c r="AU862" s="1">
        <v>2001.0</v>
      </c>
      <c r="AV862" s="1">
        <v>34.0</v>
      </c>
      <c r="AW862" s="1">
        <v>1.0</v>
      </c>
      <c r="AX862" s="1" t="s">
        <v>74</v>
      </c>
      <c r="AY862" s="1" t="s">
        <v>74</v>
      </c>
      <c r="AZ862" s="1" t="s">
        <v>74</v>
      </c>
      <c r="BA862" s="1" t="s">
        <v>74</v>
      </c>
      <c r="BB862" s="1">
        <v>15.0</v>
      </c>
      <c r="BC862" s="1">
        <v>21.0</v>
      </c>
      <c r="BD862" s="1" t="s">
        <v>74</v>
      </c>
      <c r="BE862" s="1" t="s">
        <v>74</v>
      </c>
      <c r="BF862" s="1" t="s">
        <v>74</v>
      </c>
      <c r="BG862" s="1" t="s">
        <v>74</v>
      </c>
      <c r="BH862" s="1" t="s">
        <v>74</v>
      </c>
      <c r="BI862" s="1" t="s">
        <v>74</v>
      </c>
      <c r="BJ862" s="1" t="s">
        <v>74</v>
      </c>
      <c r="BK862" s="1" t="s">
        <v>74</v>
      </c>
      <c r="BL862" s="1" t="s">
        <v>74</v>
      </c>
      <c r="BM862" s="1" t="s">
        <v>74</v>
      </c>
      <c r="BN862" s="1">
        <v>1.1471519E7</v>
      </c>
      <c r="BO862" s="1" t="s">
        <v>74</v>
      </c>
      <c r="BP862" s="1" t="s">
        <v>74</v>
      </c>
      <c r="BQ862" s="1" t="s">
        <v>74</v>
      </c>
      <c r="BR862" s="1" t="s">
        <v>74</v>
      </c>
      <c r="BS862" s="1" t="s">
        <v>8011</v>
      </c>
      <c r="BT862" s="1" t="str">
        <f>HYPERLINK("https%3A%2F%2Fwww.webofscience.com%2Fwos%2Fwoscc%2Ffull-record%2FWOS:000169589200006","View Full Record in Web of Science")</f>
        <v>View Full Record in Web of Science</v>
      </c>
    </row>
    <row r="863" ht="12.75" customHeight="1">
      <c r="A863" s="1" t="s">
        <v>72</v>
      </c>
      <c r="B863" s="1" t="s">
        <v>8012</v>
      </c>
      <c r="C863" s="1" t="s">
        <v>74</v>
      </c>
      <c r="D863" s="1" t="s">
        <v>74</v>
      </c>
      <c r="E863" s="1" t="s">
        <v>74</v>
      </c>
      <c r="F863" s="1" t="s">
        <v>8012</v>
      </c>
      <c r="G863" s="1" t="s">
        <v>74</v>
      </c>
      <c r="H863" s="1" t="s">
        <v>74</v>
      </c>
      <c r="I863" s="1" t="s">
        <v>8013</v>
      </c>
      <c r="J863" s="1" t="s">
        <v>6586</v>
      </c>
      <c r="K863" s="1" t="s">
        <v>74</v>
      </c>
      <c r="L863" s="1" t="s">
        <v>74</v>
      </c>
      <c r="M863" s="1" t="s">
        <v>74</v>
      </c>
      <c r="N863" s="1" t="s">
        <v>74</v>
      </c>
      <c r="O863" s="1" t="s">
        <v>74</v>
      </c>
      <c r="P863" s="1" t="s">
        <v>74</v>
      </c>
      <c r="Q863" s="1" t="s">
        <v>74</v>
      </c>
      <c r="R863" s="1" t="s">
        <v>74</v>
      </c>
      <c r="S863" s="1" t="s">
        <v>74</v>
      </c>
      <c r="T863" s="1" t="s">
        <v>74</v>
      </c>
      <c r="U863" s="1" t="s">
        <v>74</v>
      </c>
      <c r="V863" s="1" t="s">
        <v>8014</v>
      </c>
      <c r="W863" s="1" t="s">
        <v>74</v>
      </c>
      <c r="X863" s="1" t="s">
        <v>74</v>
      </c>
      <c r="Y863" s="1" t="s">
        <v>74</v>
      </c>
      <c r="Z863" s="1" t="s">
        <v>74</v>
      </c>
      <c r="AA863" s="1" t="s">
        <v>8015</v>
      </c>
      <c r="AB863" s="1" t="s">
        <v>8016</v>
      </c>
      <c r="AC863" s="1" t="s">
        <v>74</v>
      </c>
      <c r="AD863" s="1" t="s">
        <v>74</v>
      </c>
      <c r="AE863" s="1" t="s">
        <v>74</v>
      </c>
      <c r="AF863" s="1" t="s">
        <v>74</v>
      </c>
      <c r="AG863" s="1" t="s">
        <v>74</v>
      </c>
      <c r="AH863" s="1" t="s">
        <v>74</v>
      </c>
      <c r="AI863" s="1" t="s">
        <v>74</v>
      </c>
      <c r="AJ863" s="1" t="s">
        <v>74</v>
      </c>
      <c r="AK863" s="1" t="s">
        <v>74</v>
      </c>
      <c r="AL863" s="1" t="s">
        <v>74</v>
      </c>
      <c r="AM863" s="1" t="s">
        <v>74</v>
      </c>
      <c r="AN863" s="1" t="s">
        <v>74</v>
      </c>
      <c r="AO863" s="1" t="s">
        <v>6589</v>
      </c>
      <c r="AP863" s="1" t="s">
        <v>74</v>
      </c>
      <c r="AQ863" s="1" t="s">
        <v>74</v>
      </c>
      <c r="AR863" s="1" t="s">
        <v>74</v>
      </c>
      <c r="AS863" s="1" t="s">
        <v>74</v>
      </c>
      <c r="AT863" s="1" t="s">
        <v>135</v>
      </c>
      <c r="AU863" s="1">
        <v>1997.0</v>
      </c>
      <c r="AV863" s="1">
        <v>72.0</v>
      </c>
      <c r="AW863" s="1" t="s">
        <v>1614</v>
      </c>
      <c r="AX863" s="1" t="s">
        <v>74</v>
      </c>
      <c r="AY863" s="1" t="s">
        <v>74</v>
      </c>
      <c r="AZ863" s="1" t="s">
        <v>74</v>
      </c>
      <c r="BA863" s="1" t="s">
        <v>74</v>
      </c>
      <c r="BB863" s="1">
        <v>323.0</v>
      </c>
      <c r="BC863" s="1">
        <v>336.0</v>
      </c>
      <c r="BD863" s="1" t="s">
        <v>74</v>
      </c>
      <c r="BE863" s="1" t="s">
        <v>8017</v>
      </c>
      <c r="BF863" s="2" t="str">
        <f>HYPERLINK("http://dx.doi.org/10.1016/S0167-7322(97)00046-9","http://dx.doi.org/10.1016/S0167-7322(97)00046-9")</f>
        <v>http://dx.doi.org/10.1016/S0167-7322(97)00046-9</v>
      </c>
      <c r="BG863" s="1" t="s">
        <v>74</v>
      </c>
      <c r="BH863" s="1" t="s">
        <v>74</v>
      </c>
      <c r="BI863" s="1" t="s">
        <v>74</v>
      </c>
      <c r="BJ863" s="1" t="s">
        <v>74</v>
      </c>
      <c r="BK863" s="1" t="s">
        <v>74</v>
      </c>
      <c r="BL863" s="1" t="s">
        <v>74</v>
      </c>
      <c r="BM863" s="1" t="s">
        <v>74</v>
      </c>
      <c r="BN863" s="1" t="s">
        <v>74</v>
      </c>
      <c r="BO863" s="1" t="s">
        <v>74</v>
      </c>
      <c r="BP863" s="1" t="s">
        <v>74</v>
      </c>
      <c r="BQ863" s="1" t="s">
        <v>74</v>
      </c>
      <c r="BR863" s="1" t="s">
        <v>74</v>
      </c>
      <c r="BS863" s="1" t="s">
        <v>8018</v>
      </c>
      <c r="BT863" s="1" t="str">
        <f>HYPERLINK("https%3A%2F%2Fwww.webofscience.com%2Fwos%2Fwoscc%2Ffull-record%2FWOS:A1997XW68800021","View Full Record in Web of Science")</f>
        <v>View Full Record in Web of Science</v>
      </c>
    </row>
    <row r="864" ht="12.75" customHeight="1">
      <c r="A864" s="1" t="s">
        <v>72</v>
      </c>
      <c r="B864" s="1" t="s">
        <v>8019</v>
      </c>
      <c r="C864" s="1" t="s">
        <v>74</v>
      </c>
      <c r="D864" s="1" t="s">
        <v>74</v>
      </c>
      <c r="E864" s="1" t="s">
        <v>74</v>
      </c>
      <c r="F864" s="1" t="s">
        <v>8019</v>
      </c>
      <c r="G864" s="1" t="s">
        <v>74</v>
      </c>
      <c r="H864" s="1" t="s">
        <v>74</v>
      </c>
      <c r="I864" s="1" t="s">
        <v>8020</v>
      </c>
      <c r="J864" s="1" t="s">
        <v>8021</v>
      </c>
      <c r="K864" s="1" t="s">
        <v>74</v>
      </c>
      <c r="L864" s="1" t="s">
        <v>74</v>
      </c>
      <c r="M864" s="1" t="s">
        <v>74</v>
      </c>
      <c r="N864" s="1" t="s">
        <v>74</v>
      </c>
      <c r="O864" s="1" t="s">
        <v>74</v>
      </c>
      <c r="P864" s="1" t="s">
        <v>74</v>
      </c>
      <c r="Q864" s="1" t="s">
        <v>74</v>
      </c>
      <c r="R864" s="1" t="s">
        <v>74</v>
      </c>
      <c r="S864" s="1" t="s">
        <v>74</v>
      </c>
      <c r="T864" s="1" t="s">
        <v>74</v>
      </c>
      <c r="U864" s="1" t="s">
        <v>74</v>
      </c>
      <c r="V864" s="1" t="s">
        <v>8022</v>
      </c>
      <c r="W864" s="1" t="s">
        <v>74</v>
      </c>
      <c r="X864" s="1" t="s">
        <v>74</v>
      </c>
      <c r="Y864" s="1" t="s">
        <v>74</v>
      </c>
      <c r="Z864" s="1" t="s">
        <v>74</v>
      </c>
      <c r="AA864" s="1" t="s">
        <v>74</v>
      </c>
      <c r="AB864" s="1" t="s">
        <v>74</v>
      </c>
      <c r="AC864" s="1" t="s">
        <v>74</v>
      </c>
      <c r="AD864" s="1" t="s">
        <v>74</v>
      </c>
      <c r="AE864" s="1" t="s">
        <v>74</v>
      </c>
      <c r="AF864" s="1" t="s">
        <v>74</v>
      </c>
      <c r="AG864" s="1" t="s">
        <v>74</v>
      </c>
      <c r="AH864" s="1" t="s">
        <v>74</v>
      </c>
      <c r="AI864" s="1" t="s">
        <v>74</v>
      </c>
      <c r="AJ864" s="1" t="s">
        <v>74</v>
      </c>
      <c r="AK864" s="1" t="s">
        <v>74</v>
      </c>
      <c r="AL864" s="1" t="s">
        <v>74</v>
      </c>
      <c r="AM864" s="1" t="s">
        <v>74</v>
      </c>
      <c r="AN864" s="1" t="s">
        <v>74</v>
      </c>
      <c r="AO864" s="1" t="s">
        <v>8023</v>
      </c>
      <c r="AP864" s="1" t="s">
        <v>74</v>
      </c>
      <c r="AQ864" s="1" t="s">
        <v>74</v>
      </c>
      <c r="AR864" s="1" t="s">
        <v>74</v>
      </c>
      <c r="AS864" s="1" t="s">
        <v>74</v>
      </c>
      <c r="AT864" s="1" t="s">
        <v>123</v>
      </c>
      <c r="AU864" s="1">
        <v>1995.0</v>
      </c>
      <c r="AV864" s="1">
        <v>121.0</v>
      </c>
      <c r="AW864" s="1">
        <v>10.0</v>
      </c>
      <c r="AX864" s="1" t="s">
        <v>74</v>
      </c>
      <c r="AY864" s="1" t="s">
        <v>74</v>
      </c>
      <c r="AZ864" s="1" t="s">
        <v>74</v>
      </c>
      <c r="BA864" s="1" t="s">
        <v>74</v>
      </c>
      <c r="BB864" s="1">
        <v>1069.0</v>
      </c>
      <c r="BC864" s="1">
        <v>1074.0</v>
      </c>
      <c r="BD864" s="1" t="s">
        <v>74</v>
      </c>
      <c r="BE864" s="1" t="s">
        <v>8024</v>
      </c>
      <c r="BF864" s="2" t="str">
        <f>HYPERLINK("http://dx.doi.org/10.1061/(ASCE)0733-9399(1995)121:10(1069)","http://dx.doi.org/10.1061/(ASCE)0733-9399(1995)121:10(1069)")</f>
        <v>http://dx.doi.org/10.1061/(ASCE)0733-9399(1995)121:10(1069)</v>
      </c>
      <c r="BG864" s="1" t="s">
        <v>74</v>
      </c>
      <c r="BH864" s="1" t="s">
        <v>74</v>
      </c>
      <c r="BI864" s="1" t="s">
        <v>74</v>
      </c>
      <c r="BJ864" s="1" t="s">
        <v>74</v>
      </c>
      <c r="BK864" s="1" t="s">
        <v>74</v>
      </c>
      <c r="BL864" s="1" t="s">
        <v>74</v>
      </c>
      <c r="BM864" s="1" t="s">
        <v>74</v>
      </c>
      <c r="BN864" s="1" t="s">
        <v>74</v>
      </c>
      <c r="BO864" s="1" t="s">
        <v>74</v>
      </c>
      <c r="BP864" s="1" t="s">
        <v>74</v>
      </c>
      <c r="BQ864" s="1" t="s">
        <v>74</v>
      </c>
      <c r="BR864" s="1" t="s">
        <v>74</v>
      </c>
      <c r="BS864" s="1" t="s">
        <v>8025</v>
      </c>
      <c r="BT864" s="1" t="str">
        <f>HYPERLINK("https%3A%2F%2Fwww.webofscience.com%2Fwos%2Fwoscc%2Ffull-record%2FWOS:A1995RW07900004","View Full Record in Web of Science")</f>
        <v>View Full Record in Web of Science</v>
      </c>
    </row>
    <row r="865" ht="12.75" customHeight="1">
      <c r="A865" s="1" t="s">
        <v>72</v>
      </c>
      <c r="B865" s="1" t="s">
        <v>8026</v>
      </c>
      <c r="C865" s="1" t="s">
        <v>74</v>
      </c>
      <c r="D865" s="1" t="s">
        <v>74</v>
      </c>
      <c r="E865" s="1" t="s">
        <v>74</v>
      </c>
      <c r="F865" s="1" t="s">
        <v>8026</v>
      </c>
      <c r="G865" s="1" t="s">
        <v>74</v>
      </c>
      <c r="H865" s="1" t="s">
        <v>74</v>
      </c>
      <c r="I865" s="1" t="s">
        <v>8027</v>
      </c>
      <c r="J865" s="1" t="s">
        <v>8028</v>
      </c>
      <c r="K865" s="1" t="s">
        <v>74</v>
      </c>
      <c r="L865" s="1" t="s">
        <v>74</v>
      </c>
      <c r="M865" s="1" t="s">
        <v>74</v>
      </c>
      <c r="N865" s="1" t="s">
        <v>74</v>
      </c>
      <c r="O865" s="1" t="s">
        <v>74</v>
      </c>
      <c r="P865" s="1" t="s">
        <v>74</v>
      </c>
      <c r="Q865" s="1" t="s">
        <v>74</v>
      </c>
      <c r="R865" s="1" t="s">
        <v>74</v>
      </c>
      <c r="S865" s="1" t="s">
        <v>74</v>
      </c>
      <c r="T865" s="1" t="s">
        <v>74</v>
      </c>
      <c r="U865" s="1" t="s">
        <v>74</v>
      </c>
      <c r="V865" s="1" t="s">
        <v>74</v>
      </c>
      <c r="W865" s="1" t="s">
        <v>74</v>
      </c>
      <c r="X865" s="1" t="s">
        <v>74</v>
      </c>
      <c r="Y865" s="1" t="s">
        <v>74</v>
      </c>
      <c r="Z865" s="1" t="s">
        <v>74</v>
      </c>
      <c r="AA865" s="1" t="s">
        <v>74</v>
      </c>
      <c r="AB865" s="1" t="s">
        <v>74</v>
      </c>
      <c r="AC865" s="1" t="s">
        <v>74</v>
      </c>
      <c r="AD865" s="1" t="s">
        <v>74</v>
      </c>
      <c r="AE865" s="1" t="s">
        <v>74</v>
      </c>
      <c r="AF865" s="1" t="s">
        <v>74</v>
      </c>
      <c r="AG865" s="1" t="s">
        <v>74</v>
      </c>
      <c r="AH865" s="1" t="s">
        <v>74</v>
      </c>
      <c r="AI865" s="1" t="s">
        <v>74</v>
      </c>
      <c r="AJ865" s="1" t="s">
        <v>74</v>
      </c>
      <c r="AK865" s="1" t="s">
        <v>74</v>
      </c>
      <c r="AL865" s="1" t="s">
        <v>74</v>
      </c>
      <c r="AM865" s="1" t="s">
        <v>74</v>
      </c>
      <c r="AN865" s="1" t="s">
        <v>74</v>
      </c>
      <c r="AO865" s="1" t="s">
        <v>8029</v>
      </c>
      <c r="AP865" s="1" t="s">
        <v>74</v>
      </c>
      <c r="AQ865" s="1" t="s">
        <v>74</v>
      </c>
      <c r="AR865" s="1" t="s">
        <v>74</v>
      </c>
      <c r="AS865" s="1" t="s">
        <v>74</v>
      </c>
      <c r="AT865" s="1" t="s">
        <v>1049</v>
      </c>
      <c r="AU865" s="1">
        <v>1987.0</v>
      </c>
      <c r="AV865" s="1">
        <v>20.0</v>
      </c>
      <c r="AW865" s="1">
        <v>2.0</v>
      </c>
      <c r="AX865" s="1" t="s">
        <v>74</v>
      </c>
      <c r="AY865" s="1" t="s">
        <v>74</v>
      </c>
      <c r="AZ865" s="1" t="s">
        <v>74</v>
      </c>
      <c r="BA865" s="1" t="s">
        <v>74</v>
      </c>
      <c r="BB865" s="1" t="s">
        <v>8030</v>
      </c>
      <c r="BC865" s="1" t="s">
        <v>8030</v>
      </c>
      <c r="BD865" s="1" t="s">
        <v>74</v>
      </c>
      <c r="BE865" s="1" t="s">
        <v>74</v>
      </c>
      <c r="BF865" s="1" t="s">
        <v>74</v>
      </c>
      <c r="BG865" s="1" t="s">
        <v>74</v>
      </c>
      <c r="BH865" s="1" t="s">
        <v>74</v>
      </c>
      <c r="BI865" s="1" t="s">
        <v>74</v>
      </c>
      <c r="BJ865" s="1" t="s">
        <v>74</v>
      </c>
      <c r="BK865" s="1" t="s">
        <v>74</v>
      </c>
      <c r="BL865" s="1" t="s">
        <v>74</v>
      </c>
      <c r="BM865" s="1" t="s">
        <v>74</v>
      </c>
      <c r="BN865" s="1" t="s">
        <v>74</v>
      </c>
      <c r="BO865" s="1" t="s">
        <v>74</v>
      </c>
      <c r="BP865" s="1" t="s">
        <v>74</v>
      </c>
      <c r="BQ865" s="1" t="s">
        <v>74</v>
      </c>
      <c r="BR865" s="1" t="s">
        <v>74</v>
      </c>
      <c r="BS865" s="1" t="s">
        <v>8031</v>
      </c>
      <c r="BT865" s="1" t="str">
        <f>HYPERLINK("https%3A%2F%2Fwww.webofscience.com%2Fwos%2Fwoscc%2Ffull-record%2FWOS:A1987L151200266","View Full Record in Web of Science")</f>
        <v>View Full Record in Web of Science</v>
      </c>
    </row>
    <row r="866" ht="12.75" customHeight="1">
      <c r="A866" s="1" t="s">
        <v>72</v>
      </c>
      <c r="B866" s="1" t="s">
        <v>8032</v>
      </c>
      <c r="C866" s="1" t="s">
        <v>74</v>
      </c>
      <c r="D866" s="1" t="s">
        <v>74</v>
      </c>
      <c r="E866" s="1" t="s">
        <v>74</v>
      </c>
      <c r="F866" s="1" t="s">
        <v>8032</v>
      </c>
      <c r="G866" s="1" t="s">
        <v>74</v>
      </c>
      <c r="H866" s="1" t="s">
        <v>74</v>
      </c>
      <c r="I866" s="1" t="s">
        <v>8033</v>
      </c>
      <c r="J866" s="1" t="s">
        <v>856</v>
      </c>
      <c r="K866" s="1" t="s">
        <v>74</v>
      </c>
      <c r="L866" s="1" t="s">
        <v>74</v>
      </c>
      <c r="M866" s="1" t="s">
        <v>74</v>
      </c>
      <c r="N866" s="1" t="s">
        <v>74</v>
      </c>
      <c r="O866" s="1" t="s">
        <v>74</v>
      </c>
      <c r="P866" s="1" t="s">
        <v>74</v>
      </c>
      <c r="Q866" s="1" t="s">
        <v>74</v>
      </c>
      <c r="R866" s="1" t="s">
        <v>74</v>
      </c>
      <c r="S866" s="1" t="s">
        <v>74</v>
      </c>
      <c r="T866" s="1" t="s">
        <v>74</v>
      </c>
      <c r="U866" s="1" t="s">
        <v>74</v>
      </c>
      <c r="V866" s="1" t="s">
        <v>74</v>
      </c>
      <c r="W866" s="1" t="s">
        <v>74</v>
      </c>
      <c r="X866" s="1" t="s">
        <v>74</v>
      </c>
      <c r="Y866" s="1" t="s">
        <v>74</v>
      </c>
      <c r="Z866" s="1" t="s">
        <v>74</v>
      </c>
      <c r="AA866" s="1" t="s">
        <v>74</v>
      </c>
      <c r="AB866" s="1" t="s">
        <v>74</v>
      </c>
      <c r="AC866" s="1" t="s">
        <v>74</v>
      </c>
      <c r="AD866" s="1" t="s">
        <v>74</v>
      </c>
      <c r="AE866" s="1" t="s">
        <v>74</v>
      </c>
      <c r="AF866" s="1" t="s">
        <v>74</v>
      </c>
      <c r="AG866" s="1" t="s">
        <v>74</v>
      </c>
      <c r="AH866" s="1" t="s">
        <v>74</v>
      </c>
      <c r="AI866" s="1" t="s">
        <v>74</v>
      </c>
      <c r="AJ866" s="1" t="s">
        <v>74</v>
      </c>
      <c r="AK866" s="1" t="s">
        <v>74</v>
      </c>
      <c r="AL866" s="1" t="s">
        <v>74</v>
      </c>
      <c r="AM866" s="1" t="s">
        <v>74</v>
      </c>
      <c r="AN866" s="1" t="s">
        <v>74</v>
      </c>
      <c r="AO866" s="1" t="s">
        <v>860</v>
      </c>
      <c r="AP866" s="1" t="s">
        <v>74</v>
      </c>
      <c r="AQ866" s="1" t="s">
        <v>74</v>
      </c>
      <c r="AR866" s="1" t="s">
        <v>74</v>
      </c>
      <c r="AS866" s="1" t="s">
        <v>74</v>
      </c>
      <c r="AT866" s="1" t="s">
        <v>360</v>
      </c>
      <c r="AU866" s="1">
        <v>1987.0</v>
      </c>
      <c r="AV866" s="1">
        <v>115.0</v>
      </c>
      <c r="AW866" s="1">
        <v>2.0</v>
      </c>
      <c r="AX866" s="1" t="s">
        <v>74</v>
      </c>
      <c r="AY866" s="1" t="s">
        <v>74</v>
      </c>
      <c r="AZ866" s="1" t="s">
        <v>74</v>
      </c>
      <c r="BA866" s="1" t="s">
        <v>74</v>
      </c>
      <c r="BB866" s="1">
        <v>529.0</v>
      </c>
      <c r="BC866" s="1">
        <v>534.0</v>
      </c>
      <c r="BD866" s="1" t="s">
        <v>74</v>
      </c>
      <c r="BE866" s="1" t="s">
        <v>8034</v>
      </c>
      <c r="BF866" s="2" t="str">
        <f>HYPERLINK("http://dx.doi.org/10.1016/0021-9797(87)90071-3","http://dx.doi.org/10.1016/0021-9797(87)90071-3")</f>
        <v>http://dx.doi.org/10.1016/0021-9797(87)90071-3</v>
      </c>
      <c r="BG866" s="1" t="s">
        <v>74</v>
      </c>
      <c r="BH866" s="1" t="s">
        <v>74</v>
      </c>
      <c r="BI866" s="1" t="s">
        <v>74</v>
      </c>
      <c r="BJ866" s="1" t="s">
        <v>74</v>
      </c>
      <c r="BK866" s="1" t="s">
        <v>74</v>
      </c>
      <c r="BL866" s="1" t="s">
        <v>74</v>
      </c>
      <c r="BM866" s="1" t="s">
        <v>74</v>
      </c>
      <c r="BN866" s="1" t="s">
        <v>74</v>
      </c>
      <c r="BO866" s="1" t="s">
        <v>74</v>
      </c>
      <c r="BP866" s="1" t="s">
        <v>74</v>
      </c>
      <c r="BQ866" s="1" t="s">
        <v>74</v>
      </c>
      <c r="BR866" s="1" t="s">
        <v>74</v>
      </c>
      <c r="BS866" s="1" t="s">
        <v>8035</v>
      </c>
      <c r="BT866" s="1" t="str">
        <f>HYPERLINK("https%3A%2F%2Fwww.webofscience.com%2Fwos%2Fwoscc%2Ffull-record%2FWOS:A1987G007800028","View Full Record in Web of Science")</f>
        <v>View Full Record in Web of Science</v>
      </c>
    </row>
    <row r="867" ht="12.75" customHeight="1">
      <c r="A867" s="1" t="s">
        <v>72</v>
      </c>
      <c r="B867" s="1" t="s">
        <v>8036</v>
      </c>
      <c r="C867" s="1" t="s">
        <v>74</v>
      </c>
      <c r="D867" s="1" t="s">
        <v>74</v>
      </c>
      <c r="E867" s="1" t="s">
        <v>74</v>
      </c>
      <c r="F867" s="1" t="s">
        <v>8036</v>
      </c>
      <c r="G867" s="1" t="s">
        <v>74</v>
      </c>
      <c r="H867" s="1" t="s">
        <v>74</v>
      </c>
      <c r="I867" s="1" t="s">
        <v>8037</v>
      </c>
      <c r="J867" s="1" t="s">
        <v>8038</v>
      </c>
      <c r="K867" s="1" t="s">
        <v>74</v>
      </c>
      <c r="L867" s="1" t="s">
        <v>74</v>
      </c>
      <c r="M867" s="1" t="s">
        <v>74</v>
      </c>
      <c r="N867" s="1" t="s">
        <v>74</v>
      </c>
      <c r="O867" s="1" t="s">
        <v>74</v>
      </c>
      <c r="P867" s="1" t="s">
        <v>74</v>
      </c>
      <c r="Q867" s="1" t="s">
        <v>74</v>
      </c>
      <c r="R867" s="1" t="s">
        <v>74</v>
      </c>
      <c r="S867" s="1" t="s">
        <v>74</v>
      </c>
      <c r="T867" s="1" t="s">
        <v>74</v>
      </c>
      <c r="U867" s="1" t="s">
        <v>74</v>
      </c>
      <c r="V867" s="1" t="s">
        <v>74</v>
      </c>
      <c r="W867" s="1" t="s">
        <v>74</v>
      </c>
      <c r="X867" s="1" t="s">
        <v>74</v>
      </c>
      <c r="Y867" s="1" t="s">
        <v>74</v>
      </c>
      <c r="Z867" s="1" t="s">
        <v>74</v>
      </c>
      <c r="AA867" s="1" t="s">
        <v>8039</v>
      </c>
      <c r="AB867" s="1" t="s">
        <v>8040</v>
      </c>
      <c r="AC867" s="1" t="s">
        <v>74</v>
      </c>
      <c r="AD867" s="1" t="s">
        <v>74</v>
      </c>
      <c r="AE867" s="1" t="s">
        <v>74</v>
      </c>
      <c r="AF867" s="1" t="s">
        <v>74</v>
      </c>
      <c r="AG867" s="1" t="s">
        <v>74</v>
      </c>
      <c r="AH867" s="1" t="s">
        <v>74</v>
      </c>
      <c r="AI867" s="1" t="s">
        <v>74</v>
      </c>
      <c r="AJ867" s="1" t="s">
        <v>74</v>
      </c>
      <c r="AK867" s="1" t="s">
        <v>74</v>
      </c>
      <c r="AL867" s="1" t="s">
        <v>74</v>
      </c>
      <c r="AM867" s="1" t="s">
        <v>74</v>
      </c>
      <c r="AN867" s="1" t="s">
        <v>74</v>
      </c>
      <c r="AO867" s="1" t="s">
        <v>8041</v>
      </c>
      <c r="AP867" s="1" t="s">
        <v>74</v>
      </c>
      <c r="AQ867" s="1" t="s">
        <v>74</v>
      </c>
      <c r="AR867" s="1" t="s">
        <v>74</v>
      </c>
      <c r="AS867" s="1" t="s">
        <v>74</v>
      </c>
      <c r="AT867" s="1" t="s">
        <v>74</v>
      </c>
      <c r="AU867" s="1">
        <v>1987.0</v>
      </c>
      <c r="AV867" s="1">
        <v>98.0</v>
      </c>
      <c r="AW867" s="1">
        <v>3.0</v>
      </c>
      <c r="AX867" s="1" t="s">
        <v>74</v>
      </c>
      <c r="AY867" s="1" t="s">
        <v>74</v>
      </c>
      <c r="AZ867" s="1" t="s">
        <v>74</v>
      </c>
      <c r="BA867" s="1" t="s">
        <v>74</v>
      </c>
      <c r="BB867" s="1">
        <v>251.0</v>
      </c>
      <c r="BC867" s="1">
        <v>284.0</v>
      </c>
      <c r="BD867" s="1" t="s">
        <v>74</v>
      </c>
      <c r="BE867" s="1" t="s">
        <v>74</v>
      </c>
      <c r="BF867" s="1" t="s">
        <v>74</v>
      </c>
      <c r="BG867" s="1" t="s">
        <v>74</v>
      </c>
      <c r="BH867" s="1" t="s">
        <v>74</v>
      </c>
      <c r="BI867" s="1" t="s">
        <v>74</v>
      </c>
      <c r="BJ867" s="1" t="s">
        <v>74</v>
      </c>
      <c r="BK867" s="1" t="s">
        <v>74</v>
      </c>
      <c r="BL867" s="1" t="s">
        <v>74</v>
      </c>
      <c r="BM867" s="1" t="s">
        <v>74</v>
      </c>
      <c r="BN867" s="1" t="s">
        <v>74</v>
      </c>
      <c r="BO867" s="1" t="s">
        <v>74</v>
      </c>
      <c r="BP867" s="1" t="s">
        <v>74</v>
      </c>
      <c r="BQ867" s="1" t="s">
        <v>74</v>
      </c>
      <c r="BR867" s="1" t="s">
        <v>74</v>
      </c>
      <c r="BS867" s="1" t="s">
        <v>8042</v>
      </c>
      <c r="BT867" s="1" t="str">
        <f>HYPERLINK("https%3A%2F%2Fwww.webofscience.com%2Fwos%2Fwoscc%2Ffull-record%2FWOS:A1987G352500004","View Full Record in Web of Science")</f>
        <v>View Full Record in Web of Science</v>
      </c>
    </row>
    <row r="868" ht="12.75" customHeight="1">
      <c r="A868" s="1" t="s">
        <v>72</v>
      </c>
      <c r="B868" s="1" t="s">
        <v>8043</v>
      </c>
      <c r="C868" s="1" t="s">
        <v>74</v>
      </c>
      <c r="D868" s="1" t="s">
        <v>74</v>
      </c>
      <c r="E868" s="1" t="s">
        <v>74</v>
      </c>
      <c r="F868" s="1" t="s">
        <v>8044</v>
      </c>
      <c r="G868" s="1" t="s">
        <v>74</v>
      </c>
      <c r="H868" s="1" t="s">
        <v>74</v>
      </c>
      <c r="I868" s="1" t="s">
        <v>8045</v>
      </c>
      <c r="J868" s="1" t="s">
        <v>8046</v>
      </c>
      <c r="K868" s="1" t="s">
        <v>74</v>
      </c>
      <c r="L868" s="1" t="s">
        <v>74</v>
      </c>
      <c r="M868" s="1" t="s">
        <v>74</v>
      </c>
      <c r="N868" s="1" t="s">
        <v>74</v>
      </c>
      <c r="O868" s="1" t="s">
        <v>74</v>
      </c>
      <c r="P868" s="1" t="s">
        <v>74</v>
      </c>
      <c r="Q868" s="1" t="s">
        <v>74</v>
      </c>
      <c r="R868" s="1" t="s">
        <v>74</v>
      </c>
      <c r="S868" s="1" t="s">
        <v>74</v>
      </c>
      <c r="T868" s="1" t="s">
        <v>74</v>
      </c>
      <c r="U868" s="1" t="s">
        <v>74</v>
      </c>
      <c r="V868" s="1" t="s">
        <v>8047</v>
      </c>
      <c r="W868" s="1" t="s">
        <v>74</v>
      </c>
      <c r="X868" s="1" t="s">
        <v>74</v>
      </c>
      <c r="Y868" s="1" t="s">
        <v>74</v>
      </c>
      <c r="Z868" s="1" t="s">
        <v>74</v>
      </c>
      <c r="AA868" s="1" t="s">
        <v>8048</v>
      </c>
      <c r="AB868" s="1" t="s">
        <v>74</v>
      </c>
      <c r="AC868" s="1" t="s">
        <v>74</v>
      </c>
      <c r="AD868" s="1" t="s">
        <v>74</v>
      </c>
      <c r="AE868" s="1" t="s">
        <v>74</v>
      </c>
      <c r="AF868" s="1" t="s">
        <v>74</v>
      </c>
      <c r="AG868" s="1" t="s">
        <v>74</v>
      </c>
      <c r="AH868" s="1" t="s">
        <v>74</v>
      </c>
      <c r="AI868" s="1" t="s">
        <v>74</v>
      </c>
      <c r="AJ868" s="1" t="s">
        <v>74</v>
      </c>
      <c r="AK868" s="1" t="s">
        <v>74</v>
      </c>
      <c r="AL868" s="1" t="s">
        <v>74</v>
      </c>
      <c r="AM868" s="1" t="s">
        <v>74</v>
      </c>
      <c r="AN868" s="1" t="s">
        <v>74</v>
      </c>
      <c r="AO868" s="1" t="s">
        <v>8049</v>
      </c>
      <c r="AP868" s="1" t="s">
        <v>8050</v>
      </c>
      <c r="AQ868" s="1" t="s">
        <v>74</v>
      </c>
      <c r="AR868" s="1" t="s">
        <v>74</v>
      </c>
      <c r="AS868" s="1" t="s">
        <v>74</v>
      </c>
      <c r="AT868" s="1" t="s">
        <v>1049</v>
      </c>
      <c r="AU868" s="1">
        <v>1978.0</v>
      </c>
      <c r="AV868" s="1">
        <v>16.0</v>
      </c>
      <c r="AW868" s="1" t="s">
        <v>74</v>
      </c>
      <c r="AX868" s="1">
        <v>4.0</v>
      </c>
      <c r="AY868" s="1" t="s">
        <v>74</v>
      </c>
      <c r="AZ868" s="1" t="s">
        <v>74</v>
      </c>
      <c r="BA868" s="1" t="s">
        <v>74</v>
      </c>
      <c r="BB868" s="1">
        <v>581.0</v>
      </c>
      <c r="BC868" s="1">
        <v>589.0</v>
      </c>
      <c r="BD868" s="1" t="s">
        <v>74</v>
      </c>
      <c r="BE868" s="1" t="s">
        <v>74</v>
      </c>
      <c r="BF868" s="1" t="s">
        <v>74</v>
      </c>
      <c r="BG868" s="1" t="s">
        <v>74</v>
      </c>
      <c r="BH868" s="1" t="s">
        <v>74</v>
      </c>
      <c r="BI868" s="1" t="s">
        <v>74</v>
      </c>
      <c r="BJ868" s="1" t="s">
        <v>74</v>
      </c>
      <c r="BK868" s="1" t="s">
        <v>74</v>
      </c>
      <c r="BL868" s="1" t="s">
        <v>74</v>
      </c>
      <c r="BM868" s="1" t="s">
        <v>74</v>
      </c>
      <c r="BN868" s="1" t="s">
        <v>74</v>
      </c>
      <c r="BO868" s="1" t="s">
        <v>74</v>
      </c>
      <c r="BP868" s="1" t="s">
        <v>74</v>
      </c>
      <c r="BQ868" s="1" t="s">
        <v>74</v>
      </c>
      <c r="BR868" s="1" t="s">
        <v>74</v>
      </c>
      <c r="BS868" s="1" t="s">
        <v>8051</v>
      </c>
      <c r="BT868" s="1" t="str">
        <f>HYPERLINK("https%3A%2F%2Fwww.webofscience.com%2Fwos%2Fwoscc%2Ffull-record%2FWOS:000208514100010","View Full Record in Web of Science")</f>
        <v>View Full Record in Web of Science</v>
      </c>
    </row>
    <row r="869" ht="12.75" customHeight="1">
      <c r="A869" s="1" t="s">
        <v>72</v>
      </c>
      <c r="B869" s="1" t="s">
        <v>8052</v>
      </c>
      <c r="C869" s="1" t="s">
        <v>74</v>
      </c>
      <c r="D869" s="1" t="s">
        <v>74</v>
      </c>
      <c r="E869" s="1" t="s">
        <v>74</v>
      </c>
      <c r="F869" s="1" t="s">
        <v>8053</v>
      </c>
      <c r="G869" s="1" t="s">
        <v>74</v>
      </c>
      <c r="H869" s="1" t="s">
        <v>74</v>
      </c>
      <c r="I869" s="1" t="s">
        <v>8054</v>
      </c>
      <c r="J869" s="1" t="s">
        <v>8055</v>
      </c>
      <c r="K869" s="1" t="s">
        <v>74</v>
      </c>
      <c r="L869" s="1" t="s">
        <v>74</v>
      </c>
      <c r="M869" s="1" t="s">
        <v>74</v>
      </c>
      <c r="N869" s="1" t="s">
        <v>74</v>
      </c>
      <c r="O869" s="1" t="s">
        <v>74</v>
      </c>
      <c r="P869" s="1" t="s">
        <v>74</v>
      </c>
      <c r="Q869" s="1" t="s">
        <v>74</v>
      </c>
      <c r="R869" s="1" t="s">
        <v>74</v>
      </c>
      <c r="S869" s="1" t="s">
        <v>74</v>
      </c>
      <c r="T869" s="1" t="s">
        <v>74</v>
      </c>
      <c r="U869" s="1" t="s">
        <v>74</v>
      </c>
      <c r="V869" s="1" t="s">
        <v>8056</v>
      </c>
      <c r="W869" s="1" t="s">
        <v>74</v>
      </c>
      <c r="X869" s="1" t="s">
        <v>74</v>
      </c>
      <c r="Y869" s="1" t="s">
        <v>74</v>
      </c>
      <c r="Z869" s="1" t="s">
        <v>74</v>
      </c>
      <c r="AA869" s="1" t="s">
        <v>745</v>
      </c>
      <c r="AB869" s="1" t="s">
        <v>74</v>
      </c>
      <c r="AC869" s="1" t="s">
        <v>74</v>
      </c>
      <c r="AD869" s="1" t="s">
        <v>74</v>
      </c>
      <c r="AE869" s="1" t="s">
        <v>74</v>
      </c>
      <c r="AF869" s="1" t="s">
        <v>74</v>
      </c>
      <c r="AG869" s="1" t="s">
        <v>74</v>
      </c>
      <c r="AH869" s="1" t="s">
        <v>74</v>
      </c>
      <c r="AI869" s="1" t="s">
        <v>74</v>
      </c>
      <c r="AJ869" s="1" t="s">
        <v>74</v>
      </c>
      <c r="AK869" s="1" t="s">
        <v>74</v>
      </c>
      <c r="AL869" s="1" t="s">
        <v>74</v>
      </c>
      <c r="AM869" s="1" t="s">
        <v>74</v>
      </c>
      <c r="AN869" s="1" t="s">
        <v>74</v>
      </c>
      <c r="AO869" s="1" t="s">
        <v>8057</v>
      </c>
      <c r="AP869" s="1" t="s">
        <v>8058</v>
      </c>
      <c r="AQ869" s="1" t="s">
        <v>74</v>
      </c>
      <c r="AR869" s="1" t="s">
        <v>74</v>
      </c>
      <c r="AS869" s="1" t="s">
        <v>74</v>
      </c>
      <c r="AT869" s="1" t="s">
        <v>2668</v>
      </c>
      <c r="AU869" s="1">
        <v>2025.0</v>
      </c>
      <c r="AV869" s="1">
        <v>270.0</v>
      </c>
      <c r="AW869" s="1" t="s">
        <v>74</v>
      </c>
      <c r="AX869" s="1" t="s">
        <v>74</v>
      </c>
      <c r="AY869" s="1" t="s">
        <v>74</v>
      </c>
      <c r="AZ869" s="1" t="s">
        <v>74</v>
      </c>
      <c r="BA869" s="1" t="s">
        <v>74</v>
      </c>
      <c r="BB869" s="1" t="s">
        <v>74</v>
      </c>
      <c r="BC869" s="1" t="s">
        <v>74</v>
      </c>
      <c r="BD869" s="1">
        <v>126252.0</v>
      </c>
      <c r="BE869" s="1" t="s">
        <v>8059</v>
      </c>
      <c r="BF869" s="2" t="str">
        <f>HYPERLINK("http://dx.doi.org/10.1016/j.applthermaleng.2025.126252","http://dx.doi.org/10.1016/j.applthermaleng.2025.126252")</f>
        <v>http://dx.doi.org/10.1016/j.applthermaleng.2025.126252</v>
      </c>
      <c r="BG869" s="1" t="s">
        <v>74</v>
      </c>
      <c r="BH869" s="1" t="s">
        <v>74</v>
      </c>
      <c r="BI869" s="1" t="s">
        <v>74</v>
      </c>
      <c r="BJ869" s="1" t="s">
        <v>74</v>
      </c>
      <c r="BK869" s="1" t="s">
        <v>74</v>
      </c>
      <c r="BL869" s="1" t="s">
        <v>74</v>
      </c>
      <c r="BM869" s="1" t="s">
        <v>74</v>
      </c>
      <c r="BN869" s="1" t="s">
        <v>74</v>
      </c>
      <c r="BO869" s="1" t="s">
        <v>74</v>
      </c>
      <c r="BP869" s="1" t="s">
        <v>74</v>
      </c>
      <c r="BQ869" s="1" t="s">
        <v>74</v>
      </c>
      <c r="BR869" s="1" t="s">
        <v>74</v>
      </c>
      <c r="BS869" s="1" t="s">
        <v>8060</v>
      </c>
      <c r="BT869" s="1" t="str">
        <f>HYPERLINK("https%3A%2F%2Fwww.webofscience.com%2Fwos%2Fwoscc%2Ffull-record%2FWOS:001467090400001","View Full Record in Web of Science")</f>
        <v>View Full Record in Web of Science</v>
      </c>
    </row>
    <row r="870" ht="12.75" customHeight="1">
      <c r="A870" s="1" t="s">
        <v>72</v>
      </c>
      <c r="B870" s="1" t="s">
        <v>8061</v>
      </c>
      <c r="C870" s="1" t="s">
        <v>74</v>
      </c>
      <c r="D870" s="1" t="s">
        <v>74</v>
      </c>
      <c r="E870" s="1" t="s">
        <v>74</v>
      </c>
      <c r="F870" s="1" t="s">
        <v>8062</v>
      </c>
      <c r="G870" s="1" t="s">
        <v>74</v>
      </c>
      <c r="H870" s="1" t="s">
        <v>74</v>
      </c>
      <c r="I870" s="1" t="s">
        <v>8063</v>
      </c>
      <c r="J870" s="1" t="s">
        <v>8064</v>
      </c>
      <c r="K870" s="1" t="s">
        <v>74</v>
      </c>
      <c r="L870" s="1" t="s">
        <v>74</v>
      </c>
      <c r="M870" s="1" t="s">
        <v>74</v>
      </c>
      <c r="N870" s="1" t="s">
        <v>74</v>
      </c>
      <c r="O870" s="1" t="s">
        <v>74</v>
      </c>
      <c r="P870" s="1" t="s">
        <v>74</v>
      </c>
      <c r="Q870" s="1" t="s">
        <v>74</v>
      </c>
      <c r="R870" s="1" t="s">
        <v>74</v>
      </c>
      <c r="S870" s="1" t="s">
        <v>74</v>
      </c>
      <c r="T870" s="1" t="s">
        <v>74</v>
      </c>
      <c r="U870" s="1" t="s">
        <v>74</v>
      </c>
      <c r="V870" s="1" t="s">
        <v>8065</v>
      </c>
      <c r="W870" s="1" t="s">
        <v>74</v>
      </c>
      <c r="X870" s="1" t="s">
        <v>74</v>
      </c>
      <c r="Y870" s="1" t="s">
        <v>74</v>
      </c>
      <c r="Z870" s="1" t="s">
        <v>74</v>
      </c>
      <c r="AA870" s="1" t="s">
        <v>8066</v>
      </c>
      <c r="AB870" s="1" t="s">
        <v>8067</v>
      </c>
      <c r="AC870" s="1" t="s">
        <v>74</v>
      </c>
      <c r="AD870" s="1" t="s">
        <v>74</v>
      </c>
      <c r="AE870" s="1" t="s">
        <v>74</v>
      </c>
      <c r="AF870" s="1" t="s">
        <v>74</v>
      </c>
      <c r="AG870" s="1" t="s">
        <v>74</v>
      </c>
      <c r="AH870" s="1" t="s">
        <v>74</v>
      </c>
      <c r="AI870" s="1" t="s">
        <v>74</v>
      </c>
      <c r="AJ870" s="1" t="s">
        <v>74</v>
      </c>
      <c r="AK870" s="1" t="s">
        <v>74</v>
      </c>
      <c r="AL870" s="1" t="s">
        <v>74</v>
      </c>
      <c r="AM870" s="1" t="s">
        <v>74</v>
      </c>
      <c r="AN870" s="1" t="s">
        <v>74</v>
      </c>
      <c r="AO870" s="1" t="s">
        <v>8068</v>
      </c>
      <c r="AP870" s="1" t="s">
        <v>8069</v>
      </c>
      <c r="AQ870" s="1" t="s">
        <v>74</v>
      </c>
      <c r="AR870" s="1" t="s">
        <v>74</v>
      </c>
      <c r="AS870" s="1" t="s">
        <v>74</v>
      </c>
      <c r="AT870" s="1" t="s">
        <v>169</v>
      </c>
      <c r="AU870" s="1">
        <v>2025.0</v>
      </c>
      <c r="AV870" s="1">
        <v>37.0</v>
      </c>
      <c r="AW870" s="1">
        <v>1.0</v>
      </c>
      <c r="AX870" s="1" t="s">
        <v>74</v>
      </c>
      <c r="AY870" s="1" t="s">
        <v>74</v>
      </c>
      <c r="AZ870" s="1" t="s">
        <v>74</v>
      </c>
      <c r="BA870" s="1" t="s">
        <v>74</v>
      </c>
      <c r="BB870" s="1" t="s">
        <v>74</v>
      </c>
      <c r="BC870" s="1" t="s">
        <v>74</v>
      </c>
      <c r="BD870" s="1" t="s">
        <v>8070</v>
      </c>
      <c r="BE870" s="1" t="s">
        <v>8071</v>
      </c>
      <c r="BF870" s="2" t="str">
        <f>HYPERLINK("http://dx.doi.org/10.1002/ajhb.70002","http://dx.doi.org/10.1002/ajhb.70002")</f>
        <v>http://dx.doi.org/10.1002/ajhb.70002</v>
      </c>
      <c r="BG870" s="1" t="s">
        <v>74</v>
      </c>
      <c r="BH870" s="1" t="s">
        <v>74</v>
      </c>
      <c r="BI870" s="1" t="s">
        <v>74</v>
      </c>
      <c r="BJ870" s="1" t="s">
        <v>74</v>
      </c>
      <c r="BK870" s="1" t="s">
        <v>74</v>
      </c>
      <c r="BL870" s="1" t="s">
        <v>74</v>
      </c>
      <c r="BM870" s="1" t="s">
        <v>74</v>
      </c>
      <c r="BN870" s="1">
        <v>3.9866093E7</v>
      </c>
      <c r="BO870" s="1" t="s">
        <v>74</v>
      </c>
      <c r="BP870" s="1" t="s">
        <v>74</v>
      </c>
      <c r="BQ870" s="1" t="s">
        <v>74</v>
      </c>
      <c r="BR870" s="1" t="s">
        <v>74</v>
      </c>
      <c r="BS870" s="1" t="s">
        <v>8072</v>
      </c>
      <c r="BT870" s="1" t="str">
        <f>HYPERLINK("https%3A%2F%2Fwww.webofscience.com%2Fwos%2Fwoscc%2Ffull-record%2FWOS:001406154900001","View Full Record in Web of Science")</f>
        <v>View Full Record in Web of Science</v>
      </c>
    </row>
    <row r="871" ht="12.75" customHeight="1">
      <c r="A871" s="1" t="s">
        <v>72</v>
      </c>
      <c r="B871" s="1" t="s">
        <v>8073</v>
      </c>
      <c r="C871" s="1" t="s">
        <v>74</v>
      </c>
      <c r="D871" s="1" t="s">
        <v>74</v>
      </c>
      <c r="E871" s="1" t="s">
        <v>74</v>
      </c>
      <c r="F871" s="1" t="s">
        <v>8074</v>
      </c>
      <c r="G871" s="1" t="s">
        <v>74</v>
      </c>
      <c r="H871" s="1" t="s">
        <v>74</v>
      </c>
      <c r="I871" s="1" t="s">
        <v>8075</v>
      </c>
      <c r="J871" s="1" t="s">
        <v>8076</v>
      </c>
      <c r="K871" s="1" t="s">
        <v>74</v>
      </c>
      <c r="L871" s="1" t="s">
        <v>74</v>
      </c>
      <c r="M871" s="1" t="s">
        <v>74</v>
      </c>
      <c r="N871" s="1" t="s">
        <v>74</v>
      </c>
      <c r="O871" s="1" t="s">
        <v>74</v>
      </c>
      <c r="P871" s="1" t="s">
        <v>74</v>
      </c>
      <c r="Q871" s="1" t="s">
        <v>74</v>
      </c>
      <c r="R871" s="1" t="s">
        <v>74</v>
      </c>
      <c r="S871" s="1" t="s">
        <v>74</v>
      </c>
      <c r="T871" s="1" t="s">
        <v>74</v>
      </c>
      <c r="U871" s="1" t="s">
        <v>74</v>
      </c>
      <c r="V871" s="1" t="s">
        <v>8077</v>
      </c>
      <c r="W871" s="1" t="s">
        <v>74</v>
      </c>
      <c r="X871" s="1" t="s">
        <v>74</v>
      </c>
      <c r="Y871" s="1" t="s">
        <v>74</v>
      </c>
      <c r="Z871" s="1" t="s">
        <v>74</v>
      </c>
      <c r="AA871" s="1" t="s">
        <v>8078</v>
      </c>
      <c r="AB871" s="1" t="s">
        <v>6370</v>
      </c>
      <c r="AC871" s="1" t="s">
        <v>74</v>
      </c>
      <c r="AD871" s="1" t="s">
        <v>74</v>
      </c>
      <c r="AE871" s="1" t="s">
        <v>74</v>
      </c>
      <c r="AF871" s="1" t="s">
        <v>74</v>
      </c>
      <c r="AG871" s="1" t="s">
        <v>74</v>
      </c>
      <c r="AH871" s="1" t="s">
        <v>74</v>
      </c>
      <c r="AI871" s="1" t="s">
        <v>74</v>
      </c>
      <c r="AJ871" s="1" t="s">
        <v>74</v>
      </c>
      <c r="AK871" s="1" t="s">
        <v>74</v>
      </c>
      <c r="AL871" s="1" t="s">
        <v>74</v>
      </c>
      <c r="AM871" s="1" t="s">
        <v>74</v>
      </c>
      <c r="AN871" s="1" t="s">
        <v>74</v>
      </c>
      <c r="AO871" s="1" t="s">
        <v>8079</v>
      </c>
      <c r="AP871" s="1" t="s">
        <v>8080</v>
      </c>
      <c r="AQ871" s="1" t="s">
        <v>74</v>
      </c>
      <c r="AR871" s="1" t="s">
        <v>74</v>
      </c>
      <c r="AS871" s="1" t="s">
        <v>74</v>
      </c>
      <c r="AT871" s="1" t="s">
        <v>781</v>
      </c>
      <c r="AU871" s="1">
        <v>2024.0</v>
      </c>
      <c r="AV871" s="1">
        <v>571.0</v>
      </c>
      <c r="AW871" s="1" t="s">
        <v>74</v>
      </c>
      <c r="AX871" s="1" t="s">
        <v>74</v>
      </c>
      <c r="AY871" s="1" t="s">
        <v>74</v>
      </c>
      <c r="AZ871" s="1" t="s">
        <v>74</v>
      </c>
      <c r="BA871" s="1" t="s">
        <v>74</v>
      </c>
      <c r="BB871" s="1" t="s">
        <v>74</v>
      </c>
      <c r="BC871" s="1" t="s">
        <v>74</v>
      </c>
      <c r="BD871" s="1">
        <v>122236.0</v>
      </c>
      <c r="BE871" s="1" t="s">
        <v>8081</v>
      </c>
      <c r="BF871" s="2" t="str">
        <f>HYPERLINK("http://dx.doi.org/10.1016/j.foreco.2024.122236","http://dx.doi.org/10.1016/j.foreco.2024.122236")</f>
        <v>http://dx.doi.org/10.1016/j.foreco.2024.122236</v>
      </c>
      <c r="BG871" s="1" t="s">
        <v>74</v>
      </c>
      <c r="BH871" s="1" t="s">
        <v>3879</v>
      </c>
      <c r="BI871" s="1" t="s">
        <v>74</v>
      </c>
      <c r="BJ871" s="1" t="s">
        <v>74</v>
      </c>
      <c r="BK871" s="1" t="s">
        <v>74</v>
      </c>
      <c r="BL871" s="1" t="s">
        <v>74</v>
      </c>
      <c r="BM871" s="1" t="s">
        <v>74</v>
      </c>
      <c r="BN871" s="1" t="s">
        <v>74</v>
      </c>
      <c r="BO871" s="1" t="s">
        <v>74</v>
      </c>
      <c r="BP871" s="1" t="s">
        <v>74</v>
      </c>
      <c r="BQ871" s="1" t="s">
        <v>74</v>
      </c>
      <c r="BR871" s="1" t="s">
        <v>74</v>
      </c>
      <c r="BS871" s="1" t="s">
        <v>8082</v>
      </c>
      <c r="BT871" s="1" t="str">
        <f>HYPERLINK("https%3A%2F%2Fwww.webofscience.com%2Fwos%2Fwoscc%2Ffull-record%2FWOS:001386290700001","View Full Record in Web of Science")</f>
        <v>View Full Record in Web of Science</v>
      </c>
    </row>
    <row r="872" ht="12.75" customHeight="1">
      <c r="A872" s="1" t="s">
        <v>72</v>
      </c>
      <c r="B872" s="1" t="s">
        <v>8083</v>
      </c>
      <c r="C872" s="1" t="s">
        <v>74</v>
      </c>
      <c r="D872" s="1" t="s">
        <v>74</v>
      </c>
      <c r="E872" s="1" t="s">
        <v>74</v>
      </c>
      <c r="F872" s="1" t="s">
        <v>8084</v>
      </c>
      <c r="G872" s="1" t="s">
        <v>74</v>
      </c>
      <c r="H872" s="1" t="s">
        <v>74</v>
      </c>
      <c r="I872" s="1" t="s">
        <v>8085</v>
      </c>
      <c r="J872" s="1" t="s">
        <v>5926</v>
      </c>
      <c r="K872" s="1" t="s">
        <v>74</v>
      </c>
      <c r="L872" s="1" t="s">
        <v>74</v>
      </c>
      <c r="M872" s="1" t="s">
        <v>74</v>
      </c>
      <c r="N872" s="1" t="s">
        <v>74</v>
      </c>
      <c r="O872" s="1" t="s">
        <v>74</v>
      </c>
      <c r="P872" s="1" t="s">
        <v>74</v>
      </c>
      <c r="Q872" s="1" t="s">
        <v>74</v>
      </c>
      <c r="R872" s="1" t="s">
        <v>74</v>
      </c>
      <c r="S872" s="1" t="s">
        <v>74</v>
      </c>
      <c r="T872" s="1" t="s">
        <v>74</v>
      </c>
      <c r="U872" s="1" t="s">
        <v>74</v>
      </c>
      <c r="V872" s="1" t="s">
        <v>8086</v>
      </c>
      <c r="W872" s="1" t="s">
        <v>74</v>
      </c>
      <c r="X872" s="1" t="s">
        <v>74</v>
      </c>
      <c r="Y872" s="1" t="s">
        <v>74</v>
      </c>
      <c r="Z872" s="1" t="s">
        <v>74</v>
      </c>
      <c r="AA872" s="1" t="s">
        <v>74</v>
      </c>
      <c r="AB872" s="1" t="s">
        <v>8087</v>
      </c>
      <c r="AC872" s="1" t="s">
        <v>74</v>
      </c>
      <c r="AD872" s="1" t="s">
        <v>74</v>
      </c>
      <c r="AE872" s="1" t="s">
        <v>74</v>
      </c>
      <c r="AF872" s="1" t="s">
        <v>74</v>
      </c>
      <c r="AG872" s="1" t="s">
        <v>74</v>
      </c>
      <c r="AH872" s="1" t="s">
        <v>74</v>
      </c>
      <c r="AI872" s="1" t="s">
        <v>74</v>
      </c>
      <c r="AJ872" s="1" t="s">
        <v>74</v>
      </c>
      <c r="AK872" s="1" t="s">
        <v>74</v>
      </c>
      <c r="AL872" s="1" t="s">
        <v>74</v>
      </c>
      <c r="AM872" s="1" t="s">
        <v>74</v>
      </c>
      <c r="AN872" s="1" t="s">
        <v>74</v>
      </c>
      <c r="AO872" s="1" t="s">
        <v>74</v>
      </c>
      <c r="AP872" s="1" t="s">
        <v>5928</v>
      </c>
      <c r="AQ872" s="1" t="s">
        <v>74</v>
      </c>
      <c r="AR872" s="1" t="s">
        <v>74</v>
      </c>
      <c r="AS872" s="1" t="s">
        <v>74</v>
      </c>
      <c r="AT872" s="1" t="s">
        <v>310</v>
      </c>
      <c r="AU872" s="1">
        <v>2024.0</v>
      </c>
      <c r="AV872" s="1">
        <v>14.0</v>
      </c>
      <c r="AW872" s="1">
        <v>7.0</v>
      </c>
      <c r="AX872" s="1" t="s">
        <v>74</v>
      </c>
      <c r="AY872" s="1" t="s">
        <v>74</v>
      </c>
      <c r="AZ872" s="1" t="s">
        <v>74</v>
      </c>
      <c r="BA872" s="1" t="s">
        <v>74</v>
      </c>
      <c r="BB872" s="1" t="s">
        <v>74</v>
      </c>
      <c r="BC872" s="1" t="s">
        <v>74</v>
      </c>
      <c r="BD872" s="1">
        <v>794.0</v>
      </c>
      <c r="BE872" s="1" t="s">
        <v>8088</v>
      </c>
      <c r="BF872" s="2" t="str">
        <f>HYPERLINK("http://dx.doi.org/10.3390/educsci14070794","http://dx.doi.org/10.3390/educsci14070794")</f>
        <v>http://dx.doi.org/10.3390/educsci14070794</v>
      </c>
      <c r="BG872" s="1" t="s">
        <v>74</v>
      </c>
      <c r="BH872" s="1" t="s">
        <v>74</v>
      </c>
      <c r="BI872" s="1" t="s">
        <v>74</v>
      </c>
      <c r="BJ872" s="1" t="s">
        <v>74</v>
      </c>
      <c r="BK872" s="1" t="s">
        <v>74</v>
      </c>
      <c r="BL872" s="1" t="s">
        <v>74</v>
      </c>
      <c r="BM872" s="1" t="s">
        <v>74</v>
      </c>
      <c r="BN872" s="1" t="s">
        <v>74</v>
      </c>
      <c r="BO872" s="1" t="s">
        <v>74</v>
      </c>
      <c r="BP872" s="1" t="s">
        <v>74</v>
      </c>
      <c r="BQ872" s="1" t="s">
        <v>74</v>
      </c>
      <c r="BR872" s="1" t="s">
        <v>74</v>
      </c>
      <c r="BS872" s="1" t="s">
        <v>8089</v>
      </c>
      <c r="BT872" s="1" t="str">
        <f>HYPERLINK("https%3A%2F%2Fwww.webofscience.com%2Fwos%2Fwoscc%2Ffull-record%2FWOS:001277414700001","View Full Record in Web of Science")</f>
        <v>View Full Record in Web of Science</v>
      </c>
    </row>
    <row r="873" ht="12.75" customHeight="1">
      <c r="A873" s="1" t="s">
        <v>72</v>
      </c>
      <c r="B873" s="1" t="s">
        <v>8090</v>
      </c>
      <c r="C873" s="1" t="s">
        <v>74</v>
      </c>
      <c r="D873" s="1" t="s">
        <v>74</v>
      </c>
      <c r="E873" s="1" t="s">
        <v>74</v>
      </c>
      <c r="F873" s="1" t="s">
        <v>8091</v>
      </c>
      <c r="G873" s="1" t="s">
        <v>74</v>
      </c>
      <c r="H873" s="1" t="s">
        <v>74</v>
      </c>
      <c r="I873" s="1" t="s">
        <v>8092</v>
      </c>
      <c r="J873" s="1" t="s">
        <v>8093</v>
      </c>
      <c r="K873" s="1" t="s">
        <v>74</v>
      </c>
      <c r="L873" s="1" t="s">
        <v>74</v>
      </c>
      <c r="M873" s="1" t="s">
        <v>74</v>
      </c>
      <c r="N873" s="1" t="s">
        <v>74</v>
      </c>
      <c r="O873" s="1" t="s">
        <v>74</v>
      </c>
      <c r="P873" s="1" t="s">
        <v>74</v>
      </c>
      <c r="Q873" s="1" t="s">
        <v>74</v>
      </c>
      <c r="R873" s="1" t="s">
        <v>74</v>
      </c>
      <c r="S873" s="1" t="s">
        <v>74</v>
      </c>
      <c r="T873" s="1" t="s">
        <v>74</v>
      </c>
      <c r="U873" s="1" t="s">
        <v>74</v>
      </c>
      <c r="V873" s="1" t="s">
        <v>8094</v>
      </c>
      <c r="W873" s="1" t="s">
        <v>74</v>
      </c>
      <c r="X873" s="1" t="s">
        <v>74</v>
      </c>
      <c r="Y873" s="1" t="s">
        <v>74</v>
      </c>
      <c r="Z873" s="1" t="s">
        <v>74</v>
      </c>
      <c r="AA873" s="1" t="s">
        <v>7556</v>
      </c>
      <c r="AB873" s="1" t="s">
        <v>74</v>
      </c>
      <c r="AC873" s="1" t="s">
        <v>74</v>
      </c>
      <c r="AD873" s="1" t="s">
        <v>74</v>
      </c>
      <c r="AE873" s="1" t="s">
        <v>74</v>
      </c>
      <c r="AF873" s="1" t="s">
        <v>74</v>
      </c>
      <c r="AG873" s="1" t="s">
        <v>74</v>
      </c>
      <c r="AH873" s="1" t="s">
        <v>74</v>
      </c>
      <c r="AI873" s="1" t="s">
        <v>74</v>
      </c>
      <c r="AJ873" s="1" t="s">
        <v>74</v>
      </c>
      <c r="AK873" s="1" t="s">
        <v>74</v>
      </c>
      <c r="AL873" s="1" t="s">
        <v>74</v>
      </c>
      <c r="AM873" s="1" t="s">
        <v>74</v>
      </c>
      <c r="AN873" s="1" t="s">
        <v>74</v>
      </c>
      <c r="AO873" s="1" t="s">
        <v>8095</v>
      </c>
      <c r="AP873" s="1" t="s">
        <v>8096</v>
      </c>
      <c r="AQ873" s="1" t="s">
        <v>74</v>
      </c>
      <c r="AR873" s="1" t="s">
        <v>74</v>
      </c>
      <c r="AS873" s="1" t="s">
        <v>74</v>
      </c>
      <c r="AT873" s="1" t="s">
        <v>88</v>
      </c>
      <c r="AU873" s="1">
        <v>2024.0</v>
      </c>
      <c r="AV873" s="1">
        <v>9.0</v>
      </c>
      <c r="AW873" s="1" t="s">
        <v>2150</v>
      </c>
      <c r="AX873" s="1" t="s">
        <v>74</v>
      </c>
      <c r="AY873" s="1" t="s">
        <v>8097</v>
      </c>
      <c r="AZ873" s="1" t="s">
        <v>74</v>
      </c>
      <c r="BA873" s="1" t="s">
        <v>74</v>
      </c>
      <c r="BB873" s="1">
        <v>228.0</v>
      </c>
      <c r="BC873" s="1">
        <v>257.0</v>
      </c>
      <c r="BD873" s="1" t="s">
        <v>74</v>
      </c>
      <c r="BE873" s="1" t="s">
        <v>8098</v>
      </c>
      <c r="BF873" s="2" t="str">
        <f>HYPERLINK("http://dx.doi.org/10.1163/2405836X-00901002","http://dx.doi.org/10.1163/2405836X-00901002")</f>
        <v>http://dx.doi.org/10.1163/2405836X-00901002</v>
      </c>
      <c r="BG873" s="1" t="s">
        <v>74</v>
      </c>
      <c r="BH873" s="1" t="s">
        <v>74</v>
      </c>
      <c r="BI873" s="1" t="s">
        <v>74</v>
      </c>
      <c r="BJ873" s="1" t="s">
        <v>74</v>
      </c>
      <c r="BK873" s="1" t="s">
        <v>74</v>
      </c>
      <c r="BL873" s="1" t="s">
        <v>74</v>
      </c>
      <c r="BM873" s="1" t="s">
        <v>74</v>
      </c>
      <c r="BN873" s="1" t="s">
        <v>74</v>
      </c>
      <c r="BO873" s="1" t="s">
        <v>74</v>
      </c>
      <c r="BP873" s="1" t="s">
        <v>74</v>
      </c>
      <c r="BQ873" s="1" t="s">
        <v>74</v>
      </c>
      <c r="BR873" s="1" t="s">
        <v>74</v>
      </c>
      <c r="BS873" s="1" t="s">
        <v>8099</v>
      </c>
      <c r="BT873" s="1" t="str">
        <f>HYPERLINK("https%3A%2F%2Fwww.webofscience.com%2Fwos%2Fwoscc%2Ffull-record%2FWOS:001262441100009","View Full Record in Web of Science")</f>
        <v>View Full Record in Web of Science</v>
      </c>
    </row>
    <row r="874" ht="12.75" customHeight="1">
      <c r="A874" s="1" t="s">
        <v>72</v>
      </c>
      <c r="B874" s="1" t="s">
        <v>8100</v>
      </c>
      <c r="C874" s="1" t="s">
        <v>74</v>
      </c>
      <c r="D874" s="1" t="s">
        <v>74</v>
      </c>
      <c r="E874" s="1" t="s">
        <v>74</v>
      </c>
      <c r="F874" s="1" t="s">
        <v>8101</v>
      </c>
      <c r="G874" s="1" t="s">
        <v>74</v>
      </c>
      <c r="H874" s="1" t="s">
        <v>74</v>
      </c>
      <c r="I874" s="1" t="s">
        <v>8102</v>
      </c>
      <c r="J874" s="1" t="s">
        <v>5374</v>
      </c>
      <c r="K874" s="1" t="s">
        <v>74</v>
      </c>
      <c r="L874" s="1" t="s">
        <v>74</v>
      </c>
      <c r="M874" s="1" t="s">
        <v>74</v>
      </c>
      <c r="N874" s="1" t="s">
        <v>74</v>
      </c>
      <c r="O874" s="1" t="s">
        <v>74</v>
      </c>
      <c r="P874" s="1" t="s">
        <v>74</v>
      </c>
      <c r="Q874" s="1" t="s">
        <v>74</v>
      </c>
      <c r="R874" s="1" t="s">
        <v>74</v>
      </c>
      <c r="S874" s="1" t="s">
        <v>74</v>
      </c>
      <c r="T874" s="1" t="s">
        <v>74</v>
      </c>
      <c r="U874" s="1" t="s">
        <v>74</v>
      </c>
      <c r="V874" s="1" t="s">
        <v>8103</v>
      </c>
      <c r="W874" s="1" t="s">
        <v>74</v>
      </c>
      <c r="X874" s="1" t="s">
        <v>74</v>
      </c>
      <c r="Y874" s="1" t="s">
        <v>74</v>
      </c>
      <c r="Z874" s="1" t="s">
        <v>74</v>
      </c>
      <c r="AA874" s="1" t="s">
        <v>8104</v>
      </c>
      <c r="AB874" s="1" t="s">
        <v>8105</v>
      </c>
      <c r="AC874" s="1" t="s">
        <v>74</v>
      </c>
      <c r="AD874" s="1" t="s">
        <v>74</v>
      </c>
      <c r="AE874" s="1" t="s">
        <v>74</v>
      </c>
      <c r="AF874" s="1" t="s">
        <v>74</v>
      </c>
      <c r="AG874" s="1" t="s">
        <v>74</v>
      </c>
      <c r="AH874" s="1" t="s">
        <v>74</v>
      </c>
      <c r="AI874" s="1" t="s">
        <v>74</v>
      </c>
      <c r="AJ874" s="1" t="s">
        <v>74</v>
      </c>
      <c r="AK874" s="1" t="s">
        <v>74</v>
      </c>
      <c r="AL874" s="1" t="s">
        <v>74</v>
      </c>
      <c r="AM874" s="1" t="s">
        <v>74</v>
      </c>
      <c r="AN874" s="1" t="s">
        <v>74</v>
      </c>
      <c r="AO874" s="1" t="s">
        <v>74</v>
      </c>
      <c r="AP874" s="1" t="s">
        <v>5378</v>
      </c>
      <c r="AQ874" s="1" t="s">
        <v>74</v>
      </c>
      <c r="AR874" s="1" t="s">
        <v>74</v>
      </c>
      <c r="AS874" s="1" t="s">
        <v>74</v>
      </c>
      <c r="AT874" s="1" t="s">
        <v>360</v>
      </c>
      <c r="AU874" s="1">
        <v>2024.0</v>
      </c>
      <c r="AV874" s="1">
        <v>17.0</v>
      </c>
      <c r="AW874" s="1">
        <v>3.0</v>
      </c>
      <c r="AX874" s="1" t="s">
        <v>74</v>
      </c>
      <c r="AY874" s="1" t="s">
        <v>74</v>
      </c>
      <c r="AZ874" s="1" t="s">
        <v>74</v>
      </c>
      <c r="BA874" s="1" t="s">
        <v>74</v>
      </c>
      <c r="BB874" s="1" t="s">
        <v>74</v>
      </c>
      <c r="BC874" s="1" t="s">
        <v>74</v>
      </c>
      <c r="BD874" s="1">
        <v>659.0</v>
      </c>
      <c r="BE874" s="1" t="s">
        <v>8106</v>
      </c>
      <c r="BF874" s="2" t="str">
        <f>HYPERLINK("http://dx.doi.org/10.3390/en17030659","http://dx.doi.org/10.3390/en17030659")</f>
        <v>http://dx.doi.org/10.3390/en17030659</v>
      </c>
      <c r="BG874" s="1" t="s">
        <v>74</v>
      </c>
      <c r="BH874" s="1" t="s">
        <v>74</v>
      </c>
      <c r="BI874" s="1" t="s">
        <v>74</v>
      </c>
      <c r="BJ874" s="1" t="s">
        <v>74</v>
      </c>
      <c r="BK874" s="1" t="s">
        <v>74</v>
      </c>
      <c r="BL874" s="1" t="s">
        <v>74</v>
      </c>
      <c r="BM874" s="1" t="s">
        <v>74</v>
      </c>
      <c r="BN874" s="1" t="s">
        <v>74</v>
      </c>
      <c r="BO874" s="1" t="s">
        <v>74</v>
      </c>
      <c r="BP874" s="1" t="s">
        <v>74</v>
      </c>
      <c r="BQ874" s="1" t="s">
        <v>74</v>
      </c>
      <c r="BR874" s="1" t="s">
        <v>74</v>
      </c>
      <c r="BS874" s="1" t="s">
        <v>8107</v>
      </c>
      <c r="BT874" s="1" t="str">
        <f>HYPERLINK("https%3A%2F%2Fwww.webofscience.com%2Fwos%2Fwoscc%2Ffull-record%2FWOS:001160508500001","View Full Record in Web of Science")</f>
        <v>View Full Record in Web of Science</v>
      </c>
    </row>
    <row r="875" ht="12.75" customHeight="1">
      <c r="A875" s="1" t="s">
        <v>72</v>
      </c>
      <c r="B875" s="1" t="s">
        <v>8108</v>
      </c>
      <c r="C875" s="1" t="s">
        <v>74</v>
      </c>
      <c r="D875" s="1" t="s">
        <v>74</v>
      </c>
      <c r="E875" s="1" t="s">
        <v>74</v>
      </c>
      <c r="F875" s="1" t="s">
        <v>8109</v>
      </c>
      <c r="G875" s="1" t="s">
        <v>74</v>
      </c>
      <c r="H875" s="1" t="s">
        <v>74</v>
      </c>
      <c r="I875" s="1" t="s">
        <v>8110</v>
      </c>
      <c r="J875" s="1" t="s">
        <v>8111</v>
      </c>
      <c r="K875" s="1" t="s">
        <v>74</v>
      </c>
      <c r="L875" s="1" t="s">
        <v>74</v>
      </c>
      <c r="M875" s="1" t="s">
        <v>74</v>
      </c>
      <c r="N875" s="1" t="s">
        <v>74</v>
      </c>
      <c r="O875" s="1" t="s">
        <v>74</v>
      </c>
      <c r="P875" s="1" t="s">
        <v>74</v>
      </c>
      <c r="Q875" s="1" t="s">
        <v>74</v>
      </c>
      <c r="R875" s="1" t="s">
        <v>74</v>
      </c>
      <c r="S875" s="1" t="s">
        <v>74</v>
      </c>
      <c r="T875" s="1" t="s">
        <v>74</v>
      </c>
      <c r="U875" s="1" t="s">
        <v>74</v>
      </c>
      <c r="V875" s="1" t="s">
        <v>8112</v>
      </c>
      <c r="W875" s="1" t="s">
        <v>74</v>
      </c>
      <c r="X875" s="1" t="s">
        <v>74</v>
      </c>
      <c r="Y875" s="1" t="s">
        <v>74</v>
      </c>
      <c r="Z875" s="1" t="s">
        <v>74</v>
      </c>
      <c r="AA875" s="1" t="s">
        <v>3947</v>
      </c>
      <c r="AB875" s="1" t="s">
        <v>8113</v>
      </c>
      <c r="AC875" s="1" t="s">
        <v>74</v>
      </c>
      <c r="AD875" s="1" t="s">
        <v>74</v>
      </c>
      <c r="AE875" s="1" t="s">
        <v>74</v>
      </c>
      <c r="AF875" s="1" t="s">
        <v>74</v>
      </c>
      <c r="AG875" s="1" t="s">
        <v>74</v>
      </c>
      <c r="AH875" s="1" t="s">
        <v>74</v>
      </c>
      <c r="AI875" s="1" t="s">
        <v>74</v>
      </c>
      <c r="AJ875" s="1" t="s">
        <v>74</v>
      </c>
      <c r="AK875" s="1" t="s">
        <v>74</v>
      </c>
      <c r="AL875" s="1" t="s">
        <v>74</v>
      </c>
      <c r="AM875" s="1" t="s">
        <v>74</v>
      </c>
      <c r="AN875" s="1" t="s">
        <v>74</v>
      </c>
      <c r="AO875" s="1" t="s">
        <v>8114</v>
      </c>
      <c r="AP875" s="1" t="s">
        <v>8115</v>
      </c>
      <c r="AQ875" s="1" t="s">
        <v>74</v>
      </c>
      <c r="AR875" s="1" t="s">
        <v>74</v>
      </c>
      <c r="AS875" s="1" t="s">
        <v>74</v>
      </c>
      <c r="AT875" s="1" t="s">
        <v>2282</v>
      </c>
      <c r="AU875" s="1">
        <v>2024.0</v>
      </c>
      <c r="AV875" s="1">
        <v>89.0</v>
      </c>
      <c r="AW875" s="1">
        <v>3.0</v>
      </c>
      <c r="AX875" s="1" t="s">
        <v>74</v>
      </c>
      <c r="AY875" s="1" t="s">
        <v>74</v>
      </c>
      <c r="AZ875" s="1" t="s">
        <v>74</v>
      </c>
      <c r="BA875" s="1" t="s">
        <v>74</v>
      </c>
      <c r="BB875" s="1">
        <v>1534.0</v>
      </c>
      <c r="BC875" s="1">
        <v>1542.0</v>
      </c>
      <c r="BD875" s="1" t="s">
        <v>74</v>
      </c>
      <c r="BE875" s="1" t="s">
        <v>8116</v>
      </c>
      <c r="BF875" s="2" t="str">
        <f>HYPERLINK("http://dx.doi.org/10.1021/acs.joc.3c02158","http://dx.doi.org/10.1021/acs.joc.3c02158")</f>
        <v>http://dx.doi.org/10.1021/acs.joc.3c02158</v>
      </c>
      <c r="BG875" s="1" t="s">
        <v>74</v>
      </c>
      <c r="BH875" s="1" t="s">
        <v>74</v>
      </c>
      <c r="BI875" s="1" t="s">
        <v>74</v>
      </c>
      <c r="BJ875" s="1" t="s">
        <v>74</v>
      </c>
      <c r="BK875" s="1" t="s">
        <v>74</v>
      </c>
      <c r="BL875" s="1" t="s">
        <v>74</v>
      </c>
      <c r="BM875" s="1" t="s">
        <v>74</v>
      </c>
      <c r="BN875" s="1">
        <v>3.8224496E7</v>
      </c>
      <c r="BO875" s="1" t="s">
        <v>74</v>
      </c>
      <c r="BP875" s="1" t="s">
        <v>74</v>
      </c>
      <c r="BQ875" s="1" t="s">
        <v>74</v>
      </c>
      <c r="BR875" s="1" t="s">
        <v>74</v>
      </c>
      <c r="BS875" s="1" t="s">
        <v>8117</v>
      </c>
      <c r="BT875" s="1" t="str">
        <f>HYPERLINK("https%3A%2F%2Fwww.webofscience.com%2Fwos%2Fwoscc%2Ffull-record%2FWOS:001157552900001","View Full Record in Web of Science")</f>
        <v>View Full Record in Web of Science</v>
      </c>
    </row>
    <row r="876" ht="12.75" customHeight="1">
      <c r="A876" s="1" t="s">
        <v>72</v>
      </c>
      <c r="B876" s="1" t="s">
        <v>8118</v>
      </c>
      <c r="C876" s="1" t="s">
        <v>74</v>
      </c>
      <c r="D876" s="1" t="s">
        <v>74</v>
      </c>
      <c r="E876" s="1" t="s">
        <v>74</v>
      </c>
      <c r="F876" s="1" t="s">
        <v>8119</v>
      </c>
      <c r="G876" s="1" t="s">
        <v>74</v>
      </c>
      <c r="H876" s="1" t="s">
        <v>74</v>
      </c>
      <c r="I876" s="1" t="s">
        <v>8120</v>
      </c>
      <c r="J876" s="1" t="s">
        <v>8121</v>
      </c>
      <c r="K876" s="1" t="s">
        <v>74</v>
      </c>
      <c r="L876" s="1" t="s">
        <v>74</v>
      </c>
      <c r="M876" s="1" t="s">
        <v>74</v>
      </c>
      <c r="N876" s="1" t="s">
        <v>74</v>
      </c>
      <c r="O876" s="1" t="s">
        <v>74</v>
      </c>
      <c r="P876" s="1" t="s">
        <v>74</v>
      </c>
      <c r="Q876" s="1" t="s">
        <v>74</v>
      </c>
      <c r="R876" s="1" t="s">
        <v>74</v>
      </c>
      <c r="S876" s="1" t="s">
        <v>74</v>
      </c>
      <c r="T876" s="1" t="s">
        <v>74</v>
      </c>
      <c r="U876" s="1" t="s">
        <v>74</v>
      </c>
      <c r="V876" s="1" t="s">
        <v>8122</v>
      </c>
      <c r="W876" s="1" t="s">
        <v>74</v>
      </c>
      <c r="X876" s="1" t="s">
        <v>74</v>
      </c>
      <c r="Y876" s="1" t="s">
        <v>74</v>
      </c>
      <c r="Z876" s="1" t="s">
        <v>74</v>
      </c>
      <c r="AA876" s="1" t="s">
        <v>8123</v>
      </c>
      <c r="AB876" s="1" t="s">
        <v>8124</v>
      </c>
      <c r="AC876" s="1" t="s">
        <v>74</v>
      </c>
      <c r="AD876" s="1" t="s">
        <v>74</v>
      </c>
      <c r="AE876" s="1" t="s">
        <v>74</v>
      </c>
      <c r="AF876" s="1" t="s">
        <v>74</v>
      </c>
      <c r="AG876" s="1" t="s">
        <v>74</v>
      </c>
      <c r="AH876" s="1" t="s">
        <v>74</v>
      </c>
      <c r="AI876" s="1" t="s">
        <v>74</v>
      </c>
      <c r="AJ876" s="1" t="s">
        <v>74</v>
      </c>
      <c r="AK876" s="1" t="s">
        <v>74</v>
      </c>
      <c r="AL876" s="1" t="s">
        <v>74</v>
      </c>
      <c r="AM876" s="1" t="s">
        <v>74</v>
      </c>
      <c r="AN876" s="1" t="s">
        <v>74</v>
      </c>
      <c r="AO876" s="1" t="s">
        <v>74</v>
      </c>
      <c r="AP876" s="1" t="s">
        <v>8125</v>
      </c>
      <c r="AQ876" s="1" t="s">
        <v>74</v>
      </c>
      <c r="AR876" s="1" t="s">
        <v>74</v>
      </c>
      <c r="AS876" s="1" t="s">
        <v>74</v>
      </c>
      <c r="AT876" s="1" t="s">
        <v>2108</v>
      </c>
      <c r="AU876" s="1">
        <v>2023.0</v>
      </c>
      <c r="AV876" s="1">
        <v>10.0</v>
      </c>
      <c r="AW876" s="1">
        <v>12.0</v>
      </c>
      <c r="AX876" s="1" t="s">
        <v>74</v>
      </c>
      <c r="AY876" s="1" t="s">
        <v>74</v>
      </c>
      <c r="AZ876" s="1" t="s">
        <v>74</v>
      </c>
      <c r="BA876" s="1" t="s">
        <v>74</v>
      </c>
      <c r="BB876" s="1" t="s">
        <v>74</v>
      </c>
      <c r="BC876" s="1" t="s">
        <v>74</v>
      </c>
      <c r="BD876" s="1">
        <v>122004.0</v>
      </c>
      <c r="BE876" s="1" t="s">
        <v>8126</v>
      </c>
      <c r="BF876" s="2" t="str">
        <f>HYPERLINK("http://dx.doi.org/10.1088/2053-1591/ad16a9","http://dx.doi.org/10.1088/2053-1591/ad16a9")</f>
        <v>http://dx.doi.org/10.1088/2053-1591/ad16a9</v>
      </c>
      <c r="BG876" s="1" t="s">
        <v>74</v>
      </c>
      <c r="BH876" s="1" t="s">
        <v>74</v>
      </c>
      <c r="BI876" s="1" t="s">
        <v>74</v>
      </c>
      <c r="BJ876" s="1" t="s">
        <v>74</v>
      </c>
      <c r="BK876" s="1" t="s">
        <v>74</v>
      </c>
      <c r="BL876" s="1" t="s">
        <v>74</v>
      </c>
      <c r="BM876" s="1" t="s">
        <v>74</v>
      </c>
      <c r="BN876" s="1" t="s">
        <v>74</v>
      </c>
      <c r="BO876" s="1" t="s">
        <v>74</v>
      </c>
      <c r="BP876" s="1" t="s">
        <v>74</v>
      </c>
      <c r="BQ876" s="1" t="s">
        <v>74</v>
      </c>
      <c r="BR876" s="1" t="s">
        <v>74</v>
      </c>
      <c r="BS876" s="1" t="s">
        <v>8127</v>
      </c>
      <c r="BT876" s="1" t="str">
        <f>HYPERLINK("https%3A%2F%2Fwww.webofscience.com%2Fwos%2Fwoscc%2Ffull-record%2FWOS:001133737100001","View Full Record in Web of Science")</f>
        <v>View Full Record in Web of Science</v>
      </c>
    </row>
    <row r="877" ht="12.75" customHeight="1">
      <c r="A877" s="1" t="s">
        <v>72</v>
      </c>
      <c r="B877" s="1" t="s">
        <v>8128</v>
      </c>
      <c r="C877" s="1" t="s">
        <v>74</v>
      </c>
      <c r="D877" s="1" t="s">
        <v>74</v>
      </c>
      <c r="E877" s="1" t="s">
        <v>74</v>
      </c>
      <c r="F877" s="1" t="s">
        <v>8129</v>
      </c>
      <c r="G877" s="1" t="s">
        <v>74</v>
      </c>
      <c r="H877" s="1" t="s">
        <v>74</v>
      </c>
      <c r="I877" s="1" t="s">
        <v>8130</v>
      </c>
      <c r="J877" s="1" t="s">
        <v>2578</v>
      </c>
      <c r="K877" s="1" t="s">
        <v>74</v>
      </c>
      <c r="L877" s="1" t="s">
        <v>74</v>
      </c>
      <c r="M877" s="1" t="s">
        <v>74</v>
      </c>
      <c r="N877" s="1" t="s">
        <v>74</v>
      </c>
      <c r="O877" s="1" t="s">
        <v>74</v>
      </c>
      <c r="P877" s="1" t="s">
        <v>74</v>
      </c>
      <c r="Q877" s="1" t="s">
        <v>74</v>
      </c>
      <c r="R877" s="1" t="s">
        <v>74</v>
      </c>
      <c r="S877" s="1" t="s">
        <v>74</v>
      </c>
      <c r="T877" s="1" t="s">
        <v>74</v>
      </c>
      <c r="U877" s="1" t="s">
        <v>74</v>
      </c>
      <c r="V877" s="1" t="s">
        <v>8131</v>
      </c>
      <c r="W877" s="1" t="s">
        <v>74</v>
      </c>
      <c r="X877" s="1" t="s">
        <v>74</v>
      </c>
      <c r="Y877" s="1" t="s">
        <v>74</v>
      </c>
      <c r="Z877" s="1" t="s">
        <v>74</v>
      </c>
      <c r="AA877" s="1" t="s">
        <v>74</v>
      </c>
      <c r="AB877" s="1" t="s">
        <v>74</v>
      </c>
      <c r="AC877" s="1" t="s">
        <v>74</v>
      </c>
      <c r="AD877" s="1" t="s">
        <v>74</v>
      </c>
      <c r="AE877" s="1" t="s">
        <v>74</v>
      </c>
      <c r="AF877" s="1" t="s">
        <v>74</v>
      </c>
      <c r="AG877" s="1" t="s">
        <v>74</v>
      </c>
      <c r="AH877" s="1" t="s">
        <v>74</v>
      </c>
      <c r="AI877" s="1" t="s">
        <v>74</v>
      </c>
      <c r="AJ877" s="1" t="s">
        <v>74</v>
      </c>
      <c r="AK877" s="1" t="s">
        <v>74</v>
      </c>
      <c r="AL877" s="1" t="s">
        <v>74</v>
      </c>
      <c r="AM877" s="1" t="s">
        <v>74</v>
      </c>
      <c r="AN877" s="1" t="s">
        <v>74</v>
      </c>
      <c r="AO877" s="1" t="s">
        <v>2581</v>
      </c>
      <c r="AP877" s="1" t="s">
        <v>2582</v>
      </c>
      <c r="AQ877" s="1" t="s">
        <v>74</v>
      </c>
      <c r="AR877" s="1" t="s">
        <v>74</v>
      </c>
      <c r="AS877" s="1" t="s">
        <v>74</v>
      </c>
      <c r="AT877" s="1" t="s">
        <v>459</v>
      </c>
      <c r="AU877" s="1">
        <v>2023.0</v>
      </c>
      <c r="AV877" s="1">
        <v>151.0</v>
      </c>
      <c r="AW877" s="1">
        <v>9.0</v>
      </c>
      <c r="AX877" s="1" t="s">
        <v>74</v>
      </c>
      <c r="AY877" s="1" t="s">
        <v>74</v>
      </c>
      <c r="AZ877" s="1" t="s">
        <v>74</v>
      </c>
      <c r="BA877" s="1" t="s">
        <v>74</v>
      </c>
      <c r="BB877" s="1">
        <v>1255.0</v>
      </c>
      <c r="BC877" s="1">
        <v>1259.0</v>
      </c>
      <c r="BD877" s="1" t="s">
        <v>74</v>
      </c>
      <c r="BE877" s="1" t="s">
        <v>74</v>
      </c>
      <c r="BF877" s="1" t="s">
        <v>74</v>
      </c>
      <c r="BG877" s="1" t="s">
        <v>74</v>
      </c>
      <c r="BH877" s="1" t="s">
        <v>74</v>
      </c>
      <c r="BI877" s="1" t="s">
        <v>74</v>
      </c>
      <c r="BJ877" s="1" t="s">
        <v>74</v>
      </c>
      <c r="BK877" s="1" t="s">
        <v>74</v>
      </c>
      <c r="BL877" s="1" t="s">
        <v>74</v>
      </c>
      <c r="BM877" s="1" t="s">
        <v>74</v>
      </c>
      <c r="BN877" s="1">
        <v>3.9093163E7</v>
      </c>
      <c r="BO877" s="1" t="s">
        <v>74</v>
      </c>
      <c r="BP877" s="1" t="s">
        <v>74</v>
      </c>
      <c r="BQ877" s="1" t="s">
        <v>74</v>
      </c>
      <c r="BR877" s="1" t="s">
        <v>74</v>
      </c>
      <c r="BS877" s="1" t="s">
        <v>8132</v>
      </c>
      <c r="BT877" s="1" t="str">
        <f>HYPERLINK("https%3A%2F%2Fwww.webofscience.com%2Fwos%2Fwoscc%2Ffull-record%2FWOS:001223728800015","View Full Record in Web of Science")</f>
        <v>View Full Record in Web of Science</v>
      </c>
    </row>
    <row r="878" ht="12.75" customHeight="1">
      <c r="A878" s="1" t="s">
        <v>72</v>
      </c>
      <c r="B878" s="1" t="s">
        <v>8133</v>
      </c>
      <c r="C878" s="1" t="s">
        <v>74</v>
      </c>
      <c r="D878" s="1" t="s">
        <v>74</v>
      </c>
      <c r="E878" s="1" t="s">
        <v>74</v>
      </c>
      <c r="F878" s="1" t="s">
        <v>8134</v>
      </c>
      <c r="G878" s="1" t="s">
        <v>74</v>
      </c>
      <c r="H878" s="1" t="s">
        <v>74</v>
      </c>
      <c r="I878" s="1" t="s">
        <v>8135</v>
      </c>
      <c r="J878" s="1" t="s">
        <v>8136</v>
      </c>
      <c r="K878" s="1" t="s">
        <v>74</v>
      </c>
      <c r="L878" s="1" t="s">
        <v>74</v>
      </c>
      <c r="M878" s="1" t="s">
        <v>74</v>
      </c>
      <c r="N878" s="1" t="s">
        <v>74</v>
      </c>
      <c r="O878" s="1" t="s">
        <v>74</v>
      </c>
      <c r="P878" s="1" t="s">
        <v>74</v>
      </c>
      <c r="Q878" s="1" t="s">
        <v>74</v>
      </c>
      <c r="R878" s="1" t="s">
        <v>74</v>
      </c>
      <c r="S878" s="1" t="s">
        <v>74</v>
      </c>
      <c r="T878" s="1" t="s">
        <v>74</v>
      </c>
      <c r="U878" s="1" t="s">
        <v>74</v>
      </c>
      <c r="V878" s="1" t="s">
        <v>8137</v>
      </c>
      <c r="W878" s="1" t="s">
        <v>74</v>
      </c>
      <c r="X878" s="1" t="s">
        <v>74</v>
      </c>
      <c r="Y878" s="1" t="s">
        <v>74</v>
      </c>
      <c r="Z878" s="1" t="s">
        <v>74</v>
      </c>
      <c r="AA878" s="1" t="s">
        <v>8138</v>
      </c>
      <c r="AB878" s="1" t="s">
        <v>8139</v>
      </c>
      <c r="AC878" s="1" t="s">
        <v>74</v>
      </c>
      <c r="AD878" s="1" t="s">
        <v>74</v>
      </c>
      <c r="AE878" s="1" t="s">
        <v>74</v>
      </c>
      <c r="AF878" s="1" t="s">
        <v>74</v>
      </c>
      <c r="AG878" s="1" t="s">
        <v>74</v>
      </c>
      <c r="AH878" s="1" t="s">
        <v>74</v>
      </c>
      <c r="AI878" s="1" t="s">
        <v>74</v>
      </c>
      <c r="AJ878" s="1" t="s">
        <v>74</v>
      </c>
      <c r="AK878" s="1" t="s">
        <v>74</v>
      </c>
      <c r="AL878" s="1" t="s">
        <v>74</v>
      </c>
      <c r="AM878" s="1" t="s">
        <v>74</v>
      </c>
      <c r="AN878" s="1" t="s">
        <v>74</v>
      </c>
      <c r="AO878" s="1" t="s">
        <v>8140</v>
      </c>
      <c r="AP878" s="1" t="s">
        <v>74</v>
      </c>
      <c r="AQ878" s="1" t="s">
        <v>74</v>
      </c>
      <c r="AR878" s="1" t="s">
        <v>74</v>
      </c>
      <c r="AS878" s="1" t="s">
        <v>74</v>
      </c>
      <c r="AT878" s="1" t="s">
        <v>459</v>
      </c>
      <c r="AU878" s="1">
        <v>2023.0</v>
      </c>
      <c r="AV878" s="1">
        <v>23.0</v>
      </c>
      <c r="AW878" s="1" t="s">
        <v>74</v>
      </c>
      <c r="AX878" s="1" t="s">
        <v>74</v>
      </c>
      <c r="AY878" s="1" t="s">
        <v>74</v>
      </c>
      <c r="AZ878" s="1" t="s">
        <v>74</v>
      </c>
      <c r="BA878" s="1" t="s">
        <v>74</v>
      </c>
      <c r="BB878" s="1" t="s">
        <v>74</v>
      </c>
      <c r="BC878" s="1" t="s">
        <v>74</v>
      </c>
      <c r="BD878" s="1">
        <v>101564.0</v>
      </c>
      <c r="BE878" s="1" t="s">
        <v>8141</v>
      </c>
      <c r="BF878" s="2" t="str">
        <f>HYPERLINK("http://dx.doi.org/10.1016/j.biteb.2023.101564","http://dx.doi.org/10.1016/j.biteb.2023.101564")</f>
        <v>http://dx.doi.org/10.1016/j.biteb.2023.101564</v>
      </c>
      <c r="BG878" s="1" t="s">
        <v>74</v>
      </c>
      <c r="BH878" s="1" t="s">
        <v>74</v>
      </c>
      <c r="BI878" s="1" t="s">
        <v>74</v>
      </c>
      <c r="BJ878" s="1" t="s">
        <v>74</v>
      </c>
      <c r="BK878" s="1" t="s">
        <v>74</v>
      </c>
      <c r="BL878" s="1" t="s">
        <v>74</v>
      </c>
      <c r="BM878" s="1" t="s">
        <v>74</v>
      </c>
      <c r="BN878" s="1" t="s">
        <v>74</v>
      </c>
      <c r="BO878" s="1" t="s">
        <v>74</v>
      </c>
      <c r="BP878" s="1" t="s">
        <v>74</v>
      </c>
      <c r="BQ878" s="1" t="s">
        <v>74</v>
      </c>
      <c r="BR878" s="1" t="s">
        <v>74</v>
      </c>
      <c r="BS878" s="1" t="s">
        <v>8142</v>
      </c>
      <c r="BT878" s="1" t="str">
        <f>HYPERLINK("https%3A%2F%2Fwww.webofscience.com%2Fwos%2Fwoscc%2Ffull-record%2FWOS:001222000500007","View Full Record in Web of Science")</f>
        <v>View Full Record in Web of Science</v>
      </c>
    </row>
    <row r="879" ht="12.75" customHeight="1">
      <c r="A879" s="1" t="s">
        <v>72</v>
      </c>
      <c r="B879" s="1" t="s">
        <v>8143</v>
      </c>
      <c r="C879" s="1" t="s">
        <v>74</v>
      </c>
      <c r="D879" s="1" t="s">
        <v>74</v>
      </c>
      <c r="E879" s="1" t="s">
        <v>74</v>
      </c>
      <c r="F879" s="1" t="s">
        <v>8144</v>
      </c>
      <c r="G879" s="1" t="s">
        <v>74</v>
      </c>
      <c r="H879" s="1" t="s">
        <v>74</v>
      </c>
      <c r="I879" s="1" t="s">
        <v>8145</v>
      </c>
      <c r="J879" s="1" t="s">
        <v>2490</v>
      </c>
      <c r="K879" s="1" t="s">
        <v>74</v>
      </c>
      <c r="L879" s="1" t="s">
        <v>74</v>
      </c>
      <c r="M879" s="1" t="s">
        <v>74</v>
      </c>
      <c r="N879" s="1" t="s">
        <v>74</v>
      </c>
      <c r="O879" s="1" t="s">
        <v>74</v>
      </c>
      <c r="P879" s="1" t="s">
        <v>74</v>
      </c>
      <c r="Q879" s="1" t="s">
        <v>74</v>
      </c>
      <c r="R879" s="1" t="s">
        <v>74</v>
      </c>
      <c r="S879" s="1" t="s">
        <v>74</v>
      </c>
      <c r="T879" s="1" t="s">
        <v>74</v>
      </c>
      <c r="U879" s="1" t="s">
        <v>74</v>
      </c>
      <c r="V879" s="1" t="s">
        <v>8146</v>
      </c>
      <c r="W879" s="1" t="s">
        <v>74</v>
      </c>
      <c r="X879" s="1" t="s">
        <v>74</v>
      </c>
      <c r="Y879" s="1" t="s">
        <v>74</v>
      </c>
      <c r="Z879" s="1" t="s">
        <v>74</v>
      </c>
      <c r="AA879" s="1" t="s">
        <v>8147</v>
      </c>
      <c r="AB879" s="1" t="s">
        <v>8148</v>
      </c>
      <c r="AC879" s="1" t="s">
        <v>74</v>
      </c>
      <c r="AD879" s="1" t="s">
        <v>74</v>
      </c>
      <c r="AE879" s="1" t="s">
        <v>74</v>
      </c>
      <c r="AF879" s="1" t="s">
        <v>74</v>
      </c>
      <c r="AG879" s="1" t="s">
        <v>74</v>
      </c>
      <c r="AH879" s="1" t="s">
        <v>74</v>
      </c>
      <c r="AI879" s="1" t="s">
        <v>74</v>
      </c>
      <c r="AJ879" s="1" t="s">
        <v>74</v>
      </c>
      <c r="AK879" s="1" t="s">
        <v>74</v>
      </c>
      <c r="AL879" s="1" t="s">
        <v>74</v>
      </c>
      <c r="AM879" s="1" t="s">
        <v>74</v>
      </c>
      <c r="AN879" s="1" t="s">
        <v>74</v>
      </c>
      <c r="AO879" s="1" t="s">
        <v>74</v>
      </c>
      <c r="AP879" s="1" t="s">
        <v>2494</v>
      </c>
      <c r="AQ879" s="1" t="s">
        <v>74</v>
      </c>
      <c r="AR879" s="1" t="s">
        <v>74</v>
      </c>
      <c r="AS879" s="1" t="s">
        <v>74</v>
      </c>
      <c r="AT879" s="1" t="s">
        <v>135</v>
      </c>
      <c r="AU879" s="1">
        <v>2023.0</v>
      </c>
      <c r="AV879" s="1">
        <v>11.0</v>
      </c>
      <c r="AW879" s="1">
        <v>8.0</v>
      </c>
      <c r="AX879" s="1" t="s">
        <v>74</v>
      </c>
      <c r="AY879" s="1" t="s">
        <v>74</v>
      </c>
      <c r="AZ879" s="1" t="s">
        <v>74</v>
      </c>
      <c r="BA879" s="1" t="s">
        <v>74</v>
      </c>
      <c r="BB879" s="1" t="s">
        <v>74</v>
      </c>
      <c r="BC879" s="1" t="s">
        <v>74</v>
      </c>
      <c r="BD879" s="1">
        <v>2488.0</v>
      </c>
      <c r="BE879" s="1" t="s">
        <v>8149</v>
      </c>
      <c r="BF879" s="2" t="str">
        <f>HYPERLINK("http://dx.doi.org/10.3390/pr11082488","http://dx.doi.org/10.3390/pr11082488")</f>
        <v>http://dx.doi.org/10.3390/pr11082488</v>
      </c>
      <c r="BG879" s="1" t="s">
        <v>74</v>
      </c>
      <c r="BH879" s="1" t="s">
        <v>74</v>
      </c>
      <c r="BI879" s="1" t="s">
        <v>74</v>
      </c>
      <c r="BJ879" s="1" t="s">
        <v>74</v>
      </c>
      <c r="BK879" s="1" t="s">
        <v>74</v>
      </c>
      <c r="BL879" s="1" t="s">
        <v>74</v>
      </c>
      <c r="BM879" s="1" t="s">
        <v>74</v>
      </c>
      <c r="BN879" s="1" t="s">
        <v>74</v>
      </c>
      <c r="BO879" s="1" t="s">
        <v>74</v>
      </c>
      <c r="BP879" s="1" t="s">
        <v>74</v>
      </c>
      <c r="BQ879" s="1" t="s">
        <v>74</v>
      </c>
      <c r="BR879" s="1" t="s">
        <v>74</v>
      </c>
      <c r="BS879" s="1" t="s">
        <v>8150</v>
      </c>
      <c r="BT879" s="1" t="str">
        <f>HYPERLINK("https%3A%2F%2Fwww.webofscience.com%2Fwos%2Fwoscc%2Ffull-record%2FWOS:001055856900001","View Full Record in Web of Science")</f>
        <v>View Full Record in Web of Science</v>
      </c>
    </row>
    <row r="880" ht="12.75" customHeight="1">
      <c r="A880" s="1" t="s">
        <v>72</v>
      </c>
      <c r="B880" s="1" t="s">
        <v>8151</v>
      </c>
      <c r="C880" s="1" t="s">
        <v>74</v>
      </c>
      <c r="D880" s="1" t="s">
        <v>74</v>
      </c>
      <c r="E880" s="1" t="s">
        <v>74</v>
      </c>
      <c r="F880" s="1" t="s">
        <v>8152</v>
      </c>
      <c r="G880" s="1" t="s">
        <v>74</v>
      </c>
      <c r="H880" s="1" t="s">
        <v>74</v>
      </c>
      <c r="I880" s="1" t="s">
        <v>8153</v>
      </c>
      <c r="J880" s="1" t="s">
        <v>8154</v>
      </c>
      <c r="K880" s="1" t="s">
        <v>74</v>
      </c>
      <c r="L880" s="1" t="s">
        <v>74</v>
      </c>
      <c r="M880" s="1" t="s">
        <v>74</v>
      </c>
      <c r="N880" s="1" t="s">
        <v>74</v>
      </c>
      <c r="O880" s="1" t="s">
        <v>74</v>
      </c>
      <c r="P880" s="1" t="s">
        <v>74</v>
      </c>
      <c r="Q880" s="1" t="s">
        <v>74</v>
      </c>
      <c r="R880" s="1" t="s">
        <v>74</v>
      </c>
      <c r="S880" s="1" t="s">
        <v>74</v>
      </c>
      <c r="T880" s="1" t="s">
        <v>74</v>
      </c>
      <c r="U880" s="1" t="s">
        <v>74</v>
      </c>
      <c r="V880" s="1" t="s">
        <v>8155</v>
      </c>
      <c r="W880" s="1" t="s">
        <v>74</v>
      </c>
      <c r="X880" s="1" t="s">
        <v>74</v>
      </c>
      <c r="Y880" s="1" t="s">
        <v>74</v>
      </c>
      <c r="Z880" s="1" t="s">
        <v>74</v>
      </c>
      <c r="AA880" s="1" t="s">
        <v>74</v>
      </c>
      <c r="AB880" s="1" t="s">
        <v>74</v>
      </c>
      <c r="AC880" s="1" t="s">
        <v>74</v>
      </c>
      <c r="AD880" s="1" t="s">
        <v>74</v>
      </c>
      <c r="AE880" s="1" t="s">
        <v>74</v>
      </c>
      <c r="AF880" s="1" t="s">
        <v>74</v>
      </c>
      <c r="AG880" s="1" t="s">
        <v>74</v>
      </c>
      <c r="AH880" s="1" t="s">
        <v>74</v>
      </c>
      <c r="AI880" s="1" t="s">
        <v>74</v>
      </c>
      <c r="AJ880" s="1" t="s">
        <v>74</v>
      </c>
      <c r="AK880" s="1" t="s">
        <v>74</v>
      </c>
      <c r="AL880" s="1" t="s">
        <v>74</v>
      </c>
      <c r="AM880" s="1" t="s">
        <v>74</v>
      </c>
      <c r="AN880" s="1" t="s">
        <v>74</v>
      </c>
      <c r="AO880" s="1" t="s">
        <v>8156</v>
      </c>
      <c r="AP880" s="1" t="s">
        <v>8157</v>
      </c>
      <c r="AQ880" s="1" t="s">
        <v>74</v>
      </c>
      <c r="AR880" s="1" t="s">
        <v>74</v>
      </c>
      <c r="AS880" s="1" t="s">
        <v>74</v>
      </c>
      <c r="AT880" s="1" t="s">
        <v>1829</v>
      </c>
      <c r="AU880" s="1">
        <v>2023.0</v>
      </c>
      <c r="AV880" s="1">
        <v>77.0</v>
      </c>
      <c r="AW880" s="1">
        <v>239.0</v>
      </c>
      <c r="AX880" s="1" t="s">
        <v>74</v>
      </c>
      <c r="AY880" s="1" t="s">
        <v>74</v>
      </c>
      <c r="AZ880" s="1" t="s">
        <v>74</v>
      </c>
      <c r="BA880" s="1" t="s">
        <v>74</v>
      </c>
      <c r="BB880" s="1">
        <v>61.0</v>
      </c>
      <c r="BC880" s="1">
        <v>82.0</v>
      </c>
      <c r="BD880" s="1" t="s">
        <v>74</v>
      </c>
      <c r="BE880" s="1" t="s">
        <v>74</v>
      </c>
      <c r="BF880" s="1" t="s">
        <v>74</v>
      </c>
      <c r="BG880" s="1" t="s">
        <v>74</v>
      </c>
      <c r="BH880" s="1" t="s">
        <v>74</v>
      </c>
      <c r="BI880" s="1" t="s">
        <v>74</v>
      </c>
      <c r="BJ880" s="1" t="s">
        <v>74</v>
      </c>
      <c r="BK880" s="1" t="s">
        <v>74</v>
      </c>
      <c r="BL880" s="1" t="s">
        <v>74</v>
      </c>
      <c r="BM880" s="1" t="s">
        <v>74</v>
      </c>
      <c r="BN880" s="1" t="s">
        <v>74</v>
      </c>
      <c r="BO880" s="1" t="s">
        <v>74</v>
      </c>
      <c r="BP880" s="1" t="s">
        <v>74</v>
      </c>
      <c r="BQ880" s="1" t="s">
        <v>74</v>
      </c>
      <c r="BR880" s="1" t="s">
        <v>74</v>
      </c>
      <c r="BS880" s="1" t="s">
        <v>8158</v>
      </c>
      <c r="BT880" s="1" t="str">
        <f>HYPERLINK("https%3A%2F%2Fwww.webofscience.com%2Fwos%2Fwoscc%2Ffull-record%2FWOS:001049903500001","View Full Record in Web of Science")</f>
        <v>View Full Record in Web of Science</v>
      </c>
    </row>
    <row r="881" ht="12.75" customHeight="1">
      <c r="A881" s="1" t="s">
        <v>72</v>
      </c>
      <c r="B881" s="1" t="s">
        <v>8159</v>
      </c>
      <c r="C881" s="1" t="s">
        <v>74</v>
      </c>
      <c r="D881" s="1" t="s">
        <v>74</v>
      </c>
      <c r="E881" s="1" t="s">
        <v>74</v>
      </c>
      <c r="F881" s="1" t="s">
        <v>8160</v>
      </c>
      <c r="G881" s="1" t="s">
        <v>74</v>
      </c>
      <c r="H881" s="1" t="s">
        <v>74</v>
      </c>
      <c r="I881" s="1" t="s">
        <v>8161</v>
      </c>
      <c r="J881" s="1" t="s">
        <v>8162</v>
      </c>
      <c r="K881" s="1" t="s">
        <v>74</v>
      </c>
      <c r="L881" s="1" t="s">
        <v>74</v>
      </c>
      <c r="M881" s="1" t="s">
        <v>74</v>
      </c>
      <c r="N881" s="1" t="s">
        <v>74</v>
      </c>
      <c r="O881" s="1" t="s">
        <v>74</v>
      </c>
      <c r="P881" s="1" t="s">
        <v>74</v>
      </c>
      <c r="Q881" s="1" t="s">
        <v>74</v>
      </c>
      <c r="R881" s="1" t="s">
        <v>74</v>
      </c>
      <c r="S881" s="1" t="s">
        <v>74</v>
      </c>
      <c r="T881" s="1" t="s">
        <v>74</v>
      </c>
      <c r="U881" s="1" t="s">
        <v>74</v>
      </c>
      <c r="V881" s="1" t="s">
        <v>8163</v>
      </c>
      <c r="W881" s="1" t="s">
        <v>74</v>
      </c>
      <c r="X881" s="1" t="s">
        <v>74</v>
      </c>
      <c r="Y881" s="1" t="s">
        <v>74</v>
      </c>
      <c r="Z881" s="1" t="s">
        <v>74</v>
      </c>
      <c r="AA881" s="1" t="s">
        <v>8164</v>
      </c>
      <c r="AB881" s="1" t="s">
        <v>8165</v>
      </c>
      <c r="AC881" s="1" t="s">
        <v>74</v>
      </c>
      <c r="AD881" s="1" t="s">
        <v>74</v>
      </c>
      <c r="AE881" s="1" t="s">
        <v>74</v>
      </c>
      <c r="AF881" s="1" t="s">
        <v>74</v>
      </c>
      <c r="AG881" s="1" t="s">
        <v>74</v>
      </c>
      <c r="AH881" s="1" t="s">
        <v>74</v>
      </c>
      <c r="AI881" s="1" t="s">
        <v>74</v>
      </c>
      <c r="AJ881" s="1" t="s">
        <v>74</v>
      </c>
      <c r="AK881" s="1" t="s">
        <v>74</v>
      </c>
      <c r="AL881" s="1" t="s">
        <v>74</v>
      </c>
      <c r="AM881" s="1" t="s">
        <v>74</v>
      </c>
      <c r="AN881" s="1" t="s">
        <v>74</v>
      </c>
      <c r="AO881" s="1" t="s">
        <v>8166</v>
      </c>
      <c r="AP881" s="1" t="s">
        <v>8167</v>
      </c>
      <c r="AQ881" s="1" t="s">
        <v>74</v>
      </c>
      <c r="AR881" s="1" t="s">
        <v>74</v>
      </c>
      <c r="AS881" s="1" t="s">
        <v>74</v>
      </c>
      <c r="AT881" s="1" t="s">
        <v>1049</v>
      </c>
      <c r="AU881" s="1">
        <v>2022.0</v>
      </c>
      <c r="AV881" s="1">
        <v>140.0</v>
      </c>
      <c r="AW881" s="1">
        <v>4.0</v>
      </c>
      <c r="AX881" s="1" t="s">
        <v>74</v>
      </c>
      <c r="AY881" s="1" t="s">
        <v>74</v>
      </c>
      <c r="AZ881" s="1" t="s">
        <v>74</v>
      </c>
      <c r="BA881" s="1" t="s">
        <v>74</v>
      </c>
      <c r="BB881" s="1" t="s">
        <v>74</v>
      </c>
      <c r="BC881" s="1" t="s">
        <v>74</v>
      </c>
      <c r="BD881" s="1">
        <v>42001.0</v>
      </c>
      <c r="BE881" s="1" t="s">
        <v>8168</v>
      </c>
      <c r="BF881" s="2" t="str">
        <f>HYPERLINK("http://dx.doi.org/10.1209/0295-5075/ac9f65","http://dx.doi.org/10.1209/0295-5075/ac9f65")</f>
        <v>http://dx.doi.org/10.1209/0295-5075/ac9f65</v>
      </c>
      <c r="BG881" s="1" t="s">
        <v>74</v>
      </c>
      <c r="BH881" s="1" t="s">
        <v>74</v>
      </c>
      <c r="BI881" s="1" t="s">
        <v>74</v>
      </c>
      <c r="BJ881" s="1" t="s">
        <v>74</v>
      </c>
      <c r="BK881" s="1" t="s">
        <v>74</v>
      </c>
      <c r="BL881" s="1" t="s">
        <v>74</v>
      </c>
      <c r="BM881" s="1" t="s">
        <v>74</v>
      </c>
      <c r="BN881" s="1" t="s">
        <v>74</v>
      </c>
      <c r="BO881" s="1" t="s">
        <v>74</v>
      </c>
      <c r="BP881" s="1" t="s">
        <v>74</v>
      </c>
      <c r="BQ881" s="1" t="s">
        <v>74</v>
      </c>
      <c r="BR881" s="1" t="s">
        <v>74</v>
      </c>
      <c r="BS881" s="1" t="s">
        <v>8169</v>
      </c>
      <c r="BT881" s="1" t="str">
        <f>HYPERLINK("https%3A%2F%2Fwww.webofscience.com%2Fwos%2Fwoscc%2Ffull-record%2FWOS:000890292300001","View Full Record in Web of Science")</f>
        <v>View Full Record in Web of Science</v>
      </c>
    </row>
    <row r="882" ht="12.75" customHeight="1">
      <c r="A882" s="1" t="s">
        <v>72</v>
      </c>
      <c r="B882" s="1" t="s">
        <v>8170</v>
      </c>
      <c r="C882" s="1" t="s">
        <v>74</v>
      </c>
      <c r="D882" s="1" t="s">
        <v>74</v>
      </c>
      <c r="E882" s="1" t="s">
        <v>74</v>
      </c>
      <c r="F882" s="1" t="s">
        <v>8171</v>
      </c>
      <c r="G882" s="1" t="s">
        <v>74</v>
      </c>
      <c r="H882" s="1" t="s">
        <v>74</v>
      </c>
      <c r="I882" s="1" t="s">
        <v>8172</v>
      </c>
      <c r="J882" s="1" t="s">
        <v>931</v>
      </c>
      <c r="K882" s="1" t="s">
        <v>74</v>
      </c>
      <c r="L882" s="1" t="s">
        <v>74</v>
      </c>
      <c r="M882" s="1" t="s">
        <v>74</v>
      </c>
      <c r="N882" s="1" t="s">
        <v>74</v>
      </c>
      <c r="O882" s="1" t="s">
        <v>74</v>
      </c>
      <c r="P882" s="1" t="s">
        <v>74</v>
      </c>
      <c r="Q882" s="1" t="s">
        <v>74</v>
      </c>
      <c r="R882" s="1" t="s">
        <v>74</v>
      </c>
      <c r="S882" s="1" t="s">
        <v>74</v>
      </c>
      <c r="T882" s="1" t="s">
        <v>74</v>
      </c>
      <c r="U882" s="1" t="s">
        <v>74</v>
      </c>
      <c r="V882" s="1" t="s">
        <v>8173</v>
      </c>
      <c r="W882" s="1" t="s">
        <v>74</v>
      </c>
      <c r="X882" s="1" t="s">
        <v>74</v>
      </c>
      <c r="Y882" s="1" t="s">
        <v>74</v>
      </c>
      <c r="Z882" s="1" t="s">
        <v>74</v>
      </c>
      <c r="AA882" s="1" t="s">
        <v>74</v>
      </c>
      <c r="AB882" s="1" t="s">
        <v>8174</v>
      </c>
      <c r="AC882" s="1" t="s">
        <v>74</v>
      </c>
      <c r="AD882" s="1" t="s">
        <v>74</v>
      </c>
      <c r="AE882" s="1" t="s">
        <v>74</v>
      </c>
      <c r="AF882" s="1" t="s">
        <v>74</v>
      </c>
      <c r="AG882" s="1" t="s">
        <v>74</v>
      </c>
      <c r="AH882" s="1" t="s">
        <v>74</v>
      </c>
      <c r="AI882" s="1" t="s">
        <v>74</v>
      </c>
      <c r="AJ882" s="1" t="s">
        <v>74</v>
      </c>
      <c r="AK882" s="1" t="s">
        <v>74</v>
      </c>
      <c r="AL882" s="1" t="s">
        <v>74</v>
      </c>
      <c r="AM882" s="1" t="s">
        <v>74</v>
      </c>
      <c r="AN882" s="1" t="s">
        <v>74</v>
      </c>
      <c r="AO882" s="1" t="s">
        <v>74</v>
      </c>
      <c r="AP882" s="1" t="s">
        <v>935</v>
      </c>
      <c r="AQ882" s="1" t="s">
        <v>74</v>
      </c>
      <c r="AR882" s="1" t="s">
        <v>74</v>
      </c>
      <c r="AS882" s="1" t="s">
        <v>74</v>
      </c>
      <c r="AT882" s="1" t="s">
        <v>310</v>
      </c>
      <c r="AU882" s="1">
        <v>2022.0</v>
      </c>
      <c r="AV882" s="1">
        <v>11.0</v>
      </c>
      <c r="AW882" s="1">
        <v>13.0</v>
      </c>
      <c r="AX882" s="1" t="s">
        <v>74</v>
      </c>
      <c r="AY882" s="1" t="s">
        <v>74</v>
      </c>
      <c r="AZ882" s="1" t="s">
        <v>74</v>
      </c>
      <c r="BA882" s="1" t="s">
        <v>74</v>
      </c>
      <c r="BB882" s="1" t="s">
        <v>74</v>
      </c>
      <c r="BC882" s="1" t="s">
        <v>74</v>
      </c>
      <c r="BD882" s="1">
        <v>1906.0</v>
      </c>
      <c r="BE882" s="1" t="s">
        <v>8175</v>
      </c>
      <c r="BF882" s="2" t="str">
        <f>HYPERLINK("http://dx.doi.org/10.3390/foods11131906","http://dx.doi.org/10.3390/foods11131906")</f>
        <v>http://dx.doi.org/10.3390/foods11131906</v>
      </c>
      <c r="BG882" s="1" t="s">
        <v>74</v>
      </c>
      <c r="BH882" s="1" t="s">
        <v>74</v>
      </c>
      <c r="BI882" s="1" t="s">
        <v>74</v>
      </c>
      <c r="BJ882" s="1" t="s">
        <v>74</v>
      </c>
      <c r="BK882" s="1" t="s">
        <v>74</v>
      </c>
      <c r="BL882" s="1" t="s">
        <v>74</v>
      </c>
      <c r="BM882" s="1" t="s">
        <v>74</v>
      </c>
      <c r="BN882" s="1">
        <v>3.580472E7</v>
      </c>
      <c r="BO882" s="1" t="s">
        <v>74</v>
      </c>
      <c r="BP882" s="1" t="s">
        <v>74</v>
      </c>
      <c r="BQ882" s="1" t="s">
        <v>74</v>
      </c>
      <c r="BR882" s="1" t="s">
        <v>74</v>
      </c>
      <c r="BS882" s="1" t="s">
        <v>8176</v>
      </c>
      <c r="BT882" s="1" t="str">
        <f>HYPERLINK("https%3A%2F%2Fwww.webofscience.com%2Fwos%2Fwoscc%2Ffull-record%2FWOS:000823883200001","View Full Record in Web of Science")</f>
        <v>View Full Record in Web of Science</v>
      </c>
    </row>
    <row r="883" ht="12.75" customHeight="1">
      <c r="A883" s="1" t="s">
        <v>72</v>
      </c>
      <c r="B883" s="1" t="s">
        <v>8177</v>
      </c>
      <c r="C883" s="1" t="s">
        <v>74</v>
      </c>
      <c r="D883" s="1" t="s">
        <v>74</v>
      </c>
      <c r="E883" s="1" t="s">
        <v>74</v>
      </c>
      <c r="F883" s="1" t="s">
        <v>8178</v>
      </c>
      <c r="G883" s="1" t="s">
        <v>74</v>
      </c>
      <c r="H883" s="1" t="s">
        <v>74</v>
      </c>
      <c r="I883" s="1" t="s">
        <v>8179</v>
      </c>
      <c r="J883" s="1" t="s">
        <v>777</v>
      </c>
      <c r="K883" s="1" t="s">
        <v>74</v>
      </c>
      <c r="L883" s="1" t="s">
        <v>74</v>
      </c>
      <c r="M883" s="1" t="s">
        <v>74</v>
      </c>
      <c r="N883" s="1" t="s">
        <v>74</v>
      </c>
      <c r="O883" s="1" t="s">
        <v>74</v>
      </c>
      <c r="P883" s="1" t="s">
        <v>74</v>
      </c>
      <c r="Q883" s="1" t="s">
        <v>74</v>
      </c>
      <c r="R883" s="1" t="s">
        <v>74</v>
      </c>
      <c r="S883" s="1" t="s">
        <v>74</v>
      </c>
      <c r="T883" s="1" t="s">
        <v>74</v>
      </c>
      <c r="U883" s="1" t="s">
        <v>74</v>
      </c>
      <c r="V883" s="1" t="s">
        <v>8180</v>
      </c>
      <c r="W883" s="1" t="s">
        <v>74</v>
      </c>
      <c r="X883" s="1" t="s">
        <v>74</v>
      </c>
      <c r="Y883" s="1" t="s">
        <v>74</v>
      </c>
      <c r="Z883" s="1" t="s">
        <v>74</v>
      </c>
      <c r="AA883" s="1" t="s">
        <v>2116</v>
      </c>
      <c r="AB883" s="1" t="s">
        <v>8181</v>
      </c>
      <c r="AC883" s="1" t="s">
        <v>74</v>
      </c>
      <c r="AD883" s="1" t="s">
        <v>74</v>
      </c>
      <c r="AE883" s="1" t="s">
        <v>74</v>
      </c>
      <c r="AF883" s="1" t="s">
        <v>74</v>
      </c>
      <c r="AG883" s="1" t="s">
        <v>74</v>
      </c>
      <c r="AH883" s="1" t="s">
        <v>74</v>
      </c>
      <c r="AI883" s="1" t="s">
        <v>74</v>
      </c>
      <c r="AJ883" s="1" t="s">
        <v>74</v>
      </c>
      <c r="AK883" s="1" t="s">
        <v>74</v>
      </c>
      <c r="AL883" s="1" t="s">
        <v>74</v>
      </c>
      <c r="AM883" s="1" t="s">
        <v>74</v>
      </c>
      <c r="AN883" s="1" t="s">
        <v>74</v>
      </c>
      <c r="AO883" s="1" t="s">
        <v>779</v>
      </c>
      <c r="AP883" s="1" t="s">
        <v>780</v>
      </c>
      <c r="AQ883" s="1" t="s">
        <v>74</v>
      </c>
      <c r="AR883" s="1" t="s">
        <v>74</v>
      </c>
      <c r="AS883" s="1" t="s">
        <v>74</v>
      </c>
      <c r="AT883" s="1" t="s">
        <v>3903</v>
      </c>
      <c r="AU883" s="1">
        <v>2022.0</v>
      </c>
      <c r="AV883" s="1">
        <v>323.0</v>
      </c>
      <c r="AW883" s="1" t="s">
        <v>74</v>
      </c>
      <c r="AX883" s="1" t="s">
        <v>74</v>
      </c>
      <c r="AY883" s="1" t="s">
        <v>74</v>
      </c>
      <c r="AZ883" s="1" t="s">
        <v>74</v>
      </c>
      <c r="BA883" s="1" t="s">
        <v>74</v>
      </c>
      <c r="BB883" s="1">
        <v>229.0</v>
      </c>
      <c r="BC883" s="1">
        <v>252.0</v>
      </c>
      <c r="BD883" s="1" t="s">
        <v>74</v>
      </c>
      <c r="BE883" s="1" t="s">
        <v>8182</v>
      </c>
      <c r="BF883" s="2" t="str">
        <f>HYPERLINK("http://dx.doi.org/10.1016/j.jde.2022.03.031","http://dx.doi.org/10.1016/j.jde.2022.03.031")</f>
        <v>http://dx.doi.org/10.1016/j.jde.2022.03.031</v>
      </c>
      <c r="BG883" s="1" t="s">
        <v>74</v>
      </c>
      <c r="BH883" s="1" t="s">
        <v>6562</v>
      </c>
      <c r="BI883" s="1" t="s">
        <v>74</v>
      </c>
      <c r="BJ883" s="1" t="s">
        <v>74</v>
      </c>
      <c r="BK883" s="1" t="s">
        <v>74</v>
      </c>
      <c r="BL883" s="1" t="s">
        <v>74</v>
      </c>
      <c r="BM883" s="1" t="s">
        <v>74</v>
      </c>
      <c r="BN883" s="1" t="s">
        <v>74</v>
      </c>
      <c r="BO883" s="1" t="s">
        <v>74</v>
      </c>
      <c r="BP883" s="1" t="s">
        <v>74</v>
      </c>
      <c r="BQ883" s="1" t="s">
        <v>74</v>
      </c>
      <c r="BR883" s="1" t="s">
        <v>74</v>
      </c>
      <c r="BS883" s="1" t="s">
        <v>8183</v>
      </c>
      <c r="BT883" s="1" t="str">
        <f>HYPERLINK("https%3A%2F%2Fwww.webofscience.com%2Fwos%2Fwoscc%2Ffull-record%2FWOS:000792903600007","View Full Record in Web of Science")</f>
        <v>View Full Record in Web of Science</v>
      </c>
    </row>
    <row r="884" ht="12.75" customHeight="1">
      <c r="A884" s="1" t="s">
        <v>72</v>
      </c>
      <c r="B884" s="1" t="s">
        <v>8184</v>
      </c>
      <c r="C884" s="1" t="s">
        <v>74</v>
      </c>
      <c r="D884" s="1" t="s">
        <v>74</v>
      </c>
      <c r="E884" s="1" t="s">
        <v>74</v>
      </c>
      <c r="F884" s="1" t="s">
        <v>8185</v>
      </c>
      <c r="G884" s="1" t="s">
        <v>74</v>
      </c>
      <c r="H884" s="1" t="s">
        <v>74</v>
      </c>
      <c r="I884" s="1" t="s">
        <v>8186</v>
      </c>
      <c r="J884" s="1" t="s">
        <v>3995</v>
      </c>
      <c r="K884" s="1" t="s">
        <v>74</v>
      </c>
      <c r="L884" s="1" t="s">
        <v>74</v>
      </c>
      <c r="M884" s="1" t="s">
        <v>74</v>
      </c>
      <c r="N884" s="1" t="s">
        <v>74</v>
      </c>
      <c r="O884" s="1" t="s">
        <v>74</v>
      </c>
      <c r="P884" s="1" t="s">
        <v>74</v>
      </c>
      <c r="Q884" s="1" t="s">
        <v>74</v>
      </c>
      <c r="R884" s="1" t="s">
        <v>74</v>
      </c>
      <c r="S884" s="1" t="s">
        <v>74</v>
      </c>
      <c r="T884" s="1" t="s">
        <v>74</v>
      </c>
      <c r="U884" s="1" t="s">
        <v>74</v>
      </c>
      <c r="V884" s="1" t="s">
        <v>8187</v>
      </c>
      <c r="W884" s="1" t="s">
        <v>74</v>
      </c>
      <c r="X884" s="1" t="s">
        <v>74</v>
      </c>
      <c r="Y884" s="1" t="s">
        <v>74</v>
      </c>
      <c r="Z884" s="1" t="s">
        <v>74</v>
      </c>
      <c r="AA884" s="1" t="s">
        <v>8188</v>
      </c>
      <c r="AB884" s="1" t="s">
        <v>74</v>
      </c>
      <c r="AC884" s="1" t="s">
        <v>74</v>
      </c>
      <c r="AD884" s="1" t="s">
        <v>74</v>
      </c>
      <c r="AE884" s="1" t="s">
        <v>74</v>
      </c>
      <c r="AF884" s="1" t="s">
        <v>74</v>
      </c>
      <c r="AG884" s="1" t="s">
        <v>74</v>
      </c>
      <c r="AH884" s="1" t="s">
        <v>74</v>
      </c>
      <c r="AI884" s="1" t="s">
        <v>74</v>
      </c>
      <c r="AJ884" s="1" t="s">
        <v>74</v>
      </c>
      <c r="AK884" s="1" t="s">
        <v>74</v>
      </c>
      <c r="AL884" s="1" t="s">
        <v>74</v>
      </c>
      <c r="AM884" s="1" t="s">
        <v>74</v>
      </c>
      <c r="AN884" s="1" t="s">
        <v>74</v>
      </c>
      <c r="AO884" s="1" t="s">
        <v>3997</v>
      </c>
      <c r="AP884" s="1" t="s">
        <v>3998</v>
      </c>
      <c r="AQ884" s="1" t="s">
        <v>74</v>
      </c>
      <c r="AR884" s="1" t="s">
        <v>74</v>
      </c>
      <c r="AS884" s="1" t="s">
        <v>74</v>
      </c>
      <c r="AT884" s="1" t="s">
        <v>123</v>
      </c>
      <c r="AU884" s="1">
        <v>2021.0</v>
      </c>
      <c r="AV884" s="1">
        <v>143.0</v>
      </c>
      <c r="AW884" s="1">
        <v>10.0</v>
      </c>
      <c r="AX884" s="1" t="s">
        <v>74</v>
      </c>
      <c r="AY884" s="1" t="s">
        <v>74</v>
      </c>
      <c r="AZ884" s="1" t="s">
        <v>74</v>
      </c>
      <c r="BA884" s="1" t="s">
        <v>74</v>
      </c>
      <c r="BB884" s="1" t="s">
        <v>74</v>
      </c>
      <c r="BC884" s="1" t="s">
        <v>74</v>
      </c>
      <c r="BD884" s="1">
        <v>101302.0</v>
      </c>
      <c r="BE884" s="1" t="s">
        <v>8189</v>
      </c>
      <c r="BF884" s="2" t="str">
        <f>HYPERLINK("http://dx.doi.org/10.1115/1.4050940","http://dx.doi.org/10.1115/1.4050940")</f>
        <v>http://dx.doi.org/10.1115/1.4050940</v>
      </c>
      <c r="BG884" s="1" t="s">
        <v>74</v>
      </c>
      <c r="BH884" s="1" t="s">
        <v>74</v>
      </c>
      <c r="BI884" s="1" t="s">
        <v>74</v>
      </c>
      <c r="BJ884" s="1" t="s">
        <v>74</v>
      </c>
      <c r="BK884" s="1" t="s">
        <v>74</v>
      </c>
      <c r="BL884" s="1" t="s">
        <v>74</v>
      </c>
      <c r="BM884" s="1" t="s">
        <v>74</v>
      </c>
      <c r="BN884" s="1" t="s">
        <v>74</v>
      </c>
      <c r="BO884" s="1" t="s">
        <v>74</v>
      </c>
      <c r="BP884" s="1" t="s">
        <v>74</v>
      </c>
      <c r="BQ884" s="1" t="s">
        <v>74</v>
      </c>
      <c r="BR884" s="1" t="s">
        <v>74</v>
      </c>
      <c r="BS884" s="1" t="s">
        <v>8190</v>
      </c>
      <c r="BT884" s="1" t="str">
        <f>HYPERLINK("https%3A%2F%2Fwww.webofscience.com%2Fwos%2Fwoscc%2Ffull-record%2FWOS:000759541900008","View Full Record in Web of Science")</f>
        <v>View Full Record in Web of Science</v>
      </c>
    </row>
    <row r="885" ht="12.75" customHeight="1">
      <c r="A885" s="1" t="s">
        <v>72</v>
      </c>
      <c r="B885" s="1" t="s">
        <v>8191</v>
      </c>
      <c r="C885" s="1" t="s">
        <v>74</v>
      </c>
      <c r="D885" s="1" t="s">
        <v>74</v>
      </c>
      <c r="E885" s="1" t="s">
        <v>74</v>
      </c>
      <c r="F885" s="1" t="s">
        <v>8192</v>
      </c>
      <c r="G885" s="1" t="s">
        <v>74</v>
      </c>
      <c r="H885" s="1" t="s">
        <v>74</v>
      </c>
      <c r="I885" s="1" t="s">
        <v>8193</v>
      </c>
      <c r="J885" s="1" t="s">
        <v>777</v>
      </c>
      <c r="K885" s="1" t="s">
        <v>74</v>
      </c>
      <c r="L885" s="1" t="s">
        <v>74</v>
      </c>
      <c r="M885" s="1" t="s">
        <v>74</v>
      </c>
      <c r="N885" s="1" t="s">
        <v>74</v>
      </c>
      <c r="O885" s="1" t="s">
        <v>74</v>
      </c>
      <c r="P885" s="1" t="s">
        <v>74</v>
      </c>
      <c r="Q885" s="1" t="s">
        <v>74</v>
      </c>
      <c r="R885" s="1" t="s">
        <v>74</v>
      </c>
      <c r="S885" s="1" t="s">
        <v>74</v>
      </c>
      <c r="T885" s="1" t="s">
        <v>74</v>
      </c>
      <c r="U885" s="1" t="s">
        <v>74</v>
      </c>
      <c r="V885" s="1" t="s">
        <v>8194</v>
      </c>
      <c r="W885" s="1" t="s">
        <v>74</v>
      </c>
      <c r="X885" s="1" t="s">
        <v>74</v>
      </c>
      <c r="Y885" s="1" t="s">
        <v>74</v>
      </c>
      <c r="Z885" s="1" t="s">
        <v>74</v>
      </c>
      <c r="AA885" s="1" t="s">
        <v>74</v>
      </c>
      <c r="AB885" s="1" t="s">
        <v>74</v>
      </c>
      <c r="AC885" s="1" t="s">
        <v>74</v>
      </c>
      <c r="AD885" s="1" t="s">
        <v>74</v>
      </c>
      <c r="AE885" s="1" t="s">
        <v>74</v>
      </c>
      <c r="AF885" s="1" t="s">
        <v>74</v>
      </c>
      <c r="AG885" s="1" t="s">
        <v>74</v>
      </c>
      <c r="AH885" s="1" t="s">
        <v>74</v>
      </c>
      <c r="AI885" s="1" t="s">
        <v>74</v>
      </c>
      <c r="AJ885" s="1" t="s">
        <v>74</v>
      </c>
      <c r="AK885" s="1" t="s">
        <v>74</v>
      </c>
      <c r="AL885" s="1" t="s">
        <v>74</v>
      </c>
      <c r="AM885" s="1" t="s">
        <v>74</v>
      </c>
      <c r="AN885" s="1" t="s">
        <v>74</v>
      </c>
      <c r="AO885" s="1" t="s">
        <v>779</v>
      </c>
      <c r="AP885" s="1" t="s">
        <v>780</v>
      </c>
      <c r="AQ885" s="1" t="s">
        <v>74</v>
      </c>
      <c r="AR885" s="1" t="s">
        <v>74</v>
      </c>
      <c r="AS885" s="1" t="s">
        <v>74</v>
      </c>
      <c r="AT885" s="1" t="s">
        <v>8195</v>
      </c>
      <c r="AU885" s="1">
        <v>2021.0</v>
      </c>
      <c r="AV885" s="1">
        <v>300.0</v>
      </c>
      <c r="AW885" s="1" t="s">
        <v>74</v>
      </c>
      <c r="AX885" s="1" t="s">
        <v>74</v>
      </c>
      <c r="AY885" s="1" t="s">
        <v>74</v>
      </c>
      <c r="AZ885" s="1" t="s">
        <v>74</v>
      </c>
      <c r="BA885" s="1" t="s">
        <v>74</v>
      </c>
      <c r="BB885" s="1">
        <v>814.0</v>
      </c>
      <c r="BC885" s="1">
        <v>829.0</v>
      </c>
      <c r="BD885" s="1" t="s">
        <v>74</v>
      </c>
      <c r="BE885" s="1" t="s">
        <v>8196</v>
      </c>
      <c r="BF885" s="2" t="str">
        <f>HYPERLINK("http://dx.doi.org/10.1016/j.jde.2021.08.013","http://dx.doi.org/10.1016/j.jde.2021.08.013")</f>
        <v>http://dx.doi.org/10.1016/j.jde.2021.08.013</v>
      </c>
      <c r="BG885" s="1" t="s">
        <v>74</v>
      </c>
      <c r="BH885" s="1" t="s">
        <v>205</v>
      </c>
      <c r="BI885" s="1" t="s">
        <v>74</v>
      </c>
      <c r="BJ885" s="1" t="s">
        <v>74</v>
      </c>
      <c r="BK885" s="1" t="s">
        <v>74</v>
      </c>
      <c r="BL885" s="1" t="s">
        <v>74</v>
      </c>
      <c r="BM885" s="1" t="s">
        <v>74</v>
      </c>
      <c r="BN885" s="1" t="s">
        <v>74</v>
      </c>
      <c r="BO885" s="1" t="s">
        <v>74</v>
      </c>
      <c r="BP885" s="1" t="s">
        <v>74</v>
      </c>
      <c r="BQ885" s="1" t="s">
        <v>74</v>
      </c>
      <c r="BR885" s="1" t="s">
        <v>74</v>
      </c>
      <c r="BS885" s="1" t="s">
        <v>8197</v>
      </c>
      <c r="BT885" s="1" t="str">
        <f>HYPERLINK("https%3A%2F%2Fwww.webofscience.com%2Fwos%2Fwoscc%2Ffull-record%2FWOS:000691804000026","View Full Record in Web of Science")</f>
        <v>View Full Record in Web of Science</v>
      </c>
    </row>
    <row r="886" ht="12.75" customHeight="1">
      <c r="A886" s="1" t="s">
        <v>251</v>
      </c>
      <c r="B886" s="1" t="s">
        <v>8198</v>
      </c>
      <c r="C886" s="1" t="s">
        <v>74</v>
      </c>
      <c r="D886" s="1" t="s">
        <v>4068</v>
      </c>
      <c r="E886" s="1" t="s">
        <v>74</v>
      </c>
      <c r="F886" s="1" t="s">
        <v>8199</v>
      </c>
      <c r="G886" s="1" t="s">
        <v>74</v>
      </c>
      <c r="H886" s="1" t="s">
        <v>74</v>
      </c>
      <c r="I886" s="1" t="s">
        <v>8200</v>
      </c>
      <c r="J886" s="1" t="s">
        <v>8201</v>
      </c>
      <c r="K886" s="1" t="s">
        <v>74</v>
      </c>
      <c r="L886" s="1" t="s">
        <v>74</v>
      </c>
      <c r="M886" s="1" t="s">
        <v>74</v>
      </c>
      <c r="N886" s="1" t="s">
        <v>74</v>
      </c>
      <c r="O886" s="1" t="s">
        <v>4073</v>
      </c>
      <c r="P886" s="1" t="s">
        <v>8202</v>
      </c>
      <c r="Q886" s="1" t="s">
        <v>8203</v>
      </c>
      <c r="R886" s="1" t="s">
        <v>253</v>
      </c>
      <c r="S886" s="1" t="s">
        <v>74</v>
      </c>
      <c r="T886" s="1" t="s">
        <v>74</v>
      </c>
      <c r="U886" s="1" t="s">
        <v>74</v>
      </c>
      <c r="V886" s="1" t="s">
        <v>8204</v>
      </c>
      <c r="W886" s="1" t="s">
        <v>74</v>
      </c>
      <c r="X886" s="1" t="s">
        <v>74</v>
      </c>
      <c r="Y886" s="1" t="s">
        <v>74</v>
      </c>
      <c r="Z886" s="1" t="s">
        <v>74</v>
      </c>
      <c r="AA886" s="1" t="s">
        <v>8205</v>
      </c>
      <c r="AB886" s="1" t="s">
        <v>8206</v>
      </c>
      <c r="AC886" s="1" t="s">
        <v>74</v>
      </c>
      <c r="AD886" s="1" t="s">
        <v>74</v>
      </c>
      <c r="AE886" s="1" t="s">
        <v>74</v>
      </c>
      <c r="AF886" s="1" t="s">
        <v>74</v>
      </c>
      <c r="AG886" s="1" t="s">
        <v>74</v>
      </c>
      <c r="AH886" s="1" t="s">
        <v>74</v>
      </c>
      <c r="AI886" s="1" t="s">
        <v>74</v>
      </c>
      <c r="AJ886" s="1" t="s">
        <v>74</v>
      </c>
      <c r="AK886" s="1" t="s">
        <v>74</v>
      </c>
      <c r="AL886" s="1" t="s">
        <v>74</v>
      </c>
      <c r="AM886" s="1" t="s">
        <v>74</v>
      </c>
      <c r="AN886" s="1" t="s">
        <v>74</v>
      </c>
      <c r="AO886" s="1" t="s">
        <v>74</v>
      </c>
      <c r="AP886" s="1" t="s">
        <v>74</v>
      </c>
      <c r="AQ886" s="1" t="s">
        <v>8207</v>
      </c>
      <c r="AR886" s="1" t="s">
        <v>74</v>
      </c>
      <c r="AS886" s="1" t="s">
        <v>74</v>
      </c>
      <c r="AT886" s="1" t="s">
        <v>74</v>
      </c>
      <c r="AU886" s="1">
        <v>2021.0</v>
      </c>
      <c r="AV886" s="1" t="s">
        <v>74</v>
      </c>
      <c r="AW886" s="1" t="s">
        <v>74</v>
      </c>
      <c r="AX886" s="1" t="s">
        <v>74</v>
      </c>
      <c r="AY886" s="1" t="s">
        <v>74</v>
      </c>
      <c r="AZ886" s="1" t="s">
        <v>74</v>
      </c>
      <c r="BA886" s="1" t="s">
        <v>74</v>
      </c>
      <c r="BB886" s="1" t="s">
        <v>74</v>
      </c>
      <c r="BC886" s="1" t="s">
        <v>74</v>
      </c>
      <c r="BD886" s="1" t="s">
        <v>74</v>
      </c>
      <c r="BE886" s="1" t="s">
        <v>8208</v>
      </c>
      <c r="BF886" s="2" t="str">
        <f>HYPERLINK("http://dx.doi.org/10.1109/LATINCOM53176.2021.9647788","http://dx.doi.org/10.1109/LATINCOM53176.2021.9647788")</f>
        <v>http://dx.doi.org/10.1109/LATINCOM53176.2021.9647788</v>
      </c>
      <c r="BG886" s="1" t="s">
        <v>74</v>
      </c>
      <c r="BH886" s="1" t="s">
        <v>74</v>
      </c>
      <c r="BI886" s="1" t="s">
        <v>74</v>
      </c>
      <c r="BJ886" s="1" t="s">
        <v>74</v>
      </c>
      <c r="BK886" s="1" t="s">
        <v>74</v>
      </c>
      <c r="BL886" s="1" t="s">
        <v>74</v>
      </c>
      <c r="BM886" s="1" t="s">
        <v>74</v>
      </c>
      <c r="BN886" s="1" t="s">
        <v>74</v>
      </c>
      <c r="BO886" s="1" t="s">
        <v>74</v>
      </c>
      <c r="BP886" s="1" t="s">
        <v>74</v>
      </c>
      <c r="BQ886" s="1" t="s">
        <v>74</v>
      </c>
      <c r="BR886" s="1" t="s">
        <v>74</v>
      </c>
      <c r="BS886" s="1" t="s">
        <v>8209</v>
      </c>
      <c r="BT886" s="1" t="str">
        <f>HYPERLINK("https%3A%2F%2Fwww.webofscience.com%2Fwos%2Fwoscc%2Ffull-record%2FWOS:000837978200023","View Full Record in Web of Science")</f>
        <v>View Full Record in Web of Science</v>
      </c>
    </row>
    <row r="887" ht="12.75" customHeight="1">
      <c r="A887" s="1" t="s">
        <v>251</v>
      </c>
      <c r="B887" s="1" t="s">
        <v>8210</v>
      </c>
      <c r="C887" s="1" t="s">
        <v>74</v>
      </c>
      <c r="D887" s="1" t="s">
        <v>8211</v>
      </c>
      <c r="E887" s="1" t="s">
        <v>74</v>
      </c>
      <c r="F887" s="1" t="s">
        <v>8212</v>
      </c>
      <c r="G887" s="1" t="s">
        <v>74</v>
      </c>
      <c r="H887" s="1" t="s">
        <v>74</v>
      </c>
      <c r="I887" s="1" t="s">
        <v>8213</v>
      </c>
      <c r="J887" s="1" t="s">
        <v>8214</v>
      </c>
      <c r="K887" s="1" t="s">
        <v>4718</v>
      </c>
      <c r="L887" s="1" t="s">
        <v>74</v>
      </c>
      <c r="M887" s="1" t="s">
        <v>74</v>
      </c>
      <c r="N887" s="1" t="s">
        <v>74</v>
      </c>
      <c r="O887" s="1" t="s">
        <v>8215</v>
      </c>
      <c r="P887" s="1" t="s">
        <v>8216</v>
      </c>
      <c r="Q887" s="1" t="s">
        <v>259</v>
      </c>
      <c r="R887" s="1" t="s">
        <v>74</v>
      </c>
      <c r="S887" s="1" t="s">
        <v>74</v>
      </c>
      <c r="T887" s="1" t="s">
        <v>74</v>
      </c>
      <c r="U887" s="1" t="s">
        <v>74</v>
      </c>
      <c r="V887" s="1" t="s">
        <v>8217</v>
      </c>
      <c r="W887" s="1" t="s">
        <v>74</v>
      </c>
      <c r="X887" s="1" t="s">
        <v>74</v>
      </c>
      <c r="Y887" s="1" t="s">
        <v>74</v>
      </c>
      <c r="Z887" s="1" t="s">
        <v>74</v>
      </c>
      <c r="AA887" s="1" t="s">
        <v>1913</v>
      </c>
      <c r="AB887" s="1" t="s">
        <v>74</v>
      </c>
      <c r="AC887" s="1" t="s">
        <v>74</v>
      </c>
      <c r="AD887" s="1" t="s">
        <v>74</v>
      </c>
      <c r="AE887" s="1" t="s">
        <v>74</v>
      </c>
      <c r="AF887" s="1" t="s">
        <v>74</v>
      </c>
      <c r="AG887" s="1" t="s">
        <v>74</v>
      </c>
      <c r="AH887" s="1" t="s">
        <v>74</v>
      </c>
      <c r="AI887" s="1" t="s">
        <v>74</v>
      </c>
      <c r="AJ887" s="1" t="s">
        <v>74</v>
      </c>
      <c r="AK887" s="1" t="s">
        <v>74</v>
      </c>
      <c r="AL887" s="1" t="s">
        <v>74</v>
      </c>
      <c r="AM887" s="1" t="s">
        <v>74</v>
      </c>
      <c r="AN887" s="1" t="s">
        <v>74</v>
      </c>
      <c r="AO887" s="1" t="s">
        <v>4725</v>
      </c>
      <c r="AP887" s="1" t="s">
        <v>4726</v>
      </c>
      <c r="AQ887" s="1" t="s">
        <v>8218</v>
      </c>
      <c r="AR887" s="1" t="s">
        <v>74</v>
      </c>
      <c r="AS887" s="1" t="s">
        <v>74</v>
      </c>
      <c r="AT887" s="1" t="s">
        <v>74</v>
      </c>
      <c r="AU887" s="1">
        <v>2021.0</v>
      </c>
      <c r="AV887" s="1">
        <v>1243.0</v>
      </c>
      <c r="AW887" s="1" t="s">
        <v>74</v>
      </c>
      <c r="AX887" s="1" t="s">
        <v>74</v>
      </c>
      <c r="AY887" s="1" t="s">
        <v>74</v>
      </c>
      <c r="AZ887" s="1" t="s">
        <v>74</v>
      </c>
      <c r="BA887" s="1" t="s">
        <v>74</v>
      </c>
      <c r="BB887" s="1">
        <v>206.0</v>
      </c>
      <c r="BC887" s="1">
        <v>219.0</v>
      </c>
      <c r="BD887" s="1" t="s">
        <v>74</v>
      </c>
      <c r="BE887" s="1" t="s">
        <v>8219</v>
      </c>
      <c r="BF887" s="2" t="str">
        <f>HYPERLINK("http://dx.doi.org/10.1007/978-3-030-53651-0_18","http://dx.doi.org/10.1007/978-3-030-53651-0_18")</f>
        <v>http://dx.doi.org/10.1007/978-3-030-53651-0_18</v>
      </c>
      <c r="BG887" s="1" t="s">
        <v>74</v>
      </c>
      <c r="BH887" s="1" t="s">
        <v>74</v>
      </c>
      <c r="BI887" s="1" t="s">
        <v>74</v>
      </c>
      <c r="BJ887" s="1" t="s">
        <v>74</v>
      </c>
      <c r="BK887" s="1" t="s">
        <v>74</v>
      </c>
      <c r="BL887" s="1" t="s">
        <v>74</v>
      </c>
      <c r="BM887" s="1" t="s">
        <v>74</v>
      </c>
      <c r="BN887" s="1" t="s">
        <v>74</v>
      </c>
      <c r="BO887" s="1" t="s">
        <v>74</v>
      </c>
      <c r="BP887" s="1" t="s">
        <v>74</v>
      </c>
      <c r="BQ887" s="1" t="s">
        <v>74</v>
      </c>
      <c r="BR887" s="1" t="s">
        <v>74</v>
      </c>
      <c r="BS887" s="1" t="s">
        <v>8220</v>
      </c>
      <c r="BT887" s="1" t="str">
        <f>HYPERLINK("https%3A%2F%2Fwww.webofscience.com%2Fwos%2Fwoscc%2Ffull-record%2FWOS:000621675100018","View Full Record in Web of Science")</f>
        <v>View Full Record in Web of Science</v>
      </c>
    </row>
    <row r="888" ht="12.75" customHeight="1">
      <c r="A888" s="1" t="s">
        <v>72</v>
      </c>
      <c r="B888" s="1" t="s">
        <v>8221</v>
      </c>
      <c r="C888" s="1" t="s">
        <v>74</v>
      </c>
      <c r="D888" s="1" t="s">
        <v>74</v>
      </c>
      <c r="E888" s="1" t="s">
        <v>74</v>
      </c>
      <c r="F888" s="1" t="s">
        <v>8222</v>
      </c>
      <c r="G888" s="1" t="s">
        <v>74</v>
      </c>
      <c r="H888" s="1" t="s">
        <v>74</v>
      </c>
      <c r="I888" s="1" t="s">
        <v>8223</v>
      </c>
      <c r="J888" s="1" t="s">
        <v>8224</v>
      </c>
      <c r="K888" s="1" t="s">
        <v>74</v>
      </c>
      <c r="L888" s="1" t="s">
        <v>74</v>
      </c>
      <c r="M888" s="1" t="s">
        <v>74</v>
      </c>
      <c r="N888" s="1" t="s">
        <v>74</v>
      </c>
      <c r="O888" s="1" t="s">
        <v>74</v>
      </c>
      <c r="P888" s="1" t="s">
        <v>74</v>
      </c>
      <c r="Q888" s="1" t="s">
        <v>74</v>
      </c>
      <c r="R888" s="1" t="s">
        <v>74</v>
      </c>
      <c r="S888" s="1" t="s">
        <v>74</v>
      </c>
      <c r="T888" s="1" t="s">
        <v>74</v>
      </c>
      <c r="U888" s="1" t="s">
        <v>74</v>
      </c>
      <c r="V888" s="1" t="s">
        <v>8225</v>
      </c>
      <c r="W888" s="1" t="s">
        <v>74</v>
      </c>
      <c r="X888" s="1" t="s">
        <v>74</v>
      </c>
      <c r="Y888" s="1" t="s">
        <v>74</v>
      </c>
      <c r="Z888" s="1" t="s">
        <v>74</v>
      </c>
      <c r="AA888" s="1" t="s">
        <v>8226</v>
      </c>
      <c r="AB888" s="1" t="s">
        <v>8227</v>
      </c>
      <c r="AC888" s="1" t="s">
        <v>74</v>
      </c>
      <c r="AD888" s="1" t="s">
        <v>74</v>
      </c>
      <c r="AE888" s="1" t="s">
        <v>74</v>
      </c>
      <c r="AF888" s="1" t="s">
        <v>74</v>
      </c>
      <c r="AG888" s="1" t="s">
        <v>74</v>
      </c>
      <c r="AH888" s="1" t="s">
        <v>74</v>
      </c>
      <c r="AI888" s="1" t="s">
        <v>74</v>
      </c>
      <c r="AJ888" s="1" t="s">
        <v>74</v>
      </c>
      <c r="AK888" s="1" t="s">
        <v>74</v>
      </c>
      <c r="AL888" s="1" t="s">
        <v>74</v>
      </c>
      <c r="AM888" s="1" t="s">
        <v>74</v>
      </c>
      <c r="AN888" s="1" t="s">
        <v>74</v>
      </c>
      <c r="AO888" s="1" t="s">
        <v>74</v>
      </c>
      <c r="AP888" s="1" t="s">
        <v>8228</v>
      </c>
      <c r="AQ888" s="1" t="s">
        <v>74</v>
      </c>
      <c r="AR888" s="1" t="s">
        <v>74</v>
      </c>
      <c r="AS888" s="1" t="s">
        <v>74</v>
      </c>
      <c r="AT888" s="1" t="s">
        <v>8229</v>
      </c>
      <c r="AU888" s="1">
        <v>2020.0</v>
      </c>
      <c r="AV888" s="1">
        <v>11.0</v>
      </c>
      <c r="AW888" s="1" t="s">
        <v>74</v>
      </c>
      <c r="AX888" s="1" t="s">
        <v>74</v>
      </c>
      <c r="AY888" s="1" t="s">
        <v>74</v>
      </c>
      <c r="AZ888" s="1" t="s">
        <v>74</v>
      </c>
      <c r="BA888" s="1" t="s">
        <v>74</v>
      </c>
      <c r="BB888" s="1" t="s">
        <v>74</v>
      </c>
      <c r="BC888" s="1" t="s">
        <v>74</v>
      </c>
      <c r="BD888" s="1">
        <v>2102.0</v>
      </c>
      <c r="BE888" s="1" t="s">
        <v>8230</v>
      </c>
      <c r="BF888" s="2" t="str">
        <f>HYPERLINK("http://dx.doi.org/10.3389/fmicb.2020.02102","http://dx.doi.org/10.3389/fmicb.2020.02102")</f>
        <v>http://dx.doi.org/10.3389/fmicb.2020.02102</v>
      </c>
      <c r="BG888" s="1" t="s">
        <v>74</v>
      </c>
      <c r="BH888" s="1" t="s">
        <v>74</v>
      </c>
      <c r="BI888" s="1" t="s">
        <v>74</v>
      </c>
      <c r="BJ888" s="1" t="s">
        <v>74</v>
      </c>
      <c r="BK888" s="1" t="s">
        <v>74</v>
      </c>
      <c r="BL888" s="1" t="s">
        <v>74</v>
      </c>
      <c r="BM888" s="1" t="s">
        <v>74</v>
      </c>
      <c r="BN888" s="1">
        <v>3.3013767E7</v>
      </c>
      <c r="BO888" s="1" t="s">
        <v>74</v>
      </c>
      <c r="BP888" s="1" t="s">
        <v>74</v>
      </c>
      <c r="BQ888" s="1" t="s">
        <v>74</v>
      </c>
      <c r="BR888" s="1" t="s">
        <v>74</v>
      </c>
      <c r="BS888" s="1" t="s">
        <v>8231</v>
      </c>
      <c r="BT888" s="1" t="str">
        <f>HYPERLINK("https%3A%2F%2Fwww.webofscience.com%2Fwos%2Fwoscc%2Ffull-record%2FWOS:000576028200001","View Full Record in Web of Science")</f>
        <v>View Full Record in Web of Science</v>
      </c>
    </row>
    <row r="889" ht="12.75" customHeight="1">
      <c r="A889" s="1" t="s">
        <v>72</v>
      </c>
      <c r="B889" s="1" t="s">
        <v>8232</v>
      </c>
      <c r="C889" s="1" t="s">
        <v>74</v>
      </c>
      <c r="D889" s="1" t="s">
        <v>74</v>
      </c>
      <c r="E889" s="1" t="s">
        <v>74</v>
      </c>
      <c r="F889" s="1" t="s">
        <v>8233</v>
      </c>
      <c r="G889" s="1" t="s">
        <v>74</v>
      </c>
      <c r="H889" s="1" t="s">
        <v>74</v>
      </c>
      <c r="I889" s="1" t="s">
        <v>8234</v>
      </c>
      <c r="J889" s="1" t="s">
        <v>8235</v>
      </c>
      <c r="K889" s="1" t="s">
        <v>74</v>
      </c>
      <c r="L889" s="1" t="s">
        <v>74</v>
      </c>
      <c r="M889" s="1" t="s">
        <v>74</v>
      </c>
      <c r="N889" s="1" t="s">
        <v>74</v>
      </c>
      <c r="O889" s="1" t="s">
        <v>74</v>
      </c>
      <c r="P889" s="1" t="s">
        <v>74</v>
      </c>
      <c r="Q889" s="1" t="s">
        <v>74</v>
      </c>
      <c r="R889" s="1" t="s">
        <v>74</v>
      </c>
      <c r="S889" s="1" t="s">
        <v>74</v>
      </c>
      <c r="T889" s="1" t="s">
        <v>74</v>
      </c>
      <c r="U889" s="1" t="s">
        <v>74</v>
      </c>
      <c r="V889" s="1" t="s">
        <v>8236</v>
      </c>
      <c r="W889" s="1" t="s">
        <v>74</v>
      </c>
      <c r="X889" s="1" t="s">
        <v>74</v>
      </c>
      <c r="Y889" s="1" t="s">
        <v>74</v>
      </c>
      <c r="Z889" s="1" t="s">
        <v>74</v>
      </c>
      <c r="AA889" s="1" t="s">
        <v>8237</v>
      </c>
      <c r="AB889" s="1" t="s">
        <v>8238</v>
      </c>
      <c r="AC889" s="1" t="s">
        <v>74</v>
      </c>
      <c r="AD889" s="1" t="s">
        <v>74</v>
      </c>
      <c r="AE889" s="1" t="s">
        <v>74</v>
      </c>
      <c r="AF889" s="1" t="s">
        <v>74</v>
      </c>
      <c r="AG889" s="1" t="s">
        <v>74</v>
      </c>
      <c r="AH889" s="1" t="s">
        <v>74</v>
      </c>
      <c r="AI889" s="1" t="s">
        <v>74</v>
      </c>
      <c r="AJ889" s="1" t="s">
        <v>74</v>
      </c>
      <c r="AK889" s="1" t="s">
        <v>74</v>
      </c>
      <c r="AL889" s="1" t="s">
        <v>74</v>
      </c>
      <c r="AM889" s="1" t="s">
        <v>74</v>
      </c>
      <c r="AN889" s="1" t="s">
        <v>74</v>
      </c>
      <c r="AO889" s="1" t="s">
        <v>8239</v>
      </c>
      <c r="AP889" s="1" t="s">
        <v>8240</v>
      </c>
      <c r="AQ889" s="1" t="s">
        <v>74</v>
      </c>
      <c r="AR889" s="1" t="s">
        <v>74</v>
      </c>
      <c r="AS889" s="1" t="s">
        <v>74</v>
      </c>
      <c r="AT889" s="1" t="s">
        <v>8241</v>
      </c>
      <c r="AU889" s="1">
        <v>2020.0</v>
      </c>
      <c r="AV889" s="1">
        <v>44.0</v>
      </c>
      <c r="AW889" s="1">
        <v>33.0</v>
      </c>
      <c r="AX889" s="1" t="s">
        <v>74</v>
      </c>
      <c r="AY889" s="1" t="s">
        <v>74</v>
      </c>
      <c r="AZ889" s="1" t="s">
        <v>74</v>
      </c>
      <c r="BA889" s="1" t="s">
        <v>74</v>
      </c>
      <c r="BB889" s="1">
        <v>14171.0</v>
      </c>
      <c r="BC889" s="1">
        <v>14179.0</v>
      </c>
      <c r="BD889" s="1" t="s">
        <v>74</v>
      </c>
      <c r="BE889" s="1" t="s">
        <v>8242</v>
      </c>
      <c r="BF889" s="2" t="str">
        <f>HYPERLINK("http://dx.doi.org/10.1039/d0nj02328k","http://dx.doi.org/10.1039/d0nj02328k")</f>
        <v>http://dx.doi.org/10.1039/d0nj02328k</v>
      </c>
      <c r="BG889" s="1" t="s">
        <v>74</v>
      </c>
      <c r="BH889" s="1" t="s">
        <v>74</v>
      </c>
      <c r="BI889" s="1" t="s">
        <v>74</v>
      </c>
      <c r="BJ889" s="1" t="s">
        <v>74</v>
      </c>
      <c r="BK889" s="1" t="s">
        <v>74</v>
      </c>
      <c r="BL889" s="1" t="s">
        <v>74</v>
      </c>
      <c r="BM889" s="1" t="s">
        <v>74</v>
      </c>
      <c r="BN889" s="1" t="s">
        <v>74</v>
      </c>
      <c r="BO889" s="1" t="s">
        <v>74</v>
      </c>
      <c r="BP889" s="1" t="s">
        <v>74</v>
      </c>
      <c r="BQ889" s="1" t="s">
        <v>74</v>
      </c>
      <c r="BR889" s="1" t="s">
        <v>74</v>
      </c>
      <c r="BS889" s="1" t="s">
        <v>8243</v>
      </c>
      <c r="BT889" s="1" t="str">
        <f>HYPERLINK("https%3A%2F%2Fwww.webofscience.com%2Fwos%2Fwoscc%2Ffull-record%2FWOS:000562010300030","View Full Record in Web of Science")</f>
        <v>View Full Record in Web of Science</v>
      </c>
    </row>
    <row r="890" ht="12.75" customHeight="1">
      <c r="A890" s="1" t="s">
        <v>72</v>
      </c>
      <c r="B890" s="1" t="s">
        <v>8244</v>
      </c>
      <c r="C890" s="1" t="s">
        <v>74</v>
      </c>
      <c r="D890" s="1" t="s">
        <v>74</v>
      </c>
      <c r="E890" s="1" t="s">
        <v>74</v>
      </c>
      <c r="F890" s="1" t="s">
        <v>8245</v>
      </c>
      <c r="G890" s="1" t="s">
        <v>74</v>
      </c>
      <c r="H890" s="1" t="s">
        <v>74</v>
      </c>
      <c r="I890" s="1" t="s">
        <v>8246</v>
      </c>
      <c r="J890" s="1" t="s">
        <v>8247</v>
      </c>
      <c r="K890" s="1" t="s">
        <v>74</v>
      </c>
      <c r="L890" s="1" t="s">
        <v>74</v>
      </c>
      <c r="M890" s="1" t="s">
        <v>74</v>
      </c>
      <c r="N890" s="1" t="s">
        <v>74</v>
      </c>
      <c r="O890" s="1" t="s">
        <v>74</v>
      </c>
      <c r="P890" s="1" t="s">
        <v>74</v>
      </c>
      <c r="Q890" s="1" t="s">
        <v>74</v>
      </c>
      <c r="R890" s="1" t="s">
        <v>74</v>
      </c>
      <c r="S890" s="1" t="s">
        <v>74</v>
      </c>
      <c r="T890" s="1" t="s">
        <v>74</v>
      </c>
      <c r="U890" s="1" t="s">
        <v>74</v>
      </c>
      <c r="V890" s="1" t="s">
        <v>8248</v>
      </c>
      <c r="W890" s="1" t="s">
        <v>74</v>
      </c>
      <c r="X890" s="1" t="s">
        <v>74</v>
      </c>
      <c r="Y890" s="1" t="s">
        <v>74</v>
      </c>
      <c r="Z890" s="1" t="s">
        <v>74</v>
      </c>
      <c r="AA890" s="1" t="s">
        <v>8249</v>
      </c>
      <c r="AB890" s="1" t="s">
        <v>8250</v>
      </c>
      <c r="AC890" s="1" t="s">
        <v>74</v>
      </c>
      <c r="AD890" s="1" t="s">
        <v>74</v>
      </c>
      <c r="AE890" s="1" t="s">
        <v>74</v>
      </c>
      <c r="AF890" s="1" t="s">
        <v>74</v>
      </c>
      <c r="AG890" s="1" t="s">
        <v>74</v>
      </c>
      <c r="AH890" s="1" t="s">
        <v>74</v>
      </c>
      <c r="AI890" s="1" t="s">
        <v>74</v>
      </c>
      <c r="AJ890" s="1" t="s">
        <v>74</v>
      </c>
      <c r="AK890" s="1" t="s">
        <v>74</v>
      </c>
      <c r="AL890" s="1" t="s">
        <v>74</v>
      </c>
      <c r="AM890" s="1" t="s">
        <v>74</v>
      </c>
      <c r="AN890" s="1" t="s">
        <v>74</v>
      </c>
      <c r="AO890" s="1" t="s">
        <v>8251</v>
      </c>
      <c r="AP890" s="1" t="s">
        <v>74</v>
      </c>
      <c r="AQ890" s="1" t="s">
        <v>74</v>
      </c>
      <c r="AR890" s="1" t="s">
        <v>74</v>
      </c>
      <c r="AS890" s="1" t="s">
        <v>74</v>
      </c>
      <c r="AT890" s="1" t="s">
        <v>459</v>
      </c>
      <c r="AU890" s="1">
        <v>2020.0</v>
      </c>
      <c r="AV890" s="1">
        <v>47.0</v>
      </c>
      <c r="AW890" s="1">
        <v>5.0</v>
      </c>
      <c r="AX890" s="1" t="s">
        <v>74</v>
      </c>
      <c r="AY890" s="1" t="s">
        <v>74</v>
      </c>
      <c r="AZ890" s="1" t="s">
        <v>74</v>
      </c>
      <c r="BA890" s="1" t="s">
        <v>74</v>
      </c>
      <c r="BB890" s="1">
        <v>848.0</v>
      </c>
      <c r="BC890" s="1">
        <v>864.0</v>
      </c>
      <c r="BD890" s="1" t="s">
        <v>74</v>
      </c>
      <c r="BE890" s="1" t="s">
        <v>8252</v>
      </c>
      <c r="BF890" s="2" t="str">
        <f>HYPERLINK("http://dx.doi.org/10.4067/S0717-75182020000500848","http://dx.doi.org/10.4067/S0717-75182020000500848")</f>
        <v>http://dx.doi.org/10.4067/S0717-75182020000500848</v>
      </c>
      <c r="BG890" s="1" t="s">
        <v>74</v>
      </c>
      <c r="BH890" s="1" t="s">
        <v>74</v>
      </c>
      <c r="BI890" s="1" t="s">
        <v>74</v>
      </c>
      <c r="BJ890" s="1" t="s">
        <v>74</v>
      </c>
      <c r="BK890" s="1" t="s">
        <v>74</v>
      </c>
      <c r="BL890" s="1" t="s">
        <v>74</v>
      </c>
      <c r="BM890" s="1" t="s">
        <v>74</v>
      </c>
      <c r="BN890" s="1" t="s">
        <v>74</v>
      </c>
      <c r="BO890" s="1" t="s">
        <v>74</v>
      </c>
      <c r="BP890" s="1" t="s">
        <v>74</v>
      </c>
      <c r="BQ890" s="1" t="s">
        <v>74</v>
      </c>
      <c r="BR890" s="1" t="s">
        <v>74</v>
      </c>
      <c r="BS890" s="1" t="s">
        <v>8253</v>
      </c>
      <c r="BT890" s="1" t="str">
        <f>HYPERLINK("https%3A%2F%2Fwww.webofscience.com%2Fwos%2Fwoscc%2Ffull-record%2FWOS:000581101500016","View Full Record in Web of Science")</f>
        <v>View Full Record in Web of Science</v>
      </c>
    </row>
    <row r="891" ht="12.75" customHeight="1">
      <c r="A891" s="1" t="s">
        <v>72</v>
      </c>
      <c r="B891" s="1" t="s">
        <v>8254</v>
      </c>
      <c r="C891" s="1" t="s">
        <v>74</v>
      </c>
      <c r="D891" s="1" t="s">
        <v>74</v>
      </c>
      <c r="E891" s="1" t="s">
        <v>74</v>
      </c>
      <c r="F891" s="1" t="s">
        <v>8255</v>
      </c>
      <c r="G891" s="1" t="s">
        <v>74</v>
      </c>
      <c r="H891" s="1" t="s">
        <v>74</v>
      </c>
      <c r="I891" s="1" t="s">
        <v>8256</v>
      </c>
      <c r="J891" s="1" t="s">
        <v>3394</v>
      </c>
      <c r="K891" s="1" t="s">
        <v>74</v>
      </c>
      <c r="L891" s="1" t="s">
        <v>74</v>
      </c>
      <c r="M891" s="1" t="s">
        <v>74</v>
      </c>
      <c r="N891" s="1" t="s">
        <v>74</v>
      </c>
      <c r="O891" s="1" t="s">
        <v>74</v>
      </c>
      <c r="P891" s="1" t="s">
        <v>74</v>
      </c>
      <c r="Q891" s="1" t="s">
        <v>74</v>
      </c>
      <c r="R891" s="1" t="s">
        <v>74</v>
      </c>
      <c r="S891" s="1" t="s">
        <v>74</v>
      </c>
      <c r="T891" s="1" t="s">
        <v>74</v>
      </c>
      <c r="U891" s="1" t="s">
        <v>74</v>
      </c>
      <c r="V891" s="1" t="s">
        <v>8257</v>
      </c>
      <c r="W891" s="1" t="s">
        <v>74</v>
      </c>
      <c r="X891" s="1" t="s">
        <v>74</v>
      </c>
      <c r="Y891" s="1" t="s">
        <v>74</v>
      </c>
      <c r="Z891" s="1" t="s">
        <v>74</v>
      </c>
      <c r="AA891" s="1" t="s">
        <v>8258</v>
      </c>
      <c r="AB891" s="1" t="s">
        <v>8259</v>
      </c>
      <c r="AC891" s="1" t="s">
        <v>74</v>
      </c>
      <c r="AD891" s="1" t="s">
        <v>74</v>
      </c>
      <c r="AE891" s="1" t="s">
        <v>74</v>
      </c>
      <c r="AF891" s="1" t="s">
        <v>74</v>
      </c>
      <c r="AG891" s="1" t="s">
        <v>74</v>
      </c>
      <c r="AH891" s="1" t="s">
        <v>74</v>
      </c>
      <c r="AI891" s="1" t="s">
        <v>74</v>
      </c>
      <c r="AJ891" s="1" t="s">
        <v>74</v>
      </c>
      <c r="AK891" s="1" t="s">
        <v>74</v>
      </c>
      <c r="AL891" s="1" t="s">
        <v>74</v>
      </c>
      <c r="AM891" s="1" t="s">
        <v>74</v>
      </c>
      <c r="AN891" s="1" t="s">
        <v>74</v>
      </c>
      <c r="AO891" s="1" t="s">
        <v>3398</v>
      </c>
      <c r="AP891" s="1" t="s">
        <v>3399</v>
      </c>
      <c r="AQ891" s="1" t="s">
        <v>74</v>
      </c>
      <c r="AR891" s="1" t="s">
        <v>74</v>
      </c>
      <c r="AS891" s="1" t="s">
        <v>74</v>
      </c>
      <c r="AT891" s="1" t="s">
        <v>8260</v>
      </c>
      <c r="AU891" s="1">
        <v>2020.0</v>
      </c>
      <c r="AV891" s="1">
        <v>101.0</v>
      </c>
      <c r="AW891" s="1">
        <v>10.0</v>
      </c>
      <c r="AX891" s="1" t="s">
        <v>74</v>
      </c>
      <c r="AY891" s="1" t="s">
        <v>74</v>
      </c>
      <c r="AZ891" s="1" t="s">
        <v>74</v>
      </c>
      <c r="BA891" s="1" t="s">
        <v>74</v>
      </c>
      <c r="BB891" s="1" t="s">
        <v>74</v>
      </c>
      <c r="BC891" s="1" t="s">
        <v>74</v>
      </c>
      <c r="BD891" s="1">
        <v>105019.0</v>
      </c>
      <c r="BE891" s="1" t="s">
        <v>8261</v>
      </c>
      <c r="BF891" s="2" t="str">
        <f>HYPERLINK("http://dx.doi.org/10.1103/PhysRevD.101.105019","http://dx.doi.org/10.1103/PhysRevD.101.105019")</f>
        <v>http://dx.doi.org/10.1103/PhysRevD.101.105019</v>
      </c>
      <c r="BG891" s="1" t="s">
        <v>74</v>
      </c>
      <c r="BH891" s="1" t="s">
        <v>74</v>
      </c>
      <c r="BI891" s="1" t="s">
        <v>74</v>
      </c>
      <c r="BJ891" s="1" t="s">
        <v>74</v>
      </c>
      <c r="BK891" s="1" t="s">
        <v>74</v>
      </c>
      <c r="BL891" s="1" t="s">
        <v>74</v>
      </c>
      <c r="BM891" s="1" t="s">
        <v>74</v>
      </c>
      <c r="BN891" s="1" t="s">
        <v>74</v>
      </c>
      <c r="BO891" s="1" t="s">
        <v>74</v>
      </c>
      <c r="BP891" s="1" t="s">
        <v>74</v>
      </c>
      <c r="BQ891" s="1" t="s">
        <v>74</v>
      </c>
      <c r="BR891" s="1" t="s">
        <v>74</v>
      </c>
      <c r="BS891" s="1" t="s">
        <v>8262</v>
      </c>
      <c r="BT891" s="1" t="str">
        <f>HYPERLINK("https%3A%2F%2Fwww.webofscience.com%2Fwos%2Fwoscc%2Ffull-record%2FWOS:000535861600004","View Full Record in Web of Science")</f>
        <v>View Full Record in Web of Science</v>
      </c>
    </row>
    <row r="892" ht="12.75" customHeight="1">
      <c r="A892" s="1" t="s">
        <v>251</v>
      </c>
      <c r="B892" s="1" t="s">
        <v>8263</v>
      </c>
      <c r="C892" s="1" t="s">
        <v>74</v>
      </c>
      <c r="D892" s="1" t="s">
        <v>74</v>
      </c>
      <c r="E892" s="1" t="s">
        <v>253</v>
      </c>
      <c r="F892" s="1" t="s">
        <v>8264</v>
      </c>
      <c r="G892" s="1" t="s">
        <v>74</v>
      </c>
      <c r="H892" s="1" t="s">
        <v>74</v>
      </c>
      <c r="I892" s="1" t="s">
        <v>8265</v>
      </c>
      <c r="J892" s="1" t="s">
        <v>2704</v>
      </c>
      <c r="K892" s="1" t="s">
        <v>74</v>
      </c>
      <c r="L892" s="1" t="s">
        <v>74</v>
      </c>
      <c r="M892" s="1" t="s">
        <v>74</v>
      </c>
      <c r="N892" s="1" t="s">
        <v>74</v>
      </c>
      <c r="O892" s="1" t="s">
        <v>2705</v>
      </c>
      <c r="P892" s="1" t="s">
        <v>2706</v>
      </c>
      <c r="Q892" s="1" t="s">
        <v>2707</v>
      </c>
      <c r="R892" s="1" t="s">
        <v>2708</v>
      </c>
      <c r="S892" s="1" t="s">
        <v>74</v>
      </c>
      <c r="T892" s="1" t="s">
        <v>74</v>
      </c>
      <c r="U892" s="1" t="s">
        <v>74</v>
      </c>
      <c r="V892" s="1" t="s">
        <v>8266</v>
      </c>
      <c r="W892" s="1" t="s">
        <v>74</v>
      </c>
      <c r="X892" s="1" t="s">
        <v>74</v>
      </c>
      <c r="Y892" s="1" t="s">
        <v>74</v>
      </c>
      <c r="Z892" s="1" t="s">
        <v>74</v>
      </c>
      <c r="AA892" s="1" t="s">
        <v>8267</v>
      </c>
      <c r="AB892" s="1" t="s">
        <v>8268</v>
      </c>
      <c r="AC892" s="1" t="s">
        <v>74</v>
      </c>
      <c r="AD892" s="1" t="s">
        <v>74</v>
      </c>
      <c r="AE892" s="1" t="s">
        <v>74</v>
      </c>
      <c r="AF892" s="1" t="s">
        <v>74</v>
      </c>
      <c r="AG892" s="1" t="s">
        <v>74</v>
      </c>
      <c r="AH892" s="1" t="s">
        <v>74</v>
      </c>
      <c r="AI892" s="1" t="s">
        <v>74</v>
      </c>
      <c r="AJ892" s="1" t="s">
        <v>74</v>
      </c>
      <c r="AK892" s="1" t="s">
        <v>74</v>
      </c>
      <c r="AL892" s="1" t="s">
        <v>74</v>
      </c>
      <c r="AM892" s="1" t="s">
        <v>74</v>
      </c>
      <c r="AN892" s="1" t="s">
        <v>74</v>
      </c>
      <c r="AO892" s="1" t="s">
        <v>74</v>
      </c>
      <c r="AP892" s="1" t="s">
        <v>74</v>
      </c>
      <c r="AQ892" s="1" t="s">
        <v>2712</v>
      </c>
      <c r="AR892" s="1" t="s">
        <v>74</v>
      </c>
      <c r="AS892" s="1" t="s">
        <v>74</v>
      </c>
      <c r="AT892" s="1" t="s">
        <v>74</v>
      </c>
      <c r="AU892" s="1">
        <v>2020.0</v>
      </c>
      <c r="AV892" s="1" t="s">
        <v>74</v>
      </c>
      <c r="AW892" s="1" t="s">
        <v>74</v>
      </c>
      <c r="AX892" s="1" t="s">
        <v>74</v>
      </c>
      <c r="AY892" s="1" t="s">
        <v>74</v>
      </c>
      <c r="AZ892" s="1" t="s">
        <v>74</v>
      </c>
      <c r="BA892" s="1" t="s">
        <v>74</v>
      </c>
      <c r="BB892" s="1">
        <v>55.0</v>
      </c>
      <c r="BC892" s="1">
        <v>60.0</v>
      </c>
      <c r="BD892" s="1" t="s">
        <v>74</v>
      </c>
      <c r="BE892" s="1" t="s">
        <v>8269</v>
      </c>
      <c r="BF892" s="2" t="str">
        <f>HYPERLINK("http://dx.doi.org/10.1109/sacvlc50805.2020.9129890","http://dx.doi.org/10.1109/sacvlc50805.2020.9129890")</f>
        <v>http://dx.doi.org/10.1109/sacvlc50805.2020.9129890</v>
      </c>
      <c r="BG892" s="1" t="s">
        <v>74</v>
      </c>
      <c r="BH892" s="1" t="s">
        <v>74</v>
      </c>
      <c r="BI892" s="1" t="s">
        <v>74</v>
      </c>
      <c r="BJ892" s="1" t="s">
        <v>74</v>
      </c>
      <c r="BK892" s="1" t="s">
        <v>74</v>
      </c>
      <c r="BL892" s="1" t="s">
        <v>74</v>
      </c>
      <c r="BM892" s="1" t="s">
        <v>74</v>
      </c>
      <c r="BN892" s="1" t="s">
        <v>74</v>
      </c>
      <c r="BO892" s="1" t="s">
        <v>74</v>
      </c>
      <c r="BP892" s="1" t="s">
        <v>74</v>
      </c>
      <c r="BQ892" s="1" t="s">
        <v>74</v>
      </c>
      <c r="BR892" s="1" t="s">
        <v>74</v>
      </c>
      <c r="BS892" s="1" t="s">
        <v>8270</v>
      </c>
      <c r="BT892" s="1" t="str">
        <f>HYPERLINK("https%3A%2F%2Fwww.webofscience.com%2Fwos%2Fwoscc%2Ffull-record%2FWOS:000856038700011","View Full Record in Web of Science")</f>
        <v>View Full Record in Web of Science</v>
      </c>
    </row>
    <row r="893" ht="12.75" customHeight="1">
      <c r="A893" s="1" t="s">
        <v>72</v>
      </c>
      <c r="B893" s="1" t="s">
        <v>8271</v>
      </c>
      <c r="C893" s="1" t="s">
        <v>74</v>
      </c>
      <c r="D893" s="1" t="s">
        <v>74</v>
      </c>
      <c r="E893" s="1" t="s">
        <v>74</v>
      </c>
      <c r="F893" s="1" t="s">
        <v>8272</v>
      </c>
      <c r="G893" s="1" t="s">
        <v>74</v>
      </c>
      <c r="H893" s="1" t="s">
        <v>74</v>
      </c>
      <c r="I893" s="1" t="s">
        <v>8273</v>
      </c>
      <c r="J893" s="1" t="s">
        <v>994</v>
      </c>
      <c r="K893" s="1" t="s">
        <v>74</v>
      </c>
      <c r="L893" s="1" t="s">
        <v>74</v>
      </c>
      <c r="M893" s="1" t="s">
        <v>74</v>
      </c>
      <c r="N893" s="1" t="s">
        <v>74</v>
      </c>
      <c r="O893" s="1" t="s">
        <v>74</v>
      </c>
      <c r="P893" s="1" t="s">
        <v>74</v>
      </c>
      <c r="Q893" s="1" t="s">
        <v>74</v>
      </c>
      <c r="R893" s="1" t="s">
        <v>74</v>
      </c>
      <c r="S893" s="1" t="s">
        <v>74</v>
      </c>
      <c r="T893" s="1" t="s">
        <v>74</v>
      </c>
      <c r="U893" s="1" t="s">
        <v>74</v>
      </c>
      <c r="V893" s="1" t="s">
        <v>8274</v>
      </c>
      <c r="W893" s="1" t="s">
        <v>74</v>
      </c>
      <c r="X893" s="1" t="s">
        <v>74</v>
      </c>
      <c r="Y893" s="1" t="s">
        <v>74</v>
      </c>
      <c r="Z893" s="1" t="s">
        <v>74</v>
      </c>
      <c r="AA893" s="1" t="s">
        <v>74</v>
      </c>
      <c r="AB893" s="1" t="s">
        <v>74</v>
      </c>
      <c r="AC893" s="1" t="s">
        <v>74</v>
      </c>
      <c r="AD893" s="1" t="s">
        <v>74</v>
      </c>
      <c r="AE893" s="1" t="s">
        <v>74</v>
      </c>
      <c r="AF893" s="1" t="s">
        <v>74</v>
      </c>
      <c r="AG893" s="1" t="s">
        <v>74</v>
      </c>
      <c r="AH893" s="1" t="s">
        <v>74</v>
      </c>
      <c r="AI893" s="1" t="s">
        <v>74</v>
      </c>
      <c r="AJ893" s="1" t="s">
        <v>74</v>
      </c>
      <c r="AK893" s="1" t="s">
        <v>74</v>
      </c>
      <c r="AL893" s="1" t="s">
        <v>74</v>
      </c>
      <c r="AM893" s="1" t="s">
        <v>74</v>
      </c>
      <c r="AN893" s="1" t="s">
        <v>74</v>
      </c>
      <c r="AO893" s="1" t="s">
        <v>996</v>
      </c>
      <c r="AP893" s="1" t="s">
        <v>74</v>
      </c>
      <c r="AQ893" s="1" t="s">
        <v>74</v>
      </c>
      <c r="AR893" s="1" t="s">
        <v>74</v>
      </c>
      <c r="AS893" s="1" t="s">
        <v>74</v>
      </c>
      <c r="AT893" s="1" t="s">
        <v>169</v>
      </c>
      <c r="AU893" s="1">
        <v>2020.0</v>
      </c>
      <c r="AV893" s="1">
        <v>49.0</v>
      </c>
      <c r="AW893" s="1" t="s">
        <v>74</v>
      </c>
      <c r="AX893" s="1" t="s">
        <v>74</v>
      </c>
      <c r="AY893" s="1" t="s">
        <v>74</v>
      </c>
      <c r="AZ893" s="1" t="s">
        <v>74</v>
      </c>
      <c r="BA893" s="1" t="s">
        <v>74</v>
      </c>
      <c r="BB893" s="1">
        <v>1036.0</v>
      </c>
      <c r="BC893" s="1">
        <v>1052.0</v>
      </c>
      <c r="BD893" s="1" t="s">
        <v>74</v>
      </c>
      <c r="BE893" s="1" t="s">
        <v>74</v>
      </c>
      <c r="BF893" s="1" t="s">
        <v>74</v>
      </c>
      <c r="BG893" s="1" t="s">
        <v>74</v>
      </c>
      <c r="BH893" s="1" t="s">
        <v>74</v>
      </c>
      <c r="BI893" s="1" t="s">
        <v>74</v>
      </c>
      <c r="BJ893" s="1" t="s">
        <v>74</v>
      </c>
      <c r="BK893" s="1" t="s">
        <v>74</v>
      </c>
      <c r="BL893" s="1" t="s">
        <v>74</v>
      </c>
      <c r="BM893" s="1" t="s">
        <v>74</v>
      </c>
      <c r="BN893" s="1" t="s">
        <v>74</v>
      </c>
      <c r="BO893" s="1" t="s">
        <v>74</v>
      </c>
      <c r="BP893" s="1" t="s">
        <v>74</v>
      </c>
      <c r="BQ893" s="1" t="s">
        <v>74</v>
      </c>
      <c r="BR893" s="1" t="s">
        <v>74</v>
      </c>
      <c r="BS893" s="1" t="s">
        <v>8275</v>
      </c>
      <c r="BT893" s="1" t="str">
        <f>HYPERLINK("https%3A%2F%2Fwww.webofscience.com%2Fwos%2Fwoscc%2Ffull-record%2FWOS:000614863100044","View Full Record in Web of Science")</f>
        <v>View Full Record in Web of Science</v>
      </c>
    </row>
    <row r="894" ht="12.75" customHeight="1">
      <c r="A894" s="1" t="s">
        <v>72</v>
      </c>
      <c r="B894" s="1" t="s">
        <v>8276</v>
      </c>
      <c r="C894" s="1" t="s">
        <v>74</v>
      </c>
      <c r="D894" s="1" t="s">
        <v>74</v>
      </c>
      <c r="E894" s="1" t="s">
        <v>74</v>
      </c>
      <c r="F894" s="1" t="s">
        <v>8277</v>
      </c>
      <c r="G894" s="1" t="s">
        <v>74</v>
      </c>
      <c r="H894" s="1" t="s">
        <v>74</v>
      </c>
      <c r="I894" s="1" t="s">
        <v>8278</v>
      </c>
      <c r="J894" s="1" t="s">
        <v>2630</v>
      </c>
      <c r="K894" s="1" t="s">
        <v>74</v>
      </c>
      <c r="L894" s="1" t="s">
        <v>74</v>
      </c>
      <c r="M894" s="1" t="s">
        <v>74</v>
      </c>
      <c r="N894" s="1" t="s">
        <v>74</v>
      </c>
      <c r="O894" s="1" t="s">
        <v>74</v>
      </c>
      <c r="P894" s="1" t="s">
        <v>74</v>
      </c>
      <c r="Q894" s="1" t="s">
        <v>74</v>
      </c>
      <c r="R894" s="1" t="s">
        <v>74</v>
      </c>
      <c r="S894" s="1" t="s">
        <v>74</v>
      </c>
      <c r="T894" s="1" t="s">
        <v>74</v>
      </c>
      <c r="U894" s="1" t="s">
        <v>74</v>
      </c>
      <c r="V894" s="1" t="s">
        <v>8279</v>
      </c>
      <c r="W894" s="1" t="s">
        <v>74</v>
      </c>
      <c r="X894" s="1" t="s">
        <v>74</v>
      </c>
      <c r="Y894" s="1" t="s">
        <v>74</v>
      </c>
      <c r="Z894" s="1" t="s">
        <v>74</v>
      </c>
      <c r="AA894" s="1" t="s">
        <v>74</v>
      </c>
      <c r="AB894" s="1" t="s">
        <v>8280</v>
      </c>
      <c r="AC894" s="1" t="s">
        <v>74</v>
      </c>
      <c r="AD894" s="1" t="s">
        <v>74</v>
      </c>
      <c r="AE894" s="1" t="s">
        <v>74</v>
      </c>
      <c r="AF894" s="1" t="s">
        <v>74</v>
      </c>
      <c r="AG894" s="1" t="s">
        <v>74</v>
      </c>
      <c r="AH894" s="1" t="s">
        <v>74</v>
      </c>
      <c r="AI894" s="1" t="s">
        <v>74</v>
      </c>
      <c r="AJ894" s="1" t="s">
        <v>74</v>
      </c>
      <c r="AK894" s="1" t="s">
        <v>74</v>
      </c>
      <c r="AL894" s="1" t="s">
        <v>74</v>
      </c>
      <c r="AM894" s="1" t="s">
        <v>74</v>
      </c>
      <c r="AN894" s="1" t="s">
        <v>74</v>
      </c>
      <c r="AO894" s="1" t="s">
        <v>2634</v>
      </c>
      <c r="AP894" s="1" t="s">
        <v>74</v>
      </c>
      <c r="AQ894" s="1" t="s">
        <v>74</v>
      </c>
      <c r="AR894" s="1" t="s">
        <v>74</v>
      </c>
      <c r="AS894" s="1" t="s">
        <v>74</v>
      </c>
      <c r="AT894" s="1" t="s">
        <v>110</v>
      </c>
      <c r="AU894" s="1">
        <v>2019.0</v>
      </c>
      <c r="AV894" s="1">
        <v>54.0</v>
      </c>
      <c r="AW894" s="1">
        <v>2.0</v>
      </c>
      <c r="AX894" s="1" t="s">
        <v>74</v>
      </c>
      <c r="AY894" s="1" t="s">
        <v>74</v>
      </c>
      <c r="AZ894" s="1" t="s">
        <v>74</v>
      </c>
      <c r="BA894" s="1" t="s">
        <v>74</v>
      </c>
      <c r="BB894" s="1">
        <v>427.0</v>
      </c>
      <c r="BC894" s="1">
        <v>444.0</v>
      </c>
      <c r="BD894" s="1" t="s">
        <v>74</v>
      </c>
      <c r="BE894" s="1" t="s">
        <v>8281</v>
      </c>
      <c r="BF894" s="2" t="str">
        <f>HYPERLINK("http://dx.doi.org/10.12775/TMNA.2019.036","http://dx.doi.org/10.12775/TMNA.2019.036")</f>
        <v>http://dx.doi.org/10.12775/TMNA.2019.036</v>
      </c>
      <c r="BG894" s="1" t="s">
        <v>74</v>
      </c>
      <c r="BH894" s="1" t="s">
        <v>74</v>
      </c>
      <c r="BI894" s="1" t="s">
        <v>74</v>
      </c>
      <c r="BJ894" s="1" t="s">
        <v>74</v>
      </c>
      <c r="BK894" s="1" t="s">
        <v>74</v>
      </c>
      <c r="BL894" s="1" t="s">
        <v>74</v>
      </c>
      <c r="BM894" s="1" t="s">
        <v>74</v>
      </c>
      <c r="BN894" s="1" t="s">
        <v>74</v>
      </c>
      <c r="BO894" s="1" t="s">
        <v>74</v>
      </c>
      <c r="BP894" s="1" t="s">
        <v>74</v>
      </c>
      <c r="BQ894" s="1" t="s">
        <v>74</v>
      </c>
      <c r="BR894" s="1" t="s">
        <v>74</v>
      </c>
      <c r="BS894" s="1" t="s">
        <v>8282</v>
      </c>
      <c r="BT894" s="1" t="str">
        <f>HYPERLINK("https%3A%2F%2Fwww.webofscience.com%2Fwos%2Fwoscc%2Ffull-record%2FWOS:000522656500002","View Full Record in Web of Science")</f>
        <v>View Full Record in Web of Science</v>
      </c>
    </row>
    <row r="895" ht="12.75" customHeight="1">
      <c r="A895" s="1" t="s">
        <v>72</v>
      </c>
      <c r="B895" s="1" t="s">
        <v>8283</v>
      </c>
      <c r="C895" s="1" t="s">
        <v>74</v>
      </c>
      <c r="D895" s="1" t="s">
        <v>74</v>
      </c>
      <c r="E895" s="1" t="s">
        <v>74</v>
      </c>
      <c r="F895" s="1" t="s">
        <v>8284</v>
      </c>
      <c r="G895" s="1" t="s">
        <v>74</v>
      </c>
      <c r="H895" s="1" t="s">
        <v>74</v>
      </c>
      <c r="I895" s="1" t="s">
        <v>8285</v>
      </c>
      <c r="J895" s="1" t="s">
        <v>8286</v>
      </c>
      <c r="K895" s="1" t="s">
        <v>74</v>
      </c>
      <c r="L895" s="1" t="s">
        <v>74</v>
      </c>
      <c r="M895" s="1" t="s">
        <v>74</v>
      </c>
      <c r="N895" s="1" t="s">
        <v>74</v>
      </c>
      <c r="O895" s="1" t="s">
        <v>74</v>
      </c>
      <c r="P895" s="1" t="s">
        <v>74</v>
      </c>
      <c r="Q895" s="1" t="s">
        <v>74</v>
      </c>
      <c r="R895" s="1" t="s">
        <v>74</v>
      </c>
      <c r="S895" s="1" t="s">
        <v>74</v>
      </c>
      <c r="T895" s="1" t="s">
        <v>74</v>
      </c>
      <c r="U895" s="1" t="s">
        <v>74</v>
      </c>
      <c r="V895" s="1" t="s">
        <v>8287</v>
      </c>
      <c r="W895" s="1" t="s">
        <v>74</v>
      </c>
      <c r="X895" s="1" t="s">
        <v>74</v>
      </c>
      <c r="Y895" s="1" t="s">
        <v>74</v>
      </c>
      <c r="Z895" s="1" t="s">
        <v>74</v>
      </c>
      <c r="AA895" s="1" t="s">
        <v>8288</v>
      </c>
      <c r="AB895" s="1" t="s">
        <v>8289</v>
      </c>
      <c r="AC895" s="1" t="s">
        <v>74</v>
      </c>
      <c r="AD895" s="1" t="s">
        <v>74</v>
      </c>
      <c r="AE895" s="1" t="s">
        <v>74</v>
      </c>
      <c r="AF895" s="1" t="s">
        <v>74</v>
      </c>
      <c r="AG895" s="1" t="s">
        <v>74</v>
      </c>
      <c r="AH895" s="1" t="s">
        <v>74</v>
      </c>
      <c r="AI895" s="1" t="s">
        <v>74</v>
      </c>
      <c r="AJ895" s="1" t="s">
        <v>74</v>
      </c>
      <c r="AK895" s="1" t="s">
        <v>74</v>
      </c>
      <c r="AL895" s="1" t="s">
        <v>74</v>
      </c>
      <c r="AM895" s="1" t="s">
        <v>74</v>
      </c>
      <c r="AN895" s="1" t="s">
        <v>74</v>
      </c>
      <c r="AO895" s="1" t="s">
        <v>8290</v>
      </c>
      <c r="AP895" s="1" t="s">
        <v>8291</v>
      </c>
      <c r="AQ895" s="1" t="s">
        <v>74</v>
      </c>
      <c r="AR895" s="1" t="s">
        <v>74</v>
      </c>
      <c r="AS895" s="1" t="s">
        <v>74</v>
      </c>
      <c r="AT895" s="1" t="s">
        <v>8292</v>
      </c>
      <c r="AU895" s="1">
        <v>2019.0</v>
      </c>
      <c r="AV895" s="1">
        <v>123.0</v>
      </c>
      <c r="AW895" s="1">
        <v>46.0</v>
      </c>
      <c r="AX895" s="1" t="s">
        <v>74</v>
      </c>
      <c r="AY895" s="1" t="s">
        <v>74</v>
      </c>
      <c r="AZ895" s="1" t="s">
        <v>74</v>
      </c>
      <c r="BA895" s="1" t="s">
        <v>74</v>
      </c>
      <c r="BB895" s="1">
        <v>28359.0</v>
      </c>
      <c r="BC895" s="1">
        <v>28369.0</v>
      </c>
      <c r="BD895" s="1" t="s">
        <v>74</v>
      </c>
      <c r="BE895" s="1" t="s">
        <v>8293</v>
      </c>
      <c r="BF895" s="2" t="str">
        <f>HYPERLINK("http://dx.doi.org/10.1021/acs.jpcc.9b08046","http://dx.doi.org/10.1021/acs.jpcc.9b08046")</f>
        <v>http://dx.doi.org/10.1021/acs.jpcc.9b08046</v>
      </c>
      <c r="BG895" s="1" t="s">
        <v>74</v>
      </c>
      <c r="BH895" s="1" t="s">
        <v>74</v>
      </c>
      <c r="BI895" s="1" t="s">
        <v>74</v>
      </c>
      <c r="BJ895" s="1" t="s">
        <v>74</v>
      </c>
      <c r="BK895" s="1" t="s">
        <v>74</v>
      </c>
      <c r="BL895" s="1" t="s">
        <v>74</v>
      </c>
      <c r="BM895" s="1" t="s">
        <v>74</v>
      </c>
      <c r="BN895" s="1" t="s">
        <v>74</v>
      </c>
      <c r="BO895" s="1" t="s">
        <v>74</v>
      </c>
      <c r="BP895" s="1" t="s">
        <v>74</v>
      </c>
      <c r="BQ895" s="1" t="s">
        <v>74</v>
      </c>
      <c r="BR895" s="1" t="s">
        <v>74</v>
      </c>
      <c r="BS895" s="1" t="s">
        <v>8294</v>
      </c>
      <c r="BT895" s="1" t="str">
        <f>HYPERLINK("https%3A%2F%2Fwww.webofscience.com%2Fwos%2Fwoscc%2Ffull-record%2FWOS:000499737700040","View Full Record in Web of Science")</f>
        <v>View Full Record in Web of Science</v>
      </c>
    </row>
    <row r="896" ht="12.75" customHeight="1">
      <c r="A896" s="1" t="s">
        <v>72</v>
      </c>
      <c r="B896" s="1" t="s">
        <v>8295</v>
      </c>
      <c r="C896" s="1" t="s">
        <v>74</v>
      </c>
      <c r="D896" s="1" t="s">
        <v>74</v>
      </c>
      <c r="E896" s="1" t="s">
        <v>74</v>
      </c>
      <c r="F896" s="1" t="s">
        <v>8296</v>
      </c>
      <c r="G896" s="1" t="s">
        <v>74</v>
      </c>
      <c r="H896" s="1" t="s">
        <v>74</v>
      </c>
      <c r="I896" s="1" t="s">
        <v>8297</v>
      </c>
      <c r="J896" s="1" t="s">
        <v>8298</v>
      </c>
      <c r="K896" s="1" t="s">
        <v>74</v>
      </c>
      <c r="L896" s="1" t="s">
        <v>74</v>
      </c>
      <c r="M896" s="1" t="s">
        <v>74</v>
      </c>
      <c r="N896" s="1" t="s">
        <v>74</v>
      </c>
      <c r="O896" s="1" t="s">
        <v>74</v>
      </c>
      <c r="P896" s="1" t="s">
        <v>74</v>
      </c>
      <c r="Q896" s="1" t="s">
        <v>74</v>
      </c>
      <c r="R896" s="1" t="s">
        <v>74</v>
      </c>
      <c r="S896" s="1" t="s">
        <v>74</v>
      </c>
      <c r="T896" s="1" t="s">
        <v>74</v>
      </c>
      <c r="U896" s="1" t="s">
        <v>74</v>
      </c>
      <c r="V896" s="1" t="s">
        <v>8299</v>
      </c>
      <c r="W896" s="1" t="s">
        <v>74</v>
      </c>
      <c r="X896" s="1" t="s">
        <v>74</v>
      </c>
      <c r="Y896" s="1" t="s">
        <v>74</v>
      </c>
      <c r="Z896" s="1" t="s">
        <v>74</v>
      </c>
      <c r="AA896" s="1" t="s">
        <v>1217</v>
      </c>
      <c r="AB896" s="1" t="s">
        <v>2643</v>
      </c>
      <c r="AC896" s="1" t="s">
        <v>74</v>
      </c>
      <c r="AD896" s="1" t="s">
        <v>74</v>
      </c>
      <c r="AE896" s="1" t="s">
        <v>74</v>
      </c>
      <c r="AF896" s="1" t="s">
        <v>74</v>
      </c>
      <c r="AG896" s="1" t="s">
        <v>74</v>
      </c>
      <c r="AH896" s="1" t="s">
        <v>74</v>
      </c>
      <c r="AI896" s="1" t="s">
        <v>74</v>
      </c>
      <c r="AJ896" s="1" t="s">
        <v>74</v>
      </c>
      <c r="AK896" s="1" t="s">
        <v>74</v>
      </c>
      <c r="AL896" s="1" t="s">
        <v>74</v>
      </c>
      <c r="AM896" s="1" t="s">
        <v>74</v>
      </c>
      <c r="AN896" s="1" t="s">
        <v>74</v>
      </c>
      <c r="AO896" s="1" t="s">
        <v>8300</v>
      </c>
      <c r="AP896" s="1" t="s">
        <v>8301</v>
      </c>
      <c r="AQ896" s="1" t="s">
        <v>74</v>
      </c>
      <c r="AR896" s="1" t="s">
        <v>74</v>
      </c>
      <c r="AS896" s="1" t="s">
        <v>74</v>
      </c>
      <c r="AT896" s="1" t="s">
        <v>169</v>
      </c>
      <c r="AU896" s="1">
        <v>2019.0</v>
      </c>
      <c r="AV896" s="1">
        <v>26.0</v>
      </c>
      <c r="AW896" s="1">
        <v>1.0</v>
      </c>
      <c r="AX896" s="1" t="s">
        <v>74</v>
      </c>
      <c r="AY896" s="1" t="s">
        <v>74</v>
      </c>
      <c r="AZ896" s="1" t="s">
        <v>74</v>
      </c>
      <c r="BA896" s="1" t="s">
        <v>74</v>
      </c>
      <c r="BB896" s="1">
        <v>302.0</v>
      </c>
      <c r="BC896" s="1">
        <v>317.0</v>
      </c>
      <c r="BD896" s="1" t="s">
        <v>74</v>
      </c>
      <c r="BE896" s="1" t="s">
        <v>8302</v>
      </c>
      <c r="BF896" s="2" t="str">
        <f>HYPERLINK("http://dx.doi.org/10.1111/itor.12376","http://dx.doi.org/10.1111/itor.12376")</f>
        <v>http://dx.doi.org/10.1111/itor.12376</v>
      </c>
      <c r="BG896" s="1" t="s">
        <v>74</v>
      </c>
      <c r="BH896" s="1" t="s">
        <v>74</v>
      </c>
      <c r="BI896" s="1" t="s">
        <v>74</v>
      </c>
      <c r="BJ896" s="1" t="s">
        <v>74</v>
      </c>
      <c r="BK896" s="1" t="s">
        <v>74</v>
      </c>
      <c r="BL896" s="1" t="s">
        <v>74</v>
      </c>
      <c r="BM896" s="1" t="s">
        <v>74</v>
      </c>
      <c r="BN896" s="1" t="s">
        <v>74</v>
      </c>
      <c r="BO896" s="1" t="s">
        <v>74</v>
      </c>
      <c r="BP896" s="1" t="s">
        <v>74</v>
      </c>
      <c r="BQ896" s="1" t="s">
        <v>74</v>
      </c>
      <c r="BR896" s="1" t="s">
        <v>74</v>
      </c>
      <c r="BS896" s="1" t="s">
        <v>8303</v>
      </c>
      <c r="BT896" s="1" t="str">
        <f>HYPERLINK("https%3A%2F%2Fwww.webofscience.com%2Fwos%2Fwoscc%2Ffull-record%2FWOS:000445190800015","View Full Record in Web of Science")</f>
        <v>View Full Record in Web of Science</v>
      </c>
    </row>
    <row r="897" ht="12.75" customHeight="1">
      <c r="A897" s="1" t="s">
        <v>251</v>
      </c>
      <c r="B897" s="1" t="s">
        <v>8304</v>
      </c>
      <c r="C897" s="1" t="s">
        <v>74</v>
      </c>
      <c r="D897" s="1" t="s">
        <v>74</v>
      </c>
      <c r="E897" s="1" t="s">
        <v>253</v>
      </c>
      <c r="F897" s="1" t="s">
        <v>8305</v>
      </c>
      <c r="G897" s="1" t="s">
        <v>74</v>
      </c>
      <c r="H897" s="1" t="s">
        <v>74</v>
      </c>
      <c r="I897" s="1" t="s">
        <v>8306</v>
      </c>
      <c r="J897" s="1" t="s">
        <v>8307</v>
      </c>
      <c r="K897" s="1" t="s">
        <v>8308</v>
      </c>
      <c r="L897" s="1" t="s">
        <v>74</v>
      </c>
      <c r="M897" s="1" t="s">
        <v>74</v>
      </c>
      <c r="N897" s="1" t="s">
        <v>74</v>
      </c>
      <c r="O897" s="1" t="s">
        <v>8309</v>
      </c>
      <c r="P897" s="1" t="s">
        <v>8310</v>
      </c>
      <c r="Q897" s="1" t="s">
        <v>8311</v>
      </c>
      <c r="R897" s="1" t="s">
        <v>8312</v>
      </c>
      <c r="S897" s="1" t="s">
        <v>8313</v>
      </c>
      <c r="T897" s="1" t="s">
        <v>74</v>
      </c>
      <c r="U897" s="1" t="s">
        <v>74</v>
      </c>
      <c r="V897" s="1" t="s">
        <v>8314</v>
      </c>
      <c r="W897" s="1" t="s">
        <v>74</v>
      </c>
      <c r="X897" s="1" t="s">
        <v>74</v>
      </c>
      <c r="Y897" s="1" t="s">
        <v>74</v>
      </c>
      <c r="Z897" s="1" t="s">
        <v>74</v>
      </c>
      <c r="AA897" s="1" t="s">
        <v>74</v>
      </c>
      <c r="AB897" s="1" t="s">
        <v>357</v>
      </c>
      <c r="AC897" s="1" t="s">
        <v>74</v>
      </c>
      <c r="AD897" s="1" t="s">
        <v>74</v>
      </c>
      <c r="AE897" s="1" t="s">
        <v>74</v>
      </c>
      <c r="AF897" s="1" t="s">
        <v>74</v>
      </c>
      <c r="AG897" s="1" t="s">
        <v>74</v>
      </c>
      <c r="AH897" s="1" t="s">
        <v>74</v>
      </c>
      <c r="AI897" s="1" t="s">
        <v>74</v>
      </c>
      <c r="AJ897" s="1" t="s">
        <v>74</v>
      </c>
      <c r="AK897" s="1" t="s">
        <v>74</v>
      </c>
      <c r="AL897" s="1" t="s">
        <v>74</v>
      </c>
      <c r="AM897" s="1" t="s">
        <v>74</v>
      </c>
      <c r="AN897" s="1" t="s">
        <v>74</v>
      </c>
      <c r="AO897" s="1" t="s">
        <v>8315</v>
      </c>
      <c r="AP897" s="1" t="s">
        <v>74</v>
      </c>
      <c r="AQ897" s="1" t="s">
        <v>8316</v>
      </c>
      <c r="AR897" s="1" t="s">
        <v>74</v>
      </c>
      <c r="AS897" s="1" t="s">
        <v>74</v>
      </c>
      <c r="AT897" s="1" t="s">
        <v>74</v>
      </c>
      <c r="AU897" s="1">
        <v>2019.0</v>
      </c>
      <c r="AV897" s="1" t="s">
        <v>74</v>
      </c>
      <c r="AW897" s="1" t="s">
        <v>74</v>
      </c>
      <c r="AX897" s="1" t="s">
        <v>74</v>
      </c>
      <c r="AY897" s="1" t="s">
        <v>74</v>
      </c>
      <c r="AZ897" s="1" t="s">
        <v>74</v>
      </c>
      <c r="BA897" s="1" t="s">
        <v>74</v>
      </c>
      <c r="BB897" s="1">
        <v>25.0</v>
      </c>
      <c r="BC897" s="1">
        <v>29.0</v>
      </c>
      <c r="BD897" s="1" t="s">
        <v>74</v>
      </c>
      <c r="BE897" s="1" t="s">
        <v>74</v>
      </c>
      <c r="BF897" s="1" t="s">
        <v>74</v>
      </c>
      <c r="BG897" s="1" t="s">
        <v>74</v>
      </c>
      <c r="BH897" s="1" t="s">
        <v>74</v>
      </c>
      <c r="BI897" s="1" t="s">
        <v>74</v>
      </c>
      <c r="BJ897" s="1" t="s">
        <v>74</v>
      </c>
      <c r="BK897" s="1" t="s">
        <v>74</v>
      </c>
      <c r="BL897" s="1" t="s">
        <v>74</v>
      </c>
      <c r="BM897" s="1" t="s">
        <v>74</v>
      </c>
      <c r="BN897" s="1" t="s">
        <v>74</v>
      </c>
      <c r="BO897" s="1" t="s">
        <v>74</v>
      </c>
      <c r="BP897" s="1" t="s">
        <v>74</v>
      </c>
      <c r="BQ897" s="1" t="s">
        <v>74</v>
      </c>
      <c r="BR897" s="1" t="s">
        <v>74</v>
      </c>
      <c r="BS897" s="1" t="s">
        <v>8317</v>
      </c>
      <c r="BT897" s="1" t="str">
        <f>HYPERLINK("https%3A%2F%2Fwww.webofscience.com%2Fwos%2Fwoscc%2Ffull-record%2FWOS:000539199300005","View Full Record in Web of Science")</f>
        <v>View Full Record in Web of Science</v>
      </c>
    </row>
    <row r="898" ht="12.75" customHeight="1">
      <c r="A898" s="1" t="s">
        <v>72</v>
      </c>
      <c r="B898" s="1" t="s">
        <v>8318</v>
      </c>
      <c r="C898" s="1" t="s">
        <v>74</v>
      </c>
      <c r="D898" s="1" t="s">
        <v>74</v>
      </c>
      <c r="E898" s="1" t="s">
        <v>74</v>
      </c>
      <c r="F898" s="1" t="s">
        <v>8319</v>
      </c>
      <c r="G898" s="1" t="s">
        <v>74</v>
      </c>
      <c r="H898" s="1" t="s">
        <v>74</v>
      </c>
      <c r="I898" s="1" t="s">
        <v>8320</v>
      </c>
      <c r="J898" s="1" t="s">
        <v>5441</v>
      </c>
      <c r="K898" s="1" t="s">
        <v>74</v>
      </c>
      <c r="L898" s="1" t="s">
        <v>74</v>
      </c>
      <c r="M898" s="1" t="s">
        <v>74</v>
      </c>
      <c r="N898" s="1" t="s">
        <v>74</v>
      </c>
      <c r="O898" s="1" t="s">
        <v>74</v>
      </c>
      <c r="P898" s="1" t="s">
        <v>74</v>
      </c>
      <c r="Q898" s="1" t="s">
        <v>74</v>
      </c>
      <c r="R898" s="1" t="s">
        <v>74</v>
      </c>
      <c r="S898" s="1" t="s">
        <v>74</v>
      </c>
      <c r="T898" s="1" t="s">
        <v>74</v>
      </c>
      <c r="U898" s="1" t="s">
        <v>74</v>
      </c>
      <c r="V898" s="1" t="s">
        <v>8321</v>
      </c>
      <c r="W898" s="1" t="s">
        <v>74</v>
      </c>
      <c r="X898" s="1" t="s">
        <v>74</v>
      </c>
      <c r="Y898" s="1" t="s">
        <v>74</v>
      </c>
      <c r="Z898" s="1" t="s">
        <v>74</v>
      </c>
      <c r="AA898" s="1" t="s">
        <v>5443</v>
      </c>
      <c r="AB898" s="1" t="s">
        <v>8322</v>
      </c>
      <c r="AC898" s="1" t="s">
        <v>74</v>
      </c>
      <c r="AD898" s="1" t="s">
        <v>74</v>
      </c>
      <c r="AE898" s="1" t="s">
        <v>74</v>
      </c>
      <c r="AF898" s="1" t="s">
        <v>74</v>
      </c>
      <c r="AG898" s="1" t="s">
        <v>74</v>
      </c>
      <c r="AH898" s="1" t="s">
        <v>74</v>
      </c>
      <c r="AI898" s="1" t="s">
        <v>74</v>
      </c>
      <c r="AJ898" s="1" t="s">
        <v>74</v>
      </c>
      <c r="AK898" s="1" t="s">
        <v>74</v>
      </c>
      <c r="AL898" s="1" t="s">
        <v>74</v>
      </c>
      <c r="AM898" s="1" t="s">
        <v>74</v>
      </c>
      <c r="AN898" s="1" t="s">
        <v>74</v>
      </c>
      <c r="AO898" s="1" t="s">
        <v>5445</v>
      </c>
      <c r="AP898" s="1" t="s">
        <v>5446</v>
      </c>
      <c r="AQ898" s="1" t="s">
        <v>74</v>
      </c>
      <c r="AR898" s="1" t="s">
        <v>74</v>
      </c>
      <c r="AS898" s="1" t="s">
        <v>74</v>
      </c>
      <c r="AT898" s="1" t="s">
        <v>8323</v>
      </c>
      <c r="AU898" s="1">
        <v>2018.0</v>
      </c>
      <c r="AV898" s="1">
        <v>51.0</v>
      </c>
      <c r="AW898" s="1" t="s">
        <v>74</v>
      </c>
      <c r="AX898" s="1" t="s">
        <v>74</v>
      </c>
      <c r="AY898" s="1" t="s">
        <v>74</v>
      </c>
      <c r="AZ898" s="1" t="s">
        <v>74</v>
      </c>
      <c r="BA898" s="1" t="s">
        <v>74</v>
      </c>
      <c r="BB898" s="1" t="s">
        <v>74</v>
      </c>
      <c r="BC898" s="1" t="s">
        <v>74</v>
      </c>
      <c r="BD898" s="1">
        <v>37.0</v>
      </c>
      <c r="BE898" s="1" t="s">
        <v>8324</v>
      </c>
      <c r="BF898" s="2" t="str">
        <f>HYPERLINK("http://dx.doi.org/10.1186/s40659-018-0186-3","http://dx.doi.org/10.1186/s40659-018-0186-3")</f>
        <v>http://dx.doi.org/10.1186/s40659-018-0186-3</v>
      </c>
      <c r="BG898" s="1" t="s">
        <v>74</v>
      </c>
      <c r="BH898" s="1" t="s">
        <v>74</v>
      </c>
      <c r="BI898" s="1" t="s">
        <v>74</v>
      </c>
      <c r="BJ898" s="1" t="s">
        <v>74</v>
      </c>
      <c r="BK898" s="1" t="s">
        <v>74</v>
      </c>
      <c r="BL898" s="1" t="s">
        <v>74</v>
      </c>
      <c r="BM898" s="1" t="s">
        <v>74</v>
      </c>
      <c r="BN898" s="1">
        <v>3.0290805E7</v>
      </c>
      <c r="BO898" s="1" t="s">
        <v>74</v>
      </c>
      <c r="BP898" s="1" t="s">
        <v>74</v>
      </c>
      <c r="BQ898" s="1" t="s">
        <v>74</v>
      </c>
      <c r="BR898" s="1" t="s">
        <v>74</v>
      </c>
      <c r="BS898" s="1" t="s">
        <v>8325</v>
      </c>
      <c r="BT898" s="1" t="str">
        <f>HYPERLINK("https%3A%2F%2Fwww.webofscience.com%2Fwos%2Fwoscc%2Ffull-record%2FWOS:000446441000002","View Full Record in Web of Science")</f>
        <v>View Full Record in Web of Science</v>
      </c>
    </row>
    <row r="899" ht="12.75" customHeight="1">
      <c r="A899" s="1" t="s">
        <v>72</v>
      </c>
      <c r="B899" s="1" t="s">
        <v>8326</v>
      </c>
      <c r="C899" s="1" t="s">
        <v>74</v>
      </c>
      <c r="D899" s="1" t="s">
        <v>74</v>
      </c>
      <c r="E899" s="1" t="s">
        <v>74</v>
      </c>
      <c r="F899" s="1" t="s">
        <v>8327</v>
      </c>
      <c r="G899" s="1" t="s">
        <v>74</v>
      </c>
      <c r="H899" s="1" t="s">
        <v>74</v>
      </c>
      <c r="I899" s="1" t="s">
        <v>8328</v>
      </c>
      <c r="J899" s="1" t="s">
        <v>8329</v>
      </c>
      <c r="K899" s="1" t="s">
        <v>74</v>
      </c>
      <c r="L899" s="1" t="s">
        <v>74</v>
      </c>
      <c r="M899" s="1" t="s">
        <v>74</v>
      </c>
      <c r="N899" s="1" t="s">
        <v>74</v>
      </c>
      <c r="O899" s="1" t="s">
        <v>74</v>
      </c>
      <c r="P899" s="1" t="s">
        <v>74</v>
      </c>
      <c r="Q899" s="1" t="s">
        <v>74</v>
      </c>
      <c r="R899" s="1" t="s">
        <v>74</v>
      </c>
      <c r="S899" s="1" t="s">
        <v>74</v>
      </c>
      <c r="T899" s="1" t="s">
        <v>74</v>
      </c>
      <c r="U899" s="1" t="s">
        <v>74</v>
      </c>
      <c r="V899" s="1" t="s">
        <v>74</v>
      </c>
      <c r="W899" s="1" t="s">
        <v>74</v>
      </c>
      <c r="X899" s="1" t="s">
        <v>74</v>
      </c>
      <c r="Y899" s="1" t="s">
        <v>74</v>
      </c>
      <c r="Z899" s="1" t="s">
        <v>74</v>
      </c>
      <c r="AA899" s="1" t="s">
        <v>74</v>
      </c>
      <c r="AB899" s="1" t="s">
        <v>8330</v>
      </c>
      <c r="AC899" s="1" t="s">
        <v>74</v>
      </c>
      <c r="AD899" s="1" t="s">
        <v>74</v>
      </c>
      <c r="AE899" s="1" t="s">
        <v>74</v>
      </c>
      <c r="AF899" s="1" t="s">
        <v>74</v>
      </c>
      <c r="AG899" s="1" t="s">
        <v>74</v>
      </c>
      <c r="AH899" s="1" t="s">
        <v>74</v>
      </c>
      <c r="AI899" s="1" t="s">
        <v>74</v>
      </c>
      <c r="AJ899" s="1" t="s">
        <v>74</v>
      </c>
      <c r="AK899" s="1" t="s">
        <v>74</v>
      </c>
      <c r="AL899" s="1" t="s">
        <v>74</v>
      </c>
      <c r="AM899" s="1" t="s">
        <v>74</v>
      </c>
      <c r="AN899" s="1" t="s">
        <v>74</v>
      </c>
      <c r="AO899" s="1" t="s">
        <v>8331</v>
      </c>
      <c r="AP899" s="1" t="s">
        <v>8332</v>
      </c>
      <c r="AQ899" s="1" t="s">
        <v>74</v>
      </c>
      <c r="AR899" s="1" t="s">
        <v>74</v>
      </c>
      <c r="AS899" s="1" t="s">
        <v>74</v>
      </c>
      <c r="AT899" s="1" t="s">
        <v>650</v>
      </c>
      <c r="AU899" s="1">
        <v>2018.0</v>
      </c>
      <c r="AV899" s="1">
        <v>109.0</v>
      </c>
      <c r="AW899" s="1">
        <v>1.0</v>
      </c>
      <c r="AX899" s="1" t="s">
        <v>74</v>
      </c>
      <c r="AY899" s="1" t="s">
        <v>74</v>
      </c>
      <c r="AZ899" s="1" t="s">
        <v>74</v>
      </c>
      <c r="BA899" s="1" t="s">
        <v>74</v>
      </c>
      <c r="BB899" s="1">
        <v>216.0</v>
      </c>
      <c r="BC899" s="1">
        <v>217.0</v>
      </c>
      <c r="BD899" s="1" t="s">
        <v>74</v>
      </c>
      <c r="BE899" s="1" t="s">
        <v>8333</v>
      </c>
      <c r="BF899" s="2" t="str">
        <f>HYPERLINK("http://dx.doi.org/10.1086/696607","http://dx.doi.org/10.1086/696607")</f>
        <v>http://dx.doi.org/10.1086/696607</v>
      </c>
      <c r="BG899" s="1" t="s">
        <v>74</v>
      </c>
      <c r="BH899" s="1" t="s">
        <v>74</v>
      </c>
      <c r="BI899" s="1" t="s">
        <v>74</v>
      </c>
      <c r="BJ899" s="1" t="s">
        <v>74</v>
      </c>
      <c r="BK899" s="1" t="s">
        <v>74</v>
      </c>
      <c r="BL899" s="1" t="s">
        <v>74</v>
      </c>
      <c r="BM899" s="1" t="s">
        <v>74</v>
      </c>
      <c r="BN899" s="1" t="s">
        <v>74</v>
      </c>
      <c r="BO899" s="1" t="s">
        <v>74</v>
      </c>
      <c r="BP899" s="1" t="s">
        <v>74</v>
      </c>
      <c r="BQ899" s="1" t="s">
        <v>74</v>
      </c>
      <c r="BR899" s="1" t="s">
        <v>74</v>
      </c>
      <c r="BS899" s="1" t="s">
        <v>8334</v>
      </c>
      <c r="BT899" s="1" t="str">
        <f>HYPERLINK("https%3A%2F%2Fwww.webofscience.com%2Fwos%2Fwoscc%2Ffull-record%2FWOS:000426757000075","View Full Record in Web of Science")</f>
        <v>View Full Record in Web of Science</v>
      </c>
    </row>
    <row r="900" ht="12.75" customHeight="1">
      <c r="A900" s="1" t="s">
        <v>72</v>
      </c>
      <c r="B900" s="1" t="s">
        <v>8335</v>
      </c>
      <c r="C900" s="1" t="s">
        <v>74</v>
      </c>
      <c r="D900" s="1" t="s">
        <v>74</v>
      </c>
      <c r="E900" s="1" t="s">
        <v>74</v>
      </c>
      <c r="F900" s="1" t="s">
        <v>8336</v>
      </c>
      <c r="G900" s="1" t="s">
        <v>74</v>
      </c>
      <c r="H900" s="1" t="s">
        <v>74</v>
      </c>
      <c r="I900" s="1" t="s">
        <v>8337</v>
      </c>
      <c r="J900" s="1" t="s">
        <v>2478</v>
      </c>
      <c r="K900" s="1" t="s">
        <v>74</v>
      </c>
      <c r="L900" s="1" t="s">
        <v>74</v>
      </c>
      <c r="M900" s="1" t="s">
        <v>74</v>
      </c>
      <c r="N900" s="1" t="s">
        <v>74</v>
      </c>
      <c r="O900" s="1" t="s">
        <v>74</v>
      </c>
      <c r="P900" s="1" t="s">
        <v>74</v>
      </c>
      <c r="Q900" s="1" t="s">
        <v>74</v>
      </c>
      <c r="R900" s="1" t="s">
        <v>74</v>
      </c>
      <c r="S900" s="1" t="s">
        <v>74</v>
      </c>
      <c r="T900" s="1" t="s">
        <v>74</v>
      </c>
      <c r="U900" s="1" t="s">
        <v>74</v>
      </c>
      <c r="V900" s="1" t="s">
        <v>8338</v>
      </c>
      <c r="W900" s="1" t="s">
        <v>74</v>
      </c>
      <c r="X900" s="1" t="s">
        <v>74</v>
      </c>
      <c r="Y900" s="1" t="s">
        <v>74</v>
      </c>
      <c r="Z900" s="1" t="s">
        <v>74</v>
      </c>
      <c r="AA900" s="1" t="s">
        <v>8339</v>
      </c>
      <c r="AB900" s="1" t="s">
        <v>8340</v>
      </c>
      <c r="AC900" s="1" t="s">
        <v>74</v>
      </c>
      <c r="AD900" s="1" t="s">
        <v>74</v>
      </c>
      <c r="AE900" s="1" t="s">
        <v>74</v>
      </c>
      <c r="AF900" s="1" t="s">
        <v>74</v>
      </c>
      <c r="AG900" s="1" t="s">
        <v>74</v>
      </c>
      <c r="AH900" s="1" t="s">
        <v>74</v>
      </c>
      <c r="AI900" s="1" t="s">
        <v>74</v>
      </c>
      <c r="AJ900" s="1" t="s">
        <v>74</v>
      </c>
      <c r="AK900" s="1" t="s">
        <v>74</v>
      </c>
      <c r="AL900" s="1" t="s">
        <v>74</v>
      </c>
      <c r="AM900" s="1" t="s">
        <v>74</v>
      </c>
      <c r="AN900" s="1" t="s">
        <v>74</v>
      </c>
      <c r="AO900" s="1" t="s">
        <v>2482</v>
      </c>
      <c r="AP900" s="1" t="s">
        <v>74</v>
      </c>
      <c r="AQ900" s="1" t="s">
        <v>74</v>
      </c>
      <c r="AR900" s="1" t="s">
        <v>74</v>
      </c>
      <c r="AS900" s="1" t="s">
        <v>74</v>
      </c>
      <c r="AT900" s="1" t="s">
        <v>74</v>
      </c>
      <c r="AU900" s="1">
        <v>2018.0</v>
      </c>
      <c r="AV900" s="1">
        <v>42.0</v>
      </c>
      <c r="AW900" s="1" t="s">
        <v>74</v>
      </c>
      <c r="AX900" s="1" t="s">
        <v>74</v>
      </c>
      <c r="AY900" s="1" t="s">
        <v>74</v>
      </c>
      <c r="AZ900" s="1" t="s">
        <v>74</v>
      </c>
      <c r="BA900" s="1" t="s">
        <v>74</v>
      </c>
      <c r="BB900" s="1" t="s">
        <v>74</v>
      </c>
      <c r="BC900" s="1" t="s">
        <v>74</v>
      </c>
      <c r="BD900" s="1" t="s">
        <v>8341</v>
      </c>
      <c r="BE900" s="1" t="s">
        <v>8342</v>
      </c>
      <c r="BF900" s="2" t="str">
        <f>HYPERLINK("http://dx.doi.org/10.26633/RPSP.2018.132","http://dx.doi.org/10.26633/RPSP.2018.132")</f>
        <v>http://dx.doi.org/10.26633/RPSP.2018.132</v>
      </c>
      <c r="BG900" s="1" t="s">
        <v>74</v>
      </c>
      <c r="BH900" s="1" t="s">
        <v>74</v>
      </c>
      <c r="BI900" s="1" t="s">
        <v>74</v>
      </c>
      <c r="BJ900" s="1" t="s">
        <v>74</v>
      </c>
      <c r="BK900" s="1" t="s">
        <v>74</v>
      </c>
      <c r="BL900" s="1" t="s">
        <v>74</v>
      </c>
      <c r="BM900" s="1" t="s">
        <v>74</v>
      </c>
      <c r="BN900" s="1">
        <v>3.109316E7</v>
      </c>
      <c r="BO900" s="1" t="s">
        <v>74</v>
      </c>
      <c r="BP900" s="1" t="s">
        <v>74</v>
      </c>
      <c r="BQ900" s="1" t="s">
        <v>74</v>
      </c>
      <c r="BR900" s="1" t="s">
        <v>74</v>
      </c>
      <c r="BS900" s="1" t="s">
        <v>8343</v>
      </c>
      <c r="BT900" s="1" t="str">
        <f>HYPERLINK("https%3A%2F%2Fwww.webofscience.com%2Fwos%2Fwoscc%2Ffull-record%2FWOS:000463257000035","View Full Record in Web of Science")</f>
        <v>View Full Record in Web of Science</v>
      </c>
    </row>
    <row r="901" ht="12.75" customHeight="1">
      <c r="A901" s="1" t="s">
        <v>72</v>
      </c>
      <c r="B901" s="1" t="s">
        <v>8344</v>
      </c>
      <c r="C901" s="1" t="s">
        <v>74</v>
      </c>
      <c r="D901" s="1" t="s">
        <v>74</v>
      </c>
      <c r="E901" s="1" t="s">
        <v>74</v>
      </c>
      <c r="F901" s="1" t="s">
        <v>8345</v>
      </c>
      <c r="G901" s="1" t="s">
        <v>74</v>
      </c>
      <c r="H901" s="1" t="s">
        <v>74</v>
      </c>
      <c r="I901" s="1" t="s">
        <v>8346</v>
      </c>
      <c r="J901" s="1" t="s">
        <v>8347</v>
      </c>
      <c r="K901" s="1" t="s">
        <v>74</v>
      </c>
      <c r="L901" s="1" t="s">
        <v>74</v>
      </c>
      <c r="M901" s="1" t="s">
        <v>74</v>
      </c>
      <c r="N901" s="1" t="s">
        <v>74</v>
      </c>
      <c r="O901" s="1" t="s">
        <v>74</v>
      </c>
      <c r="P901" s="1" t="s">
        <v>74</v>
      </c>
      <c r="Q901" s="1" t="s">
        <v>74</v>
      </c>
      <c r="R901" s="1" t="s">
        <v>74</v>
      </c>
      <c r="S901" s="1" t="s">
        <v>74</v>
      </c>
      <c r="T901" s="1" t="s">
        <v>74</v>
      </c>
      <c r="U901" s="1" t="s">
        <v>74</v>
      </c>
      <c r="V901" s="1" t="s">
        <v>8348</v>
      </c>
      <c r="W901" s="1" t="s">
        <v>74</v>
      </c>
      <c r="X901" s="1" t="s">
        <v>74</v>
      </c>
      <c r="Y901" s="1" t="s">
        <v>74</v>
      </c>
      <c r="Z901" s="1" t="s">
        <v>74</v>
      </c>
      <c r="AA901" s="1" t="s">
        <v>8349</v>
      </c>
      <c r="AB901" s="1" t="s">
        <v>8350</v>
      </c>
      <c r="AC901" s="1" t="s">
        <v>74</v>
      </c>
      <c r="AD901" s="1" t="s">
        <v>74</v>
      </c>
      <c r="AE901" s="1" t="s">
        <v>74</v>
      </c>
      <c r="AF901" s="1" t="s">
        <v>74</v>
      </c>
      <c r="AG901" s="1" t="s">
        <v>74</v>
      </c>
      <c r="AH901" s="1" t="s">
        <v>74</v>
      </c>
      <c r="AI901" s="1" t="s">
        <v>74</v>
      </c>
      <c r="AJ901" s="1" t="s">
        <v>74</v>
      </c>
      <c r="AK901" s="1" t="s">
        <v>74</v>
      </c>
      <c r="AL901" s="1" t="s">
        <v>74</v>
      </c>
      <c r="AM901" s="1" t="s">
        <v>74</v>
      </c>
      <c r="AN901" s="1" t="s">
        <v>74</v>
      </c>
      <c r="AO901" s="1" t="s">
        <v>8351</v>
      </c>
      <c r="AP901" s="1" t="s">
        <v>74</v>
      </c>
      <c r="AQ901" s="1" t="s">
        <v>74</v>
      </c>
      <c r="AR901" s="1" t="s">
        <v>74</v>
      </c>
      <c r="AS901" s="1" t="s">
        <v>74</v>
      </c>
      <c r="AT901" s="1" t="s">
        <v>74</v>
      </c>
      <c r="AU901" s="1">
        <v>2018.0</v>
      </c>
      <c r="AV901" s="1">
        <v>13.0</v>
      </c>
      <c r="AW901" s="1">
        <v>4.0</v>
      </c>
      <c r="AX901" s="1" t="s">
        <v>74</v>
      </c>
      <c r="AY901" s="1" t="s">
        <v>74</v>
      </c>
      <c r="AZ901" s="1" t="s">
        <v>74</v>
      </c>
      <c r="BA901" s="1" t="s">
        <v>74</v>
      </c>
      <c r="BB901" s="1">
        <v>8421.0</v>
      </c>
      <c r="BC901" s="1">
        <v>8431.0</v>
      </c>
      <c r="BD901" s="1" t="s">
        <v>74</v>
      </c>
      <c r="BE901" s="1" t="s">
        <v>8352</v>
      </c>
      <c r="BF901" s="2" t="str">
        <f>HYPERLINK("http://dx.doi.org/10.15376/biores.13.4.8421-8431","http://dx.doi.org/10.15376/biores.13.4.8421-8431")</f>
        <v>http://dx.doi.org/10.15376/biores.13.4.8421-8431</v>
      </c>
      <c r="BG901" s="1" t="s">
        <v>74</v>
      </c>
      <c r="BH901" s="1" t="s">
        <v>74</v>
      </c>
      <c r="BI901" s="1" t="s">
        <v>74</v>
      </c>
      <c r="BJ901" s="1" t="s">
        <v>74</v>
      </c>
      <c r="BK901" s="1" t="s">
        <v>74</v>
      </c>
      <c r="BL901" s="1" t="s">
        <v>74</v>
      </c>
      <c r="BM901" s="1" t="s">
        <v>74</v>
      </c>
      <c r="BN901" s="1" t="s">
        <v>74</v>
      </c>
      <c r="BO901" s="1" t="s">
        <v>74</v>
      </c>
      <c r="BP901" s="1" t="s">
        <v>74</v>
      </c>
      <c r="BQ901" s="1" t="s">
        <v>74</v>
      </c>
      <c r="BR901" s="1" t="s">
        <v>74</v>
      </c>
      <c r="BS901" s="1" t="s">
        <v>8353</v>
      </c>
      <c r="BT901" s="1" t="str">
        <f>HYPERLINK("https%3A%2F%2Fwww.webofscience.com%2Fwos%2Fwoscc%2Ffull-record%2FWOS:000454215100091","View Full Record in Web of Science")</f>
        <v>View Full Record in Web of Science</v>
      </c>
    </row>
    <row r="902" ht="12.75" customHeight="1">
      <c r="A902" s="1" t="s">
        <v>72</v>
      </c>
      <c r="B902" s="1" t="s">
        <v>8354</v>
      </c>
      <c r="C902" s="1" t="s">
        <v>74</v>
      </c>
      <c r="D902" s="1" t="s">
        <v>74</v>
      </c>
      <c r="E902" s="1" t="s">
        <v>74</v>
      </c>
      <c r="F902" s="1" t="s">
        <v>8355</v>
      </c>
      <c r="G902" s="1" t="s">
        <v>74</v>
      </c>
      <c r="H902" s="1" t="s">
        <v>74</v>
      </c>
      <c r="I902" s="1" t="s">
        <v>8356</v>
      </c>
      <c r="J902" s="1" t="s">
        <v>6246</v>
      </c>
      <c r="K902" s="1" t="s">
        <v>74</v>
      </c>
      <c r="L902" s="1" t="s">
        <v>74</v>
      </c>
      <c r="M902" s="1" t="s">
        <v>74</v>
      </c>
      <c r="N902" s="1" t="s">
        <v>74</v>
      </c>
      <c r="O902" s="1" t="s">
        <v>74</v>
      </c>
      <c r="P902" s="1" t="s">
        <v>74</v>
      </c>
      <c r="Q902" s="1" t="s">
        <v>74</v>
      </c>
      <c r="R902" s="1" t="s">
        <v>74</v>
      </c>
      <c r="S902" s="1" t="s">
        <v>74</v>
      </c>
      <c r="T902" s="1" t="s">
        <v>74</v>
      </c>
      <c r="U902" s="1" t="s">
        <v>74</v>
      </c>
      <c r="V902" s="1" t="s">
        <v>8357</v>
      </c>
      <c r="W902" s="1" t="s">
        <v>74</v>
      </c>
      <c r="X902" s="1" t="s">
        <v>74</v>
      </c>
      <c r="Y902" s="1" t="s">
        <v>74</v>
      </c>
      <c r="Z902" s="1" t="s">
        <v>74</v>
      </c>
      <c r="AA902" s="1" t="s">
        <v>8358</v>
      </c>
      <c r="AB902" s="1" t="s">
        <v>8359</v>
      </c>
      <c r="AC902" s="1" t="s">
        <v>74</v>
      </c>
      <c r="AD902" s="1" t="s">
        <v>74</v>
      </c>
      <c r="AE902" s="1" t="s">
        <v>74</v>
      </c>
      <c r="AF902" s="1" t="s">
        <v>74</v>
      </c>
      <c r="AG902" s="1" t="s">
        <v>74</v>
      </c>
      <c r="AH902" s="1" t="s">
        <v>74</v>
      </c>
      <c r="AI902" s="1" t="s">
        <v>74</v>
      </c>
      <c r="AJ902" s="1" t="s">
        <v>74</v>
      </c>
      <c r="AK902" s="1" t="s">
        <v>74</v>
      </c>
      <c r="AL902" s="1" t="s">
        <v>74</v>
      </c>
      <c r="AM902" s="1" t="s">
        <v>74</v>
      </c>
      <c r="AN902" s="1" t="s">
        <v>74</v>
      </c>
      <c r="AO902" s="1" t="s">
        <v>6249</v>
      </c>
      <c r="AP902" s="1" t="s">
        <v>74</v>
      </c>
      <c r="AQ902" s="1" t="s">
        <v>74</v>
      </c>
      <c r="AR902" s="1" t="s">
        <v>74</v>
      </c>
      <c r="AS902" s="1" t="s">
        <v>74</v>
      </c>
      <c r="AT902" s="1" t="s">
        <v>310</v>
      </c>
      <c r="AU902" s="1">
        <v>2017.0</v>
      </c>
      <c r="AV902" s="1">
        <v>15.0</v>
      </c>
      <c r="AW902" s="1">
        <v>7.0</v>
      </c>
      <c r="AX902" s="1" t="s">
        <v>74</v>
      </c>
      <c r="AY902" s="1" t="s">
        <v>74</v>
      </c>
      <c r="AZ902" s="1" t="s">
        <v>74</v>
      </c>
      <c r="BA902" s="1" t="s">
        <v>74</v>
      </c>
      <c r="BB902" s="1">
        <v>1238.0</v>
      </c>
      <c r="BC902" s="1">
        <v>1243.0</v>
      </c>
      <c r="BD902" s="1" t="s">
        <v>74</v>
      </c>
      <c r="BE902" s="1" t="s">
        <v>8360</v>
      </c>
      <c r="BF902" s="2" t="str">
        <f>HYPERLINK("http://dx.doi.org/10.1109/TLA.2017.7959341","http://dx.doi.org/10.1109/TLA.2017.7959341")</f>
        <v>http://dx.doi.org/10.1109/TLA.2017.7959341</v>
      </c>
      <c r="BG902" s="1" t="s">
        <v>74</v>
      </c>
      <c r="BH902" s="1" t="s">
        <v>74</v>
      </c>
      <c r="BI902" s="1" t="s">
        <v>74</v>
      </c>
      <c r="BJ902" s="1" t="s">
        <v>74</v>
      </c>
      <c r="BK902" s="1" t="s">
        <v>74</v>
      </c>
      <c r="BL902" s="1" t="s">
        <v>74</v>
      </c>
      <c r="BM902" s="1" t="s">
        <v>74</v>
      </c>
      <c r="BN902" s="1" t="s">
        <v>74</v>
      </c>
      <c r="BO902" s="1" t="s">
        <v>74</v>
      </c>
      <c r="BP902" s="1" t="s">
        <v>74</v>
      </c>
      <c r="BQ902" s="1" t="s">
        <v>74</v>
      </c>
      <c r="BR902" s="1" t="s">
        <v>74</v>
      </c>
      <c r="BS902" s="1" t="s">
        <v>8361</v>
      </c>
      <c r="BT902" s="1" t="str">
        <f>HYPERLINK("https%3A%2F%2Fwww.webofscience.com%2Fwos%2Fwoscc%2Ffull-record%2FWOS:000405001700005","View Full Record in Web of Science")</f>
        <v>View Full Record in Web of Science</v>
      </c>
    </row>
    <row r="903" ht="12.75" customHeight="1">
      <c r="A903" s="1" t="s">
        <v>72</v>
      </c>
      <c r="B903" s="1" t="s">
        <v>8362</v>
      </c>
      <c r="C903" s="1" t="s">
        <v>74</v>
      </c>
      <c r="D903" s="1" t="s">
        <v>74</v>
      </c>
      <c r="E903" s="1" t="s">
        <v>74</v>
      </c>
      <c r="F903" s="1" t="s">
        <v>8363</v>
      </c>
      <c r="G903" s="1" t="s">
        <v>74</v>
      </c>
      <c r="H903" s="1" t="s">
        <v>74</v>
      </c>
      <c r="I903" s="1" t="s">
        <v>8364</v>
      </c>
      <c r="J903" s="1" t="s">
        <v>8365</v>
      </c>
      <c r="K903" s="1" t="s">
        <v>74</v>
      </c>
      <c r="L903" s="1" t="s">
        <v>74</v>
      </c>
      <c r="M903" s="1" t="s">
        <v>74</v>
      </c>
      <c r="N903" s="1" t="s">
        <v>74</v>
      </c>
      <c r="O903" s="1" t="s">
        <v>74</v>
      </c>
      <c r="P903" s="1" t="s">
        <v>74</v>
      </c>
      <c r="Q903" s="1" t="s">
        <v>74</v>
      </c>
      <c r="R903" s="1" t="s">
        <v>74</v>
      </c>
      <c r="S903" s="1" t="s">
        <v>74</v>
      </c>
      <c r="T903" s="1" t="s">
        <v>74</v>
      </c>
      <c r="U903" s="1" t="s">
        <v>74</v>
      </c>
      <c r="V903" s="1" t="s">
        <v>8366</v>
      </c>
      <c r="W903" s="1" t="s">
        <v>74</v>
      </c>
      <c r="X903" s="1" t="s">
        <v>74</v>
      </c>
      <c r="Y903" s="1" t="s">
        <v>74</v>
      </c>
      <c r="Z903" s="1" t="s">
        <v>74</v>
      </c>
      <c r="AA903" s="1" t="s">
        <v>8367</v>
      </c>
      <c r="AB903" s="1" t="s">
        <v>8368</v>
      </c>
      <c r="AC903" s="1" t="s">
        <v>74</v>
      </c>
      <c r="AD903" s="1" t="s">
        <v>74</v>
      </c>
      <c r="AE903" s="1" t="s">
        <v>74</v>
      </c>
      <c r="AF903" s="1" t="s">
        <v>74</v>
      </c>
      <c r="AG903" s="1" t="s">
        <v>74</v>
      </c>
      <c r="AH903" s="1" t="s">
        <v>74</v>
      </c>
      <c r="AI903" s="1" t="s">
        <v>74</v>
      </c>
      <c r="AJ903" s="1" t="s">
        <v>74</v>
      </c>
      <c r="AK903" s="1" t="s">
        <v>74</v>
      </c>
      <c r="AL903" s="1" t="s">
        <v>74</v>
      </c>
      <c r="AM903" s="1" t="s">
        <v>74</v>
      </c>
      <c r="AN903" s="1" t="s">
        <v>74</v>
      </c>
      <c r="AO903" s="1" t="s">
        <v>8369</v>
      </c>
      <c r="AP903" s="1" t="s">
        <v>8370</v>
      </c>
      <c r="AQ903" s="1" t="s">
        <v>74</v>
      </c>
      <c r="AR903" s="1" t="s">
        <v>74</v>
      </c>
      <c r="AS903" s="1" t="s">
        <v>74</v>
      </c>
      <c r="AT903" s="1" t="s">
        <v>169</v>
      </c>
      <c r="AU903" s="1">
        <v>2017.0</v>
      </c>
      <c r="AV903" s="1">
        <v>10.0</v>
      </c>
      <c r="AW903" s="1">
        <v>1.0</v>
      </c>
      <c r="AX903" s="1" t="s">
        <v>74</v>
      </c>
      <c r="AY903" s="1" t="s">
        <v>74</v>
      </c>
      <c r="AZ903" s="1" t="s">
        <v>74</v>
      </c>
      <c r="BA903" s="1" t="s">
        <v>74</v>
      </c>
      <c r="BB903" s="1">
        <v>405.0</v>
      </c>
      <c r="BC903" s="1">
        <v>418.0</v>
      </c>
      <c r="BD903" s="1" t="s">
        <v>74</v>
      </c>
      <c r="BE903" s="1" t="s">
        <v>8371</v>
      </c>
      <c r="BF903" s="2" t="str">
        <f>HYPERLINK("http://dx.doi.org/10.2991/ijcis.2017.10.1.28","http://dx.doi.org/10.2991/ijcis.2017.10.1.28")</f>
        <v>http://dx.doi.org/10.2991/ijcis.2017.10.1.28</v>
      </c>
      <c r="BG903" s="1" t="s">
        <v>74</v>
      </c>
      <c r="BH903" s="1" t="s">
        <v>74</v>
      </c>
      <c r="BI903" s="1" t="s">
        <v>74</v>
      </c>
      <c r="BJ903" s="1" t="s">
        <v>74</v>
      </c>
      <c r="BK903" s="1" t="s">
        <v>74</v>
      </c>
      <c r="BL903" s="1" t="s">
        <v>74</v>
      </c>
      <c r="BM903" s="1" t="s">
        <v>74</v>
      </c>
      <c r="BN903" s="1" t="s">
        <v>74</v>
      </c>
      <c r="BO903" s="1" t="s">
        <v>74</v>
      </c>
      <c r="BP903" s="1" t="s">
        <v>74</v>
      </c>
      <c r="BQ903" s="1" t="s">
        <v>74</v>
      </c>
      <c r="BR903" s="1" t="s">
        <v>74</v>
      </c>
      <c r="BS903" s="1" t="s">
        <v>8372</v>
      </c>
      <c r="BT903" s="1" t="str">
        <f>HYPERLINK("https%3A%2F%2Fwww.webofscience.com%2Fwos%2Fwoscc%2Ffull-record%2FWOS:000397302900028","View Full Record in Web of Science")</f>
        <v>View Full Record in Web of Science</v>
      </c>
    </row>
    <row r="904" ht="12.75" customHeight="1">
      <c r="A904" s="1" t="s">
        <v>72</v>
      </c>
      <c r="B904" s="1" t="s">
        <v>8373</v>
      </c>
      <c r="C904" s="1" t="s">
        <v>74</v>
      </c>
      <c r="D904" s="1" t="s">
        <v>74</v>
      </c>
      <c r="E904" s="1" t="s">
        <v>74</v>
      </c>
      <c r="F904" s="1" t="s">
        <v>8374</v>
      </c>
      <c r="G904" s="1" t="s">
        <v>74</v>
      </c>
      <c r="H904" s="1" t="s">
        <v>74</v>
      </c>
      <c r="I904" s="1" t="s">
        <v>8375</v>
      </c>
      <c r="J904" s="1" t="s">
        <v>8376</v>
      </c>
      <c r="K904" s="1" t="s">
        <v>74</v>
      </c>
      <c r="L904" s="1" t="s">
        <v>74</v>
      </c>
      <c r="M904" s="1" t="s">
        <v>74</v>
      </c>
      <c r="N904" s="1" t="s">
        <v>74</v>
      </c>
      <c r="O904" s="1" t="s">
        <v>8377</v>
      </c>
      <c r="P904" s="1" t="s">
        <v>8378</v>
      </c>
      <c r="Q904" s="1" t="s">
        <v>3532</v>
      </c>
      <c r="R904" s="1" t="s">
        <v>8379</v>
      </c>
      <c r="S904" s="1" t="s">
        <v>74</v>
      </c>
      <c r="T904" s="1" t="s">
        <v>74</v>
      </c>
      <c r="U904" s="1" t="s">
        <v>74</v>
      </c>
      <c r="V904" s="1" t="s">
        <v>8380</v>
      </c>
      <c r="W904" s="1" t="s">
        <v>74</v>
      </c>
      <c r="X904" s="1" t="s">
        <v>74</v>
      </c>
      <c r="Y904" s="1" t="s">
        <v>74</v>
      </c>
      <c r="Z904" s="1" t="s">
        <v>74</v>
      </c>
      <c r="AA904" s="1" t="s">
        <v>8381</v>
      </c>
      <c r="AB904" s="1" t="s">
        <v>8382</v>
      </c>
      <c r="AC904" s="1" t="s">
        <v>74</v>
      </c>
      <c r="AD904" s="1" t="s">
        <v>74</v>
      </c>
      <c r="AE904" s="1" t="s">
        <v>74</v>
      </c>
      <c r="AF904" s="1" t="s">
        <v>74</v>
      </c>
      <c r="AG904" s="1" t="s">
        <v>74</v>
      </c>
      <c r="AH904" s="1" t="s">
        <v>74</v>
      </c>
      <c r="AI904" s="1" t="s">
        <v>74</v>
      </c>
      <c r="AJ904" s="1" t="s">
        <v>74</v>
      </c>
      <c r="AK904" s="1" t="s">
        <v>74</v>
      </c>
      <c r="AL904" s="1" t="s">
        <v>74</v>
      </c>
      <c r="AM904" s="1" t="s">
        <v>74</v>
      </c>
      <c r="AN904" s="1" t="s">
        <v>74</v>
      </c>
      <c r="AO904" s="1" t="s">
        <v>8383</v>
      </c>
      <c r="AP904" s="1" t="s">
        <v>8384</v>
      </c>
      <c r="AQ904" s="1" t="s">
        <v>74</v>
      </c>
      <c r="AR904" s="1" t="s">
        <v>74</v>
      </c>
      <c r="AS904" s="1" t="s">
        <v>74</v>
      </c>
      <c r="AT904" s="1" t="s">
        <v>135</v>
      </c>
      <c r="AU904" s="1">
        <v>2016.0</v>
      </c>
      <c r="AV904" s="1">
        <v>89.0</v>
      </c>
      <c r="AW904" s="1" t="s">
        <v>74</v>
      </c>
      <c r="AX904" s="1" t="s">
        <v>74</v>
      </c>
      <c r="AY904" s="1" t="s">
        <v>74</v>
      </c>
      <c r="AZ904" s="1" t="s">
        <v>411</v>
      </c>
      <c r="BA904" s="1" t="s">
        <v>74</v>
      </c>
      <c r="BB904" s="1">
        <v>100.0</v>
      </c>
      <c r="BC904" s="1">
        <v>104.0</v>
      </c>
      <c r="BD904" s="1" t="s">
        <v>74</v>
      </c>
      <c r="BE904" s="1" t="s">
        <v>8385</v>
      </c>
      <c r="BF904" s="2" t="str">
        <f>HYPERLINK("http://dx.doi.org/10.1016/j.chaos.2015.10.009","http://dx.doi.org/10.1016/j.chaos.2015.10.009")</f>
        <v>http://dx.doi.org/10.1016/j.chaos.2015.10.009</v>
      </c>
      <c r="BG904" s="1" t="s">
        <v>74</v>
      </c>
      <c r="BH904" s="1" t="s">
        <v>74</v>
      </c>
      <c r="BI904" s="1" t="s">
        <v>74</v>
      </c>
      <c r="BJ904" s="1" t="s">
        <v>74</v>
      </c>
      <c r="BK904" s="1" t="s">
        <v>74</v>
      </c>
      <c r="BL904" s="1" t="s">
        <v>74</v>
      </c>
      <c r="BM904" s="1" t="s">
        <v>74</v>
      </c>
      <c r="BN904" s="1" t="s">
        <v>74</v>
      </c>
      <c r="BO904" s="1" t="s">
        <v>74</v>
      </c>
      <c r="BP904" s="1" t="s">
        <v>74</v>
      </c>
      <c r="BQ904" s="1" t="s">
        <v>74</v>
      </c>
      <c r="BR904" s="1" t="s">
        <v>74</v>
      </c>
      <c r="BS904" s="1" t="s">
        <v>8386</v>
      </c>
      <c r="BT904" s="1" t="str">
        <f>HYPERLINK("https%3A%2F%2Fwww.webofscience.com%2Fwos%2Fwoscc%2Ffull-record%2FWOS:000378450200012","View Full Record in Web of Science")</f>
        <v>View Full Record in Web of Science</v>
      </c>
    </row>
    <row r="905" ht="12.75" customHeight="1">
      <c r="A905" s="1" t="s">
        <v>72</v>
      </c>
      <c r="B905" s="1" t="s">
        <v>8387</v>
      </c>
      <c r="C905" s="1" t="s">
        <v>74</v>
      </c>
      <c r="D905" s="1" t="s">
        <v>74</v>
      </c>
      <c r="E905" s="1" t="s">
        <v>74</v>
      </c>
      <c r="F905" s="1" t="s">
        <v>8388</v>
      </c>
      <c r="G905" s="1" t="s">
        <v>74</v>
      </c>
      <c r="H905" s="1" t="s">
        <v>74</v>
      </c>
      <c r="I905" s="1" t="s">
        <v>8389</v>
      </c>
      <c r="J905" s="1" t="s">
        <v>8390</v>
      </c>
      <c r="K905" s="1" t="s">
        <v>74</v>
      </c>
      <c r="L905" s="1" t="s">
        <v>74</v>
      </c>
      <c r="M905" s="1" t="s">
        <v>74</v>
      </c>
      <c r="N905" s="1" t="s">
        <v>74</v>
      </c>
      <c r="O905" s="1" t="s">
        <v>74</v>
      </c>
      <c r="P905" s="1" t="s">
        <v>74</v>
      </c>
      <c r="Q905" s="1" t="s">
        <v>74</v>
      </c>
      <c r="R905" s="1" t="s">
        <v>74</v>
      </c>
      <c r="S905" s="1" t="s">
        <v>74</v>
      </c>
      <c r="T905" s="1" t="s">
        <v>74</v>
      </c>
      <c r="U905" s="1" t="s">
        <v>74</v>
      </c>
      <c r="V905" s="1" t="s">
        <v>8391</v>
      </c>
      <c r="W905" s="1" t="s">
        <v>74</v>
      </c>
      <c r="X905" s="1" t="s">
        <v>74</v>
      </c>
      <c r="Y905" s="1" t="s">
        <v>74</v>
      </c>
      <c r="Z905" s="1" t="s">
        <v>74</v>
      </c>
      <c r="AA905" s="1" t="s">
        <v>8392</v>
      </c>
      <c r="AB905" s="1" t="s">
        <v>8393</v>
      </c>
      <c r="AC905" s="1" t="s">
        <v>74</v>
      </c>
      <c r="AD905" s="1" t="s">
        <v>74</v>
      </c>
      <c r="AE905" s="1" t="s">
        <v>74</v>
      </c>
      <c r="AF905" s="1" t="s">
        <v>74</v>
      </c>
      <c r="AG905" s="1" t="s">
        <v>74</v>
      </c>
      <c r="AH905" s="1" t="s">
        <v>74</v>
      </c>
      <c r="AI905" s="1" t="s">
        <v>74</v>
      </c>
      <c r="AJ905" s="1" t="s">
        <v>74</v>
      </c>
      <c r="AK905" s="1" t="s">
        <v>74</v>
      </c>
      <c r="AL905" s="1" t="s">
        <v>74</v>
      </c>
      <c r="AM905" s="1" t="s">
        <v>74</v>
      </c>
      <c r="AN905" s="1" t="s">
        <v>74</v>
      </c>
      <c r="AO905" s="1" t="s">
        <v>8394</v>
      </c>
      <c r="AP905" s="1" t="s">
        <v>8395</v>
      </c>
      <c r="AQ905" s="1" t="s">
        <v>74</v>
      </c>
      <c r="AR905" s="1" t="s">
        <v>74</v>
      </c>
      <c r="AS905" s="1" t="s">
        <v>74</v>
      </c>
      <c r="AT905" s="1" t="s">
        <v>650</v>
      </c>
      <c r="AU905" s="1">
        <v>2016.0</v>
      </c>
      <c r="AV905" s="1">
        <v>12.0</v>
      </c>
      <c r="AW905" s="1">
        <v>3.0</v>
      </c>
      <c r="AX905" s="1" t="s">
        <v>74</v>
      </c>
      <c r="AY905" s="1" t="s">
        <v>74</v>
      </c>
      <c r="AZ905" s="1" t="s">
        <v>74</v>
      </c>
      <c r="BA905" s="1" t="s">
        <v>74</v>
      </c>
      <c r="BB905" s="1">
        <v>1148.0</v>
      </c>
      <c r="BC905" s="1">
        <v>1156.0</v>
      </c>
      <c r="BD905" s="1" t="s">
        <v>74</v>
      </c>
      <c r="BE905" s="1" t="s">
        <v>8396</v>
      </c>
      <c r="BF905" s="2" t="str">
        <f>HYPERLINK("http://dx.doi.org/10.1021/acs.jctc.5b01048","http://dx.doi.org/10.1021/acs.jctc.5b01048")</f>
        <v>http://dx.doi.org/10.1021/acs.jctc.5b01048</v>
      </c>
      <c r="BG905" s="1" t="s">
        <v>74</v>
      </c>
      <c r="BH905" s="1" t="s">
        <v>74</v>
      </c>
      <c r="BI905" s="1" t="s">
        <v>74</v>
      </c>
      <c r="BJ905" s="1" t="s">
        <v>74</v>
      </c>
      <c r="BK905" s="1" t="s">
        <v>74</v>
      </c>
      <c r="BL905" s="1" t="s">
        <v>74</v>
      </c>
      <c r="BM905" s="1" t="s">
        <v>74</v>
      </c>
      <c r="BN905" s="1">
        <v>2.6839966E7</v>
      </c>
      <c r="BO905" s="1" t="s">
        <v>74</v>
      </c>
      <c r="BP905" s="1" t="s">
        <v>74</v>
      </c>
      <c r="BQ905" s="1" t="s">
        <v>74</v>
      </c>
      <c r="BR905" s="1" t="s">
        <v>74</v>
      </c>
      <c r="BS905" s="1" t="s">
        <v>8397</v>
      </c>
      <c r="BT905" s="1" t="str">
        <f>HYPERLINK("https%3A%2F%2Fwww.webofscience.com%2Fwos%2Fwoscc%2Ffull-record%2FWOS:000371852300022","View Full Record in Web of Science")</f>
        <v>View Full Record in Web of Science</v>
      </c>
    </row>
    <row r="906" ht="12.75" customHeight="1">
      <c r="A906" s="1" t="s">
        <v>72</v>
      </c>
      <c r="B906" s="1" t="s">
        <v>1296</v>
      </c>
      <c r="C906" s="1" t="s">
        <v>74</v>
      </c>
      <c r="D906" s="1" t="s">
        <v>74</v>
      </c>
      <c r="E906" s="1" t="s">
        <v>74</v>
      </c>
      <c r="F906" s="1" t="s">
        <v>1297</v>
      </c>
      <c r="G906" s="1" t="s">
        <v>74</v>
      </c>
      <c r="H906" s="1" t="s">
        <v>74</v>
      </c>
      <c r="I906" s="1" t="s">
        <v>8398</v>
      </c>
      <c r="J906" s="1" t="s">
        <v>5601</v>
      </c>
      <c r="K906" s="1" t="s">
        <v>74</v>
      </c>
      <c r="L906" s="1" t="s">
        <v>74</v>
      </c>
      <c r="M906" s="1" t="s">
        <v>74</v>
      </c>
      <c r="N906" s="1" t="s">
        <v>74</v>
      </c>
      <c r="O906" s="1" t="s">
        <v>74</v>
      </c>
      <c r="P906" s="1" t="s">
        <v>74</v>
      </c>
      <c r="Q906" s="1" t="s">
        <v>74</v>
      </c>
      <c r="R906" s="1" t="s">
        <v>74</v>
      </c>
      <c r="S906" s="1" t="s">
        <v>74</v>
      </c>
      <c r="T906" s="1" t="s">
        <v>74</v>
      </c>
      <c r="U906" s="1" t="s">
        <v>74</v>
      </c>
      <c r="V906" s="1" t="s">
        <v>8399</v>
      </c>
      <c r="W906" s="1" t="s">
        <v>74</v>
      </c>
      <c r="X906" s="1" t="s">
        <v>74</v>
      </c>
      <c r="Y906" s="1" t="s">
        <v>74</v>
      </c>
      <c r="Z906" s="1" t="s">
        <v>74</v>
      </c>
      <c r="AA906" s="1" t="s">
        <v>74</v>
      </c>
      <c r="AB906" s="1" t="s">
        <v>1301</v>
      </c>
      <c r="AC906" s="1" t="s">
        <v>74</v>
      </c>
      <c r="AD906" s="1" t="s">
        <v>74</v>
      </c>
      <c r="AE906" s="1" t="s">
        <v>74</v>
      </c>
      <c r="AF906" s="1" t="s">
        <v>74</v>
      </c>
      <c r="AG906" s="1" t="s">
        <v>74</v>
      </c>
      <c r="AH906" s="1" t="s">
        <v>74</v>
      </c>
      <c r="AI906" s="1" t="s">
        <v>74</v>
      </c>
      <c r="AJ906" s="1" t="s">
        <v>74</v>
      </c>
      <c r="AK906" s="1" t="s">
        <v>74</v>
      </c>
      <c r="AL906" s="1" t="s">
        <v>74</v>
      </c>
      <c r="AM906" s="1" t="s">
        <v>74</v>
      </c>
      <c r="AN906" s="1" t="s">
        <v>74</v>
      </c>
      <c r="AO906" s="1" t="s">
        <v>5604</v>
      </c>
      <c r="AP906" s="1" t="s">
        <v>5605</v>
      </c>
      <c r="AQ906" s="1" t="s">
        <v>74</v>
      </c>
      <c r="AR906" s="1" t="s">
        <v>74</v>
      </c>
      <c r="AS906" s="1" t="s">
        <v>74</v>
      </c>
      <c r="AT906" s="1" t="s">
        <v>8400</v>
      </c>
      <c r="AU906" s="1">
        <v>2015.0</v>
      </c>
      <c r="AV906" s="1">
        <v>145.0</v>
      </c>
      <c r="AW906" s="1" t="s">
        <v>74</v>
      </c>
      <c r="AX906" s="1" t="s">
        <v>74</v>
      </c>
      <c r="AY906" s="1" t="s">
        <v>74</v>
      </c>
      <c r="AZ906" s="1" t="s">
        <v>74</v>
      </c>
      <c r="BA906" s="1" t="s">
        <v>74</v>
      </c>
      <c r="BB906" s="1">
        <v>7.0</v>
      </c>
      <c r="BC906" s="1">
        <v>16.0</v>
      </c>
      <c r="BD906" s="1" t="s">
        <v>74</v>
      </c>
      <c r="BE906" s="1" t="s">
        <v>8401</v>
      </c>
      <c r="BF906" s="2" t="str">
        <f>HYPERLINK("http://dx.doi.org/10.1016/j.minpro.2015.11.003","http://dx.doi.org/10.1016/j.minpro.2015.11.003")</f>
        <v>http://dx.doi.org/10.1016/j.minpro.2015.11.003</v>
      </c>
      <c r="BG906" s="1" t="s">
        <v>74</v>
      </c>
      <c r="BH906" s="1" t="s">
        <v>74</v>
      </c>
      <c r="BI906" s="1" t="s">
        <v>74</v>
      </c>
      <c r="BJ906" s="1" t="s">
        <v>74</v>
      </c>
      <c r="BK906" s="1" t="s">
        <v>74</v>
      </c>
      <c r="BL906" s="1" t="s">
        <v>74</v>
      </c>
      <c r="BM906" s="1" t="s">
        <v>74</v>
      </c>
      <c r="BN906" s="1" t="s">
        <v>74</v>
      </c>
      <c r="BO906" s="1" t="s">
        <v>74</v>
      </c>
      <c r="BP906" s="1" t="s">
        <v>74</v>
      </c>
      <c r="BQ906" s="1" t="s">
        <v>74</v>
      </c>
      <c r="BR906" s="1" t="s">
        <v>74</v>
      </c>
      <c r="BS906" s="1" t="s">
        <v>8402</v>
      </c>
      <c r="BT906" s="1" t="str">
        <f>HYPERLINK("https%3A%2F%2Fwww.webofscience.com%2Fwos%2Fwoscc%2Ffull-record%2FWOS:000366783900002","View Full Record in Web of Science")</f>
        <v>View Full Record in Web of Science</v>
      </c>
    </row>
    <row r="907" ht="12.75" customHeight="1">
      <c r="A907" s="1" t="s">
        <v>72</v>
      </c>
      <c r="B907" s="1" t="s">
        <v>8403</v>
      </c>
      <c r="C907" s="1" t="s">
        <v>74</v>
      </c>
      <c r="D907" s="1" t="s">
        <v>74</v>
      </c>
      <c r="E907" s="1" t="s">
        <v>74</v>
      </c>
      <c r="F907" s="1" t="s">
        <v>8404</v>
      </c>
      <c r="G907" s="1" t="s">
        <v>74</v>
      </c>
      <c r="H907" s="1" t="s">
        <v>74</v>
      </c>
      <c r="I907" s="1" t="s">
        <v>8405</v>
      </c>
      <c r="J907" s="1" t="s">
        <v>2578</v>
      </c>
      <c r="K907" s="1" t="s">
        <v>74</v>
      </c>
      <c r="L907" s="1" t="s">
        <v>74</v>
      </c>
      <c r="M907" s="1" t="s">
        <v>74</v>
      </c>
      <c r="N907" s="1" t="s">
        <v>74</v>
      </c>
      <c r="O907" s="1" t="s">
        <v>74</v>
      </c>
      <c r="P907" s="1" t="s">
        <v>74</v>
      </c>
      <c r="Q907" s="1" t="s">
        <v>74</v>
      </c>
      <c r="R907" s="1" t="s">
        <v>74</v>
      </c>
      <c r="S907" s="1" t="s">
        <v>74</v>
      </c>
      <c r="T907" s="1" t="s">
        <v>74</v>
      </c>
      <c r="U907" s="1" t="s">
        <v>74</v>
      </c>
      <c r="V907" s="1" t="s">
        <v>8406</v>
      </c>
      <c r="W907" s="1" t="s">
        <v>74</v>
      </c>
      <c r="X907" s="1" t="s">
        <v>74</v>
      </c>
      <c r="Y907" s="1" t="s">
        <v>74</v>
      </c>
      <c r="Z907" s="1" t="s">
        <v>74</v>
      </c>
      <c r="AA907" s="1" t="s">
        <v>74</v>
      </c>
      <c r="AB907" s="1" t="s">
        <v>74</v>
      </c>
      <c r="AC907" s="1" t="s">
        <v>74</v>
      </c>
      <c r="AD907" s="1" t="s">
        <v>74</v>
      </c>
      <c r="AE907" s="1" t="s">
        <v>74</v>
      </c>
      <c r="AF907" s="1" t="s">
        <v>74</v>
      </c>
      <c r="AG907" s="1" t="s">
        <v>74</v>
      </c>
      <c r="AH907" s="1" t="s">
        <v>74</v>
      </c>
      <c r="AI907" s="1" t="s">
        <v>74</v>
      </c>
      <c r="AJ907" s="1" t="s">
        <v>74</v>
      </c>
      <c r="AK907" s="1" t="s">
        <v>74</v>
      </c>
      <c r="AL907" s="1" t="s">
        <v>74</v>
      </c>
      <c r="AM907" s="1" t="s">
        <v>74</v>
      </c>
      <c r="AN907" s="1" t="s">
        <v>74</v>
      </c>
      <c r="AO907" s="1" t="s">
        <v>2581</v>
      </c>
      <c r="AP907" s="1" t="s">
        <v>2582</v>
      </c>
      <c r="AQ907" s="1" t="s">
        <v>74</v>
      </c>
      <c r="AR907" s="1" t="s">
        <v>74</v>
      </c>
      <c r="AS907" s="1" t="s">
        <v>74</v>
      </c>
      <c r="AT907" s="1" t="s">
        <v>1049</v>
      </c>
      <c r="AU907" s="1">
        <v>2014.0</v>
      </c>
      <c r="AV907" s="1">
        <v>142.0</v>
      </c>
      <c r="AW907" s="1">
        <v>11.0</v>
      </c>
      <c r="AX907" s="1" t="s">
        <v>74</v>
      </c>
      <c r="AY907" s="1" t="s">
        <v>74</v>
      </c>
      <c r="AZ907" s="1" t="s">
        <v>74</v>
      </c>
      <c r="BA907" s="1" t="s">
        <v>74</v>
      </c>
      <c r="BB907" s="1">
        <v>1482.0</v>
      </c>
      <c r="BC907" s="1">
        <v>1484.0</v>
      </c>
      <c r="BD907" s="1" t="s">
        <v>74</v>
      </c>
      <c r="BE907" s="1" t="s">
        <v>8407</v>
      </c>
      <c r="BF907" s="2" t="str">
        <f>HYPERLINK("http://dx.doi.org/10.4067/S0034-98872014001100018","http://dx.doi.org/10.4067/S0034-98872014001100018")</f>
        <v>http://dx.doi.org/10.4067/S0034-98872014001100018</v>
      </c>
      <c r="BG907" s="1" t="s">
        <v>74</v>
      </c>
      <c r="BH907" s="1" t="s">
        <v>74</v>
      </c>
      <c r="BI907" s="1" t="s">
        <v>74</v>
      </c>
      <c r="BJ907" s="1" t="s">
        <v>74</v>
      </c>
      <c r="BK907" s="1" t="s">
        <v>74</v>
      </c>
      <c r="BL907" s="1" t="s">
        <v>74</v>
      </c>
      <c r="BM907" s="1" t="s">
        <v>74</v>
      </c>
      <c r="BN907" s="1">
        <v>2.5694296E7</v>
      </c>
      <c r="BO907" s="1" t="s">
        <v>74</v>
      </c>
      <c r="BP907" s="1" t="s">
        <v>74</v>
      </c>
      <c r="BQ907" s="1" t="s">
        <v>74</v>
      </c>
      <c r="BR907" s="1" t="s">
        <v>74</v>
      </c>
      <c r="BS907" s="1" t="s">
        <v>8408</v>
      </c>
      <c r="BT907" s="1" t="str">
        <f>HYPERLINK("https%3A%2F%2Fwww.webofscience.com%2Fwos%2Fwoscc%2Ffull-record%2FWOS:000346454400018","View Full Record in Web of Science")</f>
        <v>View Full Record in Web of Science</v>
      </c>
    </row>
    <row r="908" ht="12.75" customHeight="1">
      <c r="A908" s="1" t="s">
        <v>72</v>
      </c>
      <c r="B908" s="1" t="s">
        <v>8409</v>
      </c>
      <c r="C908" s="1" t="s">
        <v>74</v>
      </c>
      <c r="D908" s="1" t="s">
        <v>74</v>
      </c>
      <c r="E908" s="1" t="s">
        <v>74</v>
      </c>
      <c r="F908" s="1" t="s">
        <v>8410</v>
      </c>
      <c r="G908" s="1" t="s">
        <v>74</v>
      </c>
      <c r="H908" s="1" t="s">
        <v>74</v>
      </c>
      <c r="I908" s="1" t="s">
        <v>8411</v>
      </c>
      <c r="J908" s="1" t="s">
        <v>4453</v>
      </c>
      <c r="K908" s="1" t="s">
        <v>74</v>
      </c>
      <c r="L908" s="1" t="s">
        <v>74</v>
      </c>
      <c r="M908" s="1" t="s">
        <v>74</v>
      </c>
      <c r="N908" s="1" t="s">
        <v>74</v>
      </c>
      <c r="O908" s="1" t="s">
        <v>74</v>
      </c>
      <c r="P908" s="1" t="s">
        <v>74</v>
      </c>
      <c r="Q908" s="1" t="s">
        <v>74</v>
      </c>
      <c r="R908" s="1" t="s">
        <v>74</v>
      </c>
      <c r="S908" s="1" t="s">
        <v>74</v>
      </c>
      <c r="T908" s="1" t="s">
        <v>74</v>
      </c>
      <c r="U908" s="1" t="s">
        <v>74</v>
      </c>
      <c r="V908" s="1" t="s">
        <v>8412</v>
      </c>
      <c r="W908" s="1" t="s">
        <v>74</v>
      </c>
      <c r="X908" s="1" t="s">
        <v>74</v>
      </c>
      <c r="Y908" s="1" t="s">
        <v>74</v>
      </c>
      <c r="Z908" s="1" t="s">
        <v>74</v>
      </c>
      <c r="AA908" s="1" t="s">
        <v>8413</v>
      </c>
      <c r="AB908" s="1" t="s">
        <v>8414</v>
      </c>
      <c r="AC908" s="1" t="s">
        <v>74</v>
      </c>
      <c r="AD908" s="1" t="s">
        <v>74</v>
      </c>
      <c r="AE908" s="1" t="s">
        <v>74</v>
      </c>
      <c r="AF908" s="1" t="s">
        <v>74</v>
      </c>
      <c r="AG908" s="1" t="s">
        <v>74</v>
      </c>
      <c r="AH908" s="1" t="s">
        <v>74</v>
      </c>
      <c r="AI908" s="1" t="s">
        <v>74</v>
      </c>
      <c r="AJ908" s="1" t="s">
        <v>74</v>
      </c>
      <c r="AK908" s="1" t="s">
        <v>74</v>
      </c>
      <c r="AL908" s="1" t="s">
        <v>74</v>
      </c>
      <c r="AM908" s="1" t="s">
        <v>74</v>
      </c>
      <c r="AN908" s="1" t="s">
        <v>74</v>
      </c>
      <c r="AO908" s="1" t="s">
        <v>4456</v>
      </c>
      <c r="AP908" s="1" t="s">
        <v>74</v>
      </c>
      <c r="AQ908" s="1" t="s">
        <v>74</v>
      </c>
      <c r="AR908" s="1" t="s">
        <v>74</v>
      </c>
      <c r="AS908" s="1" t="s">
        <v>74</v>
      </c>
      <c r="AT908" s="1" t="s">
        <v>2296</v>
      </c>
      <c r="AU908" s="1">
        <v>2014.0</v>
      </c>
      <c r="AV908" s="1">
        <v>64.0</v>
      </c>
      <c r="AW908" s="1" t="s">
        <v>74</v>
      </c>
      <c r="AX908" s="1" t="s">
        <v>74</v>
      </c>
      <c r="AY908" s="1" t="s">
        <v>74</v>
      </c>
      <c r="AZ908" s="1" t="s">
        <v>74</v>
      </c>
      <c r="BA908" s="1" t="s">
        <v>74</v>
      </c>
      <c r="BB908" s="1">
        <v>92.0</v>
      </c>
      <c r="BC908" s="1">
        <v>96.0</v>
      </c>
      <c r="BD908" s="1" t="s">
        <v>74</v>
      </c>
      <c r="BE908" s="1" t="s">
        <v>8415</v>
      </c>
      <c r="BF908" s="2" t="str">
        <f>HYPERLINK("http://dx.doi.org/10.1016/j.mineng.2014.03.029","http://dx.doi.org/10.1016/j.mineng.2014.03.029")</f>
        <v>http://dx.doi.org/10.1016/j.mineng.2014.03.029</v>
      </c>
      <c r="BG908" s="1" t="s">
        <v>74</v>
      </c>
      <c r="BH908" s="1" t="s">
        <v>74</v>
      </c>
      <c r="BI908" s="1" t="s">
        <v>74</v>
      </c>
      <c r="BJ908" s="1" t="s">
        <v>74</v>
      </c>
      <c r="BK908" s="1" t="s">
        <v>74</v>
      </c>
      <c r="BL908" s="1" t="s">
        <v>74</v>
      </c>
      <c r="BM908" s="1" t="s">
        <v>74</v>
      </c>
      <c r="BN908" s="1" t="s">
        <v>74</v>
      </c>
      <c r="BO908" s="1" t="s">
        <v>74</v>
      </c>
      <c r="BP908" s="1" t="s">
        <v>74</v>
      </c>
      <c r="BQ908" s="1" t="s">
        <v>74</v>
      </c>
      <c r="BR908" s="1" t="s">
        <v>74</v>
      </c>
      <c r="BS908" s="1" t="s">
        <v>8416</v>
      </c>
      <c r="BT908" s="1" t="str">
        <f>HYPERLINK("https%3A%2F%2Fwww.webofscience.com%2Fwos%2Fwoscc%2Ffull-record%2FWOS:000340141400011","View Full Record in Web of Science")</f>
        <v>View Full Record in Web of Science</v>
      </c>
    </row>
    <row r="909" ht="12.75" customHeight="1">
      <c r="A909" s="1" t="s">
        <v>72</v>
      </c>
      <c r="B909" s="1" t="s">
        <v>8417</v>
      </c>
      <c r="C909" s="1" t="s">
        <v>74</v>
      </c>
      <c r="D909" s="1" t="s">
        <v>74</v>
      </c>
      <c r="E909" s="1" t="s">
        <v>74</v>
      </c>
      <c r="F909" s="1" t="s">
        <v>8418</v>
      </c>
      <c r="G909" s="1" t="s">
        <v>74</v>
      </c>
      <c r="H909" s="1" t="s">
        <v>74</v>
      </c>
      <c r="I909" s="1" t="s">
        <v>8419</v>
      </c>
      <c r="J909" s="1" t="s">
        <v>8420</v>
      </c>
      <c r="K909" s="1" t="s">
        <v>74</v>
      </c>
      <c r="L909" s="1" t="s">
        <v>74</v>
      </c>
      <c r="M909" s="1" t="s">
        <v>74</v>
      </c>
      <c r="N909" s="1" t="s">
        <v>74</v>
      </c>
      <c r="O909" s="1" t="s">
        <v>74</v>
      </c>
      <c r="P909" s="1" t="s">
        <v>74</v>
      </c>
      <c r="Q909" s="1" t="s">
        <v>74</v>
      </c>
      <c r="R909" s="1" t="s">
        <v>74</v>
      </c>
      <c r="S909" s="1" t="s">
        <v>74</v>
      </c>
      <c r="T909" s="1" t="s">
        <v>74</v>
      </c>
      <c r="U909" s="1" t="s">
        <v>74</v>
      </c>
      <c r="V909" s="1" t="s">
        <v>8421</v>
      </c>
      <c r="W909" s="1" t="s">
        <v>74</v>
      </c>
      <c r="X909" s="1" t="s">
        <v>74</v>
      </c>
      <c r="Y909" s="1" t="s">
        <v>74</v>
      </c>
      <c r="Z909" s="1" t="s">
        <v>74</v>
      </c>
      <c r="AA909" s="1" t="s">
        <v>8422</v>
      </c>
      <c r="AB909" s="1" t="s">
        <v>8423</v>
      </c>
      <c r="AC909" s="1" t="s">
        <v>74</v>
      </c>
      <c r="AD909" s="1" t="s">
        <v>74</v>
      </c>
      <c r="AE909" s="1" t="s">
        <v>74</v>
      </c>
      <c r="AF909" s="1" t="s">
        <v>74</v>
      </c>
      <c r="AG909" s="1" t="s">
        <v>74</v>
      </c>
      <c r="AH909" s="1" t="s">
        <v>74</v>
      </c>
      <c r="AI909" s="1" t="s">
        <v>74</v>
      </c>
      <c r="AJ909" s="1" t="s">
        <v>74</v>
      </c>
      <c r="AK909" s="1" t="s">
        <v>74</v>
      </c>
      <c r="AL909" s="1" t="s">
        <v>74</v>
      </c>
      <c r="AM909" s="1" t="s">
        <v>74</v>
      </c>
      <c r="AN909" s="1" t="s">
        <v>74</v>
      </c>
      <c r="AO909" s="1" t="s">
        <v>8424</v>
      </c>
      <c r="AP909" s="1" t="s">
        <v>8425</v>
      </c>
      <c r="AQ909" s="1" t="s">
        <v>74</v>
      </c>
      <c r="AR909" s="1" t="s">
        <v>74</v>
      </c>
      <c r="AS909" s="1" t="s">
        <v>74</v>
      </c>
      <c r="AT909" s="1" t="s">
        <v>215</v>
      </c>
      <c r="AU909" s="1">
        <v>2014.0</v>
      </c>
      <c r="AV909" s="1">
        <v>27.0</v>
      </c>
      <c r="AW909" s="1">
        <v>6.0</v>
      </c>
      <c r="AX909" s="1" t="s">
        <v>74</v>
      </c>
      <c r="AY909" s="1" t="s">
        <v>74</v>
      </c>
      <c r="AZ909" s="1" t="s">
        <v>74</v>
      </c>
      <c r="BA909" s="1" t="s">
        <v>74</v>
      </c>
      <c r="BB909" s="1">
        <v>495.0</v>
      </c>
      <c r="BC909" s="1">
        <v>507.0</v>
      </c>
      <c r="BD909" s="1" t="s">
        <v>74</v>
      </c>
      <c r="BE909" s="1" t="s">
        <v>8426</v>
      </c>
      <c r="BF909" s="2" t="str">
        <f>HYPERLINK("http://dx.doi.org/10.1002/pts.2043","http://dx.doi.org/10.1002/pts.2043")</f>
        <v>http://dx.doi.org/10.1002/pts.2043</v>
      </c>
      <c r="BG909" s="1" t="s">
        <v>74</v>
      </c>
      <c r="BH909" s="1" t="s">
        <v>74</v>
      </c>
      <c r="BI909" s="1" t="s">
        <v>74</v>
      </c>
      <c r="BJ909" s="1" t="s">
        <v>74</v>
      </c>
      <c r="BK909" s="1" t="s">
        <v>74</v>
      </c>
      <c r="BL909" s="1" t="s">
        <v>74</v>
      </c>
      <c r="BM909" s="1" t="s">
        <v>74</v>
      </c>
      <c r="BN909" s="1" t="s">
        <v>74</v>
      </c>
      <c r="BO909" s="1" t="s">
        <v>74</v>
      </c>
      <c r="BP909" s="1" t="s">
        <v>74</v>
      </c>
      <c r="BQ909" s="1" t="s">
        <v>74</v>
      </c>
      <c r="BR909" s="1" t="s">
        <v>74</v>
      </c>
      <c r="BS909" s="1" t="s">
        <v>8427</v>
      </c>
      <c r="BT909" s="1" t="str">
        <f>HYPERLINK("https%3A%2F%2Fwww.webofscience.com%2Fwos%2Fwoscc%2Ffull-record%2FWOS:000337578500007","View Full Record in Web of Science")</f>
        <v>View Full Record in Web of Science</v>
      </c>
    </row>
    <row r="910" ht="12.75" customHeight="1">
      <c r="A910" s="1" t="s">
        <v>72</v>
      </c>
      <c r="B910" s="1" t="s">
        <v>8428</v>
      </c>
      <c r="C910" s="1" t="s">
        <v>74</v>
      </c>
      <c r="D910" s="1" t="s">
        <v>74</v>
      </c>
      <c r="E910" s="1" t="s">
        <v>74</v>
      </c>
      <c r="F910" s="1" t="s">
        <v>8429</v>
      </c>
      <c r="G910" s="1" t="s">
        <v>74</v>
      </c>
      <c r="H910" s="1" t="s">
        <v>74</v>
      </c>
      <c r="I910" s="1" t="s">
        <v>8430</v>
      </c>
      <c r="J910" s="1" t="s">
        <v>682</v>
      </c>
      <c r="K910" s="1" t="s">
        <v>74</v>
      </c>
      <c r="L910" s="1" t="s">
        <v>74</v>
      </c>
      <c r="M910" s="1" t="s">
        <v>74</v>
      </c>
      <c r="N910" s="1" t="s">
        <v>74</v>
      </c>
      <c r="O910" s="1" t="s">
        <v>74</v>
      </c>
      <c r="P910" s="1" t="s">
        <v>74</v>
      </c>
      <c r="Q910" s="1" t="s">
        <v>74</v>
      </c>
      <c r="R910" s="1" t="s">
        <v>74</v>
      </c>
      <c r="S910" s="1" t="s">
        <v>74</v>
      </c>
      <c r="T910" s="1" t="s">
        <v>74</v>
      </c>
      <c r="U910" s="1" t="s">
        <v>74</v>
      </c>
      <c r="V910" s="1" t="s">
        <v>8431</v>
      </c>
      <c r="W910" s="1" t="s">
        <v>74</v>
      </c>
      <c r="X910" s="1" t="s">
        <v>74</v>
      </c>
      <c r="Y910" s="1" t="s">
        <v>74</v>
      </c>
      <c r="Z910" s="1" t="s">
        <v>74</v>
      </c>
      <c r="AA910" s="1" t="s">
        <v>7238</v>
      </c>
      <c r="AB910" s="1" t="s">
        <v>8432</v>
      </c>
      <c r="AC910" s="1" t="s">
        <v>74</v>
      </c>
      <c r="AD910" s="1" t="s">
        <v>74</v>
      </c>
      <c r="AE910" s="1" t="s">
        <v>74</v>
      </c>
      <c r="AF910" s="1" t="s">
        <v>74</v>
      </c>
      <c r="AG910" s="1" t="s">
        <v>74</v>
      </c>
      <c r="AH910" s="1" t="s">
        <v>74</v>
      </c>
      <c r="AI910" s="1" t="s">
        <v>74</v>
      </c>
      <c r="AJ910" s="1" t="s">
        <v>74</v>
      </c>
      <c r="AK910" s="1" t="s">
        <v>74</v>
      </c>
      <c r="AL910" s="1" t="s">
        <v>74</v>
      </c>
      <c r="AM910" s="1" t="s">
        <v>74</v>
      </c>
      <c r="AN910" s="1" t="s">
        <v>74</v>
      </c>
      <c r="AO910" s="1" t="s">
        <v>7866</v>
      </c>
      <c r="AP910" s="1" t="s">
        <v>74</v>
      </c>
      <c r="AQ910" s="1" t="s">
        <v>74</v>
      </c>
      <c r="AR910" s="1" t="s">
        <v>74</v>
      </c>
      <c r="AS910" s="1" t="s">
        <v>74</v>
      </c>
      <c r="AT910" s="1" t="s">
        <v>74</v>
      </c>
      <c r="AU910" s="1">
        <v>2014.0</v>
      </c>
      <c r="AV910" s="1">
        <v>32.0</v>
      </c>
      <c r="AW910" s="1">
        <v>2.0</v>
      </c>
      <c r="AX910" s="1" t="s">
        <v>74</v>
      </c>
      <c r="AY910" s="1" t="s">
        <v>74</v>
      </c>
      <c r="AZ910" s="1" t="s">
        <v>74</v>
      </c>
      <c r="BA910" s="1" t="s">
        <v>74</v>
      </c>
      <c r="BB910" s="1">
        <v>111.0</v>
      </c>
      <c r="BC910" s="1">
        <v>120.0</v>
      </c>
      <c r="BD910" s="1" t="s">
        <v>74</v>
      </c>
      <c r="BE910" s="1" t="s">
        <v>74</v>
      </c>
      <c r="BF910" s="1" t="s">
        <v>74</v>
      </c>
      <c r="BG910" s="1" t="s">
        <v>74</v>
      </c>
      <c r="BH910" s="1" t="s">
        <v>74</v>
      </c>
      <c r="BI910" s="1" t="s">
        <v>74</v>
      </c>
      <c r="BJ910" s="1" t="s">
        <v>74</v>
      </c>
      <c r="BK910" s="1" t="s">
        <v>74</v>
      </c>
      <c r="BL910" s="1" t="s">
        <v>74</v>
      </c>
      <c r="BM910" s="1" t="s">
        <v>74</v>
      </c>
      <c r="BN910" s="1" t="s">
        <v>74</v>
      </c>
      <c r="BO910" s="1" t="s">
        <v>74</v>
      </c>
      <c r="BP910" s="1" t="s">
        <v>74</v>
      </c>
      <c r="BQ910" s="1" t="s">
        <v>74</v>
      </c>
      <c r="BR910" s="1" t="s">
        <v>74</v>
      </c>
      <c r="BS910" s="1" t="s">
        <v>8433</v>
      </c>
      <c r="BT910" s="1" t="str">
        <f>HYPERLINK("https%3A%2F%2Fwww.webofscience.com%2Fwos%2Fwoscc%2Ffull-record%2FWOS:000347634100004","View Full Record in Web of Science")</f>
        <v>View Full Record in Web of Science</v>
      </c>
    </row>
    <row r="911" ht="12.75" customHeight="1">
      <c r="A911" s="1" t="s">
        <v>72</v>
      </c>
      <c r="B911" s="1" t="s">
        <v>8434</v>
      </c>
      <c r="C911" s="1" t="s">
        <v>74</v>
      </c>
      <c r="D911" s="1" t="s">
        <v>74</v>
      </c>
      <c r="E911" s="1" t="s">
        <v>74</v>
      </c>
      <c r="F911" s="1" t="s">
        <v>8435</v>
      </c>
      <c r="G911" s="1" t="s">
        <v>74</v>
      </c>
      <c r="H911" s="1" t="s">
        <v>74</v>
      </c>
      <c r="I911" s="1" t="s">
        <v>8436</v>
      </c>
      <c r="J911" s="1" t="s">
        <v>8437</v>
      </c>
      <c r="K911" s="1" t="s">
        <v>74</v>
      </c>
      <c r="L911" s="1" t="s">
        <v>74</v>
      </c>
      <c r="M911" s="1" t="s">
        <v>74</v>
      </c>
      <c r="N911" s="1" t="s">
        <v>74</v>
      </c>
      <c r="O911" s="1" t="s">
        <v>74</v>
      </c>
      <c r="P911" s="1" t="s">
        <v>74</v>
      </c>
      <c r="Q911" s="1" t="s">
        <v>74</v>
      </c>
      <c r="R911" s="1" t="s">
        <v>74</v>
      </c>
      <c r="S911" s="1" t="s">
        <v>74</v>
      </c>
      <c r="T911" s="1" t="s">
        <v>74</v>
      </c>
      <c r="U911" s="1" t="s">
        <v>74</v>
      </c>
      <c r="V911" s="1" t="s">
        <v>8438</v>
      </c>
      <c r="W911" s="1" t="s">
        <v>74</v>
      </c>
      <c r="X911" s="1" t="s">
        <v>74</v>
      </c>
      <c r="Y911" s="1" t="s">
        <v>74</v>
      </c>
      <c r="Z911" s="1" t="s">
        <v>74</v>
      </c>
      <c r="AA911" s="1" t="s">
        <v>8439</v>
      </c>
      <c r="AB911" s="1" t="s">
        <v>8440</v>
      </c>
      <c r="AC911" s="1" t="s">
        <v>74</v>
      </c>
      <c r="AD911" s="1" t="s">
        <v>74</v>
      </c>
      <c r="AE911" s="1" t="s">
        <v>74</v>
      </c>
      <c r="AF911" s="1" t="s">
        <v>74</v>
      </c>
      <c r="AG911" s="1" t="s">
        <v>74</v>
      </c>
      <c r="AH911" s="1" t="s">
        <v>74</v>
      </c>
      <c r="AI911" s="1" t="s">
        <v>74</v>
      </c>
      <c r="AJ911" s="1" t="s">
        <v>74</v>
      </c>
      <c r="AK911" s="1" t="s">
        <v>74</v>
      </c>
      <c r="AL911" s="1" t="s">
        <v>74</v>
      </c>
      <c r="AM911" s="1" t="s">
        <v>74</v>
      </c>
      <c r="AN911" s="1" t="s">
        <v>74</v>
      </c>
      <c r="AO911" s="1" t="s">
        <v>8441</v>
      </c>
      <c r="AP911" s="1" t="s">
        <v>8442</v>
      </c>
      <c r="AQ911" s="1" t="s">
        <v>74</v>
      </c>
      <c r="AR911" s="1" t="s">
        <v>74</v>
      </c>
      <c r="AS911" s="1" t="s">
        <v>74</v>
      </c>
      <c r="AT911" s="1" t="s">
        <v>8443</v>
      </c>
      <c r="AU911" s="1">
        <v>2013.0</v>
      </c>
      <c r="AV911" s="1">
        <v>113.0</v>
      </c>
      <c r="AW911" s="1">
        <v>15.0</v>
      </c>
      <c r="AX911" s="1" t="s">
        <v>74</v>
      </c>
      <c r="AY911" s="1" t="s">
        <v>74</v>
      </c>
      <c r="AZ911" s="1" t="s">
        <v>74</v>
      </c>
      <c r="BA911" s="1" t="s">
        <v>74</v>
      </c>
      <c r="BB911" s="1">
        <v>1931.0</v>
      </c>
      <c r="BC911" s="1">
        <v>1939.0</v>
      </c>
      <c r="BD911" s="1" t="s">
        <v>74</v>
      </c>
      <c r="BE911" s="1" t="s">
        <v>8444</v>
      </c>
      <c r="BF911" s="2" t="str">
        <f>HYPERLINK("http://dx.doi.org/10.1002/qua.24416","http://dx.doi.org/10.1002/qua.24416")</f>
        <v>http://dx.doi.org/10.1002/qua.24416</v>
      </c>
      <c r="BG911" s="1" t="s">
        <v>74</v>
      </c>
      <c r="BH911" s="1" t="s">
        <v>74</v>
      </c>
      <c r="BI911" s="1" t="s">
        <v>74</v>
      </c>
      <c r="BJ911" s="1" t="s">
        <v>74</v>
      </c>
      <c r="BK911" s="1" t="s">
        <v>74</v>
      </c>
      <c r="BL911" s="1" t="s">
        <v>74</v>
      </c>
      <c r="BM911" s="1" t="s">
        <v>74</v>
      </c>
      <c r="BN911" s="1" t="s">
        <v>74</v>
      </c>
      <c r="BO911" s="1" t="s">
        <v>74</v>
      </c>
      <c r="BP911" s="1" t="s">
        <v>74</v>
      </c>
      <c r="BQ911" s="1" t="s">
        <v>74</v>
      </c>
      <c r="BR911" s="1" t="s">
        <v>74</v>
      </c>
      <c r="BS911" s="1" t="s">
        <v>8445</v>
      </c>
      <c r="BT911" s="1" t="str">
        <f>HYPERLINK("https%3A%2F%2Fwww.webofscience.com%2Fwos%2Fwoscc%2Ffull-record%2FWOS:000320556800005","View Full Record in Web of Science")</f>
        <v>View Full Record in Web of Science</v>
      </c>
    </row>
    <row r="912" ht="12.75" customHeight="1">
      <c r="A912" s="1" t="s">
        <v>72</v>
      </c>
      <c r="B912" s="1" t="s">
        <v>8446</v>
      </c>
      <c r="C912" s="1" t="s">
        <v>74</v>
      </c>
      <c r="D912" s="1" t="s">
        <v>74</v>
      </c>
      <c r="E912" s="1" t="s">
        <v>74</v>
      </c>
      <c r="F912" s="1" t="s">
        <v>8447</v>
      </c>
      <c r="G912" s="1" t="s">
        <v>74</v>
      </c>
      <c r="H912" s="1" t="s">
        <v>74</v>
      </c>
      <c r="I912" s="1" t="s">
        <v>8448</v>
      </c>
      <c r="J912" s="1" t="s">
        <v>7390</v>
      </c>
      <c r="K912" s="1" t="s">
        <v>74</v>
      </c>
      <c r="L912" s="1" t="s">
        <v>74</v>
      </c>
      <c r="M912" s="1" t="s">
        <v>74</v>
      </c>
      <c r="N912" s="1" t="s">
        <v>74</v>
      </c>
      <c r="O912" s="1" t="s">
        <v>74</v>
      </c>
      <c r="P912" s="1" t="s">
        <v>74</v>
      </c>
      <c r="Q912" s="1" t="s">
        <v>74</v>
      </c>
      <c r="R912" s="1" t="s">
        <v>74</v>
      </c>
      <c r="S912" s="1" t="s">
        <v>74</v>
      </c>
      <c r="T912" s="1" t="s">
        <v>74</v>
      </c>
      <c r="U912" s="1" t="s">
        <v>74</v>
      </c>
      <c r="V912" s="1" t="s">
        <v>8449</v>
      </c>
      <c r="W912" s="1" t="s">
        <v>74</v>
      </c>
      <c r="X912" s="1" t="s">
        <v>74</v>
      </c>
      <c r="Y912" s="1" t="s">
        <v>74</v>
      </c>
      <c r="Z912" s="1" t="s">
        <v>74</v>
      </c>
      <c r="AA912" s="1" t="s">
        <v>8450</v>
      </c>
      <c r="AB912" s="1" t="s">
        <v>8451</v>
      </c>
      <c r="AC912" s="1" t="s">
        <v>74</v>
      </c>
      <c r="AD912" s="1" t="s">
        <v>74</v>
      </c>
      <c r="AE912" s="1" t="s">
        <v>74</v>
      </c>
      <c r="AF912" s="1" t="s">
        <v>74</v>
      </c>
      <c r="AG912" s="1" t="s">
        <v>74</v>
      </c>
      <c r="AH912" s="1" t="s">
        <v>74</v>
      </c>
      <c r="AI912" s="1" t="s">
        <v>74</v>
      </c>
      <c r="AJ912" s="1" t="s">
        <v>74</v>
      </c>
      <c r="AK912" s="1" t="s">
        <v>74</v>
      </c>
      <c r="AL912" s="1" t="s">
        <v>74</v>
      </c>
      <c r="AM912" s="1" t="s">
        <v>74</v>
      </c>
      <c r="AN912" s="1" t="s">
        <v>74</v>
      </c>
      <c r="AO912" s="1" t="s">
        <v>7394</v>
      </c>
      <c r="AP912" s="1" t="s">
        <v>7395</v>
      </c>
      <c r="AQ912" s="1" t="s">
        <v>74</v>
      </c>
      <c r="AR912" s="1" t="s">
        <v>74</v>
      </c>
      <c r="AS912" s="1" t="s">
        <v>74</v>
      </c>
      <c r="AT912" s="1" t="s">
        <v>88</v>
      </c>
      <c r="AU912" s="1">
        <v>2013.0</v>
      </c>
      <c r="AV912" s="1">
        <v>114.0</v>
      </c>
      <c r="AW912" s="1">
        <v>4.0</v>
      </c>
      <c r="AX912" s="1" t="s">
        <v>74</v>
      </c>
      <c r="AY912" s="1" t="s">
        <v>74</v>
      </c>
      <c r="AZ912" s="1" t="s">
        <v>74</v>
      </c>
      <c r="BA912" s="1" t="s">
        <v>74</v>
      </c>
      <c r="BB912" s="1">
        <v>1066.0</v>
      </c>
      <c r="BC912" s="1">
        <v>1074.0</v>
      </c>
      <c r="BD912" s="1" t="s">
        <v>74</v>
      </c>
      <c r="BE912" s="1" t="s">
        <v>8452</v>
      </c>
      <c r="BF912" s="2" t="str">
        <f>HYPERLINK("http://dx.doi.org/10.1111/jam.12134","http://dx.doi.org/10.1111/jam.12134")</f>
        <v>http://dx.doi.org/10.1111/jam.12134</v>
      </c>
      <c r="BG912" s="1" t="s">
        <v>74</v>
      </c>
      <c r="BH912" s="1" t="s">
        <v>74</v>
      </c>
      <c r="BI912" s="1" t="s">
        <v>74</v>
      </c>
      <c r="BJ912" s="1" t="s">
        <v>74</v>
      </c>
      <c r="BK912" s="1" t="s">
        <v>74</v>
      </c>
      <c r="BL912" s="1" t="s">
        <v>74</v>
      </c>
      <c r="BM912" s="1" t="s">
        <v>74</v>
      </c>
      <c r="BN912" s="1">
        <v>2.3311591E7</v>
      </c>
      <c r="BO912" s="1" t="s">
        <v>74</v>
      </c>
      <c r="BP912" s="1" t="s">
        <v>74</v>
      </c>
      <c r="BQ912" s="1" t="s">
        <v>74</v>
      </c>
      <c r="BR912" s="1" t="s">
        <v>74</v>
      </c>
      <c r="BS912" s="1" t="s">
        <v>8453</v>
      </c>
      <c r="BT912" s="1" t="str">
        <f>HYPERLINK("https%3A%2F%2Fwww.webofscience.com%2Fwos%2Fwoscc%2Ffull-record%2FWOS:000316572200015","View Full Record in Web of Science")</f>
        <v>View Full Record in Web of Science</v>
      </c>
    </row>
    <row r="913" ht="12.75" customHeight="1">
      <c r="A913" s="1" t="s">
        <v>251</v>
      </c>
      <c r="B913" s="1" t="s">
        <v>8454</v>
      </c>
      <c r="C913" s="1" t="s">
        <v>74</v>
      </c>
      <c r="D913" s="1" t="s">
        <v>8455</v>
      </c>
      <c r="E913" s="1" t="s">
        <v>74</v>
      </c>
      <c r="F913" s="1" t="s">
        <v>8456</v>
      </c>
      <c r="G913" s="1" t="s">
        <v>74</v>
      </c>
      <c r="H913" s="1" t="s">
        <v>74</v>
      </c>
      <c r="I913" s="1" t="s">
        <v>8457</v>
      </c>
      <c r="J913" s="1" t="s">
        <v>8458</v>
      </c>
      <c r="K913" s="1" t="s">
        <v>8459</v>
      </c>
      <c r="L913" s="1" t="s">
        <v>74</v>
      </c>
      <c r="M913" s="1" t="s">
        <v>74</v>
      </c>
      <c r="N913" s="1" t="s">
        <v>74</v>
      </c>
      <c r="O913" s="1" t="s">
        <v>8460</v>
      </c>
      <c r="P913" s="1" t="s">
        <v>8461</v>
      </c>
      <c r="Q913" s="1" t="s">
        <v>8462</v>
      </c>
      <c r="R913" s="1" t="s">
        <v>8463</v>
      </c>
      <c r="S913" s="1" t="s">
        <v>74</v>
      </c>
      <c r="T913" s="1" t="s">
        <v>74</v>
      </c>
      <c r="U913" s="1" t="s">
        <v>74</v>
      </c>
      <c r="V913" s="1" t="s">
        <v>8464</v>
      </c>
      <c r="W913" s="1" t="s">
        <v>74</v>
      </c>
      <c r="X913" s="1" t="s">
        <v>74</v>
      </c>
      <c r="Y913" s="1" t="s">
        <v>74</v>
      </c>
      <c r="Z913" s="1" t="s">
        <v>74</v>
      </c>
      <c r="AA913" s="1" t="s">
        <v>74</v>
      </c>
      <c r="AB913" s="1" t="s">
        <v>8465</v>
      </c>
      <c r="AC913" s="1" t="s">
        <v>74</v>
      </c>
      <c r="AD913" s="1" t="s">
        <v>74</v>
      </c>
      <c r="AE913" s="1" t="s">
        <v>74</v>
      </c>
      <c r="AF913" s="1" t="s">
        <v>74</v>
      </c>
      <c r="AG913" s="1" t="s">
        <v>74</v>
      </c>
      <c r="AH913" s="1" t="s">
        <v>74</v>
      </c>
      <c r="AI913" s="1" t="s">
        <v>74</v>
      </c>
      <c r="AJ913" s="1" t="s">
        <v>74</v>
      </c>
      <c r="AK913" s="1" t="s">
        <v>74</v>
      </c>
      <c r="AL913" s="1" t="s">
        <v>74</v>
      </c>
      <c r="AM913" s="1" t="s">
        <v>74</v>
      </c>
      <c r="AN913" s="1" t="s">
        <v>74</v>
      </c>
      <c r="AO913" s="1" t="s">
        <v>8466</v>
      </c>
      <c r="AP913" s="1" t="s">
        <v>74</v>
      </c>
      <c r="AQ913" s="1" t="s">
        <v>8467</v>
      </c>
      <c r="AR913" s="1" t="s">
        <v>74</v>
      </c>
      <c r="AS913" s="1" t="s">
        <v>74</v>
      </c>
      <c r="AT913" s="1" t="s">
        <v>74</v>
      </c>
      <c r="AU913" s="1">
        <v>2013.0</v>
      </c>
      <c r="AV913" s="1">
        <v>17.0</v>
      </c>
      <c r="AW913" s="1" t="s">
        <v>74</v>
      </c>
      <c r="AX913" s="1" t="s">
        <v>74</v>
      </c>
      <c r="AY913" s="1" t="s">
        <v>74</v>
      </c>
      <c r="AZ913" s="1" t="s">
        <v>74</v>
      </c>
      <c r="BA913" s="1" t="s">
        <v>74</v>
      </c>
      <c r="BB913" s="1">
        <v>356.0</v>
      </c>
      <c r="BC913" s="1">
        <v>367.0</v>
      </c>
      <c r="BD913" s="1" t="s">
        <v>74</v>
      </c>
      <c r="BE913" s="1" t="s">
        <v>8468</v>
      </c>
      <c r="BF913" s="2" t="str">
        <f>HYPERLINK("http://dx.doi.org/10.3233/978-1-61499-286-8-356","http://dx.doi.org/10.3233/978-1-61499-286-8-356")</f>
        <v>http://dx.doi.org/10.3233/978-1-61499-286-8-356</v>
      </c>
      <c r="BG913" s="1" t="s">
        <v>74</v>
      </c>
      <c r="BH913" s="1" t="s">
        <v>74</v>
      </c>
      <c r="BI913" s="1" t="s">
        <v>74</v>
      </c>
      <c r="BJ913" s="1" t="s">
        <v>74</v>
      </c>
      <c r="BK913" s="1" t="s">
        <v>74</v>
      </c>
      <c r="BL913" s="1" t="s">
        <v>74</v>
      </c>
      <c r="BM913" s="1" t="s">
        <v>74</v>
      </c>
      <c r="BN913" s="1" t="s">
        <v>74</v>
      </c>
      <c r="BO913" s="1" t="s">
        <v>74</v>
      </c>
      <c r="BP913" s="1" t="s">
        <v>74</v>
      </c>
      <c r="BQ913" s="1" t="s">
        <v>74</v>
      </c>
      <c r="BR913" s="1" t="s">
        <v>74</v>
      </c>
      <c r="BS913" s="1" t="s">
        <v>8469</v>
      </c>
      <c r="BT913" s="1" t="str">
        <f>HYPERLINK("https%3A%2F%2Fwww.webofscience.com%2Fwos%2Fwoscc%2Ffull-record%2FWOS:000360240400040","View Full Record in Web of Science")</f>
        <v>View Full Record in Web of Science</v>
      </c>
    </row>
    <row r="914" ht="12.75" customHeight="1">
      <c r="A914" s="1" t="s">
        <v>72</v>
      </c>
      <c r="B914" s="1" t="s">
        <v>8470</v>
      </c>
      <c r="C914" s="1" t="s">
        <v>74</v>
      </c>
      <c r="D914" s="1" t="s">
        <v>74</v>
      </c>
      <c r="E914" s="1" t="s">
        <v>74</v>
      </c>
      <c r="F914" s="1" t="s">
        <v>8471</v>
      </c>
      <c r="G914" s="1" t="s">
        <v>74</v>
      </c>
      <c r="H914" s="1" t="s">
        <v>74</v>
      </c>
      <c r="I914" s="1" t="s">
        <v>8472</v>
      </c>
      <c r="J914" s="1" t="s">
        <v>76</v>
      </c>
      <c r="K914" s="1" t="s">
        <v>74</v>
      </c>
      <c r="L914" s="1" t="s">
        <v>74</v>
      </c>
      <c r="M914" s="1" t="s">
        <v>74</v>
      </c>
      <c r="N914" s="1" t="s">
        <v>74</v>
      </c>
      <c r="O914" s="1" t="s">
        <v>74</v>
      </c>
      <c r="P914" s="1" t="s">
        <v>74</v>
      </c>
      <c r="Q914" s="1" t="s">
        <v>74</v>
      </c>
      <c r="R914" s="1" t="s">
        <v>74</v>
      </c>
      <c r="S914" s="1" t="s">
        <v>74</v>
      </c>
      <c r="T914" s="1" t="s">
        <v>74</v>
      </c>
      <c r="U914" s="1" t="s">
        <v>74</v>
      </c>
      <c r="V914" s="1" t="s">
        <v>8473</v>
      </c>
      <c r="W914" s="1" t="s">
        <v>74</v>
      </c>
      <c r="X914" s="1" t="s">
        <v>74</v>
      </c>
      <c r="Y914" s="1" t="s">
        <v>74</v>
      </c>
      <c r="Z914" s="1" t="s">
        <v>74</v>
      </c>
      <c r="AA914" s="1" t="s">
        <v>8474</v>
      </c>
      <c r="AB914" s="1" t="s">
        <v>8475</v>
      </c>
      <c r="AC914" s="1" t="s">
        <v>74</v>
      </c>
      <c r="AD914" s="1" t="s">
        <v>74</v>
      </c>
      <c r="AE914" s="1" t="s">
        <v>74</v>
      </c>
      <c r="AF914" s="1" t="s">
        <v>74</v>
      </c>
      <c r="AG914" s="1" t="s">
        <v>74</v>
      </c>
      <c r="AH914" s="1" t="s">
        <v>74</v>
      </c>
      <c r="AI914" s="1" t="s">
        <v>74</v>
      </c>
      <c r="AJ914" s="1" t="s">
        <v>74</v>
      </c>
      <c r="AK914" s="1" t="s">
        <v>74</v>
      </c>
      <c r="AL914" s="1" t="s">
        <v>74</v>
      </c>
      <c r="AM914" s="1" t="s">
        <v>74</v>
      </c>
      <c r="AN914" s="1" t="s">
        <v>74</v>
      </c>
      <c r="AO914" s="1" t="s">
        <v>78</v>
      </c>
      <c r="AP914" s="1" t="s">
        <v>74</v>
      </c>
      <c r="AQ914" s="1" t="s">
        <v>74</v>
      </c>
      <c r="AR914" s="1" t="s">
        <v>74</v>
      </c>
      <c r="AS914" s="1" t="s">
        <v>74</v>
      </c>
      <c r="AT914" s="1" t="s">
        <v>2296</v>
      </c>
      <c r="AU914" s="1">
        <v>2012.0</v>
      </c>
      <c r="AV914" s="1">
        <v>50.0</v>
      </c>
      <c r="AW914" s="1">
        <v>19.0</v>
      </c>
      <c r="AX914" s="1" t="s">
        <v>74</v>
      </c>
      <c r="AY914" s="1" t="s">
        <v>74</v>
      </c>
      <c r="AZ914" s="1" t="s">
        <v>74</v>
      </c>
      <c r="BA914" s="1" t="s">
        <v>74</v>
      </c>
      <c r="BB914" s="1">
        <v>4055.0</v>
      </c>
      <c r="BC914" s="1">
        <v>4062.0</v>
      </c>
      <c r="BD914" s="1" t="s">
        <v>74</v>
      </c>
      <c r="BE914" s="1" t="s">
        <v>8476</v>
      </c>
      <c r="BF914" s="2" t="str">
        <f>HYPERLINK("http://dx.doi.org/10.1002/pola.26207","http://dx.doi.org/10.1002/pola.26207")</f>
        <v>http://dx.doi.org/10.1002/pola.26207</v>
      </c>
      <c r="BG914" s="1" t="s">
        <v>74</v>
      </c>
      <c r="BH914" s="1" t="s">
        <v>74</v>
      </c>
      <c r="BI914" s="1" t="s">
        <v>74</v>
      </c>
      <c r="BJ914" s="1" t="s">
        <v>74</v>
      </c>
      <c r="BK914" s="1" t="s">
        <v>74</v>
      </c>
      <c r="BL914" s="1" t="s">
        <v>74</v>
      </c>
      <c r="BM914" s="1" t="s">
        <v>74</v>
      </c>
      <c r="BN914" s="1" t="s">
        <v>74</v>
      </c>
      <c r="BO914" s="1" t="s">
        <v>74</v>
      </c>
      <c r="BP914" s="1" t="s">
        <v>74</v>
      </c>
      <c r="BQ914" s="1" t="s">
        <v>74</v>
      </c>
      <c r="BR914" s="1" t="s">
        <v>74</v>
      </c>
      <c r="BS914" s="1" t="s">
        <v>8477</v>
      </c>
      <c r="BT914" s="1" t="str">
        <f>HYPERLINK("https%3A%2F%2Fwww.webofscience.com%2Fwos%2Fwoscc%2Ffull-record%2FWOS:000308093900016","View Full Record in Web of Science")</f>
        <v>View Full Record in Web of Science</v>
      </c>
    </row>
    <row r="915" ht="12.75" customHeight="1">
      <c r="A915" s="1" t="s">
        <v>72</v>
      </c>
      <c r="B915" s="1" t="s">
        <v>8478</v>
      </c>
      <c r="C915" s="1" t="s">
        <v>74</v>
      </c>
      <c r="D915" s="1" t="s">
        <v>74</v>
      </c>
      <c r="E915" s="1" t="s">
        <v>74</v>
      </c>
      <c r="F915" s="1" t="s">
        <v>8479</v>
      </c>
      <c r="G915" s="1" t="s">
        <v>74</v>
      </c>
      <c r="H915" s="1" t="s">
        <v>74</v>
      </c>
      <c r="I915" s="1" t="s">
        <v>8480</v>
      </c>
      <c r="J915" s="1" t="s">
        <v>8481</v>
      </c>
      <c r="K915" s="1" t="s">
        <v>74</v>
      </c>
      <c r="L915" s="1" t="s">
        <v>74</v>
      </c>
      <c r="M915" s="1" t="s">
        <v>74</v>
      </c>
      <c r="N915" s="1" t="s">
        <v>74</v>
      </c>
      <c r="O915" s="1" t="s">
        <v>74</v>
      </c>
      <c r="P915" s="1" t="s">
        <v>74</v>
      </c>
      <c r="Q915" s="1" t="s">
        <v>74</v>
      </c>
      <c r="R915" s="1" t="s">
        <v>74</v>
      </c>
      <c r="S915" s="1" t="s">
        <v>74</v>
      </c>
      <c r="T915" s="1" t="s">
        <v>74</v>
      </c>
      <c r="U915" s="1" t="s">
        <v>74</v>
      </c>
      <c r="V915" s="1" t="s">
        <v>8482</v>
      </c>
      <c r="W915" s="1" t="s">
        <v>74</v>
      </c>
      <c r="X915" s="1" t="s">
        <v>74</v>
      </c>
      <c r="Y915" s="1" t="s">
        <v>74</v>
      </c>
      <c r="Z915" s="1" t="s">
        <v>74</v>
      </c>
      <c r="AA915" s="1" t="s">
        <v>8483</v>
      </c>
      <c r="AB915" s="1" t="s">
        <v>8484</v>
      </c>
      <c r="AC915" s="1" t="s">
        <v>74</v>
      </c>
      <c r="AD915" s="1" t="s">
        <v>74</v>
      </c>
      <c r="AE915" s="1" t="s">
        <v>74</v>
      </c>
      <c r="AF915" s="1" t="s">
        <v>74</v>
      </c>
      <c r="AG915" s="1" t="s">
        <v>74</v>
      </c>
      <c r="AH915" s="1" t="s">
        <v>74</v>
      </c>
      <c r="AI915" s="1" t="s">
        <v>74</v>
      </c>
      <c r="AJ915" s="1" t="s">
        <v>74</v>
      </c>
      <c r="AK915" s="1" t="s">
        <v>74</v>
      </c>
      <c r="AL915" s="1" t="s">
        <v>74</v>
      </c>
      <c r="AM915" s="1" t="s">
        <v>74</v>
      </c>
      <c r="AN915" s="1" t="s">
        <v>74</v>
      </c>
      <c r="AO915" s="1" t="s">
        <v>8485</v>
      </c>
      <c r="AP915" s="1" t="s">
        <v>8486</v>
      </c>
      <c r="AQ915" s="1" t="s">
        <v>74</v>
      </c>
      <c r="AR915" s="1" t="s">
        <v>74</v>
      </c>
      <c r="AS915" s="1" t="s">
        <v>74</v>
      </c>
      <c r="AT915" s="1" t="s">
        <v>74</v>
      </c>
      <c r="AU915" s="1">
        <v>2012.0</v>
      </c>
      <c r="AV915" s="1">
        <v>89.0</v>
      </c>
      <c r="AW915" s="1">
        <v>6.0</v>
      </c>
      <c r="AX915" s="1" t="s">
        <v>74</v>
      </c>
      <c r="AY915" s="1" t="s">
        <v>74</v>
      </c>
      <c r="AZ915" s="1" t="s">
        <v>74</v>
      </c>
      <c r="BA915" s="1" t="s">
        <v>74</v>
      </c>
      <c r="BB915" s="1">
        <v>822.0</v>
      </c>
      <c r="BC915" s="1">
        <v>835.0</v>
      </c>
      <c r="BD915" s="1" t="s">
        <v>74</v>
      </c>
      <c r="BE915" s="1" t="s">
        <v>8487</v>
      </c>
      <c r="BF915" s="2" t="str">
        <f>HYPERLINK("http://dx.doi.org/10.1080/00207160.2012.663081","http://dx.doi.org/10.1080/00207160.2012.663081")</f>
        <v>http://dx.doi.org/10.1080/00207160.2012.663081</v>
      </c>
      <c r="BG915" s="1" t="s">
        <v>74</v>
      </c>
      <c r="BH915" s="1" t="s">
        <v>74</v>
      </c>
      <c r="BI915" s="1" t="s">
        <v>74</v>
      </c>
      <c r="BJ915" s="1" t="s">
        <v>74</v>
      </c>
      <c r="BK915" s="1" t="s">
        <v>74</v>
      </c>
      <c r="BL915" s="1" t="s">
        <v>74</v>
      </c>
      <c r="BM915" s="1" t="s">
        <v>74</v>
      </c>
      <c r="BN915" s="1" t="s">
        <v>74</v>
      </c>
      <c r="BO915" s="1" t="s">
        <v>74</v>
      </c>
      <c r="BP915" s="1" t="s">
        <v>74</v>
      </c>
      <c r="BQ915" s="1" t="s">
        <v>74</v>
      </c>
      <c r="BR915" s="1" t="s">
        <v>74</v>
      </c>
      <c r="BS915" s="1" t="s">
        <v>8488</v>
      </c>
      <c r="BT915" s="1" t="str">
        <f>HYPERLINK("https%3A%2F%2Fwww.webofscience.com%2Fwos%2Fwoscc%2Ffull-record%2FWOS:000301434500008","View Full Record in Web of Science")</f>
        <v>View Full Record in Web of Science</v>
      </c>
    </row>
    <row r="916" ht="12.75" customHeight="1">
      <c r="A916" s="1" t="s">
        <v>72</v>
      </c>
      <c r="B916" s="1" t="s">
        <v>8489</v>
      </c>
      <c r="C916" s="1" t="s">
        <v>74</v>
      </c>
      <c r="D916" s="1" t="s">
        <v>74</v>
      </c>
      <c r="E916" s="1" t="s">
        <v>74</v>
      </c>
      <c r="F916" s="1" t="s">
        <v>8490</v>
      </c>
      <c r="G916" s="1" t="s">
        <v>74</v>
      </c>
      <c r="H916" s="1" t="s">
        <v>74</v>
      </c>
      <c r="I916" s="1" t="s">
        <v>8491</v>
      </c>
      <c r="J916" s="1" t="s">
        <v>8492</v>
      </c>
      <c r="K916" s="1" t="s">
        <v>74</v>
      </c>
      <c r="L916" s="1" t="s">
        <v>74</v>
      </c>
      <c r="M916" s="1" t="s">
        <v>74</v>
      </c>
      <c r="N916" s="1" t="s">
        <v>74</v>
      </c>
      <c r="O916" s="1" t="s">
        <v>74</v>
      </c>
      <c r="P916" s="1" t="s">
        <v>74</v>
      </c>
      <c r="Q916" s="1" t="s">
        <v>74</v>
      </c>
      <c r="R916" s="1" t="s">
        <v>74</v>
      </c>
      <c r="S916" s="1" t="s">
        <v>74</v>
      </c>
      <c r="T916" s="1" t="s">
        <v>74</v>
      </c>
      <c r="U916" s="1" t="s">
        <v>74</v>
      </c>
      <c r="V916" s="1" t="s">
        <v>8493</v>
      </c>
      <c r="W916" s="1" t="s">
        <v>74</v>
      </c>
      <c r="X916" s="1" t="s">
        <v>74</v>
      </c>
      <c r="Y916" s="1" t="s">
        <v>74</v>
      </c>
      <c r="Z916" s="1" t="s">
        <v>74</v>
      </c>
      <c r="AA916" s="1" t="s">
        <v>5062</v>
      </c>
      <c r="AB916" s="1" t="s">
        <v>74</v>
      </c>
      <c r="AC916" s="1" t="s">
        <v>74</v>
      </c>
      <c r="AD916" s="1" t="s">
        <v>74</v>
      </c>
      <c r="AE916" s="1" t="s">
        <v>74</v>
      </c>
      <c r="AF916" s="1" t="s">
        <v>74</v>
      </c>
      <c r="AG916" s="1" t="s">
        <v>74</v>
      </c>
      <c r="AH916" s="1" t="s">
        <v>74</v>
      </c>
      <c r="AI916" s="1" t="s">
        <v>74</v>
      </c>
      <c r="AJ916" s="1" t="s">
        <v>74</v>
      </c>
      <c r="AK916" s="1" t="s">
        <v>74</v>
      </c>
      <c r="AL916" s="1" t="s">
        <v>74</v>
      </c>
      <c r="AM916" s="1" t="s">
        <v>74</v>
      </c>
      <c r="AN916" s="1" t="s">
        <v>74</v>
      </c>
      <c r="AO916" s="1" t="s">
        <v>8494</v>
      </c>
      <c r="AP916" s="1" t="s">
        <v>8495</v>
      </c>
      <c r="AQ916" s="1" t="s">
        <v>74</v>
      </c>
      <c r="AR916" s="1" t="s">
        <v>74</v>
      </c>
      <c r="AS916" s="1" t="s">
        <v>74</v>
      </c>
      <c r="AT916" s="1" t="s">
        <v>135</v>
      </c>
      <c r="AU916" s="1">
        <v>2010.0</v>
      </c>
      <c r="AV916" s="1">
        <v>17.0</v>
      </c>
      <c r="AW916" s="1">
        <v>4.0</v>
      </c>
      <c r="AX916" s="1" t="s">
        <v>74</v>
      </c>
      <c r="AY916" s="1" t="s">
        <v>74</v>
      </c>
      <c r="AZ916" s="1" t="s">
        <v>74</v>
      </c>
      <c r="BA916" s="1" t="s">
        <v>74</v>
      </c>
      <c r="BB916" s="1">
        <v>639.0</v>
      </c>
      <c r="BC916" s="1">
        <v>653.0</v>
      </c>
      <c r="BD916" s="1" t="s">
        <v>74</v>
      </c>
      <c r="BE916" s="1" t="s">
        <v>8496</v>
      </c>
      <c r="BF916" s="2" t="str">
        <f>HYPERLINK("http://dx.doi.org/10.1002/nla.654","http://dx.doi.org/10.1002/nla.654")</f>
        <v>http://dx.doi.org/10.1002/nla.654</v>
      </c>
      <c r="BG916" s="1" t="s">
        <v>74</v>
      </c>
      <c r="BH916" s="1" t="s">
        <v>74</v>
      </c>
      <c r="BI916" s="1" t="s">
        <v>74</v>
      </c>
      <c r="BJ916" s="1" t="s">
        <v>74</v>
      </c>
      <c r="BK916" s="1" t="s">
        <v>74</v>
      </c>
      <c r="BL916" s="1" t="s">
        <v>74</v>
      </c>
      <c r="BM916" s="1" t="s">
        <v>74</v>
      </c>
      <c r="BN916" s="1" t="s">
        <v>74</v>
      </c>
      <c r="BO916" s="1" t="s">
        <v>74</v>
      </c>
      <c r="BP916" s="1" t="s">
        <v>74</v>
      </c>
      <c r="BQ916" s="1" t="s">
        <v>74</v>
      </c>
      <c r="BR916" s="1" t="s">
        <v>74</v>
      </c>
      <c r="BS916" s="1" t="s">
        <v>8497</v>
      </c>
      <c r="BT916" s="1" t="str">
        <f>HYPERLINK("https%3A%2F%2Fwww.webofscience.com%2Fwos%2Fwoscc%2Ffull-record%2FWOS:000280453900003","View Full Record in Web of Science")</f>
        <v>View Full Record in Web of Science</v>
      </c>
    </row>
    <row r="917" ht="12.75" customHeight="1">
      <c r="A917" s="1" t="s">
        <v>72</v>
      </c>
      <c r="B917" s="1" t="s">
        <v>8498</v>
      </c>
      <c r="C917" s="1" t="s">
        <v>74</v>
      </c>
      <c r="D917" s="1" t="s">
        <v>74</v>
      </c>
      <c r="E917" s="1" t="s">
        <v>74</v>
      </c>
      <c r="F917" s="1" t="s">
        <v>8499</v>
      </c>
      <c r="G917" s="1" t="s">
        <v>74</v>
      </c>
      <c r="H917" s="1" t="s">
        <v>74</v>
      </c>
      <c r="I917" s="1" t="s">
        <v>8500</v>
      </c>
      <c r="J917" s="1" t="s">
        <v>8501</v>
      </c>
      <c r="K917" s="1" t="s">
        <v>74</v>
      </c>
      <c r="L917" s="1" t="s">
        <v>74</v>
      </c>
      <c r="M917" s="1" t="s">
        <v>74</v>
      </c>
      <c r="N917" s="1" t="s">
        <v>74</v>
      </c>
      <c r="O917" s="1" t="s">
        <v>74</v>
      </c>
      <c r="P917" s="1" t="s">
        <v>74</v>
      </c>
      <c r="Q917" s="1" t="s">
        <v>74</v>
      </c>
      <c r="R917" s="1" t="s">
        <v>74</v>
      </c>
      <c r="S917" s="1" t="s">
        <v>74</v>
      </c>
      <c r="T917" s="1" t="s">
        <v>74</v>
      </c>
      <c r="U917" s="1" t="s">
        <v>74</v>
      </c>
      <c r="V917" s="1" t="s">
        <v>8502</v>
      </c>
      <c r="W917" s="1" t="s">
        <v>74</v>
      </c>
      <c r="X917" s="1" t="s">
        <v>74</v>
      </c>
      <c r="Y917" s="1" t="s">
        <v>74</v>
      </c>
      <c r="Z917" s="1" t="s">
        <v>74</v>
      </c>
      <c r="AA917" s="1" t="s">
        <v>74</v>
      </c>
      <c r="AB917" s="1" t="s">
        <v>8503</v>
      </c>
      <c r="AC917" s="1" t="s">
        <v>74</v>
      </c>
      <c r="AD917" s="1" t="s">
        <v>74</v>
      </c>
      <c r="AE917" s="1" t="s">
        <v>74</v>
      </c>
      <c r="AF917" s="1" t="s">
        <v>74</v>
      </c>
      <c r="AG917" s="1" t="s">
        <v>74</v>
      </c>
      <c r="AH917" s="1" t="s">
        <v>74</v>
      </c>
      <c r="AI917" s="1" t="s">
        <v>74</v>
      </c>
      <c r="AJ917" s="1" t="s">
        <v>74</v>
      </c>
      <c r="AK917" s="1" t="s">
        <v>74</v>
      </c>
      <c r="AL917" s="1" t="s">
        <v>74</v>
      </c>
      <c r="AM917" s="1" t="s">
        <v>74</v>
      </c>
      <c r="AN917" s="1" t="s">
        <v>74</v>
      </c>
      <c r="AO917" s="1" t="s">
        <v>8504</v>
      </c>
      <c r="AP917" s="1" t="s">
        <v>8505</v>
      </c>
      <c r="AQ917" s="1" t="s">
        <v>74</v>
      </c>
      <c r="AR917" s="1" t="s">
        <v>74</v>
      </c>
      <c r="AS917" s="1" t="s">
        <v>74</v>
      </c>
      <c r="AT917" s="1" t="s">
        <v>74</v>
      </c>
      <c r="AU917" s="1">
        <v>2010.0</v>
      </c>
      <c r="AV917" s="1">
        <v>57.0</v>
      </c>
      <c r="AW917" s="1">
        <v>12.0</v>
      </c>
      <c r="AX917" s="1" t="s">
        <v>74</v>
      </c>
      <c r="AY917" s="1" t="s">
        <v>74</v>
      </c>
      <c r="AZ917" s="1" t="s">
        <v>74</v>
      </c>
      <c r="BA917" s="1" t="s">
        <v>74</v>
      </c>
      <c r="BB917" s="1">
        <v>936.0</v>
      </c>
      <c r="BC917" s="1">
        <v>953.0</v>
      </c>
      <c r="BD917" s="1" t="s">
        <v>74</v>
      </c>
      <c r="BE917" s="1" t="s">
        <v>8506</v>
      </c>
      <c r="BF917" s="2" t="str">
        <f>HYPERLINK("http://dx.doi.org/10.1080/10407782.2010.490171","http://dx.doi.org/10.1080/10407782.2010.490171")</f>
        <v>http://dx.doi.org/10.1080/10407782.2010.490171</v>
      </c>
      <c r="BG917" s="1" t="s">
        <v>74</v>
      </c>
      <c r="BH917" s="1" t="s">
        <v>74</v>
      </c>
      <c r="BI917" s="1" t="s">
        <v>74</v>
      </c>
      <c r="BJ917" s="1" t="s">
        <v>74</v>
      </c>
      <c r="BK917" s="1" t="s">
        <v>74</v>
      </c>
      <c r="BL917" s="1" t="s">
        <v>74</v>
      </c>
      <c r="BM917" s="1" t="s">
        <v>74</v>
      </c>
      <c r="BN917" s="1" t="s">
        <v>74</v>
      </c>
      <c r="BO917" s="1" t="s">
        <v>74</v>
      </c>
      <c r="BP917" s="1" t="s">
        <v>74</v>
      </c>
      <c r="BQ917" s="1" t="s">
        <v>74</v>
      </c>
      <c r="BR917" s="1" t="s">
        <v>74</v>
      </c>
      <c r="BS917" s="1" t="s">
        <v>8507</v>
      </c>
      <c r="BT917" s="1" t="str">
        <f>HYPERLINK("https%3A%2F%2Fwww.webofscience.com%2Fwos%2Fwoscc%2Ffull-record%2FWOS:000278669900003","View Full Record in Web of Science")</f>
        <v>View Full Record in Web of Science</v>
      </c>
    </row>
    <row r="918" ht="12.75" customHeight="1">
      <c r="A918" s="1" t="s">
        <v>72</v>
      </c>
      <c r="B918" s="1" t="s">
        <v>8508</v>
      </c>
      <c r="C918" s="1" t="s">
        <v>74</v>
      </c>
      <c r="D918" s="1" t="s">
        <v>74</v>
      </c>
      <c r="E918" s="1" t="s">
        <v>74</v>
      </c>
      <c r="F918" s="1" t="s">
        <v>8509</v>
      </c>
      <c r="G918" s="1" t="s">
        <v>74</v>
      </c>
      <c r="H918" s="1" t="s">
        <v>74</v>
      </c>
      <c r="I918" s="1" t="s">
        <v>8510</v>
      </c>
      <c r="J918" s="1" t="s">
        <v>8511</v>
      </c>
      <c r="K918" s="1" t="s">
        <v>74</v>
      </c>
      <c r="L918" s="1" t="s">
        <v>74</v>
      </c>
      <c r="M918" s="1" t="s">
        <v>74</v>
      </c>
      <c r="N918" s="1" t="s">
        <v>74</v>
      </c>
      <c r="O918" s="1" t="s">
        <v>74</v>
      </c>
      <c r="P918" s="1" t="s">
        <v>74</v>
      </c>
      <c r="Q918" s="1" t="s">
        <v>74</v>
      </c>
      <c r="R918" s="1" t="s">
        <v>74</v>
      </c>
      <c r="S918" s="1" t="s">
        <v>74</v>
      </c>
      <c r="T918" s="1" t="s">
        <v>74</v>
      </c>
      <c r="U918" s="1" t="s">
        <v>74</v>
      </c>
      <c r="V918" s="1" t="s">
        <v>8512</v>
      </c>
      <c r="W918" s="1" t="s">
        <v>74</v>
      </c>
      <c r="X918" s="1" t="s">
        <v>74</v>
      </c>
      <c r="Y918" s="1" t="s">
        <v>74</v>
      </c>
      <c r="Z918" s="1" t="s">
        <v>74</v>
      </c>
      <c r="AA918" s="1" t="s">
        <v>6820</v>
      </c>
      <c r="AB918" s="1" t="s">
        <v>8513</v>
      </c>
      <c r="AC918" s="1" t="s">
        <v>74</v>
      </c>
      <c r="AD918" s="1" t="s">
        <v>74</v>
      </c>
      <c r="AE918" s="1" t="s">
        <v>74</v>
      </c>
      <c r="AF918" s="1" t="s">
        <v>74</v>
      </c>
      <c r="AG918" s="1" t="s">
        <v>74</v>
      </c>
      <c r="AH918" s="1" t="s">
        <v>74</v>
      </c>
      <c r="AI918" s="1" t="s">
        <v>74</v>
      </c>
      <c r="AJ918" s="1" t="s">
        <v>74</v>
      </c>
      <c r="AK918" s="1" t="s">
        <v>74</v>
      </c>
      <c r="AL918" s="1" t="s">
        <v>74</v>
      </c>
      <c r="AM918" s="1" t="s">
        <v>74</v>
      </c>
      <c r="AN918" s="1" t="s">
        <v>74</v>
      </c>
      <c r="AO918" s="1" t="s">
        <v>8514</v>
      </c>
      <c r="AP918" s="1" t="s">
        <v>8515</v>
      </c>
      <c r="AQ918" s="1" t="s">
        <v>74</v>
      </c>
      <c r="AR918" s="1" t="s">
        <v>74</v>
      </c>
      <c r="AS918" s="1" t="s">
        <v>74</v>
      </c>
      <c r="AT918" s="1" t="s">
        <v>110</v>
      </c>
      <c r="AU918" s="1">
        <v>2009.0</v>
      </c>
      <c r="AV918" s="1">
        <v>106.0</v>
      </c>
      <c r="AW918" s="1">
        <v>1.0</v>
      </c>
      <c r="AX918" s="1" t="s">
        <v>74</v>
      </c>
      <c r="AY918" s="1" t="s">
        <v>74</v>
      </c>
      <c r="AZ918" s="1" t="s">
        <v>74</v>
      </c>
      <c r="BA918" s="1" t="s">
        <v>74</v>
      </c>
      <c r="BB918" s="1">
        <v>207.0</v>
      </c>
      <c r="BC918" s="1">
        <v>212.0</v>
      </c>
      <c r="BD918" s="1" t="s">
        <v>74</v>
      </c>
      <c r="BE918" s="1" t="s">
        <v>8516</v>
      </c>
      <c r="BF918" s="2" t="str">
        <f>HYPERLINK("http://dx.doi.org/10.1007/s00436-009-1651-2","http://dx.doi.org/10.1007/s00436-009-1651-2")</f>
        <v>http://dx.doi.org/10.1007/s00436-009-1651-2</v>
      </c>
      <c r="BG918" s="1" t="s">
        <v>74</v>
      </c>
      <c r="BH918" s="1" t="s">
        <v>74</v>
      </c>
      <c r="BI918" s="1" t="s">
        <v>74</v>
      </c>
      <c r="BJ918" s="1" t="s">
        <v>74</v>
      </c>
      <c r="BK918" s="1" t="s">
        <v>74</v>
      </c>
      <c r="BL918" s="1" t="s">
        <v>74</v>
      </c>
      <c r="BM918" s="1" t="s">
        <v>74</v>
      </c>
      <c r="BN918" s="1">
        <v>1.9838732E7</v>
      </c>
      <c r="BO918" s="1" t="s">
        <v>74</v>
      </c>
      <c r="BP918" s="1" t="s">
        <v>74</v>
      </c>
      <c r="BQ918" s="1" t="s">
        <v>74</v>
      </c>
      <c r="BR918" s="1" t="s">
        <v>74</v>
      </c>
      <c r="BS918" s="1" t="s">
        <v>8517</v>
      </c>
      <c r="BT918" s="1" t="str">
        <f>HYPERLINK("https%3A%2F%2Fwww.webofscience.com%2Fwos%2Fwoscc%2Ffull-record%2FWOS:000272046200029","View Full Record in Web of Science")</f>
        <v>View Full Record in Web of Science</v>
      </c>
    </row>
    <row r="919" ht="12.75" customHeight="1">
      <c r="A919" s="1" t="s">
        <v>72</v>
      </c>
      <c r="B919" s="1" t="s">
        <v>8518</v>
      </c>
      <c r="C919" s="1" t="s">
        <v>74</v>
      </c>
      <c r="D919" s="1" t="s">
        <v>74</v>
      </c>
      <c r="E919" s="1" t="s">
        <v>74</v>
      </c>
      <c r="F919" s="1" t="s">
        <v>8519</v>
      </c>
      <c r="G919" s="1" t="s">
        <v>74</v>
      </c>
      <c r="H919" s="1" t="s">
        <v>74</v>
      </c>
      <c r="I919" s="1" t="s">
        <v>8520</v>
      </c>
      <c r="J919" s="1" t="s">
        <v>8521</v>
      </c>
      <c r="K919" s="1" t="s">
        <v>74</v>
      </c>
      <c r="L919" s="1" t="s">
        <v>74</v>
      </c>
      <c r="M919" s="1" t="s">
        <v>74</v>
      </c>
      <c r="N919" s="1" t="s">
        <v>74</v>
      </c>
      <c r="O919" s="1" t="s">
        <v>74</v>
      </c>
      <c r="P919" s="1" t="s">
        <v>74</v>
      </c>
      <c r="Q919" s="1" t="s">
        <v>74</v>
      </c>
      <c r="R919" s="1" t="s">
        <v>74</v>
      </c>
      <c r="S919" s="1" t="s">
        <v>74</v>
      </c>
      <c r="T919" s="1" t="s">
        <v>74</v>
      </c>
      <c r="U919" s="1" t="s">
        <v>74</v>
      </c>
      <c r="V919" s="1" t="s">
        <v>8522</v>
      </c>
      <c r="W919" s="1" t="s">
        <v>74</v>
      </c>
      <c r="X919" s="1" t="s">
        <v>74</v>
      </c>
      <c r="Y919" s="1" t="s">
        <v>74</v>
      </c>
      <c r="Z919" s="1" t="s">
        <v>74</v>
      </c>
      <c r="AA919" s="1" t="s">
        <v>8523</v>
      </c>
      <c r="AB919" s="1" t="s">
        <v>5030</v>
      </c>
      <c r="AC919" s="1" t="s">
        <v>74</v>
      </c>
      <c r="AD919" s="1" t="s">
        <v>74</v>
      </c>
      <c r="AE919" s="1" t="s">
        <v>74</v>
      </c>
      <c r="AF919" s="1" t="s">
        <v>74</v>
      </c>
      <c r="AG919" s="1" t="s">
        <v>74</v>
      </c>
      <c r="AH919" s="1" t="s">
        <v>74</v>
      </c>
      <c r="AI919" s="1" t="s">
        <v>74</v>
      </c>
      <c r="AJ919" s="1" t="s">
        <v>74</v>
      </c>
      <c r="AK919" s="1" t="s">
        <v>74</v>
      </c>
      <c r="AL919" s="1" t="s">
        <v>74</v>
      </c>
      <c r="AM919" s="1" t="s">
        <v>74</v>
      </c>
      <c r="AN919" s="1" t="s">
        <v>74</v>
      </c>
      <c r="AO919" s="1" t="s">
        <v>8524</v>
      </c>
      <c r="AP919" s="1" t="s">
        <v>8525</v>
      </c>
      <c r="AQ919" s="1" t="s">
        <v>74</v>
      </c>
      <c r="AR919" s="1" t="s">
        <v>74</v>
      </c>
      <c r="AS919" s="1" t="s">
        <v>74</v>
      </c>
      <c r="AT919" s="1" t="s">
        <v>8526</v>
      </c>
      <c r="AU919" s="1">
        <v>2009.0</v>
      </c>
      <c r="AV919" s="1">
        <v>42.0</v>
      </c>
      <c r="AW919" s="1">
        <v>18.0</v>
      </c>
      <c r="AX919" s="1" t="s">
        <v>74</v>
      </c>
      <c r="AY919" s="1" t="s">
        <v>74</v>
      </c>
      <c r="AZ919" s="1" t="s">
        <v>74</v>
      </c>
      <c r="BA919" s="1" t="s">
        <v>74</v>
      </c>
      <c r="BB919" s="1" t="s">
        <v>74</v>
      </c>
      <c r="BC919" s="1" t="s">
        <v>74</v>
      </c>
      <c r="BD919" s="1">
        <v>182002.0</v>
      </c>
      <c r="BE919" s="1" t="s">
        <v>8527</v>
      </c>
      <c r="BF919" s="2" t="str">
        <f>HYPERLINK("http://dx.doi.org/10.1088/1751-8113/42/18/182002","http://dx.doi.org/10.1088/1751-8113/42/18/182002")</f>
        <v>http://dx.doi.org/10.1088/1751-8113/42/18/182002</v>
      </c>
      <c r="BG919" s="1" t="s">
        <v>74</v>
      </c>
      <c r="BH919" s="1" t="s">
        <v>74</v>
      </c>
      <c r="BI919" s="1" t="s">
        <v>74</v>
      </c>
      <c r="BJ919" s="1" t="s">
        <v>74</v>
      </c>
      <c r="BK919" s="1" t="s">
        <v>74</v>
      </c>
      <c r="BL919" s="1" t="s">
        <v>74</v>
      </c>
      <c r="BM919" s="1" t="s">
        <v>74</v>
      </c>
      <c r="BN919" s="1" t="s">
        <v>74</v>
      </c>
      <c r="BO919" s="1" t="s">
        <v>74</v>
      </c>
      <c r="BP919" s="1" t="s">
        <v>74</v>
      </c>
      <c r="BQ919" s="1" t="s">
        <v>74</v>
      </c>
      <c r="BR919" s="1" t="s">
        <v>74</v>
      </c>
      <c r="BS919" s="1" t="s">
        <v>8528</v>
      </c>
      <c r="BT919" s="1" t="str">
        <f>HYPERLINK("https%3A%2F%2Fwww.webofscience.com%2Fwos%2Fwoscc%2Ffull-record%2FWOS:000265258200002","View Full Record in Web of Science")</f>
        <v>View Full Record in Web of Science</v>
      </c>
    </row>
    <row r="920" ht="12.75" customHeight="1">
      <c r="A920" s="1" t="s">
        <v>72</v>
      </c>
      <c r="B920" s="1" t="s">
        <v>8529</v>
      </c>
      <c r="C920" s="1" t="s">
        <v>74</v>
      </c>
      <c r="D920" s="1" t="s">
        <v>74</v>
      </c>
      <c r="E920" s="1" t="s">
        <v>74</v>
      </c>
      <c r="F920" s="1" t="s">
        <v>8530</v>
      </c>
      <c r="G920" s="1" t="s">
        <v>74</v>
      </c>
      <c r="H920" s="1" t="s">
        <v>74</v>
      </c>
      <c r="I920" s="1" t="s">
        <v>8531</v>
      </c>
      <c r="J920" s="1" t="s">
        <v>3797</v>
      </c>
      <c r="K920" s="1" t="s">
        <v>74</v>
      </c>
      <c r="L920" s="1" t="s">
        <v>74</v>
      </c>
      <c r="M920" s="1" t="s">
        <v>74</v>
      </c>
      <c r="N920" s="1" t="s">
        <v>74</v>
      </c>
      <c r="O920" s="1" t="s">
        <v>74</v>
      </c>
      <c r="P920" s="1" t="s">
        <v>74</v>
      </c>
      <c r="Q920" s="1" t="s">
        <v>74</v>
      </c>
      <c r="R920" s="1" t="s">
        <v>74</v>
      </c>
      <c r="S920" s="1" t="s">
        <v>74</v>
      </c>
      <c r="T920" s="1" t="s">
        <v>74</v>
      </c>
      <c r="U920" s="1" t="s">
        <v>74</v>
      </c>
      <c r="V920" s="1" t="s">
        <v>8532</v>
      </c>
      <c r="W920" s="1" t="s">
        <v>74</v>
      </c>
      <c r="X920" s="1" t="s">
        <v>74</v>
      </c>
      <c r="Y920" s="1" t="s">
        <v>74</v>
      </c>
      <c r="Z920" s="1" t="s">
        <v>74</v>
      </c>
      <c r="AA920" s="1" t="s">
        <v>8533</v>
      </c>
      <c r="AB920" s="1" t="s">
        <v>8534</v>
      </c>
      <c r="AC920" s="1" t="s">
        <v>74</v>
      </c>
      <c r="AD920" s="1" t="s">
        <v>74</v>
      </c>
      <c r="AE920" s="1" t="s">
        <v>74</v>
      </c>
      <c r="AF920" s="1" t="s">
        <v>74</v>
      </c>
      <c r="AG920" s="1" t="s">
        <v>74</v>
      </c>
      <c r="AH920" s="1" t="s">
        <v>74</v>
      </c>
      <c r="AI920" s="1" t="s">
        <v>74</v>
      </c>
      <c r="AJ920" s="1" t="s">
        <v>74</v>
      </c>
      <c r="AK920" s="1" t="s">
        <v>74</v>
      </c>
      <c r="AL920" s="1" t="s">
        <v>74</v>
      </c>
      <c r="AM920" s="1" t="s">
        <v>74</v>
      </c>
      <c r="AN920" s="1" t="s">
        <v>74</v>
      </c>
      <c r="AO920" s="1" t="s">
        <v>3801</v>
      </c>
      <c r="AP920" s="1" t="s">
        <v>8535</v>
      </c>
      <c r="AQ920" s="1" t="s">
        <v>74</v>
      </c>
      <c r="AR920" s="1" t="s">
        <v>74</v>
      </c>
      <c r="AS920" s="1" t="s">
        <v>74</v>
      </c>
      <c r="AT920" s="1" t="s">
        <v>74</v>
      </c>
      <c r="AU920" s="1">
        <v>2009.0</v>
      </c>
      <c r="AV920" s="1">
        <v>39.0</v>
      </c>
      <c r="AW920" s="1">
        <v>5.0</v>
      </c>
      <c r="AX920" s="1" t="s">
        <v>74</v>
      </c>
      <c r="AY920" s="1" t="s">
        <v>74</v>
      </c>
      <c r="AZ920" s="1" t="s">
        <v>74</v>
      </c>
      <c r="BA920" s="1" t="s">
        <v>74</v>
      </c>
      <c r="BB920" s="1">
        <v>927.0</v>
      </c>
      <c r="BC920" s="1">
        <v>939.0</v>
      </c>
      <c r="BD920" s="1" t="s">
        <v>8536</v>
      </c>
      <c r="BE920" s="1" t="s">
        <v>8537</v>
      </c>
      <c r="BF920" s="2" t="str">
        <f>HYPERLINK("http://dx.doi.org/10.1080/00397910802440348","http://dx.doi.org/10.1080/00397910802440348")</f>
        <v>http://dx.doi.org/10.1080/00397910802440348</v>
      </c>
      <c r="BG920" s="1" t="s">
        <v>74</v>
      </c>
      <c r="BH920" s="1" t="s">
        <v>74</v>
      </c>
      <c r="BI920" s="1" t="s">
        <v>74</v>
      </c>
      <c r="BJ920" s="1" t="s">
        <v>74</v>
      </c>
      <c r="BK920" s="1" t="s">
        <v>74</v>
      </c>
      <c r="BL920" s="1" t="s">
        <v>74</v>
      </c>
      <c r="BM920" s="1" t="s">
        <v>74</v>
      </c>
      <c r="BN920" s="1" t="s">
        <v>74</v>
      </c>
      <c r="BO920" s="1" t="s">
        <v>74</v>
      </c>
      <c r="BP920" s="1" t="s">
        <v>74</v>
      </c>
      <c r="BQ920" s="1" t="s">
        <v>74</v>
      </c>
      <c r="BR920" s="1" t="s">
        <v>74</v>
      </c>
      <c r="BS920" s="1" t="s">
        <v>8538</v>
      </c>
      <c r="BT920" s="1" t="str">
        <f>HYPERLINK("https%3A%2F%2Fwww.webofscience.com%2Fwos%2Fwoscc%2Ffull-record%2FWOS:000262908800018","View Full Record in Web of Science")</f>
        <v>View Full Record in Web of Science</v>
      </c>
    </row>
    <row r="921" ht="12.75" customHeight="1">
      <c r="A921" s="1" t="s">
        <v>72</v>
      </c>
      <c r="B921" s="1" t="s">
        <v>8539</v>
      </c>
      <c r="C921" s="1" t="s">
        <v>74</v>
      </c>
      <c r="D921" s="1" t="s">
        <v>74</v>
      </c>
      <c r="E921" s="1" t="s">
        <v>74</v>
      </c>
      <c r="F921" s="1" t="s">
        <v>8540</v>
      </c>
      <c r="G921" s="1" t="s">
        <v>74</v>
      </c>
      <c r="H921" s="1" t="s">
        <v>74</v>
      </c>
      <c r="I921" s="1" t="s">
        <v>8541</v>
      </c>
      <c r="J921" s="1" t="s">
        <v>3394</v>
      </c>
      <c r="K921" s="1" t="s">
        <v>74</v>
      </c>
      <c r="L921" s="1" t="s">
        <v>74</v>
      </c>
      <c r="M921" s="1" t="s">
        <v>74</v>
      </c>
      <c r="N921" s="1" t="s">
        <v>74</v>
      </c>
      <c r="O921" s="1" t="s">
        <v>74</v>
      </c>
      <c r="P921" s="1" t="s">
        <v>74</v>
      </c>
      <c r="Q921" s="1" t="s">
        <v>74</v>
      </c>
      <c r="R921" s="1" t="s">
        <v>74</v>
      </c>
      <c r="S921" s="1" t="s">
        <v>74</v>
      </c>
      <c r="T921" s="1" t="s">
        <v>74</v>
      </c>
      <c r="U921" s="1" t="s">
        <v>74</v>
      </c>
      <c r="V921" s="1" t="s">
        <v>8542</v>
      </c>
      <c r="W921" s="1" t="s">
        <v>74</v>
      </c>
      <c r="X921" s="1" t="s">
        <v>74</v>
      </c>
      <c r="Y921" s="1" t="s">
        <v>74</v>
      </c>
      <c r="Z921" s="1" t="s">
        <v>74</v>
      </c>
      <c r="AA921" s="1" t="s">
        <v>8543</v>
      </c>
      <c r="AB921" s="1" t="s">
        <v>8544</v>
      </c>
      <c r="AC921" s="1" t="s">
        <v>74</v>
      </c>
      <c r="AD921" s="1" t="s">
        <v>74</v>
      </c>
      <c r="AE921" s="1" t="s">
        <v>74</v>
      </c>
      <c r="AF921" s="1" t="s">
        <v>74</v>
      </c>
      <c r="AG921" s="1" t="s">
        <v>74</v>
      </c>
      <c r="AH921" s="1" t="s">
        <v>74</v>
      </c>
      <c r="AI921" s="1" t="s">
        <v>74</v>
      </c>
      <c r="AJ921" s="1" t="s">
        <v>74</v>
      </c>
      <c r="AK921" s="1" t="s">
        <v>74</v>
      </c>
      <c r="AL921" s="1" t="s">
        <v>74</v>
      </c>
      <c r="AM921" s="1" t="s">
        <v>74</v>
      </c>
      <c r="AN921" s="1" t="s">
        <v>74</v>
      </c>
      <c r="AO921" s="1" t="s">
        <v>4327</v>
      </c>
      <c r="AP921" s="1" t="s">
        <v>4328</v>
      </c>
      <c r="AQ921" s="1" t="s">
        <v>74</v>
      </c>
      <c r="AR921" s="1" t="s">
        <v>74</v>
      </c>
      <c r="AS921" s="1" t="s">
        <v>74</v>
      </c>
      <c r="AT921" s="1" t="s">
        <v>459</v>
      </c>
      <c r="AU921" s="1">
        <v>2008.0</v>
      </c>
      <c r="AV921" s="1">
        <v>78.0</v>
      </c>
      <c r="AW921" s="1">
        <v>6.0</v>
      </c>
      <c r="AX921" s="1" t="s">
        <v>74</v>
      </c>
      <c r="AY921" s="1" t="s">
        <v>74</v>
      </c>
      <c r="AZ921" s="1" t="s">
        <v>74</v>
      </c>
      <c r="BA921" s="1" t="s">
        <v>74</v>
      </c>
      <c r="BB921" s="1" t="s">
        <v>74</v>
      </c>
      <c r="BC921" s="1" t="s">
        <v>74</v>
      </c>
      <c r="BD921" s="1">
        <v>63013.0</v>
      </c>
      <c r="BE921" s="1" t="s">
        <v>8545</v>
      </c>
      <c r="BF921" s="2" t="str">
        <f>HYPERLINK("http://dx.doi.org/10.1103/PhysRevD.78.063013","http://dx.doi.org/10.1103/PhysRevD.78.063013")</f>
        <v>http://dx.doi.org/10.1103/PhysRevD.78.063013</v>
      </c>
      <c r="BG921" s="1" t="s">
        <v>74</v>
      </c>
      <c r="BH921" s="1" t="s">
        <v>74</v>
      </c>
      <c r="BI921" s="1" t="s">
        <v>74</v>
      </c>
      <c r="BJ921" s="1" t="s">
        <v>74</v>
      </c>
      <c r="BK921" s="1" t="s">
        <v>74</v>
      </c>
      <c r="BL921" s="1" t="s">
        <v>74</v>
      </c>
      <c r="BM921" s="1" t="s">
        <v>74</v>
      </c>
      <c r="BN921" s="1" t="s">
        <v>74</v>
      </c>
      <c r="BO921" s="1" t="s">
        <v>74</v>
      </c>
      <c r="BP921" s="1" t="s">
        <v>74</v>
      </c>
      <c r="BQ921" s="1" t="s">
        <v>74</v>
      </c>
      <c r="BR921" s="1" t="s">
        <v>74</v>
      </c>
      <c r="BS921" s="1" t="s">
        <v>8546</v>
      </c>
      <c r="BT921" s="1" t="str">
        <f>HYPERLINK("https%3A%2F%2Fwww.webofscience.com%2Fwos%2Fwoscc%2Ffull-record%2FWOS:000259692800023","View Full Record in Web of Science")</f>
        <v>View Full Record in Web of Science</v>
      </c>
    </row>
    <row r="922" ht="12.75" customHeight="1">
      <c r="A922" s="1" t="s">
        <v>72</v>
      </c>
      <c r="B922" s="1" t="s">
        <v>8547</v>
      </c>
      <c r="C922" s="1" t="s">
        <v>74</v>
      </c>
      <c r="D922" s="1" t="s">
        <v>74</v>
      </c>
      <c r="E922" s="1" t="s">
        <v>74</v>
      </c>
      <c r="F922" s="1" t="s">
        <v>8548</v>
      </c>
      <c r="G922" s="1" t="s">
        <v>74</v>
      </c>
      <c r="H922" s="1" t="s">
        <v>74</v>
      </c>
      <c r="I922" s="1" t="s">
        <v>8549</v>
      </c>
      <c r="J922" s="1" t="s">
        <v>8550</v>
      </c>
      <c r="K922" s="1" t="s">
        <v>74</v>
      </c>
      <c r="L922" s="1" t="s">
        <v>74</v>
      </c>
      <c r="M922" s="1" t="s">
        <v>74</v>
      </c>
      <c r="N922" s="1" t="s">
        <v>74</v>
      </c>
      <c r="O922" s="1" t="s">
        <v>74</v>
      </c>
      <c r="P922" s="1" t="s">
        <v>74</v>
      </c>
      <c r="Q922" s="1" t="s">
        <v>74</v>
      </c>
      <c r="R922" s="1" t="s">
        <v>74</v>
      </c>
      <c r="S922" s="1" t="s">
        <v>74</v>
      </c>
      <c r="T922" s="1" t="s">
        <v>74</v>
      </c>
      <c r="U922" s="1" t="s">
        <v>74</v>
      </c>
      <c r="V922" s="1" t="s">
        <v>74</v>
      </c>
      <c r="W922" s="1" t="s">
        <v>74</v>
      </c>
      <c r="X922" s="1" t="s">
        <v>74</v>
      </c>
      <c r="Y922" s="1" t="s">
        <v>74</v>
      </c>
      <c r="Z922" s="1" t="s">
        <v>74</v>
      </c>
      <c r="AA922" s="1" t="s">
        <v>6545</v>
      </c>
      <c r="AB922" s="1" t="s">
        <v>8551</v>
      </c>
      <c r="AC922" s="1" t="s">
        <v>74</v>
      </c>
      <c r="AD922" s="1" t="s">
        <v>74</v>
      </c>
      <c r="AE922" s="1" t="s">
        <v>74</v>
      </c>
      <c r="AF922" s="1" t="s">
        <v>74</v>
      </c>
      <c r="AG922" s="1" t="s">
        <v>74</v>
      </c>
      <c r="AH922" s="1" t="s">
        <v>74</v>
      </c>
      <c r="AI922" s="1" t="s">
        <v>74</v>
      </c>
      <c r="AJ922" s="1" t="s">
        <v>74</v>
      </c>
      <c r="AK922" s="1" t="s">
        <v>74</v>
      </c>
      <c r="AL922" s="1" t="s">
        <v>74</v>
      </c>
      <c r="AM922" s="1" t="s">
        <v>74</v>
      </c>
      <c r="AN922" s="1" t="s">
        <v>74</v>
      </c>
      <c r="AO922" s="1" t="s">
        <v>8552</v>
      </c>
      <c r="AP922" s="1" t="s">
        <v>74</v>
      </c>
      <c r="AQ922" s="1" t="s">
        <v>74</v>
      </c>
      <c r="AR922" s="1" t="s">
        <v>74</v>
      </c>
      <c r="AS922" s="1" t="s">
        <v>74</v>
      </c>
      <c r="AT922" s="1" t="s">
        <v>8553</v>
      </c>
      <c r="AU922" s="1">
        <v>2008.0</v>
      </c>
      <c r="AV922" s="1">
        <v>43.0</v>
      </c>
      <c r="AW922" s="1" t="s">
        <v>2320</v>
      </c>
      <c r="AX922" s="1" t="s">
        <v>74</v>
      </c>
      <c r="AY922" s="1" t="s">
        <v>74</v>
      </c>
      <c r="AZ922" s="1" t="s">
        <v>74</v>
      </c>
      <c r="BA922" s="1" t="s">
        <v>74</v>
      </c>
      <c r="BB922" s="1">
        <v>138.0</v>
      </c>
      <c r="BC922" s="1">
        <v>138.0</v>
      </c>
      <c r="BD922" s="1" t="s">
        <v>74</v>
      </c>
      <c r="BE922" s="1" t="s">
        <v>74</v>
      </c>
      <c r="BF922" s="1" t="s">
        <v>74</v>
      </c>
      <c r="BG922" s="1" t="s">
        <v>74</v>
      </c>
      <c r="BH922" s="1" t="s">
        <v>74</v>
      </c>
      <c r="BI922" s="1" t="s">
        <v>74</v>
      </c>
      <c r="BJ922" s="1" t="s">
        <v>74</v>
      </c>
      <c r="BK922" s="1" t="s">
        <v>74</v>
      </c>
      <c r="BL922" s="1" t="s">
        <v>74</v>
      </c>
      <c r="BM922" s="1" t="s">
        <v>74</v>
      </c>
      <c r="BN922" s="1" t="s">
        <v>74</v>
      </c>
      <c r="BO922" s="1" t="s">
        <v>74</v>
      </c>
      <c r="BP922" s="1" t="s">
        <v>74</v>
      </c>
      <c r="BQ922" s="1" t="s">
        <v>74</v>
      </c>
      <c r="BR922" s="1" t="s">
        <v>74</v>
      </c>
      <c r="BS922" s="1" t="s">
        <v>8554</v>
      </c>
      <c r="BT922" s="1" t="str">
        <f>HYPERLINK("https%3A%2F%2Fwww.webofscience.com%2Fwos%2Fwoscc%2Ffull-record%2FWOS:000259264301506","View Full Record in Web of Science")</f>
        <v>View Full Record in Web of Science</v>
      </c>
    </row>
    <row r="923" ht="12.75" customHeight="1">
      <c r="A923" s="1" t="s">
        <v>72</v>
      </c>
      <c r="B923" s="1" t="s">
        <v>8555</v>
      </c>
      <c r="C923" s="1" t="s">
        <v>74</v>
      </c>
      <c r="D923" s="1" t="s">
        <v>74</v>
      </c>
      <c r="E923" s="1" t="s">
        <v>74</v>
      </c>
      <c r="F923" s="1" t="s">
        <v>8556</v>
      </c>
      <c r="G923" s="1" t="s">
        <v>74</v>
      </c>
      <c r="H923" s="1" t="s">
        <v>74</v>
      </c>
      <c r="I923" s="1" t="s">
        <v>8557</v>
      </c>
      <c r="J923" s="1" t="s">
        <v>8558</v>
      </c>
      <c r="K923" s="1" t="s">
        <v>74</v>
      </c>
      <c r="L923" s="1" t="s">
        <v>74</v>
      </c>
      <c r="M923" s="1" t="s">
        <v>74</v>
      </c>
      <c r="N923" s="1" t="s">
        <v>74</v>
      </c>
      <c r="O923" s="1" t="s">
        <v>74</v>
      </c>
      <c r="P923" s="1" t="s">
        <v>74</v>
      </c>
      <c r="Q923" s="1" t="s">
        <v>74</v>
      </c>
      <c r="R923" s="1" t="s">
        <v>74</v>
      </c>
      <c r="S923" s="1" t="s">
        <v>74</v>
      </c>
      <c r="T923" s="1" t="s">
        <v>74</v>
      </c>
      <c r="U923" s="1" t="s">
        <v>74</v>
      </c>
      <c r="V923" s="1" t="s">
        <v>8559</v>
      </c>
      <c r="W923" s="1" t="s">
        <v>74</v>
      </c>
      <c r="X923" s="1" t="s">
        <v>74</v>
      </c>
      <c r="Y923" s="1" t="s">
        <v>74</v>
      </c>
      <c r="Z923" s="1" t="s">
        <v>74</v>
      </c>
      <c r="AA923" s="1" t="s">
        <v>8560</v>
      </c>
      <c r="AB923" s="1" t="s">
        <v>8561</v>
      </c>
      <c r="AC923" s="1" t="s">
        <v>74</v>
      </c>
      <c r="AD923" s="1" t="s">
        <v>74</v>
      </c>
      <c r="AE923" s="1" t="s">
        <v>74</v>
      </c>
      <c r="AF923" s="1" t="s">
        <v>74</v>
      </c>
      <c r="AG923" s="1" t="s">
        <v>74</v>
      </c>
      <c r="AH923" s="1" t="s">
        <v>74</v>
      </c>
      <c r="AI923" s="1" t="s">
        <v>74</v>
      </c>
      <c r="AJ923" s="1" t="s">
        <v>74</v>
      </c>
      <c r="AK923" s="1" t="s">
        <v>74</v>
      </c>
      <c r="AL923" s="1" t="s">
        <v>74</v>
      </c>
      <c r="AM923" s="1" t="s">
        <v>74</v>
      </c>
      <c r="AN923" s="1" t="s">
        <v>74</v>
      </c>
      <c r="AO923" s="1" t="s">
        <v>8562</v>
      </c>
      <c r="AP923" s="1" t="s">
        <v>8563</v>
      </c>
      <c r="AQ923" s="1" t="s">
        <v>74</v>
      </c>
      <c r="AR923" s="1" t="s">
        <v>74</v>
      </c>
      <c r="AS923" s="1" t="s">
        <v>74</v>
      </c>
      <c r="AT923" s="1" t="s">
        <v>2282</v>
      </c>
      <c r="AU923" s="1">
        <v>2008.0</v>
      </c>
      <c r="AV923" s="1">
        <v>136.0</v>
      </c>
      <c r="AW923" s="1" t="s">
        <v>2150</v>
      </c>
      <c r="AX923" s="1" t="s">
        <v>74</v>
      </c>
      <c r="AY923" s="1" t="s">
        <v>74</v>
      </c>
      <c r="AZ923" s="1" t="s">
        <v>74</v>
      </c>
      <c r="BA923" s="1" t="s">
        <v>74</v>
      </c>
      <c r="BB923" s="1">
        <v>1.0</v>
      </c>
      <c r="BC923" s="1">
        <v>24.0</v>
      </c>
      <c r="BD923" s="1" t="s">
        <v>74</v>
      </c>
      <c r="BE923" s="1" t="s">
        <v>8564</v>
      </c>
      <c r="BF923" s="2" t="str">
        <f>HYPERLINK("http://dx.doi.org/10.1016/j.cis.2007.07.001","http://dx.doi.org/10.1016/j.cis.2007.07.001")</f>
        <v>http://dx.doi.org/10.1016/j.cis.2007.07.001</v>
      </c>
      <c r="BG923" s="1" t="s">
        <v>74</v>
      </c>
      <c r="BH923" s="1" t="s">
        <v>74</v>
      </c>
      <c r="BI923" s="1" t="s">
        <v>74</v>
      </c>
      <c r="BJ923" s="1" t="s">
        <v>74</v>
      </c>
      <c r="BK923" s="1" t="s">
        <v>74</v>
      </c>
      <c r="BL923" s="1" t="s">
        <v>74</v>
      </c>
      <c r="BM923" s="1" t="s">
        <v>74</v>
      </c>
      <c r="BN923" s="1">
        <v>1.7706582E7</v>
      </c>
      <c r="BO923" s="1" t="s">
        <v>74</v>
      </c>
      <c r="BP923" s="1" t="s">
        <v>74</v>
      </c>
      <c r="BQ923" s="1" t="s">
        <v>74</v>
      </c>
      <c r="BR923" s="1" t="s">
        <v>74</v>
      </c>
      <c r="BS923" s="1" t="s">
        <v>8565</v>
      </c>
      <c r="BT923" s="1" t="str">
        <f>HYPERLINK("https%3A%2F%2Fwww.webofscience.com%2Fwos%2Fwoscc%2Ffull-record%2FWOS:000252785200001","View Full Record in Web of Science")</f>
        <v>View Full Record in Web of Science</v>
      </c>
    </row>
    <row r="924" ht="12.75" customHeight="1">
      <c r="A924" s="1" t="s">
        <v>72</v>
      </c>
      <c r="B924" s="1" t="s">
        <v>8566</v>
      </c>
      <c r="C924" s="1" t="s">
        <v>74</v>
      </c>
      <c r="D924" s="1" t="s">
        <v>74</v>
      </c>
      <c r="E924" s="1" t="s">
        <v>74</v>
      </c>
      <c r="F924" s="1" t="s">
        <v>8567</v>
      </c>
      <c r="G924" s="1" t="s">
        <v>74</v>
      </c>
      <c r="H924" s="1" t="s">
        <v>74</v>
      </c>
      <c r="I924" s="1" t="s">
        <v>8568</v>
      </c>
      <c r="J924" s="1" t="s">
        <v>4129</v>
      </c>
      <c r="K924" s="1" t="s">
        <v>74</v>
      </c>
      <c r="L924" s="1" t="s">
        <v>74</v>
      </c>
      <c r="M924" s="1" t="s">
        <v>74</v>
      </c>
      <c r="N924" s="1" t="s">
        <v>74</v>
      </c>
      <c r="O924" s="1" t="s">
        <v>74</v>
      </c>
      <c r="P924" s="1" t="s">
        <v>74</v>
      </c>
      <c r="Q924" s="1" t="s">
        <v>74</v>
      </c>
      <c r="R924" s="1" t="s">
        <v>74</v>
      </c>
      <c r="S924" s="1" t="s">
        <v>74</v>
      </c>
      <c r="T924" s="1" t="s">
        <v>74</v>
      </c>
      <c r="U924" s="1" t="s">
        <v>74</v>
      </c>
      <c r="V924" s="1" t="s">
        <v>8569</v>
      </c>
      <c r="W924" s="1" t="s">
        <v>74</v>
      </c>
      <c r="X924" s="1" t="s">
        <v>74</v>
      </c>
      <c r="Y924" s="1" t="s">
        <v>74</v>
      </c>
      <c r="Z924" s="1" t="s">
        <v>74</v>
      </c>
      <c r="AA924" s="1" t="s">
        <v>74</v>
      </c>
      <c r="AB924" s="1" t="s">
        <v>74</v>
      </c>
      <c r="AC924" s="1" t="s">
        <v>74</v>
      </c>
      <c r="AD924" s="1" t="s">
        <v>74</v>
      </c>
      <c r="AE924" s="1" t="s">
        <v>74</v>
      </c>
      <c r="AF924" s="1" t="s">
        <v>74</v>
      </c>
      <c r="AG924" s="1" t="s">
        <v>74</v>
      </c>
      <c r="AH924" s="1" t="s">
        <v>74</v>
      </c>
      <c r="AI924" s="1" t="s">
        <v>74</v>
      </c>
      <c r="AJ924" s="1" t="s">
        <v>74</v>
      </c>
      <c r="AK924" s="1" t="s">
        <v>74</v>
      </c>
      <c r="AL924" s="1" t="s">
        <v>74</v>
      </c>
      <c r="AM924" s="1" t="s">
        <v>74</v>
      </c>
      <c r="AN924" s="1" t="s">
        <v>74</v>
      </c>
      <c r="AO924" s="1" t="s">
        <v>4133</v>
      </c>
      <c r="AP924" s="1" t="s">
        <v>4134</v>
      </c>
      <c r="AQ924" s="1" t="s">
        <v>74</v>
      </c>
      <c r="AR924" s="1" t="s">
        <v>74</v>
      </c>
      <c r="AS924" s="1" t="s">
        <v>74</v>
      </c>
      <c r="AT924" s="1" t="s">
        <v>74</v>
      </c>
      <c r="AU924" s="1">
        <v>2008.0</v>
      </c>
      <c r="AV924" s="1">
        <v>10.0</v>
      </c>
      <c r="AW924" s="1">
        <v>2.0</v>
      </c>
      <c r="AX924" s="1" t="s">
        <v>74</v>
      </c>
      <c r="AY924" s="1" t="s">
        <v>74</v>
      </c>
      <c r="AZ924" s="1" t="s">
        <v>74</v>
      </c>
      <c r="BA924" s="1" t="s">
        <v>74</v>
      </c>
      <c r="BB924" s="1">
        <v>99.0</v>
      </c>
      <c r="BC924" s="1">
        <v>111.0</v>
      </c>
      <c r="BD924" s="1" t="s">
        <v>74</v>
      </c>
      <c r="BE924" s="1" t="s">
        <v>8570</v>
      </c>
      <c r="BF924" s="2" t="str">
        <f>HYPERLINK("http://dx.doi.org/10.4067/S0718-221X2008000200003","http://dx.doi.org/10.4067/S0718-221X2008000200003")</f>
        <v>http://dx.doi.org/10.4067/S0718-221X2008000200003</v>
      </c>
      <c r="BG924" s="1" t="s">
        <v>74</v>
      </c>
      <c r="BH924" s="1" t="s">
        <v>74</v>
      </c>
      <c r="BI924" s="1" t="s">
        <v>74</v>
      </c>
      <c r="BJ924" s="1" t="s">
        <v>74</v>
      </c>
      <c r="BK924" s="1" t="s">
        <v>74</v>
      </c>
      <c r="BL924" s="1" t="s">
        <v>74</v>
      </c>
      <c r="BM924" s="1" t="s">
        <v>74</v>
      </c>
      <c r="BN924" s="1" t="s">
        <v>74</v>
      </c>
      <c r="BO924" s="1" t="s">
        <v>74</v>
      </c>
      <c r="BP924" s="1" t="s">
        <v>74</v>
      </c>
      <c r="BQ924" s="1" t="s">
        <v>74</v>
      </c>
      <c r="BR924" s="1" t="s">
        <v>74</v>
      </c>
      <c r="BS924" s="1" t="s">
        <v>8571</v>
      </c>
      <c r="BT924" s="1" t="str">
        <f>HYPERLINK("https%3A%2F%2Fwww.webofscience.com%2Fwos%2Fwoscc%2Ffull-record%2FWOS:000258714300003","View Full Record in Web of Science")</f>
        <v>View Full Record in Web of Science</v>
      </c>
    </row>
    <row r="925" ht="12.75" customHeight="1">
      <c r="A925" s="1" t="s">
        <v>72</v>
      </c>
      <c r="B925" s="1" t="s">
        <v>8572</v>
      </c>
      <c r="C925" s="1" t="s">
        <v>74</v>
      </c>
      <c r="D925" s="1" t="s">
        <v>74</v>
      </c>
      <c r="E925" s="1" t="s">
        <v>74</v>
      </c>
      <c r="F925" s="1" t="s">
        <v>8573</v>
      </c>
      <c r="G925" s="1" t="s">
        <v>74</v>
      </c>
      <c r="H925" s="1" t="s">
        <v>74</v>
      </c>
      <c r="I925" s="1" t="s">
        <v>8574</v>
      </c>
      <c r="J925" s="1" t="s">
        <v>2371</v>
      </c>
      <c r="K925" s="1" t="s">
        <v>74</v>
      </c>
      <c r="L925" s="1" t="s">
        <v>74</v>
      </c>
      <c r="M925" s="1" t="s">
        <v>74</v>
      </c>
      <c r="N925" s="1" t="s">
        <v>74</v>
      </c>
      <c r="O925" s="1" t="s">
        <v>74</v>
      </c>
      <c r="P925" s="1" t="s">
        <v>74</v>
      </c>
      <c r="Q925" s="1" t="s">
        <v>74</v>
      </c>
      <c r="R925" s="1" t="s">
        <v>74</v>
      </c>
      <c r="S925" s="1" t="s">
        <v>74</v>
      </c>
      <c r="T925" s="1" t="s">
        <v>74</v>
      </c>
      <c r="U925" s="1" t="s">
        <v>74</v>
      </c>
      <c r="V925" s="1" t="s">
        <v>8575</v>
      </c>
      <c r="W925" s="1" t="s">
        <v>74</v>
      </c>
      <c r="X925" s="1" t="s">
        <v>74</v>
      </c>
      <c r="Y925" s="1" t="s">
        <v>74</v>
      </c>
      <c r="Z925" s="1" t="s">
        <v>74</v>
      </c>
      <c r="AA925" s="1" t="s">
        <v>8576</v>
      </c>
      <c r="AB925" s="1" t="s">
        <v>8577</v>
      </c>
      <c r="AC925" s="1" t="s">
        <v>74</v>
      </c>
      <c r="AD925" s="1" t="s">
        <v>74</v>
      </c>
      <c r="AE925" s="1" t="s">
        <v>74</v>
      </c>
      <c r="AF925" s="1" t="s">
        <v>74</v>
      </c>
      <c r="AG925" s="1" t="s">
        <v>74</v>
      </c>
      <c r="AH925" s="1" t="s">
        <v>74</v>
      </c>
      <c r="AI925" s="1" t="s">
        <v>74</v>
      </c>
      <c r="AJ925" s="1" t="s">
        <v>74</v>
      </c>
      <c r="AK925" s="1" t="s">
        <v>74</v>
      </c>
      <c r="AL925" s="1" t="s">
        <v>74</v>
      </c>
      <c r="AM925" s="1" t="s">
        <v>74</v>
      </c>
      <c r="AN925" s="1" t="s">
        <v>74</v>
      </c>
      <c r="AO925" s="1" t="s">
        <v>2372</v>
      </c>
      <c r="AP925" s="1" t="s">
        <v>4363</v>
      </c>
      <c r="AQ925" s="1" t="s">
        <v>74</v>
      </c>
      <c r="AR925" s="1" t="s">
        <v>74</v>
      </c>
      <c r="AS925" s="1" t="s">
        <v>74</v>
      </c>
      <c r="AT925" s="1" t="s">
        <v>5153</v>
      </c>
      <c r="AU925" s="1">
        <v>2006.0</v>
      </c>
      <c r="AV925" s="1">
        <v>65.0</v>
      </c>
      <c r="AW925" s="1">
        <v>3.0</v>
      </c>
      <c r="AX925" s="1" t="s">
        <v>74</v>
      </c>
      <c r="AY925" s="1" t="s">
        <v>74</v>
      </c>
      <c r="AZ925" s="1" t="s">
        <v>74</v>
      </c>
      <c r="BA925" s="1" t="s">
        <v>74</v>
      </c>
      <c r="BB925" s="1">
        <v>601.0</v>
      </c>
      <c r="BC925" s="1">
        <v>614.0</v>
      </c>
      <c r="BD925" s="1" t="s">
        <v>74</v>
      </c>
      <c r="BE925" s="1" t="s">
        <v>8578</v>
      </c>
      <c r="BF925" s="2" t="str">
        <f>HYPERLINK("http://dx.doi.org/10.1016/j.na.2005.09.034","http://dx.doi.org/10.1016/j.na.2005.09.034")</f>
        <v>http://dx.doi.org/10.1016/j.na.2005.09.034</v>
      </c>
      <c r="BG925" s="1" t="s">
        <v>74</v>
      </c>
      <c r="BH925" s="1" t="s">
        <v>74</v>
      </c>
      <c r="BI925" s="1" t="s">
        <v>74</v>
      </c>
      <c r="BJ925" s="1" t="s">
        <v>74</v>
      </c>
      <c r="BK925" s="1" t="s">
        <v>74</v>
      </c>
      <c r="BL925" s="1" t="s">
        <v>74</v>
      </c>
      <c r="BM925" s="1" t="s">
        <v>74</v>
      </c>
      <c r="BN925" s="1" t="s">
        <v>74</v>
      </c>
      <c r="BO925" s="1" t="s">
        <v>74</v>
      </c>
      <c r="BP925" s="1" t="s">
        <v>74</v>
      </c>
      <c r="BQ925" s="1" t="s">
        <v>74</v>
      </c>
      <c r="BR925" s="1" t="s">
        <v>74</v>
      </c>
      <c r="BS925" s="1" t="s">
        <v>8579</v>
      </c>
      <c r="BT925" s="1" t="str">
        <f>HYPERLINK("https%3A%2F%2Fwww.webofscience.com%2Fwos%2Fwoscc%2Ffull-record%2FWOS:000238581800009","View Full Record in Web of Science")</f>
        <v>View Full Record in Web of Science</v>
      </c>
    </row>
    <row r="926" ht="12.75" customHeight="1">
      <c r="A926" s="1" t="s">
        <v>72</v>
      </c>
      <c r="B926" s="1" t="s">
        <v>8580</v>
      </c>
      <c r="C926" s="1" t="s">
        <v>74</v>
      </c>
      <c r="D926" s="1" t="s">
        <v>74</v>
      </c>
      <c r="E926" s="1" t="s">
        <v>74</v>
      </c>
      <c r="F926" s="1" t="s">
        <v>8580</v>
      </c>
      <c r="G926" s="1" t="s">
        <v>74</v>
      </c>
      <c r="H926" s="1" t="s">
        <v>74</v>
      </c>
      <c r="I926" s="1" t="s">
        <v>4420</v>
      </c>
      <c r="J926" s="1" t="s">
        <v>8581</v>
      </c>
      <c r="K926" s="1" t="s">
        <v>74</v>
      </c>
      <c r="L926" s="1" t="s">
        <v>74</v>
      </c>
      <c r="M926" s="1" t="s">
        <v>74</v>
      </c>
      <c r="N926" s="1" t="s">
        <v>74</v>
      </c>
      <c r="O926" s="1" t="s">
        <v>74</v>
      </c>
      <c r="P926" s="1" t="s">
        <v>74</v>
      </c>
      <c r="Q926" s="1" t="s">
        <v>74</v>
      </c>
      <c r="R926" s="1" t="s">
        <v>74</v>
      </c>
      <c r="S926" s="1" t="s">
        <v>74</v>
      </c>
      <c r="T926" s="1" t="s">
        <v>74</v>
      </c>
      <c r="U926" s="1" t="s">
        <v>74</v>
      </c>
      <c r="V926" s="1" t="s">
        <v>8582</v>
      </c>
      <c r="W926" s="1" t="s">
        <v>74</v>
      </c>
      <c r="X926" s="1" t="s">
        <v>74</v>
      </c>
      <c r="Y926" s="1" t="s">
        <v>74</v>
      </c>
      <c r="Z926" s="1" t="s">
        <v>74</v>
      </c>
      <c r="AA926" s="1" t="s">
        <v>74</v>
      </c>
      <c r="AB926" s="1" t="s">
        <v>74</v>
      </c>
      <c r="AC926" s="1" t="s">
        <v>74</v>
      </c>
      <c r="AD926" s="1" t="s">
        <v>74</v>
      </c>
      <c r="AE926" s="1" t="s">
        <v>74</v>
      </c>
      <c r="AF926" s="1" t="s">
        <v>74</v>
      </c>
      <c r="AG926" s="1" t="s">
        <v>74</v>
      </c>
      <c r="AH926" s="1" t="s">
        <v>74</v>
      </c>
      <c r="AI926" s="1" t="s">
        <v>74</v>
      </c>
      <c r="AJ926" s="1" t="s">
        <v>74</v>
      </c>
      <c r="AK926" s="1" t="s">
        <v>74</v>
      </c>
      <c r="AL926" s="1" t="s">
        <v>74</v>
      </c>
      <c r="AM926" s="1" t="s">
        <v>74</v>
      </c>
      <c r="AN926" s="1" t="s">
        <v>74</v>
      </c>
      <c r="AO926" s="1" t="s">
        <v>8583</v>
      </c>
      <c r="AP926" s="1" t="s">
        <v>8584</v>
      </c>
      <c r="AQ926" s="1" t="s">
        <v>74</v>
      </c>
      <c r="AR926" s="1" t="s">
        <v>74</v>
      </c>
      <c r="AS926" s="1" t="s">
        <v>74</v>
      </c>
      <c r="AT926" s="1" t="s">
        <v>180</v>
      </c>
      <c r="AU926" s="1">
        <v>2005.0</v>
      </c>
      <c r="AV926" s="1">
        <v>288.0</v>
      </c>
      <c r="AW926" s="1">
        <v>5.0</v>
      </c>
      <c r="AX926" s="1" t="s">
        <v>74</v>
      </c>
      <c r="AY926" s="1" t="s">
        <v>74</v>
      </c>
      <c r="AZ926" s="1" t="s">
        <v>74</v>
      </c>
      <c r="BA926" s="1" t="s">
        <v>74</v>
      </c>
      <c r="BB926" s="1" t="s">
        <v>8585</v>
      </c>
      <c r="BC926" s="1" t="s">
        <v>8586</v>
      </c>
      <c r="BD926" s="1" t="s">
        <v>74</v>
      </c>
      <c r="BE926" s="1" t="s">
        <v>8587</v>
      </c>
      <c r="BF926" s="2" t="str">
        <f>HYPERLINK("http://dx.doi.org/10.1152/ajpcell.00420.2003","http://dx.doi.org/10.1152/ajpcell.00420.2003")</f>
        <v>http://dx.doi.org/10.1152/ajpcell.00420.2003</v>
      </c>
      <c r="BG926" s="1" t="s">
        <v>74</v>
      </c>
      <c r="BH926" s="1" t="s">
        <v>74</v>
      </c>
      <c r="BI926" s="1" t="s">
        <v>74</v>
      </c>
      <c r="BJ926" s="1" t="s">
        <v>74</v>
      </c>
      <c r="BK926" s="1" t="s">
        <v>74</v>
      </c>
      <c r="BL926" s="1" t="s">
        <v>74</v>
      </c>
      <c r="BM926" s="1" t="s">
        <v>74</v>
      </c>
      <c r="BN926" s="1">
        <v>1.5647391E7</v>
      </c>
      <c r="BO926" s="1" t="s">
        <v>74</v>
      </c>
      <c r="BP926" s="1" t="s">
        <v>74</v>
      </c>
      <c r="BQ926" s="1" t="s">
        <v>74</v>
      </c>
      <c r="BR926" s="1" t="s">
        <v>74</v>
      </c>
      <c r="BS926" s="1" t="s">
        <v>8588</v>
      </c>
      <c r="BT926" s="1" t="str">
        <f>HYPERLINK("https%3A%2F%2Fwww.webofscience.com%2Fwos%2Fwoscc%2Ffull-record%2FWOS:000228461700011","View Full Record in Web of Science")</f>
        <v>View Full Record in Web of Science</v>
      </c>
    </row>
    <row r="927" ht="12.75" customHeight="1">
      <c r="A927" s="1" t="s">
        <v>72</v>
      </c>
      <c r="B927" s="1" t="s">
        <v>8589</v>
      </c>
      <c r="C927" s="1" t="s">
        <v>74</v>
      </c>
      <c r="D927" s="1" t="s">
        <v>74</v>
      </c>
      <c r="E927" s="1" t="s">
        <v>74</v>
      </c>
      <c r="F927" s="1" t="s">
        <v>8589</v>
      </c>
      <c r="G927" s="1" t="s">
        <v>74</v>
      </c>
      <c r="H927" s="1" t="s">
        <v>74</v>
      </c>
      <c r="I927" s="1" t="s">
        <v>8590</v>
      </c>
      <c r="J927" s="1" t="s">
        <v>3163</v>
      </c>
      <c r="K927" s="1" t="s">
        <v>74</v>
      </c>
      <c r="L927" s="1" t="s">
        <v>74</v>
      </c>
      <c r="M927" s="1" t="s">
        <v>74</v>
      </c>
      <c r="N927" s="1" t="s">
        <v>74</v>
      </c>
      <c r="O927" s="1" t="s">
        <v>8591</v>
      </c>
      <c r="P927" s="1" t="s">
        <v>8592</v>
      </c>
      <c r="Q927" s="1" t="s">
        <v>8593</v>
      </c>
      <c r="R927" s="1" t="s">
        <v>74</v>
      </c>
      <c r="S927" s="1" t="s">
        <v>74</v>
      </c>
      <c r="T927" s="1" t="s">
        <v>74</v>
      </c>
      <c r="U927" s="1" t="s">
        <v>74</v>
      </c>
      <c r="V927" s="1" t="s">
        <v>8594</v>
      </c>
      <c r="W927" s="1" t="s">
        <v>74</v>
      </c>
      <c r="X927" s="1" t="s">
        <v>74</v>
      </c>
      <c r="Y927" s="1" t="s">
        <v>74</v>
      </c>
      <c r="Z927" s="1" t="s">
        <v>74</v>
      </c>
      <c r="AA927" s="1" t="s">
        <v>8595</v>
      </c>
      <c r="AB927" s="1" t="s">
        <v>8596</v>
      </c>
      <c r="AC927" s="1" t="s">
        <v>74</v>
      </c>
      <c r="AD927" s="1" t="s">
        <v>74</v>
      </c>
      <c r="AE927" s="1" t="s">
        <v>74</v>
      </c>
      <c r="AF927" s="1" t="s">
        <v>74</v>
      </c>
      <c r="AG927" s="1" t="s">
        <v>74</v>
      </c>
      <c r="AH927" s="1" t="s">
        <v>74</v>
      </c>
      <c r="AI927" s="1" t="s">
        <v>74</v>
      </c>
      <c r="AJ927" s="1" t="s">
        <v>74</v>
      </c>
      <c r="AK927" s="1" t="s">
        <v>74</v>
      </c>
      <c r="AL927" s="1" t="s">
        <v>74</v>
      </c>
      <c r="AM927" s="1" t="s">
        <v>74</v>
      </c>
      <c r="AN927" s="1" t="s">
        <v>74</v>
      </c>
      <c r="AO927" s="1" t="s">
        <v>3164</v>
      </c>
      <c r="AP927" s="1" t="s">
        <v>8597</v>
      </c>
      <c r="AQ927" s="1" t="s">
        <v>74</v>
      </c>
      <c r="AR927" s="1" t="s">
        <v>74</v>
      </c>
      <c r="AS927" s="1" t="s">
        <v>74</v>
      </c>
      <c r="AT927" s="1" t="s">
        <v>180</v>
      </c>
      <c r="AU927" s="1">
        <v>2005.0</v>
      </c>
      <c r="AV927" s="1">
        <v>41.0</v>
      </c>
      <c r="AW927" s="1">
        <v>5.0</v>
      </c>
      <c r="AX927" s="1" t="s">
        <v>74</v>
      </c>
      <c r="AY927" s="1" t="s">
        <v>74</v>
      </c>
      <c r="AZ927" s="1" t="s">
        <v>74</v>
      </c>
      <c r="BA927" s="1" t="s">
        <v>74</v>
      </c>
      <c r="BB927" s="1">
        <v>1013.0</v>
      </c>
      <c r="BC927" s="1">
        <v>1019.0</v>
      </c>
      <c r="BD927" s="1" t="s">
        <v>74</v>
      </c>
      <c r="BE927" s="1" t="s">
        <v>8598</v>
      </c>
      <c r="BF927" s="2" t="str">
        <f>HYPERLINK("http://dx.doi.org/10.1016/j.eurpolymj.2004.12.003","http://dx.doi.org/10.1016/j.eurpolymj.2004.12.003")</f>
        <v>http://dx.doi.org/10.1016/j.eurpolymj.2004.12.003</v>
      </c>
      <c r="BG927" s="1" t="s">
        <v>74</v>
      </c>
      <c r="BH927" s="1" t="s">
        <v>74</v>
      </c>
      <c r="BI927" s="1" t="s">
        <v>74</v>
      </c>
      <c r="BJ927" s="1" t="s">
        <v>74</v>
      </c>
      <c r="BK927" s="1" t="s">
        <v>74</v>
      </c>
      <c r="BL927" s="1" t="s">
        <v>74</v>
      </c>
      <c r="BM927" s="1" t="s">
        <v>74</v>
      </c>
      <c r="BN927" s="1" t="s">
        <v>74</v>
      </c>
      <c r="BO927" s="1" t="s">
        <v>74</v>
      </c>
      <c r="BP927" s="1" t="s">
        <v>74</v>
      </c>
      <c r="BQ927" s="1" t="s">
        <v>74</v>
      </c>
      <c r="BR927" s="1" t="s">
        <v>74</v>
      </c>
      <c r="BS927" s="1" t="s">
        <v>8599</v>
      </c>
      <c r="BT927" s="1" t="str">
        <f>HYPERLINK("https%3A%2F%2Fwww.webofscience.com%2Fwos%2Fwoscc%2Ffull-record%2FWOS:000228101500016","View Full Record in Web of Science")</f>
        <v>View Full Record in Web of Science</v>
      </c>
    </row>
    <row r="928" ht="12.75" customHeight="1">
      <c r="A928" s="1" t="s">
        <v>72</v>
      </c>
      <c r="B928" s="1" t="s">
        <v>8600</v>
      </c>
      <c r="C928" s="1" t="s">
        <v>74</v>
      </c>
      <c r="D928" s="1" t="s">
        <v>74</v>
      </c>
      <c r="E928" s="1" t="s">
        <v>74</v>
      </c>
      <c r="F928" s="1" t="s">
        <v>8600</v>
      </c>
      <c r="G928" s="1" t="s">
        <v>74</v>
      </c>
      <c r="H928" s="1" t="s">
        <v>74</v>
      </c>
      <c r="I928" s="1" t="s">
        <v>8601</v>
      </c>
      <c r="J928" s="1" t="s">
        <v>2313</v>
      </c>
      <c r="K928" s="1" t="s">
        <v>74</v>
      </c>
      <c r="L928" s="1" t="s">
        <v>74</v>
      </c>
      <c r="M928" s="1" t="s">
        <v>74</v>
      </c>
      <c r="N928" s="1" t="s">
        <v>74</v>
      </c>
      <c r="O928" s="1" t="s">
        <v>74</v>
      </c>
      <c r="P928" s="1" t="s">
        <v>74</v>
      </c>
      <c r="Q928" s="1" t="s">
        <v>74</v>
      </c>
      <c r="R928" s="1" t="s">
        <v>74</v>
      </c>
      <c r="S928" s="1" t="s">
        <v>74</v>
      </c>
      <c r="T928" s="1" t="s">
        <v>74</v>
      </c>
      <c r="U928" s="1" t="s">
        <v>74</v>
      </c>
      <c r="V928" s="1" t="s">
        <v>8602</v>
      </c>
      <c r="W928" s="1" t="s">
        <v>74</v>
      </c>
      <c r="X928" s="1" t="s">
        <v>74</v>
      </c>
      <c r="Y928" s="1" t="s">
        <v>74</v>
      </c>
      <c r="Z928" s="1" t="s">
        <v>74</v>
      </c>
      <c r="AA928" s="1" t="s">
        <v>74</v>
      </c>
      <c r="AB928" s="1" t="s">
        <v>74</v>
      </c>
      <c r="AC928" s="1" t="s">
        <v>74</v>
      </c>
      <c r="AD928" s="1" t="s">
        <v>74</v>
      </c>
      <c r="AE928" s="1" t="s">
        <v>74</v>
      </c>
      <c r="AF928" s="1" t="s">
        <v>74</v>
      </c>
      <c r="AG928" s="1" t="s">
        <v>74</v>
      </c>
      <c r="AH928" s="1" t="s">
        <v>74</v>
      </c>
      <c r="AI928" s="1" t="s">
        <v>74</v>
      </c>
      <c r="AJ928" s="1" t="s">
        <v>74</v>
      </c>
      <c r="AK928" s="1" t="s">
        <v>74</v>
      </c>
      <c r="AL928" s="1" t="s">
        <v>74</v>
      </c>
      <c r="AM928" s="1" t="s">
        <v>74</v>
      </c>
      <c r="AN928" s="1" t="s">
        <v>74</v>
      </c>
      <c r="AO928" s="1" t="s">
        <v>2317</v>
      </c>
      <c r="AP928" s="1" t="s">
        <v>74</v>
      </c>
      <c r="AQ928" s="1" t="s">
        <v>74</v>
      </c>
      <c r="AR928" s="1" t="s">
        <v>74</v>
      </c>
      <c r="AS928" s="1" t="s">
        <v>74</v>
      </c>
      <c r="AT928" s="1" t="s">
        <v>8603</v>
      </c>
      <c r="AU928" s="1">
        <v>2004.0</v>
      </c>
      <c r="AV928" s="1">
        <v>593.0</v>
      </c>
      <c r="AW928" s="1" t="s">
        <v>74</v>
      </c>
      <c r="AX928" s="1" t="s">
        <v>74</v>
      </c>
      <c r="AY928" s="1" t="s">
        <v>74</v>
      </c>
      <c r="AZ928" s="1" t="s">
        <v>74</v>
      </c>
      <c r="BA928" s="1" t="s">
        <v>74</v>
      </c>
      <c r="BB928" s="1">
        <v>235.0</v>
      </c>
      <c r="BC928" s="1">
        <v>241.0</v>
      </c>
      <c r="BD928" s="1" t="s">
        <v>74</v>
      </c>
      <c r="BE928" s="1" t="s">
        <v>8604</v>
      </c>
      <c r="BF928" s="2" t="str">
        <f>HYPERLINK("http://dx.doi.org/10.1016/j.physletb.2004.04.072","http://dx.doi.org/10.1016/j.physletb.2004.04.072")</f>
        <v>http://dx.doi.org/10.1016/j.physletb.2004.04.072</v>
      </c>
      <c r="BG928" s="1" t="s">
        <v>74</v>
      </c>
      <c r="BH928" s="1" t="s">
        <v>74</v>
      </c>
      <c r="BI928" s="1" t="s">
        <v>74</v>
      </c>
      <c r="BJ928" s="1" t="s">
        <v>74</v>
      </c>
      <c r="BK928" s="1" t="s">
        <v>74</v>
      </c>
      <c r="BL928" s="1" t="s">
        <v>74</v>
      </c>
      <c r="BM928" s="1" t="s">
        <v>74</v>
      </c>
      <c r="BN928" s="1" t="s">
        <v>74</v>
      </c>
      <c r="BO928" s="1" t="s">
        <v>74</v>
      </c>
      <c r="BP928" s="1" t="s">
        <v>74</v>
      </c>
      <c r="BQ928" s="1" t="s">
        <v>74</v>
      </c>
      <c r="BR928" s="1" t="s">
        <v>74</v>
      </c>
      <c r="BS928" s="1" t="s">
        <v>8605</v>
      </c>
      <c r="BT928" s="1" t="str">
        <f>HYPERLINK("https%3A%2F%2Fwww.webofscience.com%2Fwos%2Fwoscc%2Ffull-record%2FWOS:000222788600031","View Full Record in Web of Science")</f>
        <v>View Full Record in Web of Science</v>
      </c>
    </row>
    <row r="929" ht="12.75" customHeight="1">
      <c r="A929" s="1" t="s">
        <v>72</v>
      </c>
      <c r="B929" s="1" t="s">
        <v>8606</v>
      </c>
      <c r="C929" s="1" t="s">
        <v>74</v>
      </c>
      <c r="D929" s="1" t="s">
        <v>74</v>
      </c>
      <c r="E929" s="1" t="s">
        <v>74</v>
      </c>
      <c r="F929" s="1" t="s">
        <v>8606</v>
      </c>
      <c r="G929" s="1" t="s">
        <v>74</v>
      </c>
      <c r="H929" s="1" t="s">
        <v>74</v>
      </c>
      <c r="I929" s="1" t="s">
        <v>8607</v>
      </c>
      <c r="J929" s="1" t="s">
        <v>8608</v>
      </c>
      <c r="K929" s="1" t="s">
        <v>74</v>
      </c>
      <c r="L929" s="1" t="s">
        <v>74</v>
      </c>
      <c r="M929" s="1" t="s">
        <v>74</v>
      </c>
      <c r="N929" s="1" t="s">
        <v>74</v>
      </c>
      <c r="O929" s="1" t="s">
        <v>8609</v>
      </c>
      <c r="P929" s="1" t="s">
        <v>8610</v>
      </c>
      <c r="Q929" s="1" t="s">
        <v>8611</v>
      </c>
      <c r="R929" s="1" t="s">
        <v>74</v>
      </c>
      <c r="S929" s="1" t="s">
        <v>74</v>
      </c>
      <c r="T929" s="1" t="s">
        <v>74</v>
      </c>
      <c r="U929" s="1" t="s">
        <v>74</v>
      </c>
      <c r="V929" s="1" t="s">
        <v>8612</v>
      </c>
      <c r="W929" s="1" t="s">
        <v>74</v>
      </c>
      <c r="X929" s="1" t="s">
        <v>74</v>
      </c>
      <c r="Y929" s="1" t="s">
        <v>74</v>
      </c>
      <c r="Z929" s="1" t="s">
        <v>74</v>
      </c>
      <c r="AA929" s="1" t="s">
        <v>8613</v>
      </c>
      <c r="AB929" s="1" t="s">
        <v>8614</v>
      </c>
      <c r="AC929" s="1" t="s">
        <v>74</v>
      </c>
      <c r="AD929" s="1" t="s">
        <v>74</v>
      </c>
      <c r="AE929" s="1" t="s">
        <v>74</v>
      </c>
      <c r="AF929" s="1" t="s">
        <v>74</v>
      </c>
      <c r="AG929" s="1" t="s">
        <v>74</v>
      </c>
      <c r="AH929" s="1" t="s">
        <v>74</v>
      </c>
      <c r="AI929" s="1" t="s">
        <v>74</v>
      </c>
      <c r="AJ929" s="1" t="s">
        <v>74</v>
      </c>
      <c r="AK929" s="1" t="s">
        <v>74</v>
      </c>
      <c r="AL929" s="1" t="s">
        <v>74</v>
      </c>
      <c r="AM929" s="1" t="s">
        <v>74</v>
      </c>
      <c r="AN929" s="1" t="s">
        <v>74</v>
      </c>
      <c r="AO929" s="1" t="s">
        <v>8615</v>
      </c>
      <c r="AP929" s="1" t="s">
        <v>8616</v>
      </c>
      <c r="AQ929" s="1" t="s">
        <v>74</v>
      </c>
      <c r="AR929" s="1" t="s">
        <v>74</v>
      </c>
      <c r="AS929" s="1" t="s">
        <v>74</v>
      </c>
      <c r="AT929" s="1" t="s">
        <v>135</v>
      </c>
      <c r="AU929" s="1">
        <v>2003.0</v>
      </c>
      <c r="AV929" s="1">
        <v>36.0</v>
      </c>
      <c r="AW929" s="1">
        <v>8.0</v>
      </c>
      <c r="AX929" s="1" t="s">
        <v>74</v>
      </c>
      <c r="AY929" s="1" t="s">
        <v>74</v>
      </c>
      <c r="AZ929" s="1" t="s">
        <v>74</v>
      </c>
      <c r="BA929" s="1" t="s">
        <v>74</v>
      </c>
      <c r="BB929" s="1">
        <v>1067.0</v>
      </c>
      <c r="BC929" s="1">
        <v>1071.0</v>
      </c>
      <c r="BD929" s="1" t="s">
        <v>74</v>
      </c>
      <c r="BE929" s="1" t="s">
        <v>8617</v>
      </c>
      <c r="BF929" s="2" t="str">
        <f>HYPERLINK("http://dx.doi.org/10.1590/S0100-879X2003000800013","http://dx.doi.org/10.1590/S0100-879X2003000800013")</f>
        <v>http://dx.doi.org/10.1590/S0100-879X2003000800013</v>
      </c>
      <c r="BG929" s="1" t="s">
        <v>74</v>
      </c>
      <c r="BH929" s="1" t="s">
        <v>74</v>
      </c>
      <c r="BI929" s="1" t="s">
        <v>74</v>
      </c>
      <c r="BJ929" s="1" t="s">
        <v>74</v>
      </c>
      <c r="BK929" s="1" t="s">
        <v>74</v>
      </c>
      <c r="BL929" s="1" t="s">
        <v>74</v>
      </c>
      <c r="BM929" s="1" t="s">
        <v>74</v>
      </c>
      <c r="BN929" s="1">
        <v>1.2886461E7</v>
      </c>
      <c r="BO929" s="1" t="s">
        <v>74</v>
      </c>
      <c r="BP929" s="1" t="s">
        <v>74</v>
      </c>
      <c r="BQ929" s="1" t="s">
        <v>74</v>
      </c>
      <c r="BR929" s="1" t="s">
        <v>74</v>
      </c>
      <c r="BS929" s="1" t="s">
        <v>8618</v>
      </c>
      <c r="BT929" s="1" t="str">
        <f>HYPERLINK("https%3A%2F%2Fwww.webofscience.com%2Fwos%2Fwoscc%2Ffull-record%2FWOS:000185012900014","View Full Record in Web of Science")</f>
        <v>View Full Record in Web of Science</v>
      </c>
    </row>
    <row r="930" ht="12.75" customHeight="1">
      <c r="A930" s="1" t="s">
        <v>72</v>
      </c>
      <c r="B930" s="1" t="s">
        <v>8619</v>
      </c>
      <c r="C930" s="1" t="s">
        <v>74</v>
      </c>
      <c r="D930" s="1" t="s">
        <v>74</v>
      </c>
      <c r="E930" s="1" t="s">
        <v>74</v>
      </c>
      <c r="F930" s="1" t="s">
        <v>8619</v>
      </c>
      <c r="G930" s="1" t="s">
        <v>74</v>
      </c>
      <c r="H930" s="1" t="s">
        <v>74</v>
      </c>
      <c r="I930" s="1" t="s">
        <v>8620</v>
      </c>
      <c r="J930" s="1" t="s">
        <v>1033</v>
      </c>
      <c r="K930" s="1" t="s">
        <v>74</v>
      </c>
      <c r="L930" s="1" t="s">
        <v>74</v>
      </c>
      <c r="M930" s="1" t="s">
        <v>74</v>
      </c>
      <c r="N930" s="1" t="s">
        <v>74</v>
      </c>
      <c r="O930" s="1" t="s">
        <v>74</v>
      </c>
      <c r="P930" s="1" t="s">
        <v>74</v>
      </c>
      <c r="Q930" s="1" t="s">
        <v>74</v>
      </c>
      <c r="R930" s="1" t="s">
        <v>74</v>
      </c>
      <c r="S930" s="1" t="s">
        <v>74</v>
      </c>
      <c r="T930" s="1" t="s">
        <v>74</v>
      </c>
      <c r="U930" s="1" t="s">
        <v>74</v>
      </c>
      <c r="V930" s="1" t="s">
        <v>8621</v>
      </c>
      <c r="W930" s="1" t="s">
        <v>74</v>
      </c>
      <c r="X930" s="1" t="s">
        <v>74</v>
      </c>
      <c r="Y930" s="1" t="s">
        <v>74</v>
      </c>
      <c r="Z930" s="1" t="s">
        <v>74</v>
      </c>
      <c r="AA930" s="1" t="s">
        <v>74</v>
      </c>
      <c r="AB930" s="1" t="s">
        <v>74</v>
      </c>
      <c r="AC930" s="1" t="s">
        <v>74</v>
      </c>
      <c r="AD930" s="1" t="s">
        <v>74</v>
      </c>
      <c r="AE930" s="1" t="s">
        <v>74</v>
      </c>
      <c r="AF930" s="1" t="s">
        <v>74</v>
      </c>
      <c r="AG930" s="1" t="s">
        <v>74</v>
      </c>
      <c r="AH930" s="1" t="s">
        <v>74</v>
      </c>
      <c r="AI930" s="1" t="s">
        <v>74</v>
      </c>
      <c r="AJ930" s="1" t="s">
        <v>74</v>
      </c>
      <c r="AK930" s="1" t="s">
        <v>74</v>
      </c>
      <c r="AL930" s="1" t="s">
        <v>74</v>
      </c>
      <c r="AM930" s="1" t="s">
        <v>74</v>
      </c>
      <c r="AN930" s="1" t="s">
        <v>74</v>
      </c>
      <c r="AO930" s="1" t="s">
        <v>1035</v>
      </c>
      <c r="AP930" s="1" t="s">
        <v>74</v>
      </c>
      <c r="AQ930" s="1" t="s">
        <v>74</v>
      </c>
      <c r="AR930" s="1" t="s">
        <v>74</v>
      </c>
      <c r="AS930" s="1" t="s">
        <v>74</v>
      </c>
      <c r="AT930" s="1" t="s">
        <v>310</v>
      </c>
      <c r="AU930" s="1">
        <v>2003.0</v>
      </c>
      <c r="AV930" s="1">
        <v>9.0</v>
      </c>
      <c r="AW930" s="1">
        <v>4.0</v>
      </c>
      <c r="AX930" s="1" t="s">
        <v>74</v>
      </c>
      <c r="AY930" s="1" t="s">
        <v>74</v>
      </c>
      <c r="AZ930" s="1" t="s">
        <v>74</v>
      </c>
      <c r="BA930" s="1" t="s">
        <v>74</v>
      </c>
      <c r="BB930" s="1">
        <v>877.0</v>
      </c>
      <c r="BC930" s="1">
        <v>900.0</v>
      </c>
      <c r="BD930" s="1" t="s">
        <v>74</v>
      </c>
      <c r="BE930" s="1" t="s">
        <v>74</v>
      </c>
      <c r="BF930" s="1" t="s">
        <v>74</v>
      </c>
      <c r="BG930" s="1" t="s">
        <v>74</v>
      </c>
      <c r="BH930" s="1" t="s">
        <v>74</v>
      </c>
      <c r="BI930" s="1" t="s">
        <v>74</v>
      </c>
      <c r="BJ930" s="1" t="s">
        <v>74</v>
      </c>
      <c r="BK930" s="1" t="s">
        <v>74</v>
      </c>
      <c r="BL930" s="1" t="s">
        <v>74</v>
      </c>
      <c r="BM930" s="1" t="s">
        <v>74</v>
      </c>
      <c r="BN930" s="1" t="s">
        <v>74</v>
      </c>
      <c r="BO930" s="1" t="s">
        <v>74</v>
      </c>
      <c r="BP930" s="1" t="s">
        <v>74</v>
      </c>
      <c r="BQ930" s="1" t="s">
        <v>74</v>
      </c>
      <c r="BR930" s="1" t="s">
        <v>74</v>
      </c>
      <c r="BS930" s="1" t="s">
        <v>8622</v>
      </c>
      <c r="BT930" s="1" t="str">
        <f>HYPERLINK("https%3A%2F%2Fwww.webofscience.com%2Fwos%2Fwoscc%2Ffull-record%2FWOS:000182727100005","View Full Record in Web of Science")</f>
        <v>View Full Record in Web of Science</v>
      </c>
    </row>
    <row r="931" ht="12.75" customHeight="1">
      <c r="A931" s="1" t="s">
        <v>72</v>
      </c>
      <c r="B931" s="1" t="s">
        <v>8623</v>
      </c>
      <c r="C931" s="1" t="s">
        <v>74</v>
      </c>
      <c r="D931" s="1" t="s">
        <v>74</v>
      </c>
      <c r="E931" s="1" t="s">
        <v>74</v>
      </c>
      <c r="F931" s="1" t="s">
        <v>8623</v>
      </c>
      <c r="G931" s="1" t="s">
        <v>74</v>
      </c>
      <c r="H931" s="1" t="s">
        <v>74</v>
      </c>
      <c r="I931" s="1" t="s">
        <v>8624</v>
      </c>
      <c r="J931" s="1" t="s">
        <v>1651</v>
      </c>
      <c r="K931" s="1" t="s">
        <v>74</v>
      </c>
      <c r="L931" s="1" t="s">
        <v>74</v>
      </c>
      <c r="M931" s="1" t="s">
        <v>74</v>
      </c>
      <c r="N931" s="1" t="s">
        <v>74</v>
      </c>
      <c r="O931" s="1" t="s">
        <v>74</v>
      </c>
      <c r="P931" s="1" t="s">
        <v>74</v>
      </c>
      <c r="Q931" s="1" t="s">
        <v>74</v>
      </c>
      <c r="R931" s="1" t="s">
        <v>74</v>
      </c>
      <c r="S931" s="1" t="s">
        <v>74</v>
      </c>
      <c r="T931" s="1" t="s">
        <v>74</v>
      </c>
      <c r="U931" s="1" t="s">
        <v>74</v>
      </c>
      <c r="V931" s="1" t="s">
        <v>8625</v>
      </c>
      <c r="W931" s="1" t="s">
        <v>74</v>
      </c>
      <c r="X931" s="1" t="s">
        <v>74</v>
      </c>
      <c r="Y931" s="1" t="s">
        <v>74</v>
      </c>
      <c r="Z931" s="1" t="s">
        <v>74</v>
      </c>
      <c r="AA931" s="1" t="s">
        <v>74</v>
      </c>
      <c r="AB931" s="1" t="s">
        <v>74</v>
      </c>
      <c r="AC931" s="1" t="s">
        <v>74</v>
      </c>
      <c r="AD931" s="1" t="s">
        <v>74</v>
      </c>
      <c r="AE931" s="1" t="s">
        <v>74</v>
      </c>
      <c r="AF931" s="1" t="s">
        <v>74</v>
      </c>
      <c r="AG931" s="1" t="s">
        <v>74</v>
      </c>
      <c r="AH931" s="1" t="s">
        <v>74</v>
      </c>
      <c r="AI931" s="1" t="s">
        <v>74</v>
      </c>
      <c r="AJ931" s="1" t="s">
        <v>74</v>
      </c>
      <c r="AK931" s="1" t="s">
        <v>74</v>
      </c>
      <c r="AL931" s="1" t="s">
        <v>74</v>
      </c>
      <c r="AM931" s="1" t="s">
        <v>74</v>
      </c>
      <c r="AN931" s="1" t="s">
        <v>74</v>
      </c>
      <c r="AO931" s="1" t="s">
        <v>1653</v>
      </c>
      <c r="AP931" s="1" t="s">
        <v>74</v>
      </c>
      <c r="AQ931" s="1" t="s">
        <v>74</v>
      </c>
      <c r="AR931" s="1" t="s">
        <v>74</v>
      </c>
      <c r="AS931" s="1" t="s">
        <v>74</v>
      </c>
      <c r="AT931" s="1" t="s">
        <v>110</v>
      </c>
      <c r="AU931" s="1">
        <v>2002.0</v>
      </c>
      <c r="AV931" s="1">
        <v>47.0</v>
      </c>
      <c r="AW931" s="1">
        <v>4.0</v>
      </c>
      <c r="AX931" s="1" t="s">
        <v>74</v>
      </c>
      <c r="AY931" s="1" t="s">
        <v>74</v>
      </c>
      <c r="AZ931" s="1" t="s">
        <v>74</v>
      </c>
      <c r="BA931" s="1" t="s">
        <v>74</v>
      </c>
      <c r="BB931" s="1">
        <v>449.0</v>
      </c>
      <c r="BC931" s="1">
        <v>456.0</v>
      </c>
      <c r="BD931" s="1" t="s">
        <v>74</v>
      </c>
      <c r="BE931" s="1" t="s">
        <v>74</v>
      </c>
      <c r="BF931" s="1" t="s">
        <v>74</v>
      </c>
      <c r="BG931" s="1" t="s">
        <v>74</v>
      </c>
      <c r="BH931" s="1" t="s">
        <v>74</v>
      </c>
      <c r="BI931" s="1" t="s">
        <v>74</v>
      </c>
      <c r="BJ931" s="1" t="s">
        <v>74</v>
      </c>
      <c r="BK931" s="1" t="s">
        <v>74</v>
      </c>
      <c r="BL931" s="1" t="s">
        <v>74</v>
      </c>
      <c r="BM931" s="1" t="s">
        <v>74</v>
      </c>
      <c r="BN931" s="1" t="s">
        <v>74</v>
      </c>
      <c r="BO931" s="1" t="s">
        <v>74</v>
      </c>
      <c r="BP931" s="1" t="s">
        <v>74</v>
      </c>
      <c r="BQ931" s="1" t="s">
        <v>74</v>
      </c>
      <c r="BR931" s="1" t="s">
        <v>74</v>
      </c>
      <c r="BS931" s="1" t="s">
        <v>8626</v>
      </c>
      <c r="BT931" s="1" t="str">
        <f>HYPERLINK("https%3A%2F%2Fwww.webofscience.com%2Fwos%2Fwoscc%2Ffull-record%2FWOS:000180026700016","View Full Record in Web of Science")</f>
        <v>View Full Record in Web of Science</v>
      </c>
    </row>
    <row r="932" ht="12.75" customHeight="1">
      <c r="A932" s="1" t="s">
        <v>72</v>
      </c>
      <c r="B932" s="1" t="s">
        <v>8600</v>
      </c>
      <c r="C932" s="1" t="s">
        <v>74</v>
      </c>
      <c r="D932" s="1" t="s">
        <v>74</v>
      </c>
      <c r="E932" s="1" t="s">
        <v>74</v>
      </c>
      <c r="F932" s="1" t="s">
        <v>8600</v>
      </c>
      <c r="G932" s="1" t="s">
        <v>74</v>
      </c>
      <c r="H932" s="1" t="s">
        <v>74</v>
      </c>
      <c r="I932" s="1" t="s">
        <v>8627</v>
      </c>
      <c r="J932" s="1" t="s">
        <v>2313</v>
      </c>
      <c r="K932" s="1" t="s">
        <v>74</v>
      </c>
      <c r="L932" s="1" t="s">
        <v>74</v>
      </c>
      <c r="M932" s="1" t="s">
        <v>74</v>
      </c>
      <c r="N932" s="1" t="s">
        <v>74</v>
      </c>
      <c r="O932" s="1" t="s">
        <v>74</v>
      </c>
      <c r="P932" s="1" t="s">
        <v>74</v>
      </c>
      <c r="Q932" s="1" t="s">
        <v>74</v>
      </c>
      <c r="R932" s="1" t="s">
        <v>74</v>
      </c>
      <c r="S932" s="1" t="s">
        <v>74</v>
      </c>
      <c r="T932" s="1" t="s">
        <v>74</v>
      </c>
      <c r="U932" s="1" t="s">
        <v>74</v>
      </c>
      <c r="V932" s="1" t="s">
        <v>8628</v>
      </c>
      <c r="W932" s="1" t="s">
        <v>74</v>
      </c>
      <c r="X932" s="1" t="s">
        <v>74</v>
      </c>
      <c r="Y932" s="1" t="s">
        <v>74</v>
      </c>
      <c r="Z932" s="1" t="s">
        <v>74</v>
      </c>
      <c r="AA932" s="1" t="s">
        <v>74</v>
      </c>
      <c r="AB932" s="1" t="s">
        <v>74</v>
      </c>
      <c r="AC932" s="1" t="s">
        <v>74</v>
      </c>
      <c r="AD932" s="1" t="s">
        <v>74</v>
      </c>
      <c r="AE932" s="1" t="s">
        <v>74</v>
      </c>
      <c r="AF932" s="1" t="s">
        <v>74</v>
      </c>
      <c r="AG932" s="1" t="s">
        <v>74</v>
      </c>
      <c r="AH932" s="1" t="s">
        <v>74</v>
      </c>
      <c r="AI932" s="1" t="s">
        <v>74</v>
      </c>
      <c r="AJ932" s="1" t="s">
        <v>74</v>
      </c>
      <c r="AK932" s="1" t="s">
        <v>74</v>
      </c>
      <c r="AL932" s="1" t="s">
        <v>74</v>
      </c>
      <c r="AM932" s="1" t="s">
        <v>74</v>
      </c>
      <c r="AN932" s="1" t="s">
        <v>74</v>
      </c>
      <c r="AO932" s="1" t="s">
        <v>2317</v>
      </c>
      <c r="AP932" s="1" t="s">
        <v>2318</v>
      </c>
      <c r="AQ932" s="1" t="s">
        <v>74</v>
      </c>
      <c r="AR932" s="1" t="s">
        <v>74</v>
      </c>
      <c r="AS932" s="1" t="s">
        <v>74</v>
      </c>
      <c r="AT932" s="1" t="s">
        <v>8629</v>
      </c>
      <c r="AU932" s="1">
        <v>2001.0</v>
      </c>
      <c r="AV932" s="1">
        <v>521.0</v>
      </c>
      <c r="AW932" s="1" t="s">
        <v>2320</v>
      </c>
      <c r="AX932" s="1" t="s">
        <v>74</v>
      </c>
      <c r="AY932" s="1" t="s">
        <v>74</v>
      </c>
      <c r="AZ932" s="1" t="s">
        <v>74</v>
      </c>
      <c r="BA932" s="1" t="s">
        <v>74</v>
      </c>
      <c r="BB932" s="1">
        <v>343.0</v>
      </c>
      <c r="BC932" s="1">
        <v>349.0</v>
      </c>
      <c r="BD932" s="1" t="s">
        <v>74</v>
      </c>
      <c r="BE932" s="1" t="s">
        <v>8630</v>
      </c>
      <c r="BF932" s="2" t="str">
        <f>HYPERLINK("http://dx.doi.org/10.1016/S0370-2693(01)01234-5","http://dx.doi.org/10.1016/S0370-2693(01)01234-5")</f>
        <v>http://dx.doi.org/10.1016/S0370-2693(01)01234-5</v>
      </c>
      <c r="BG932" s="1" t="s">
        <v>74</v>
      </c>
      <c r="BH932" s="1" t="s">
        <v>74</v>
      </c>
      <c r="BI932" s="1" t="s">
        <v>74</v>
      </c>
      <c r="BJ932" s="1" t="s">
        <v>74</v>
      </c>
      <c r="BK932" s="1" t="s">
        <v>74</v>
      </c>
      <c r="BL932" s="1" t="s">
        <v>74</v>
      </c>
      <c r="BM932" s="1" t="s">
        <v>74</v>
      </c>
      <c r="BN932" s="1" t="s">
        <v>74</v>
      </c>
      <c r="BO932" s="1" t="s">
        <v>74</v>
      </c>
      <c r="BP932" s="1" t="s">
        <v>74</v>
      </c>
      <c r="BQ932" s="1" t="s">
        <v>74</v>
      </c>
      <c r="BR932" s="1" t="s">
        <v>74</v>
      </c>
      <c r="BS932" s="1" t="s">
        <v>8631</v>
      </c>
      <c r="BT932" s="1" t="str">
        <f>HYPERLINK("https%3A%2F%2Fwww.webofscience.com%2Fwos%2Fwoscc%2Ffull-record%2FWOS:000172360100030","View Full Record in Web of Science")</f>
        <v>View Full Record in Web of Science</v>
      </c>
    </row>
    <row r="933" ht="12.75" customHeight="1">
      <c r="A933" s="1" t="s">
        <v>72</v>
      </c>
      <c r="B933" s="1" t="s">
        <v>8632</v>
      </c>
      <c r="C933" s="1" t="s">
        <v>74</v>
      </c>
      <c r="D933" s="1" t="s">
        <v>74</v>
      </c>
      <c r="E933" s="1" t="s">
        <v>74</v>
      </c>
      <c r="F933" s="1" t="s">
        <v>8632</v>
      </c>
      <c r="G933" s="1" t="s">
        <v>74</v>
      </c>
      <c r="H933" s="1" t="s">
        <v>74</v>
      </c>
      <c r="I933" s="1" t="s">
        <v>8633</v>
      </c>
      <c r="J933" s="1" t="s">
        <v>1543</v>
      </c>
      <c r="K933" s="1" t="s">
        <v>74</v>
      </c>
      <c r="L933" s="1" t="s">
        <v>74</v>
      </c>
      <c r="M933" s="1" t="s">
        <v>74</v>
      </c>
      <c r="N933" s="1" t="s">
        <v>74</v>
      </c>
      <c r="O933" s="1" t="s">
        <v>74</v>
      </c>
      <c r="P933" s="1" t="s">
        <v>74</v>
      </c>
      <c r="Q933" s="1" t="s">
        <v>74</v>
      </c>
      <c r="R933" s="1" t="s">
        <v>74</v>
      </c>
      <c r="S933" s="1" t="s">
        <v>74</v>
      </c>
      <c r="T933" s="1" t="s">
        <v>74</v>
      </c>
      <c r="U933" s="1" t="s">
        <v>74</v>
      </c>
      <c r="V933" s="1" t="s">
        <v>74</v>
      </c>
      <c r="W933" s="1" t="s">
        <v>74</v>
      </c>
      <c r="X933" s="1" t="s">
        <v>74</v>
      </c>
      <c r="Y933" s="1" t="s">
        <v>74</v>
      </c>
      <c r="Z933" s="1" t="s">
        <v>74</v>
      </c>
      <c r="AA933" s="1" t="s">
        <v>1545</v>
      </c>
      <c r="AB933" s="1" t="s">
        <v>1546</v>
      </c>
      <c r="AC933" s="1" t="s">
        <v>74</v>
      </c>
      <c r="AD933" s="1" t="s">
        <v>74</v>
      </c>
      <c r="AE933" s="1" t="s">
        <v>74</v>
      </c>
      <c r="AF933" s="1" t="s">
        <v>74</v>
      </c>
      <c r="AG933" s="1" t="s">
        <v>74</v>
      </c>
      <c r="AH933" s="1" t="s">
        <v>74</v>
      </c>
      <c r="AI933" s="1" t="s">
        <v>74</v>
      </c>
      <c r="AJ933" s="1" t="s">
        <v>74</v>
      </c>
      <c r="AK933" s="1" t="s">
        <v>74</v>
      </c>
      <c r="AL933" s="1" t="s">
        <v>74</v>
      </c>
      <c r="AM933" s="1" t="s">
        <v>74</v>
      </c>
      <c r="AN933" s="1" t="s">
        <v>74</v>
      </c>
      <c r="AO933" s="1" t="s">
        <v>1547</v>
      </c>
      <c r="AP933" s="1" t="s">
        <v>74</v>
      </c>
      <c r="AQ933" s="1" t="s">
        <v>74</v>
      </c>
      <c r="AR933" s="1" t="s">
        <v>74</v>
      </c>
      <c r="AS933" s="1" t="s">
        <v>74</v>
      </c>
      <c r="AT933" s="1" t="s">
        <v>1049</v>
      </c>
      <c r="AU933" s="1">
        <v>2001.0</v>
      </c>
      <c r="AV933" s="1">
        <v>16.0</v>
      </c>
      <c r="AW933" s="1">
        <v>4.0</v>
      </c>
      <c r="AX933" s="1" t="s">
        <v>74</v>
      </c>
      <c r="AY933" s="1" t="s">
        <v>74</v>
      </c>
      <c r="AZ933" s="1" t="s">
        <v>74</v>
      </c>
      <c r="BA933" s="1" t="s">
        <v>74</v>
      </c>
      <c r="BB933" s="1">
        <v>936.0</v>
      </c>
      <c r="BC933" s="1">
        <v>936.0</v>
      </c>
      <c r="BD933" s="1" t="s">
        <v>74</v>
      </c>
      <c r="BE933" s="1" t="s">
        <v>8634</v>
      </c>
      <c r="BF933" s="2" t="str">
        <f>HYPERLINK("http://dx.doi.org/10.1109/59.962460","http://dx.doi.org/10.1109/59.962460")</f>
        <v>http://dx.doi.org/10.1109/59.962460</v>
      </c>
      <c r="BG933" s="1" t="s">
        <v>74</v>
      </c>
      <c r="BH933" s="1" t="s">
        <v>74</v>
      </c>
      <c r="BI933" s="1" t="s">
        <v>74</v>
      </c>
      <c r="BJ933" s="1" t="s">
        <v>74</v>
      </c>
      <c r="BK933" s="1" t="s">
        <v>74</v>
      </c>
      <c r="BL933" s="1" t="s">
        <v>74</v>
      </c>
      <c r="BM933" s="1" t="s">
        <v>74</v>
      </c>
      <c r="BN933" s="1" t="s">
        <v>74</v>
      </c>
      <c r="BO933" s="1" t="s">
        <v>74</v>
      </c>
      <c r="BP933" s="1" t="s">
        <v>74</v>
      </c>
      <c r="BQ933" s="1" t="s">
        <v>74</v>
      </c>
      <c r="BR933" s="1" t="s">
        <v>74</v>
      </c>
      <c r="BS933" s="1" t="s">
        <v>8635</v>
      </c>
      <c r="BT933" s="1" t="str">
        <f>HYPERLINK("https%3A%2F%2Fwww.webofscience.com%2Fwos%2Fwoscc%2Ffull-record%2FWOS:000171787000061","View Full Record in Web of Science")</f>
        <v>View Full Record in Web of Science</v>
      </c>
    </row>
    <row r="934" ht="12.75" customHeight="1">
      <c r="A934" s="1" t="s">
        <v>72</v>
      </c>
      <c r="B934" s="1" t="s">
        <v>8636</v>
      </c>
      <c r="C934" s="1" t="s">
        <v>74</v>
      </c>
      <c r="D934" s="1" t="s">
        <v>74</v>
      </c>
      <c r="E934" s="1" t="s">
        <v>74</v>
      </c>
      <c r="F934" s="1" t="s">
        <v>8636</v>
      </c>
      <c r="G934" s="1" t="s">
        <v>74</v>
      </c>
      <c r="H934" s="1" t="s">
        <v>74</v>
      </c>
      <c r="I934" s="1" t="s">
        <v>8637</v>
      </c>
      <c r="J934" s="1" t="s">
        <v>2560</v>
      </c>
      <c r="K934" s="1" t="s">
        <v>74</v>
      </c>
      <c r="L934" s="1" t="s">
        <v>74</v>
      </c>
      <c r="M934" s="1" t="s">
        <v>74</v>
      </c>
      <c r="N934" s="1" t="s">
        <v>74</v>
      </c>
      <c r="O934" s="1" t="s">
        <v>8638</v>
      </c>
      <c r="P934" s="1" t="s">
        <v>8639</v>
      </c>
      <c r="Q934" s="1" t="s">
        <v>8640</v>
      </c>
      <c r="R934" s="1" t="s">
        <v>74</v>
      </c>
      <c r="S934" s="1" t="s">
        <v>8641</v>
      </c>
      <c r="T934" s="1" t="s">
        <v>74</v>
      </c>
      <c r="U934" s="1" t="s">
        <v>74</v>
      </c>
      <c r="V934" s="1" t="s">
        <v>8642</v>
      </c>
      <c r="W934" s="1" t="s">
        <v>74</v>
      </c>
      <c r="X934" s="1" t="s">
        <v>74</v>
      </c>
      <c r="Y934" s="1" t="s">
        <v>74</v>
      </c>
      <c r="Z934" s="1" t="s">
        <v>74</v>
      </c>
      <c r="AA934" s="1" t="s">
        <v>8643</v>
      </c>
      <c r="AB934" s="1" t="s">
        <v>8644</v>
      </c>
      <c r="AC934" s="1" t="s">
        <v>74</v>
      </c>
      <c r="AD934" s="1" t="s">
        <v>74</v>
      </c>
      <c r="AE934" s="1" t="s">
        <v>74</v>
      </c>
      <c r="AF934" s="1" t="s">
        <v>74</v>
      </c>
      <c r="AG934" s="1" t="s">
        <v>74</v>
      </c>
      <c r="AH934" s="1" t="s">
        <v>74</v>
      </c>
      <c r="AI934" s="1" t="s">
        <v>74</v>
      </c>
      <c r="AJ934" s="1" t="s">
        <v>74</v>
      </c>
      <c r="AK934" s="1" t="s">
        <v>74</v>
      </c>
      <c r="AL934" s="1" t="s">
        <v>74</v>
      </c>
      <c r="AM934" s="1" t="s">
        <v>74</v>
      </c>
      <c r="AN934" s="1" t="s">
        <v>74</v>
      </c>
      <c r="AO934" s="1" t="s">
        <v>2562</v>
      </c>
      <c r="AP934" s="1" t="s">
        <v>2563</v>
      </c>
      <c r="AQ934" s="1" t="s">
        <v>74</v>
      </c>
      <c r="AR934" s="1" t="s">
        <v>74</v>
      </c>
      <c r="AS934" s="1" t="s">
        <v>74</v>
      </c>
      <c r="AT934" s="1" t="s">
        <v>74</v>
      </c>
      <c r="AU934" s="1">
        <v>2001.0</v>
      </c>
      <c r="AV934" s="1">
        <v>191.0</v>
      </c>
      <c r="AW934" s="1" t="s">
        <v>8645</v>
      </c>
      <c r="AX934" s="1" t="s">
        <v>74</v>
      </c>
      <c r="AY934" s="1" t="s">
        <v>74</v>
      </c>
      <c r="AZ934" s="1" t="s">
        <v>74</v>
      </c>
      <c r="BA934" s="1" t="s">
        <v>74</v>
      </c>
      <c r="BB934" s="1">
        <v>525.0</v>
      </c>
      <c r="BC934" s="1">
        <v>543.0</v>
      </c>
      <c r="BD934" s="1" t="s">
        <v>74</v>
      </c>
      <c r="BE934" s="1" t="s">
        <v>8646</v>
      </c>
      <c r="BF934" s="2" t="str">
        <f>HYPERLINK("http://dx.doi.org/10.1016/S0045-7825(01)00300-0","http://dx.doi.org/10.1016/S0045-7825(01)00300-0")</f>
        <v>http://dx.doi.org/10.1016/S0045-7825(01)00300-0</v>
      </c>
      <c r="BG934" s="1" t="s">
        <v>74</v>
      </c>
      <c r="BH934" s="1" t="s">
        <v>74</v>
      </c>
      <c r="BI934" s="1" t="s">
        <v>74</v>
      </c>
      <c r="BJ934" s="1" t="s">
        <v>74</v>
      </c>
      <c r="BK934" s="1" t="s">
        <v>74</v>
      </c>
      <c r="BL934" s="1" t="s">
        <v>74</v>
      </c>
      <c r="BM934" s="1" t="s">
        <v>74</v>
      </c>
      <c r="BN934" s="1" t="s">
        <v>74</v>
      </c>
      <c r="BO934" s="1" t="s">
        <v>74</v>
      </c>
      <c r="BP934" s="1" t="s">
        <v>74</v>
      </c>
      <c r="BQ934" s="1" t="s">
        <v>74</v>
      </c>
      <c r="BR934" s="1" t="s">
        <v>74</v>
      </c>
      <c r="BS934" s="1" t="s">
        <v>8647</v>
      </c>
      <c r="BT934" s="1" t="str">
        <f>HYPERLINK("https%3A%2F%2Fwww.webofscience.com%2Fwos%2Fwoscc%2Ffull-record%2FWOS:000172603400003","View Full Record in Web of Science")</f>
        <v>View Full Record in Web of Science</v>
      </c>
    </row>
    <row r="935" ht="12.75" customHeight="1">
      <c r="A935" s="1" t="s">
        <v>72</v>
      </c>
      <c r="B935" s="1" t="s">
        <v>8648</v>
      </c>
      <c r="C935" s="1" t="s">
        <v>74</v>
      </c>
      <c r="D935" s="1" t="s">
        <v>74</v>
      </c>
      <c r="E935" s="1" t="s">
        <v>74</v>
      </c>
      <c r="F935" s="1" t="s">
        <v>8648</v>
      </c>
      <c r="G935" s="1" t="s">
        <v>74</v>
      </c>
      <c r="H935" s="1" t="s">
        <v>74</v>
      </c>
      <c r="I935" s="1" t="s">
        <v>8649</v>
      </c>
      <c r="J935" s="1" t="s">
        <v>8650</v>
      </c>
      <c r="K935" s="1" t="s">
        <v>74</v>
      </c>
      <c r="L935" s="1" t="s">
        <v>74</v>
      </c>
      <c r="M935" s="1" t="s">
        <v>74</v>
      </c>
      <c r="N935" s="1" t="s">
        <v>74</v>
      </c>
      <c r="O935" s="1" t="s">
        <v>74</v>
      </c>
      <c r="P935" s="1" t="s">
        <v>74</v>
      </c>
      <c r="Q935" s="1" t="s">
        <v>74</v>
      </c>
      <c r="R935" s="1" t="s">
        <v>74</v>
      </c>
      <c r="S935" s="1" t="s">
        <v>74</v>
      </c>
      <c r="T935" s="1" t="s">
        <v>74</v>
      </c>
      <c r="U935" s="1" t="s">
        <v>74</v>
      </c>
      <c r="V935" s="1" t="s">
        <v>8651</v>
      </c>
      <c r="W935" s="1" t="s">
        <v>74</v>
      </c>
      <c r="X935" s="1" t="s">
        <v>74</v>
      </c>
      <c r="Y935" s="1" t="s">
        <v>74</v>
      </c>
      <c r="Z935" s="1" t="s">
        <v>74</v>
      </c>
      <c r="AA935" s="1" t="s">
        <v>8652</v>
      </c>
      <c r="AB935" s="1" t="s">
        <v>8653</v>
      </c>
      <c r="AC935" s="1" t="s">
        <v>74</v>
      </c>
      <c r="AD935" s="1" t="s">
        <v>74</v>
      </c>
      <c r="AE935" s="1" t="s">
        <v>74</v>
      </c>
      <c r="AF935" s="1" t="s">
        <v>74</v>
      </c>
      <c r="AG935" s="1" t="s">
        <v>74</v>
      </c>
      <c r="AH935" s="1" t="s">
        <v>74</v>
      </c>
      <c r="AI935" s="1" t="s">
        <v>74</v>
      </c>
      <c r="AJ935" s="1" t="s">
        <v>74</v>
      </c>
      <c r="AK935" s="1" t="s">
        <v>74</v>
      </c>
      <c r="AL935" s="1" t="s">
        <v>74</v>
      </c>
      <c r="AM935" s="1" t="s">
        <v>74</v>
      </c>
      <c r="AN935" s="1" t="s">
        <v>74</v>
      </c>
      <c r="AO935" s="1" t="s">
        <v>8654</v>
      </c>
      <c r="AP935" s="1" t="s">
        <v>74</v>
      </c>
      <c r="AQ935" s="1" t="s">
        <v>74</v>
      </c>
      <c r="AR935" s="1" t="s">
        <v>74</v>
      </c>
      <c r="AS935" s="1" t="s">
        <v>74</v>
      </c>
      <c r="AT935" s="1" t="s">
        <v>5920</v>
      </c>
      <c r="AU935" s="1">
        <v>1999.0</v>
      </c>
      <c r="AV935" s="1">
        <v>46.0</v>
      </c>
      <c r="AW935" s="1">
        <v>2.0</v>
      </c>
      <c r="AX935" s="1" t="s">
        <v>74</v>
      </c>
      <c r="AY935" s="1" t="s">
        <v>74</v>
      </c>
      <c r="AZ935" s="1" t="s">
        <v>74</v>
      </c>
      <c r="BA935" s="1" t="s">
        <v>74</v>
      </c>
      <c r="BB935" s="1">
        <v>295.0</v>
      </c>
      <c r="BC935" s="1">
        <v>302.0</v>
      </c>
      <c r="BD935" s="1" t="s">
        <v>74</v>
      </c>
      <c r="BE935" s="1" t="s">
        <v>8655</v>
      </c>
      <c r="BF935" s="2" t="str">
        <f>HYPERLINK("http://dx.doi.org/10.1080/095003499149944","http://dx.doi.org/10.1080/095003499149944")</f>
        <v>http://dx.doi.org/10.1080/095003499149944</v>
      </c>
      <c r="BG935" s="1" t="s">
        <v>74</v>
      </c>
      <c r="BH935" s="1" t="s">
        <v>74</v>
      </c>
      <c r="BI935" s="1" t="s">
        <v>74</v>
      </c>
      <c r="BJ935" s="1" t="s">
        <v>74</v>
      </c>
      <c r="BK935" s="1" t="s">
        <v>74</v>
      </c>
      <c r="BL935" s="1" t="s">
        <v>74</v>
      </c>
      <c r="BM935" s="1" t="s">
        <v>74</v>
      </c>
      <c r="BN935" s="1" t="s">
        <v>74</v>
      </c>
      <c r="BO935" s="1" t="s">
        <v>74</v>
      </c>
      <c r="BP935" s="1" t="s">
        <v>74</v>
      </c>
      <c r="BQ935" s="1" t="s">
        <v>74</v>
      </c>
      <c r="BR935" s="1" t="s">
        <v>74</v>
      </c>
      <c r="BS935" s="1" t="s">
        <v>8656</v>
      </c>
      <c r="BT935" s="1" t="str">
        <f>HYPERLINK("https%3A%2F%2Fwww.webofscience.com%2Fwos%2Fwoscc%2Ffull-record%2FWOS:000078435800010","View Full Record in Web of Science")</f>
        <v>View Full Record in Web of Science</v>
      </c>
    </row>
    <row r="936" ht="12.75" customHeight="1">
      <c r="A936" s="1" t="s">
        <v>72</v>
      </c>
      <c r="B936" s="1" t="s">
        <v>8657</v>
      </c>
      <c r="C936" s="1" t="s">
        <v>74</v>
      </c>
      <c r="D936" s="1" t="s">
        <v>74</v>
      </c>
      <c r="E936" s="1" t="s">
        <v>74</v>
      </c>
      <c r="F936" s="1" t="s">
        <v>8657</v>
      </c>
      <c r="G936" s="1" t="s">
        <v>74</v>
      </c>
      <c r="H936" s="1" t="s">
        <v>74</v>
      </c>
      <c r="I936" s="1" t="s">
        <v>8658</v>
      </c>
      <c r="J936" s="1" t="s">
        <v>1693</v>
      </c>
      <c r="K936" s="1" t="s">
        <v>74</v>
      </c>
      <c r="L936" s="1" t="s">
        <v>74</v>
      </c>
      <c r="M936" s="1" t="s">
        <v>74</v>
      </c>
      <c r="N936" s="1" t="s">
        <v>74</v>
      </c>
      <c r="O936" s="1" t="s">
        <v>74</v>
      </c>
      <c r="P936" s="1" t="s">
        <v>74</v>
      </c>
      <c r="Q936" s="1" t="s">
        <v>74</v>
      </c>
      <c r="R936" s="1" t="s">
        <v>74</v>
      </c>
      <c r="S936" s="1" t="s">
        <v>74</v>
      </c>
      <c r="T936" s="1" t="s">
        <v>74</v>
      </c>
      <c r="U936" s="1" t="s">
        <v>74</v>
      </c>
      <c r="V936" s="1" t="s">
        <v>8659</v>
      </c>
      <c r="W936" s="1" t="s">
        <v>74</v>
      </c>
      <c r="X936" s="1" t="s">
        <v>74</v>
      </c>
      <c r="Y936" s="1" t="s">
        <v>74</v>
      </c>
      <c r="Z936" s="1" t="s">
        <v>74</v>
      </c>
      <c r="AA936" s="1" t="s">
        <v>1599</v>
      </c>
      <c r="AB936" s="1" t="s">
        <v>1600</v>
      </c>
      <c r="AC936" s="1" t="s">
        <v>74</v>
      </c>
      <c r="AD936" s="1" t="s">
        <v>74</v>
      </c>
      <c r="AE936" s="1" t="s">
        <v>74</v>
      </c>
      <c r="AF936" s="1" t="s">
        <v>74</v>
      </c>
      <c r="AG936" s="1" t="s">
        <v>74</v>
      </c>
      <c r="AH936" s="1" t="s">
        <v>74</v>
      </c>
      <c r="AI936" s="1" t="s">
        <v>74</v>
      </c>
      <c r="AJ936" s="1" t="s">
        <v>74</v>
      </c>
      <c r="AK936" s="1" t="s">
        <v>74</v>
      </c>
      <c r="AL936" s="1" t="s">
        <v>74</v>
      </c>
      <c r="AM936" s="1" t="s">
        <v>74</v>
      </c>
      <c r="AN936" s="1" t="s">
        <v>74</v>
      </c>
      <c r="AO936" s="1" t="s">
        <v>1697</v>
      </c>
      <c r="AP936" s="1" t="s">
        <v>74</v>
      </c>
      <c r="AQ936" s="1" t="s">
        <v>74</v>
      </c>
      <c r="AR936" s="1" t="s">
        <v>74</v>
      </c>
      <c r="AS936" s="1" t="s">
        <v>74</v>
      </c>
      <c r="AT936" s="1" t="s">
        <v>360</v>
      </c>
      <c r="AU936" s="1">
        <v>1999.0</v>
      </c>
      <c r="AV936" s="1">
        <v>62.0</v>
      </c>
      <c r="AW936" s="1">
        <v>2.0</v>
      </c>
      <c r="AX936" s="1" t="s">
        <v>74</v>
      </c>
      <c r="AY936" s="1" t="s">
        <v>74</v>
      </c>
      <c r="AZ936" s="1" t="s">
        <v>74</v>
      </c>
      <c r="BA936" s="1" t="s">
        <v>74</v>
      </c>
      <c r="BB936" s="1">
        <v>381.0</v>
      </c>
      <c r="BC936" s="1">
        <v>382.0</v>
      </c>
      <c r="BD936" s="1" t="s">
        <v>74</v>
      </c>
      <c r="BE936" s="1" t="s">
        <v>8660</v>
      </c>
      <c r="BF936" s="2" t="str">
        <f>HYPERLINK("http://dx.doi.org/10.1021/np9804031","http://dx.doi.org/10.1021/np9804031")</f>
        <v>http://dx.doi.org/10.1021/np9804031</v>
      </c>
      <c r="BG936" s="1" t="s">
        <v>74</v>
      </c>
      <c r="BH936" s="1" t="s">
        <v>74</v>
      </c>
      <c r="BI936" s="1" t="s">
        <v>74</v>
      </c>
      <c r="BJ936" s="1" t="s">
        <v>74</v>
      </c>
      <c r="BK936" s="1" t="s">
        <v>74</v>
      </c>
      <c r="BL936" s="1" t="s">
        <v>74</v>
      </c>
      <c r="BM936" s="1" t="s">
        <v>74</v>
      </c>
      <c r="BN936" s="1">
        <v>1.0075795E7</v>
      </c>
      <c r="BO936" s="1" t="s">
        <v>74</v>
      </c>
      <c r="BP936" s="1" t="s">
        <v>74</v>
      </c>
      <c r="BQ936" s="1" t="s">
        <v>74</v>
      </c>
      <c r="BR936" s="1" t="s">
        <v>74</v>
      </c>
      <c r="BS936" s="1" t="s">
        <v>8661</v>
      </c>
      <c r="BT936" s="1" t="str">
        <f>HYPERLINK("https%3A%2F%2Fwww.webofscience.com%2Fwos%2Fwoscc%2Ffull-record%2FWOS:000078960800054","View Full Record in Web of Science")</f>
        <v>View Full Record in Web of Science</v>
      </c>
    </row>
    <row r="937" ht="12.75" customHeight="1">
      <c r="A937" s="1" t="s">
        <v>72</v>
      </c>
      <c r="B937" s="1" t="s">
        <v>8662</v>
      </c>
      <c r="C937" s="1" t="s">
        <v>74</v>
      </c>
      <c r="D937" s="1" t="s">
        <v>74</v>
      </c>
      <c r="E937" s="1" t="s">
        <v>74</v>
      </c>
      <c r="F937" s="1" t="s">
        <v>8662</v>
      </c>
      <c r="G937" s="1" t="s">
        <v>74</v>
      </c>
      <c r="H937" s="1" t="s">
        <v>74</v>
      </c>
      <c r="I937" s="1" t="s">
        <v>8663</v>
      </c>
      <c r="J937" s="1" t="s">
        <v>8664</v>
      </c>
      <c r="K937" s="1" t="s">
        <v>74</v>
      </c>
      <c r="L937" s="1" t="s">
        <v>74</v>
      </c>
      <c r="M937" s="1" t="s">
        <v>74</v>
      </c>
      <c r="N937" s="1" t="s">
        <v>74</v>
      </c>
      <c r="O937" s="1" t="s">
        <v>74</v>
      </c>
      <c r="P937" s="1" t="s">
        <v>74</v>
      </c>
      <c r="Q937" s="1" t="s">
        <v>74</v>
      </c>
      <c r="R937" s="1" t="s">
        <v>74</v>
      </c>
      <c r="S937" s="1" t="s">
        <v>74</v>
      </c>
      <c r="T937" s="1" t="s">
        <v>74</v>
      </c>
      <c r="U937" s="1" t="s">
        <v>74</v>
      </c>
      <c r="V937" s="1" t="s">
        <v>8665</v>
      </c>
      <c r="W937" s="1" t="s">
        <v>74</v>
      </c>
      <c r="X937" s="1" t="s">
        <v>74</v>
      </c>
      <c r="Y937" s="1" t="s">
        <v>74</v>
      </c>
      <c r="Z937" s="1" t="s">
        <v>74</v>
      </c>
      <c r="AA937" s="1" t="s">
        <v>8666</v>
      </c>
      <c r="AB937" s="1" t="s">
        <v>8667</v>
      </c>
      <c r="AC937" s="1" t="s">
        <v>74</v>
      </c>
      <c r="AD937" s="1" t="s">
        <v>74</v>
      </c>
      <c r="AE937" s="1" t="s">
        <v>74</v>
      </c>
      <c r="AF937" s="1" t="s">
        <v>74</v>
      </c>
      <c r="AG937" s="1" t="s">
        <v>74</v>
      </c>
      <c r="AH937" s="1" t="s">
        <v>74</v>
      </c>
      <c r="AI937" s="1" t="s">
        <v>74</v>
      </c>
      <c r="AJ937" s="1" t="s">
        <v>74</v>
      </c>
      <c r="AK937" s="1" t="s">
        <v>74</v>
      </c>
      <c r="AL937" s="1" t="s">
        <v>74</v>
      </c>
      <c r="AM937" s="1" t="s">
        <v>74</v>
      </c>
      <c r="AN937" s="1" t="s">
        <v>74</v>
      </c>
      <c r="AO937" s="1" t="s">
        <v>8668</v>
      </c>
      <c r="AP937" s="1" t="s">
        <v>74</v>
      </c>
      <c r="AQ937" s="1" t="s">
        <v>74</v>
      </c>
      <c r="AR937" s="1" t="s">
        <v>74</v>
      </c>
      <c r="AS937" s="1" t="s">
        <v>74</v>
      </c>
      <c r="AT937" s="1" t="s">
        <v>360</v>
      </c>
      <c r="AU937" s="1">
        <v>1998.0</v>
      </c>
      <c r="AV937" s="1" t="s">
        <v>74</v>
      </c>
      <c r="AW937" s="1">
        <v>2.0</v>
      </c>
      <c r="AX937" s="1" t="s">
        <v>74</v>
      </c>
      <c r="AY937" s="1" t="s">
        <v>74</v>
      </c>
      <c r="AZ937" s="1" t="s">
        <v>74</v>
      </c>
      <c r="BA937" s="1" t="s">
        <v>74</v>
      </c>
      <c r="BB937" s="1">
        <v>319.0</v>
      </c>
      <c r="BC937" s="1">
        <v>323.0</v>
      </c>
      <c r="BD937" s="1" t="s">
        <v>74</v>
      </c>
      <c r="BE937" s="1" t="s">
        <v>8669</v>
      </c>
      <c r="BF937" s="2" t="str">
        <f>HYPERLINK("http://dx.doi.org/10.1039/a705869a","http://dx.doi.org/10.1039/a705869a")</f>
        <v>http://dx.doi.org/10.1039/a705869a</v>
      </c>
      <c r="BG937" s="1" t="s">
        <v>74</v>
      </c>
      <c r="BH937" s="1" t="s">
        <v>74</v>
      </c>
      <c r="BI937" s="1" t="s">
        <v>74</v>
      </c>
      <c r="BJ937" s="1" t="s">
        <v>74</v>
      </c>
      <c r="BK937" s="1" t="s">
        <v>74</v>
      </c>
      <c r="BL937" s="1" t="s">
        <v>74</v>
      </c>
      <c r="BM937" s="1" t="s">
        <v>74</v>
      </c>
      <c r="BN937" s="1" t="s">
        <v>74</v>
      </c>
      <c r="BO937" s="1" t="s">
        <v>74</v>
      </c>
      <c r="BP937" s="1" t="s">
        <v>74</v>
      </c>
      <c r="BQ937" s="1" t="s">
        <v>74</v>
      </c>
      <c r="BR937" s="1" t="s">
        <v>74</v>
      </c>
      <c r="BS937" s="1" t="s">
        <v>8670</v>
      </c>
      <c r="BT937" s="1" t="str">
        <f>HYPERLINK("https%3A%2F%2Fwww.webofscience.com%2Fwos%2Fwoscc%2Ffull-record%2FWOS:000072112500019","View Full Record in Web of Science")</f>
        <v>View Full Record in Web of Science</v>
      </c>
    </row>
    <row r="938" ht="12.75" customHeight="1">
      <c r="A938" s="1" t="s">
        <v>72</v>
      </c>
      <c r="B938" s="1" t="s">
        <v>8671</v>
      </c>
      <c r="C938" s="1" t="s">
        <v>74</v>
      </c>
      <c r="D938" s="1" t="s">
        <v>74</v>
      </c>
      <c r="E938" s="1" t="s">
        <v>74</v>
      </c>
      <c r="F938" s="1" t="s">
        <v>8671</v>
      </c>
      <c r="G938" s="1" t="s">
        <v>74</v>
      </c>
      <c r="H938" s="1" t="s">
        <v>74</v>
      </c>
      <c r="I938" s="1" t="s">
        <v>8672</v>
      </c>
      <c r="J938" s="1" t="s">
        <v>1572</v>
      </c>
      <c r="K938" s="1" t="s">
        <v>74</v>
      </c>
      <c r="L938" s="1" t="s">
        <v>74</v>
      </c>
      <c r="M938" s="1" t="s">
        <v>74</v>
      </c>
      <c r="N938" s="1" t="s">
        <v>74</v>
      </c>
      <c r="O938" s="1" t="s">
        <v>74</v>
      </c>
      <c r="P938" s="1" t="s">
        <v>74</v>
      </c>
      <c r="Q938" s="1" t="s">
        <v>74</v>
      </c>
      <c r="R938" s="1" t="s">
        <v>74</v>
      </c>
      <c r="S938" s="1" t="s">
        <v>74</v>
      </c>
      <c r="T938" s="1" t="s">
        <v>74</v>
      </c>
      <c r="U938" s="1" t="s">
        <v>74</v>
      </c>
      <c r="V938" s="1" t="s">
        <v>8673</v>
      </c>
      <c r="W938" s="1" t="s">
        <v>74</v>
      </c>
      <c r="X938" s="1" t="s">
        <v>74</v>
      </c>
      <c r="Y938" s="1" t="s">
        <v>74</v>
      </c>
      <c r="Z938" s="1" t="s">
        <v>74</v>
      </c>
      <c r="AA938" s="1" t="s">
        <v>2136</v>
      </c>
      <c r="AB938" s="1" t="s">
        <v>74</v>
      </c>
      <c r="AC938" s="1" t="s">
        <v>74</v>
      </c>
      <c r="AD938" s="1" t="s">
        <v>74</v>
      </c>
      <c r="AE938" s="1" t="s">
        <v>74</v>
      </c>
      <c r="AF938" s="1" t="s">
        <v>74</v>
      </c>
      <c r="AG938" s="1" t="s">
        <v>74</v>
      </c>
      <c r="AH938" s="1" t="s">
        <v>74</v>
      </c>
      <c r="AI938" s="1" t="s">
        <v>74</v>
      </c>
      <c r="AJ938" s="1" t="s">
        <v>74</v>
      </c>
      <c r="AK938" s="1" t="s">
        <v>74</v>
      </c>
      <c r="AL938" s="1" t="s">
        <v>74</v>
      </c>
      <c r="AM938" s="1" t="s">
        <v>74</v>
      </c>
      <c r="AN938" s="1" t="s">
        <v>74</v>
      </c>
      <c r="AO938" s="1" t="s">
        <v>8674</v>
      </c>
      <c r="AP938" s="1" t="s">
        <v>74</v>
      </c>
      <c r="AQ938" s="1" t="s">
        <v>74</v>
      </c>
      <c r="AR938" s="1" t="s">
        <v>74</v>
      </c>
      <c r="AS938" s="1" t="s">
        <v>74</v>
      </c>
      <c r="AT938" s="1" t="s">
        <v>8675</v>
      </c>
      <c r="AU938" s="1">
        <v>1997.0</v>
      </c>
      <c r="AV938" s="1">
        <v>431.0</v>
      </c>
      <c r="AW938" s="1">
        <v>1.0</v>
      </c>
      <c r="AX938" s="1" t="s">
        <v>74</v>
      </c>
      <c r="AY938" s="1" t="s">
        <v>74</v>
      </c>
      <c r="AZ938" s="1" t="s">
        <v>74</v>
      </c>
      <c r="BA938" s="1" t="s">
        <v>74</v>
      </c>
      <c r="BB938" s="1">
        <v>1.0</v>
      </c>
      <c r="BC938" s="1">
        <v>5.0</v>
      </c>
      <c r="BD938" s="1" t="s">
        <v>74</v>
      </c>
      <c r="BE938" s="1" t="s">
        <v>8676</v>
      </c>
      <c r="BF938" s="2" t="str">
        <f>HYPERLINK("http://dx.doi.org/10.1016/S0022-0728(97)00087-9","http://dx.doi.org/10.1016/S0022-0728(97)00087-9")</f>
        <v>http://dx.doi.org/10.1016/S0022-0728(97)00087-9</v>
      </c>
      <c r="BG938" s="1" t="s">
        <v>74</v>
      </c>
      <c r="BH938" s="1" t="s">
        <v>74</v>
      </c>
      <c r="BI938" s="1" t="s">
        <v>74</v>
      </c>
      <c r="BJ938" s="1" t="s">
        <v>74</v>
      </c>
      <c r="BK938" s="1" t="s">
        <v>74</v>
      </c>
      <c r="BL938" s="1" t="s">
        <v>74</v>
      </c>
      <c r="BM938" s="1" t="s">
        <v>74</v>
      </c>
      <c r="BN938" s="1" t="s">
        <v>74</v>
      </c>
      <c r="BO938" s="1" t="s">
        <v>74</v>
      </c>
      <c r="BP938" s="1" t="s">
        <v>74</v>
      </c>
      <c r="BQ938" s="1" t="s">
        <v>74</v>
      </c>
      <c r="BR938" s="1" t="s">
        <v>74</v>
      </c>
      <c r="BS938" s="1" t="s">
        <v>8677</v>
      </c>
      <c r="BT938" s="1" t="str">
        <f>HYPERLINK("https%3A%2F%2Fwww.webofscience.com%2Fwos%2Fwoscc%2Ffull-record%2FWOS:A1997YC69400001","View Full Record in Web of Science")</f>
        <v>View Full Record in Web of Science</v>
      </c>
    </row>
    <row r="939" ht="12.75" customHeight="1">
      <c r="A939" s="1" t="s">
        <v>251</v>
      </c>
      <c r="B939" s="1" t="s">
        <v>6476</v>
      </c>
      <c r="C939" s="1" t="s">
        <v>74</v>
      </c>
      <c r="D939" s="1" t="s">
        <v>74</v>
      </c>
      <c r="E939" s="1" t="s">
        <v>74</v>
      </c>
      <c r="F939" s="1" t="s">
        <v>6476</v>
      </c>
      <c r="G939" s="1" t="s">
        <v>74</v>
      </c>
      <c r="H939" s="1" t="s">
        <v>74</v>
      </c>
      <c r="I939" s="1" t="s">
        <v>8678</v>
      </c>
      <c r="J939" s="1" t="s">
        <v>8679</v>
      </c>
      <c r="K939" s="1" t="s">
        <v>74</v>
      </c>
      <c r="L939" s="1" t="s">
        <v>74</v>
      </c>
      <c r="M939" s="1" t="s">
        <v>74</v>
      </c>
      <c r="N939" s="1" t="s">
        <v>74</v>
      </c>
      <c r="O939" s="1" t="s">
        <v>8680</v>
      </c>
      <c r="P939" s="1" t="s">
        <v>8681</v>
      </c>
      <c r="Q939" s="1" t="s">
        <v>8682</v>
      </c>
      <c r="R939" s="1" t="s">
        <v>74</v>
      </c>
      <c r="S939" s="1" t="s">
        <v>74</v>
      </c>
      <c r="T939" s="1" t="s">
        <v>74</v>
      </c>
      <c r="U939" s="1" t="s">
        <v>74</v>
      </c>
      <c r="V939" s="1" t="s">
        <v>8683</v>
      </c>
      <c r="W939" s="1" t="s">
        <v>74</v>
      </c>
      <c r="X939" s="1" t="s">
        <v>74</v>
      </c>
      <c r="Y939" s="1" t="s">
        <v>74</v>
      </c>
      <c r="Z939" s="1" t="s">
        <v>74</v>
      </c>
      <c r="AA939" s="1" t="s">
        <v>8684</v>
      </c>
      <c r="AB939" s="1" t="s">
        <v>8685</v>
      </c>
      <c r="AC939" s="1" t="s">
        <v>74</v>
      </c>
      <c r="AD939" s="1" t="s">
        <v>74</v>
      </c>
      <c r="AE939" s="1" t="s">
        <v>74</v>
      </c>
      <c r="AF939" s="1" t="s">
        <v>74</v>
      </c>
      <c r="AG939" s="1" t="s">
        <v>74</v>
      </c>
      <c r="AH939" s="1" t="s">
        <v>74</v>
      </c>
      <c r="AI939" s="1" t="s">
        <v>74</v>
      </c>
      <c r="AJ939" s="1" t="s">
        <v>74</v>
      </c>
      <c r="AK939" s="1" t="s">
        <v>74</v>
      </c>
      <c r="AL939" s="1" t="s">
        <v>74</v>
      </c>
      <c r="AM939" s="1" t="s">
        <v>74</v>
      </c>
      <c r="AN939" s="1" t="s">
        <v>74</v>
      </c>
      <c r="AO939" s="1" t="s">
        <v>8686</v>
      </c>
      <c r="AP939" s="1" t="s">
        <v>74</v>
      </c>
      <c r="AQ939" s="1" t="s">
        <v>74</v>
      </c>
      <c r="AR939" s="1" t="s">
        <v>74</v>
      </c>
      <c r="AS939" s="1" t="s">
        <v>74</v>
      </c>
      <c r="AT939" s="1" t="s">
        <v>1334</v>
      </c>
      <c r="AU939" s="1">
        <v>1994.0</v>
      </c>
      <c r="AV939" s="1">
        <v>5.0</v>
      </c>
      <c r="AW939" s="1">
        <v>3.0</v>
      </c>
      <c r="AX939" s="1" t="s">
        <v>74</v>
      </c>
      <c r="AY939" s="1" t="s">
        <v>74</v>
      </c>
      <c r="AZ939" s="1" t="s">
        <v>74</v>
      </c>
      <c r="BA939" s="1" t="s">
        <v>74</v>
      </c>
      <c r="BB939" s="1">
        <v>203.0</v>
      </c>
      <c r="BC939" s="1">
        <v>208.0</v>
      </c>
      <c r="BD939" s="1" t="s">
        <v>74</v>
      </c>
      <c r="BE939" s="1" t="s">
        <v>8687</v>
      </c>
      <c r="BF939" s="2" t="str">
        <f>HYPERLINK("http://dx.doi.org/10.5935/0103-5053.19940035","http://dx.doi.org/10.5935/0103-5053.19940035")</f>
        <v>http://dx.doi.org/10.5935/0103-5053.19940035</v>
      </c>
      <c r="BG939" s="1" t="s">
        <v>74</v>
      </c>
      <c r="BH939" s="1" t="s">
        <v>74</v>
      </c>
      <c r="BI939" s="1" t="s">
        <v>74</v>
      </c>
      <c r="BJ939" s="1" t="s">
        <v>74</v>
      </c>
      <c r="BK939" s="1" t="s">
        <v>74</v>
      </c>
      <c r="BL939" s="1" t="s">
        <v>74</v>
      </c>
      <c r="BM939" s="1" t="s">
        <v>74</v>
      </c>
      <c r="BN939" s="1" t="s">
        <v>74</v>
      </c>
      <c r="BO939" s="1" t="s">
        <v>74</v>
      </c>
      <c r="BP939" s="1" t="s">
        <v>74</v>
      </c>
      <c r="BQ939" s="1" t="s">
        <v>74</v>
      </c>
      <c r="BR939" s="1" t="s">
        <v>74</v>
      </c>
      <c r="BS939" s="1" t="s">
        <v>8688</v>
      </c>
      <c r="BT939" s="1" t="str">
        <f>HYPERLINK("https%3A%2F%2Fwww.webofscience.com%2Fwos%2Fwoscc%2Ffull-record%2FWOS:A1994QK78500016","View Full Record in Web of Science")</f>
        <v>View Full Record in Web of Science</v>
      </c>
    </row>
    <row r="940" ht="12.75" customHeight="1">
      <c r="A940" s="1" t="s">
        <v>72</v>
      </c>
      <c r="B940" s="1" t="s">
        <v>8689</v>
      </c>
      <c r="C940" s="1" t="s">
        <v>74</v>
      </c>
      <c r="D940" s="1" t="s">
        <v>74</v>
      </c>
      <c r="E940" s="1" t="s">
        <v>74</v>
      </c>
      <c r="F940" s="1" t="s">
        <v>8689</v>
      </c>
      <c r="G940" s="1" t="s">
        <v>74</v>
      </c>
      <c r="H940" s="1" t="s">
        <v>74</v>
      </c>
      <c r="I940" s="1" t="s">
        <v>8690</v>
      </c>
      <c r="J940" s="1" t="s">
        <v>8691</v>
      </c>
      <c r="K940" s="1" t="s">
        <v>74</v>
      </c>
      <c r="L940" s="1" t="s">
        <v>74</v>
      </c>
      <c r="M940" s="1" t="s">
        <v>74</v>
      </c>
      <c r="N940" s="1" t="s">
        <v>74</v>
      </c>
      <c r="O940" s="1" t="s">
        <v>74</v>
      </c>
      <c r="P940" s="1" t="s">
        <v>74</v>
      </c>
      <c r="Q940" s="1" t="s">
        <v>74</v>
      </c>
      <c r="R940" s="1" t="s">
        <v>74</v>
      </c>
      <c r="S940" s="1" t="s">
        <v>74</v>
      </c>
      <c r="T940" s="1" t="s">
        <v>74</v>
      </c>
      <c r="U940" s="1" t="s">
        <v>74</v>
      </c>
      <c r="V940" s="1" t="s">
        <v>8692</v>
      </c>
      <c r="W940" s="1" t="s">
        <v>74</v>
      </c>
      <c r="X940" s="1" t="s">
        <v>74</v>
      </c>
      <c r="Y940" s="1" t="s">
        <v>74</v>
      </c>
      <c r="Z940" s="1" t="s">
        <v>74</v>
      </c>
      <c r="AA940" s="1" t="s">
        <v>74</v>
      </c>
      <c r="AB940" s="1" t="s">
        <v>74</v>
      </c>
      <c r="AC940" s="1" t="s">
        <v>74</v>
      </c>
      <c r="AD940" s="1" t="s">
        <v>74</v>
      </c>
      <c r="AE940" s="1" t="s">
        <v>74</v>
      </c>
      <c r="AF940" s="1" t="s">
        <v>74</v>
      </c>
      <c r="AG940" s="1" t="s">
        <v>74</v>
      </c>
      <c r="AH940" s="1" t="s">
        <v>74</v>
      </c>
      <c r="AI940" s="1" t="s">
        <v>74</v>
      </c>
      <c r="AJ940" s="1" t="s">
        <v>74</v>
      </c>
      <c r="AK940" s="1" t="s">
        <v>74</v>
      </c>
      <c r="AL940" s="1" t="s">
        <v>74</v>
      </c>
      <c r="AM940" s="1" t="s">
        <v>74</v>
      </c>
      <c r="AN940" s="1" t="s">
        <v>74</v>
      </c>
      <c r="AO940" s="1" t="s">
        <v>8693</v>
      </c>
      <c r="AP940" s="1" t="s">
        <v>74</v>
      </c>
      <c r="AQ940" s="1" t="s">
        <v>74</v>
      </c>
      <c r="AR940" s="1" t="s">
        <v>74</v>
      </c>
      <c r="AS940" s="1" t="s">
        <v>74</v>
      </c>
      <c r="AT940" s="1" t="s">
        <v>1049</v>
      </c>
      <c r="AU940" s="1">
        <v>1993.0</v>
      </c>
      <c r="AV940" s="1">
        <v>47.0</v>
      </c>
      <c r="AW940" s="1">
        <v>11.0</v>
      </c>
      <c r="AX940" s="1" t="s">
        <v>74</v>
      </c>
      <c r="AY940" s="1" t="s">
        <v>74</v>
      </c>
      <c r="AZ940" s="1" t="s">
        <v>74</v>
      </c>
      <c r="BA940" s="1" t="s">
        <v>74</v>
      </c>
      <c r="BB940" s="1">
        <v>1005.0</v>
      </c>
      <c r="BC940" s="1">
        <v>1014.0</v>
      </c>
      <c r="BD940" s="1" t="s">
        <v>74</v>
      </c>
      <c r="BE940" s="1" t="s">
        <v>74</v>
      </c>
      <c r="BF940" s="1" t="s">
        <v>74</v>
      </c>
      <c r="BG940" s="1" t="s">
        <v>74</v>
      </c>
      <c r="BH940" s="1" t="s">
        <v>74</v>
      </c>
      <c r="BI940" s="1" t="s">
        <v>74</v>
      </c>
      <c r="BJ940" s="1" t="s">
        <v>74</v>
      </c>
      <c r="BK940" s="1" t="s">
        <v>74</v>
      </c>
      <c r="BL940" s="1" t="s">
        <v>74</v>
      </c>
      <c r="BM940" s="1" t="s">
        <v>74</v>
      </c>
      <c r="BN940" s="1" t="s">
        <v>74</v>
      </c>
      <c r="BO940" s="1" t="s">
        <v>74</v>
      </c>
      <c r="BP940" s="1" t="s">
        <v>74</v>
      </c>
      <c r="BQ940" s="1" t="s">
        <v>74</v>
      </c>
      <c r="BR940" s="1" t="s">
        <v>74</v>
      </c>
      <c r="BS940" s="1" t="s">
        <v>8694</v>
      </c>
      <c r="BT940" s="1" t="str">
        <f>HYPERLINK("https%3A%2F%2Fwww.webofscience.com%2Fwos%2Fwoscc%2Ffull-record%2FWOS:A1993MM78000003","View Full Record in Web of Science")</f>
        <v>View Full Record in Web of Science</v>
      </c>
    </row>
    <row r="941" ht="12.75" customHeight="1">
      <c r="A941" s="1" t="s">
        <v>72</v>
      </c>
      <c r="B941" s="1" t="s">
        <v>8695</v>
      </c>
      <c r="C941" s="1" t="s">
        <v>74</v>
      </c>
      <c r="D941" s="1" t="s">
        <v>74</v>
      </c>
      <c r="E941" s="1" t="s">
        <v>74</v>
      </c>
      <c r="F941" s="1" t="s">
        <v>8695</v>
      </c>
      <c r="G941" s="1" t="s">
        <v>74</v>
      </c>
      <c r="H941" s="1" t="s">
        <v>74</v>
      </c>
      <c r="I941" s="1" t="s">
        <v>8696</v>
      </c>
      <c r="J941" s="1" t="s">
        <v>6984</v>
      </c>
      <c r="K941" s="1" t="s">
        <v>74</v>
      </c>
      <c r="L941" s="1" t="s">
        <v>74</v>
      </c>
      <c r="M941" s="1" t="s">
        <v>74</v>
      </c>
      <c r="N941" s="1" t="s">
        <v>74</v>
      </c>
      <c r="O941" s="1" t="s">
        <v>74</v>
      </c>
      <c r="P941" s="1" t="s">
        <v>74</v>
      </c>
      <c r="Q941" s="1" t="s">
        <v>74</v>
      </c>
      <c r="R941" s="1" t="s">
        <v>74</v>
      </c>
      <c r="S941" s="1" t="s">
        <v>74</v>
      </c>
      <c r="T941" s="1" t="s">
        <v>74</v>
      </c>
      <c r="U941" s="1" t="s">
        <v>74</v>
      </c>
      <c r="V941" s="1" t="s">
        <v>74</v>
      </c>
      <c r="W941" s="1" t="s">
        <v>74</v>
      </c>
      <c r="X941" s="1" t="s">
        <v>74</v>
      </c>
      <c r="Y941" s="1" t="s">
        <v>74</v>
      </c>
      <c r="Z941" s="1" t="s">
        <v>74</v>
      </c>
      <c r="AA941" s="1" t="s">
        <v>74</v>
      </c>
      <c r="AB941" s="1" t="s">
        <v>74</v>
      </c>
      <c r="AC941" s="1" t="s">
        <v>74</v>
      </c>
      <c r="AD941" s="1" t="s">
        <v>74</v>
      </c>
      <c r="AE941" s="1" t="s">
        <v>74</v>
      </c>
      <c r="AF941" s="1" t="s">
        <v>74</v>
      </c>
      <c r="AG941" s="1" t="s">
        <v>74</v>
      </c>
      <c r="AH941" s="1" t="s">
        <v>74</v>
      </c>
      <c r="AI941" s="1" t="s">
        <v>74</v>
      </c>
      <c r="AJ941" s="1" t="s">
        <v>74</v>
      </c>
      <c r="AK941" s="1" t="s">
        <v>74</v>
      </c>
      <c r="AL941" s="1" t="s">
        <v>74</v>
      </c>
      <c r="AM941" s="1" t="s">
        <v>74</v>
      </c>
      <c r="AN941" s="1" t="s">
        <v>74</v>
      </c>
      <c r="AO941" s="1" t="s">
        <v>6985</v>
      </c>
      <c r="AP941" s="1" t="s">
        <v>74</v>
      </c>
      <c r="AQ941" s="1" t="s">
        <v>74</v>
      </c>
      <c r="AR941" s="1" t="s">
        <v>74</v>
      </c>
      <c r="AS941" s="1" t="s">
        <v>74</v>
      </c>
      <c r="AT941" s="1" t="s">
        <v>123</v>
      </c>
      <c r="AU941" s="1">
        <v>1991.0</v>
      </c>
      <c r="AV941" s="1">
        <v>49.0</v>
      </c>
      <c r="AW941" s="1">
        <v>4.0</v>
      </c>
      <c r="AX941" s="1" t="s">
        <v>74</v>
      </c>
      <c r="AY941" s="1" t="s">
        <v>1511</v>
      </c>
      <c r="AZ941" s="1" t="s">
        <v>74</v>
      </c>
      <c r="BA941" s="1" t="s">
        <v>74</v>
      </c>
      <c r="BB941" s="1">
        <v>501.0</v>
      </c>
      <c r="BC941" s="1">
        <v>501.0</v>
      </c>
      <c r="BD941" s="1" t="s">
        <v>74</v>
      </c>
      <c r="BE941" s="1" t="s">
        <v>74</v>
      </c>
      <c r="BF941" s="1" t="s">
        <v>74</v>
      </c>
      <c r="BG941" s="1" t="s">
        <v>74</v>
      </c>
      <c r="BH941" s="1" t="s">
        <v>74</v>
      </c>
      <c r="BI941" s="1" t="s">
        <v>74</v>
      </c>
      <c r="BJ941" s="1" t="s">
        <v>74</v>
      </c>
      <c r="BK941" s="1" t="s">
        <v>74</v>
      </c>
      <c r="BL941" s="1" t="s">
        <v>74</v>
      </c>
      <c r="BM941" s="1" t="s">
        <v>74</v>
      </c>
      <c r="BN941" s="1" t="s">
        <v>74</v>
      </c>
      <c r="BO941" s="1" t="s">
        <v>74</v>
      </c>
      <c r="BP941" s="1" t="s">
        <v>74</v>
      </c>
      <c r="BQ941" s="1" t="s">
        <v>74</v>
      </c>
      <c r="BR941" s="1" t="s">
        <v>74</v>
      </c>
      <c r="BS941" s="1" t="s">
        <v>8697</v>
      </c>
      <c r="BT941" s="1" t="str">
        <f>HYPERLINK("https%3A%2F%2Fwww.webofscience.com%2Fwos%2Fwoscc%2Ffull-record%2FWOS:A1991GR30902861","View Full Record in Web of Science")</f>
        <v>View Full Record in Web of Science</v>
      </c>
    </row>
    <row r="942" ht="12.75" customHeight="1">
      <c r="A942" s="1" t="s">
        <v>72</v>
      </c>
      <c r="B942" s="1" t="s">
        <v>8698</v>
      </c>
      <c r="C942" s="1" t="s">
        <v>74</v>
      </c>
      <c r="D942" s="1" t="s">
        <v>74</v>
      </c>
      <c r="E942" s="1" t="s">
        <v>74</v>
      </c>
      <c r="F942" s="1" t="s">
        <v>8698</v>
      </c>
      <c r="G942" s="1" t="s">
        <v>74</v>
      </c>
      <c r="H942" s="1" t="s">
        <v>74</v>
      </c>
      <c r="I942" s="1" t="s">
        <v>8699</v>
      </c>
      <c r="J942" s="1" t="s">
        <v>8700</v>
      </c>
      <c r="K942" s="1" t="s">
        <v>74</v>
      </c>
      <c r="L942" s="1" t="s">
        <v>74</v>
      </c>
      <c r="M942" s="1" t="s">
        <v>74</v>
      </c>
      <c r="N942" s="1" t="s">
        <v>74</v>
      </c>
      <c r="O942" s="1" t="s">
        <v>74</v>
      </c>
      <c r="P942" s="1" t="s">
        <v>74</v>
      </c>
      <c r="Q942" s="1" t="s">
        <v>74</v>
      </c>
      <c r="R942" s="1" t="s">
        <v>74</v>
      </c>
      <c r="S942" s="1" t="s">
        <v>74</v>
      </c>
      <c r="T942" s="1" t="s">
        <v>74</v>
      </c>
      <c r="U942" s="1" t="s">
        <v>74</v>
      </c>
      <c r="V942" s="1" t="s">
        <v>8701</v>
      </c>
      <c r="W942" s="1" t="s">
        <v>74</v>
      </c>
      <c r="X942" s="1" t="s">
        <v>74</v>
      </c>
      <c r="Y942" s="1" t="s">
        <v>74</v>
      </c>
      <c r="Z942" s="1" t="s">
        <v>74</v>
      </c>
      <c r="AA942" s="1" t="s">
        <v>8702</v>
      </c>
      <c r="AB942" s="1" t="s">
        <v>8703</v>
      </c>
      <c r="AC942" s="1" t="s">
        <v>74</v>
      </c>
      <c r="AD942" s="1" t="s">
        <v>74</v>
      </c>
      <c r="AE942" s="1" t="s">
        <v>74</v>
      </c>
      <c r="AF942" s="1" t="s">
        <v>74</v>
      </c>
      <c r="AG942" s="1" t="s">
        <v>74</v>
      </c>
      <c r="AH942" s="1" t="s">
        <v>74</v>
      </c>
      <c r="AI942" s="1" t="s">
        <v>74</v>
      </c>
      <c r="AJ942" s="1" t="s">
        <v>74</v>
      </c>
      <c r="AK942" s="1" t="s">
        <v>74</v>
      </c>
      <c r="AL942" s="1" t="s">
        <v>74</v>
      </c>
      <c r="AM942" s="1" t="s">
        <v>74</v>
      </c>
      <c r="AN942" s="1" t="s">
        <v>74</v>
      </c>
      <c r="AO942" s="1" t="s">
        <v>8704</v>
      </c>
      <c r="AP942" s="1" t="s">
        <v>74</v>
      </c>
      <c r="AQ942" s="1" t="s">
        <v>74</v>
      </c>
      <c r="AR942" s="1" t="s">
        <v>74</v>
      </c>
      <c r="AS942" s="1" t="s">
        <v>74</v>
      </c>
      <c r="AT942" s="1" t="s">
        <v>310</v>
      </c>
      <c r="AU942" s="1">
        <v>1991.0</v>
      </c>
      <c r="AV942" s="1">
        <v>62.0</v>
      </c>
      <c r="AW942" s="1">
        <v>7.0</v>
      </c>
      <c r="AX942" s="1" t="s">
        <v>74</v>
      </c>
      <c r="AY942" s="1" t="s">
        <v>74</v>
      </c>
      <c r="AZ942" s="1" t="s">
        <v>74</v>
      </c>
      <c r="BA942" s="1" t="s">
        <v>74</v>
      </c>
      <c r="BB942" s="1">
        <v>1863.0</v>
      </c>
      <c r="BC942" s="1">
        <v>1864.0</v>
      </c>
      <c r="BD942" s="1" t="s">
        <v>74</v>
      </c>
      <c r="BE942" s="1" t="s">
        <v>8705</v>
      </c>
      <c r="BF942" s="2" t="str">
        <f>HYPERLINK("http://dx.doi.org/10.1063/1.1142385","http://dx.doi.org/10.1063/1.1142385")</f>
        <v>http://dx.doi.org/10.1063/1.1142385</v>
      </c>
      <c r="BG942" s="1" t="s">
        <v>74</v>
      </c>
      <c r="BH942" s="1" t="s">
        <v>74</v>
      </c>
      <c r="BI942" s="1" t="s">
        <v>74</v>
      </c>
      <c r="BJ942" s="1" t="s">
        <v>74</v>
      </c>
      <c r="BK942" s="1" t="s">
        <v>74</v>
      </c>
      <c r="BL942" s="1" t="s">
        <v>74</v>
      </c>
      <c r="BM942" s="1" t="s">
        <v>74</v>
      </c>
      <c r="BN942" s="1" t="s">
        <v>74</v>
      </c>
      <c r="BO942" s="1" t="s">
        <v>74</v>
      </c>
      <c r="BP942" s="1" t="s">
        <v>74</v>
      </c>
      <c r="BQ942" s="1" t="s">
        <v>74</v>
      </c>
      <c r="BR942" s="1" t="s">
        <v>74</v>
      </c>
      <c r="BS942" s="1" t="s">
        <v>8706</v>
      </c>
      <c r="BT942" s="1" t="str">
        <f>HYPERLINK("https%3A%2F%2Fwww.webofscience.com%2Fwos%2Fwoscc%2Ffull-record%2FWOS:A1991FU52200030","View Full Record in Web of Science")</f>
        <v>View Full Record in Web of Science</v>
      </c>
    </row>
    <row r="943" ht="12.75" customHeight="1">
      <c r="A943" s="1" t="s">
        <v>72</v>
      </c>
      <c r="B943" s="1" t="s">
        <v>8707</v>
      </c>
      <c r="C943" s="1" t="s">
        <v>74</v>
      </c>
      <c r="D943" s="1" t="s">
        <v>74</v>
      </c>
      <c r="E943" s="1" t="s">
        <v>74</v>
      </c>
      <c r="F943" s="1" t="s">
        <v>8707</v>
      </c>
      <c r="G943" s="1" t="s">
        <v>74</v>
      </c>
      <c r="H943" s="1" t="s">
        <v>74</v>
      </c>
      <c r="I943" s="1" t="s">
        <v>8708</v>
      </c>
      <c r="J943" s="1" t="s">
        <v>8608</v>
      </c>
      <c r="K943" s="1" t="s">
        <v>74</v>
      </c>
      <c r="L943" s="1" t="s">
        <v>74</v>
      </c>
      <c r="M943" s="1" t="s">
        <v>74</v>
      </c>
      <c r="N943" s="1" t="s">
        <v>74</v>
      </c>
      <c r="O943" s="1" t="s">
        <v>74</v>
      </c>
      <c r="P943" s="1" t="s">
        <v>74</v>
      </c>
      <c r="Q943" s="1" t="s">
        <v>74</v>
      </c>
      <c r="R943" s="1" t="s">
        <v>74</v>
      </c>
      <c r="S943" s="1" t="s">
        <v>74</v>
      </c>
      <c r="T943" s="1" t="s">
        <v>74</v>
      </c>
      <c r="U943" s="1" t="s">
        <v>74</v>
      </c>
      <c r="V943" s="1" t="s">
        <v>8709</v>
      </c>
      <c r="W943" s="1" t="s">
        <v>74</v>
      </c>
      <c r="X943" s="1" t="s">
        <v>74</v>
      </c>
      <c r="Y943" s="1" t="s">
        <v>74</v>
      </c>
      <c r="Z943" s="1" t="s">
        <v>74</v>
      </c>
      <c r="AA943" s="1" t="s">
        <v>74</v>
      </c>
      <c r="AB943" s="1" t="s">
        <v>74</v>
      </c>
      <c r="AC943" s="1" t="s">
        <v>74</v>
      </c>
      <c r="AD943" s="1" t="s">
        <v>74</v>
      </c>
      <c r="AE943" s="1" t="s">
        <v>74</v>
      </c>
      <c r="AF943" s="1" t="s">
        <v>74</v>
      </c>
      <c r="AG943" s="1" t="s">
        <v>74</v>
      </c>
      <c r="AH943" s="1" t="s">
        <v>74</v>
      </c>
      <c r="AI943" s="1" t="s">
        <v>74</v>
      </c>
      <c r="AJ943" s="1" t="s">
        <v>74</v>
      </c>
      <c r="AK943" s="1" t="s">
        <v>74</v>
      </c>
      <c r="AL943" s="1" t="s">
        <v>74</v>
      </c>
      <c r="AM943" s="1" t="s">
        <v>74</v>
      </c>
      <c r="AN943" s="1" t="s">
        <v>74</v>
      </c>
      <c r="AO943" s="1" t="s">
        <v>8615</v>
      </c>
      <c r="AP943" s="1" t="s">
        <v>74</v>
      </c>
      <c r="AQ943" s="1" t="s">
        <v>74</v>
      </c>
      <c r="AR943" s="1" t="s">
        <v>74</v>
      </c>
      <c r="AS943" s="1" t="s">
        <v>74</v>
      </c>
      <c r="AT943" s="1" t="s">
        <v>74</v>
      </c>
      <c r="AU943" s="1">
        <v>1991.0</v>
      </c>
      <c r="AV943" s="1">
        <v>24.0</v>
      </c>
      <c r="AW943" s="1">
        <v>6.0</v>
      </c>
      <c r="AX943" s="1" t="s">
        <v>74</v>
      </c>
      <c r="AY943" s="1" t="s">
        <v>74</v>
      </c>
      <c r="AZ943" s="1" t="s">
        <v>74</v>
      </c>
      <c r="BA943" s="1" t="s">
        <v>74</v>
      </c>
      <c r="BB943" s="1">
        <v>547.0</v>
      </c>
      <c r="BC943" s="1">
        <v>558.0</v>
      </c>
      <c r="BD943" s="1" t="s">
        <v>74</v>
      </c>
      <c r="BE943" s="1" t="s">
        <v>74</v>
      </c>
      <c r="BF943" s="1" t="s">
        <v>74</v>
      </c>
      <c r="BG943" s="1" t="s">
        <v>74</v>
      </c>
      <c r="BH943" s="1" t="s">
        <v>74</v>
      </c>
      <c r="BI943" s="1" t="s">
        <v>74</v>
      </c>
      <c r="BJ943" s="1" t="s">
        <v>74</v>
      </c>
      <c r="BK943" s="1" t="s">
        <v>74</v>
      </c>
      <c r="BL943" s="1" t="s">
        <v>74</v>
      </c>
      <c r="BM943" s="1" t="s">
        <v>74</v>
      </c>
      <c r="BN943" s="1">
        <v>1823269.0</v>
      </c>
      <c r="BO943" s="1" t="s">
        <v>74</v>
      </c>
      <c r="BP943" s="1" t="s">
        <v>74</v>
      </c>
      <c r="BQ943" s="1" t="s">
        <v>74</v>
      </c>
      <c r="BR943" s="1" t="s">
        <v>74</v>
      </c>
      <c r="BS943" s="1" t="s">
        <v>8710</v>
      </c>
      <c r="BT943" s="1" t="str">
        <f>HYPERLINK("https%3A%2F%2Fwww.webofscience.com%2Fwos%2Fwoscc%2Ffull-record%2FWOS:A1991GC18700001","View Full Record in Web of Science")</f>
        <v>View Full Record in Web of Science</v>
      </c>
    </row>
    <row r="944" ht="12.75" customHeight="1">
      <c r="A944" s="1" t="s">
        <v>72</v>
      </c>
      <c r="B944" s="1" t="s">
        <v>8711</v>
      </c>
      <c r="C944" s="1" t="s">
        <v>74</v>
      </c>
      <c r="D944" s="1" t="s">
        <v>74</v>
      </c>
      <c r="E944" s="1" t="s">
        <v>74</v>
      </c>
      <c r="F944" s="1" t="s">
        <v>8711</v>
      </c>
      <c r="G944" s="1" t="s">
        <v>74</v>
      </c>
      <c r="H944" s="1" t="s">
        <v>74</v>
      </c>
      <c r="I944" s="1" t="s">
        <v>8712</v>
      </c>
      <c r="J944" s="1" t="s">
        <v>1597</v>
      </c>
      <c r="K944" s="1" t="s">
        <v>74</v>
      </c>
      <c r="L944" s="1" t="s">
        <v>74</v>
      </c>
      <c r="M944" s="1" t="s">
        <v>74</v>
      </c>
      <c r="N944" s="1" t="s">
        <v>74</v>
      </c>
      <c r="O944" s="1" t="s">
        <v>74</v>
      </c>
      <c r="P944" s="1" t="s">
        <v>74</v>
      </c>
      <c r="Q944" s="1" t="s">
        <v>74</v>
      </c>
      <c r="R944" s="1" t="s">
        <v>74</v>
      </c>
      <c r="S944" s="1" t="s">
        <v>74</v>
      </c>
      <c r="T944" s="1" t="s">
        <v>74</v>
      </c>
      <c r="U944" s="1" t="s">
        <v>74</v>
      </c>
      <c r="V944" s="1" t="s">
        <v>8713</v>
      </c>
      <c r="W944" s="1" t="s">
        <v>74</v>
      </c>
      <c r="X944" s="1" t="s">
        <v>74</v>
      </c>
      <c r="Y944" s="1" t="s">
        <v>74</v>
      </c>
      <c r="Z944" s="1" t="s">
        <v>74</v>
      </c>
      <c r="AA944" s="1" t="s">
        <v>74</v>
      </c>
      <c r="AB944" s="1" t="s">
        <v>74</v>
      </c>
      <c r="AC944" s="1" t="s">
        <v>74</v>
      </c>
      <c r="AD944" s="1" t="s">
        <v>74</v>
      </c>
      <c r="AE944" s="1" t="s">
        <v>74</v>
      </c>
      <c r="AF944" s="1" t="s">
        <v>74</v>
      </c>
      <c r="AG944" s="1" t="s">
        <v>74</v>
      </c>
      <c r="AH944" s="1" t="s">
        <v>74</v>
      </c>
      <c r="AI944" s="1" t="s">
        <v>74</v>
      </c>
      <c r="AJ944" s="1" t="s">
        <v>74</v>
      </c>
      <c r="AK944" s="1" t="s">
        <v>74</v>
      </c>
      <c r="AL944" s="1" t="s">
        <v>74</v>
      </c>
      <c r="AM944" s="1" t="s">
        <v>74</v>
      </c>
      <c r="AN944" s="1" t="s">
        <v>74</v>
      </c>
      <c r="AO944" s="1" t="s">
        <v>1601</v>
      </c>
      <c r="AP944" s="1" t="s">
        <v>8714</v>
      </c>
      <c r="AQ944" s="1" t="s">
        <v>74</v>
      </c>
      <c r="AR944" s="1" t="s">
        <v>74</v>
      </c>
      <c r="AS944" s="1" t="s">
        <v>74</v>
      </c>
      <c r="AT944" s="1" t="s">
        <v>74</v>
      </c>
      <c r="AU944" s="1">
        <v>1984.0</v>
      </c>
      <c r="AV944" s="1">
        <v>23.0</v>
      </c>
      <c r="AW944" s="1">
        <v>6.0</v>
      </c>
      <c r="AX944" s="1" t="s">
        <v>74</v>
      </c>
      <c r="AY944" s="1" t="s">
        <v>74</v>
      </c>
      <c r="AZ944" s="1" t="s">
        <v>74</v>
      </c>
      <c r="BA944" s="1" t="s">
        <v>74</v>
      </c>
      <c r="BB944" s="1">
        <v>1301.0</v>
      </c>
      <c r="BC944" s="1">
        <v>1303.0</v>
      </c>
      <c r="BD944" s="1" t="s">
        <v>74</v>
      </c>
      <c r="BE944" s="1" t="s">
        <v>8715</v>
      </c>
      <c r="BF944" s="2" t="str">
        <f>HYPERLINK("http://dx.doi.org/10.1016/S0031-9422(00)80446-X","http://dx.doi.org/10.1016/S0031-9422(00)80446-X")</f>
        <v>http://dx.doi.org/10.1016/S0031-9422(00)80446-X</v>
      </c>
      <c r="BG944" s="1" t="s">
        <v>74</v>
      </c>
      <c r="BH944" s="1" t="s">
        <v>74</v>
      </c>
      <c r="BI944" s="1" t="s">
        <v>74</v>
      </c>
      <c r="BJ944" s="1" t="s">
        <v>74</v>
      </c>
      <c r="BK944" s="1" t="s">
        <v>74</v>
      </c>
      <c r="BL944" s="1" t="s">
        <v>74</v>
      </c>
      <c r="BM944" s="1" t="s">
        <v>74</v>
      </c>
      <c r="BN944" s="1" t="s">
        <v>74</v>
      </c>
      <c r="BO944" s="1" t="s">
        <v>74</v>
      </c>
      <c r="BP944" s="1" t="s">
        <v>74</v>
      </c>
      <c r="BQ944" s="1" t="s">
        <v>74</v>
      </c>
      <c r="BR944" s="1" t="s">
        <v>74</v>
      </c>
      <c r="BS944" s="1" t="s">
        <v>8716</v>
      </c>
      <c r="BT944" s="1" t="str">
        <f>HYPERLINK("https%3A%2F%2Fwww.webofscience.com%2Fwos%2Fwoscc%2Ffull-record%2FWOS:A1984SW08700019","View Full Record in Web of Science")</f>
        <v>View Full Record in Web of Science</v>
      </c>
    </row>
    <row r="945" ht="12.75" customHeight="1">
      <c r="A945" s="1" t="s">
        <v>72</v>
      </c>
      <c r="B945" s="1" t="s">
        <v>8717</v>
      </c>
      <c r="C945" s="1" t="s">
        <v>74</v>
      </c>
      <c r="D945" s="1" t="s">
        <v>74</v>
      </c>
      <c r="E945" s="1" t="s">
        <v>74</v>
      </c>
      <c r="F945" s="1" t="s">
        <v>8717</v>
      </c>
      <c r="G945" s="1" t="s">
        <v>74</v>
      </c>
      <c r="H945" s="1" t="s">
        <v>74</v>
      </c>
      <c r="I945" s="1" t="s">
        <v>8718</v>
      </c>
      <c r="J945" s="1" t="s">
        <v>8719</v>
      </c>
      <c r="K945" s="1" t="s">
        <v>74</v>
      </c>
      <c r="L945" s="1" t="s">
        <v>74</v>
      </c>
      <c r="M945" s="1" t="s">
        <v>74</v>
      </c>
      <c r="N945" s="1" t="s">
        <v>74</v>
      </c>
      <c r="O945" s="1" t="s">
        <v>74</v>
      </c>
      <c r="P945" s="1" t="s">
        <v>74</v>
      </c>
      <c r="Q945" s="1" t="s">
        <v>74</v>
      </c>
      <c r="R945" s="1" t="s">
        <v>74</v>
      </c>
      <c r="S945" s="1" t="s">
        <v>74</v>
      </c>
      <c r="T945" s="1" t="s">
        <v>74</v>
      </c>
      <c r="U945" s="1" t="s">
        <v>74</v>
      </c>
      <c r="V945" s="1" t="s">
        <v>74</v>
      </c>
      <c r="W945" s="1" t="s">
        <v>74</v>
      </c>
      <c r="X945" s="1" t="s">
        <v>74</v>
      </c>
      <c r="Y945" s="1" t="s">
        <v>74</v>
      </c>
      <c r="Z945" s="1" t="s">
        <v>74</v>
      </c>
      <c r="AA945" s="1" t="s">
        <v>74</v>
      </c>
      <c r="AB945" s="1" t="s">
        <v>74</v>
      </c>
      <c r="AC945" s="1" t="s">
        <v>74</v>
      </c>
      <c r="AD945" s="1" t="s">
        <v>74</v>
      </c>
      <c r="AE945" s="1" t="s">
        <v>74</v>
      </c>
      <c r="AF945" s="1" t="s">
        <v>74</v>
      </c>
      <c r="AG945" s="1" t="s">
        <v>74</v>
      </c>
      <c r="AH945" s="1" t="s">
        <v>74</v>
      </c>
      <c r="AI945" s="1" t="s">
        <v>74</v>
      </c>
      <c r="AJ945" s="1" t="s">
        <v>74</v>
      </c>
      <c r="AK945" s="1" t="s">
        <v>74</v>
      </c>
      <c r="AL945" s="1" t="s">
        <v>74</v>
      </c>
      <c r="AM945" s="1" t="s">
        <v>74</v>
      </c>
      <c r="AN945" s="1" t="s">
        <v>74</v>
      </c>
      <c r="AO945" s="1" t="s">
        <v>8720</v>
      </c>
      <c r="AP945" s="1" t="s">
        <v>74</v>
      </c>
      <c r="AQ945" s="1" t="s">
        <v>74</v>
      </c>
      <c r="AR945" s="1" t="s">
        <v>74</v>
      </c>
      <c r="AS945" s="1" t="s">
        <v>74</v>
      </c>
      <c r="AT945" s="1" t="s">
        <v>74</v>
      </c>
      <c r="AU945" s="1">
        <v>1982.0</v>
      </c>
      <c r="AV945" s="1">
        <v>110.0</v>
      </c>
      <c r="AW945" s="1">
        <v>1.0</v>
      </c>
      <c r="AX945" s="1" t="s">
        <v>74</v>
      </c>
      <c r="AY945" s="1" t="s">
        <v>74</v>
      </c>
      <c r="AZ945" s="1" t="s">
        <v>74</v>
      </c>
      <c r="BA945" s="1" t="s">
        <v>74</v>
      </c>
      <c r="BB945" s="1">
        <v>21.0</v>
      </c>
      <c r="BC945" s="1">
        <v>30.0</v>
      </c>
      <c r="BD945" s="1" t="s">
        <v>74</v>
      </c>
      <c r="BE945" s="1" t="s">
        <v>8721</v>
      </c>
      <c r="BF945" s="2" t="str">
        <f>HYPERLINK("http://dx.doi.org/10.1080/00223980.1982.9915321","http://dx.doi.org/10.1080/00223980.1982.9915321")</f>
        <v>http://dx.doi.org/10.1080/00223980.1982.9915321</v>
      </c>
      <c r="BG945" s="1" t="s">
        <v>74</v>
      </c>
      <c r="BH945" s="1" t="s">
        <v>74</v>
      </c>
      <c r="BI945" s="1" t="s">
        <v>74</v>
      </c>
      <c r="BJ945" s="1" t="s">
        <v>74</v>
      </c>
      <c r="BK945" s="1" t="s">
        <v>74</v>
      </c>
      <c r="BL945" s="1" t="s">
        <v>74</v>
      </c>
      <c r="BM945" s="1" t="s">
        <v>74</v>
      </c>
      <c r="BN945" s="1" t="s">
        <v>74</v>
      </c>
      <c r="BO945" s="1" t="s">
        <v>74</v>
      </c>
      <c r="BP945" s="1" t="s">
        <v>74</v>
      </c>
      <c r="BQ945" s="1" t="s">
        <v>74</v>
      </c>
      <c r="BR945" s="1" t="s">
        <v>74</v>
      </c>
      <c r="BS945" s="1" t="s">
        <v>8722</v>
      </c>
      <c r="BT945" s="1" t="str">
        <f>HYPERLINK("https%3A%2F%2Fwww.webofscience.com%2Fwos%2Fwoscc%2Ffull-record%2FWOS:A1982NA97400004","View Full Record in Web of Science")</f>
        <v>View Full Record in Web of Science</v>
      </c>
    </row>
    <row r="946" ht="12.75" customHeight="1">
      <c r="A946" s="1" t="s">
        <v>72</v>
      </c>
      <c r="B946" s="1" t="s">
        <v>8723</v>
      </c>
      <c r="C946" s="1" t="s">
        <v>74</v>
      </c>
      <c r="D946" s="1" t="s">
        <v>74</v>
      </c>
      <c r="E946" s="1" t="s">
        <v>74</v>
      </c>
      <c r="F946" s="1" t="s">
        <v>8723</v>
      </c>
      <c r="G946" s="1" t="s">
        <v>74</v>
      </c>
      <c r="H946" s="1" t="s">
        <v>74</v>
      </c>
      <c r="I946" s="1" t="s">
        <v>8724</v>
      </c>
      <c r="J946" s="1" t="s">
        <v>3837</v>
      </c>
      <c r="K946" s="1" t="s">
        <v>74</v>
      </c>
      <c r="L946" s="1" t="s">
        <v>74</v>
      </c>
      <c r="M946" s="1" t="s">
        <v>74</v>
      </c>
      <c r="N946" s="1" t="s">
        <v>74</v>
      </c>
      <c r="O946" s="1" t="s">
        <v>74</v>
      </c>
      <c r="P946" s="1" t="s">
        <v>74</v>
      </c>
      <c r="Q946" s="1" t="s">
        <v>74</v>
      </c>
      <c r="R946" s="1" t="s">
        <v>74</v>
      </c>
      <c r="S946" s="1" t="s">
        <v>74</v>
      </c>
      <c r="T946" s="1" t="s">
        <v>74</v>
      </c>
      <c r="U946" s="1" t="s">
        <v>74</v>
      </c>
      <c r="V946" s="1" t="s">
        <v>74</v>
      </c>
      <c r="W946" s="1" t="s">
        <v>74</v>
      </c>
      <c r="X946" s="1" t="s">
        <v>74</v>
      </c>
      <c r="Y946" s="1" t="s">
        <v>74</v>
      </c>
      <c r="Z946" s="1" t="s">
        <v>74</v>
      </c>
      <c r="AA946" s="1" t="s">
        <v>74</v>
      </c>
      <c r="AB946" s="1" t="s">
        <v>74</v>
      </c>
      <c r="AC946" s="1" t="s">
        <v>74</v>
      </c>
      <c r="AD946" s="1" t="s">
        <v>74</v>
      </c>
      <c r="AE946" s="1" t="s">
        <v>74</v>
      </c>
      <c r="AF946" s="1" t="s">
        <v>74</v>
      </c>
      <c r="AG946" s="1" t="s">
        <v>74</v>
      </c>
      <c r="AH946" s="1" t="s">
        <v>74</v>
      </c>
      <c r="AI946" s="1" t="s">
        <v>74</v>
      </c>
      <c r="AJ946" s="1" t="s">
        <v>74</v>
      </c>
      <c r="AK946" s="1" t="s">
        <v>74</v>
      </c>
      <c r="AL946" s="1" t="s">
        <v>74</v>
      </c>
      <c r="AM946" s="1" t="s">
        <v>74</v>
      </c>
      <c r="AN946" s="1" t="s">
        <v>74</v>
      </c>
      <c r="AO946" s="1" t="s">
        <v>3838</v>
      </c>
      <c r="AP946" s="1" t="s">
        <v>74</v>
      </c>
      <c r="AQ946" s="1" t="s">
        <v>74</v>
      </c>
      <c r="AR946" s="1" t="s">
        <v>74</v>
      </c>
      <c r="AS946" s="1" t="s">
        <v>74</v>
      </c>
      <c r="AT946" s="1" t="s">
        <v>74</v>
      </c>
      <c r="AU946" s="1">
        <v>1981.0</v>
      </c>
      <c r="AV946" s="1">
        <v>89.0</v>
      </c>
      <c r="AW946" s="1">
        <v>2.0</v>
      </c>
      <c r="AX946" s="1" t="s">
        <v>74</v>
      </c>
      <c r="AY946" s="1" t="s">
        <v>74</v>
      </c>
      <c r="AZ946" s="1" t="s">
        <v>74</v>
      </c>
      <c r="BA946" s="1" t="s">
        <v>74</v>
      </c>
      <c r="BB946" s="1">
        <v>326.0</v>
      </c>
      <c r="BC946" s="1">
        <v>328.0</v>
      </c>
      <c r="BD946" s="1" t="s">
        <v>74</v>
      </c>
      <c r="BE946" s="1" t="s">
        <v>8725</v>
      </c>
      <c r="BF946" s="2" t="str">
        <f>HYPERLINK("http://dx.doi.org/10.1016/S0008-6215(00)85258-1","http://dx.doi.org/10.1016/S0008-6215(00)85258-1")</f>
        <v>http://dx.doi.org/10.1016/S0008-6215(00)85258-1</v>
      </c>
      <c r="BG946" s="1" t="s">
        <v>74</v>
      </c>
      <c r="BH946" s="1" t="s">
        <v>74</v>
      </c>
      <c r="BI946" s="1" t="s">
        <v>74</v>
      </c>
      <c r="BJ946" s="1" t="s">
        <v>74</v>
      </c>
      <c r="BK946" s="1" t="s">
        <v>74</v>
      </c>
      <c r="BL946" s="1" t="s">
        <v>74</v>
      </c>
      <c r="BM946" s="1" t="s">
        <v>74</v>
      </c>
      <c r="BN946" s="1" t="s">
        <v>74</v>
      </c>
      <c r="BO946" s="1" t="s">
        <v>74</v>
      </c>
      <c r="BP946" s="1" t="s">
        <v>74</v>
      </c>
      <c r="BQ946" s="1" t="s">
        <v>74</v>
      </c>
      <c r="BR946" s="1" t="s">
        <v>74</v>
      </c>
      <c r="BS946" s="1" t="s">
        <v>8726</v>
      </c>
      <c r="BT946" s="1" t="str">
        <f>HYPERLINK("https%3A%2F%2Fwww.webofscience.com%2Fwos%2Fwoscc%2Ffull-record%2FWOS:A1981LF21000016","View Full Record in Web of Science")</f>
        <v>View Full Record in Web of Science</v>
      </c>
    </row>
    <row r="947" ht="12.75" customHeight="1">
      <c r="A947" s="1" t="s">
        <v>72</v>
      </c>
      <c r="B947" s="1" t="s">
        <v>8727</v>
      </c>
      <c r="C947" s="1" t="s">
        <v>74</v>
      </c>
      <c r="D947" s="1" t="s">
        <v>74</v>
      </c>
      <c r="E947" s="1" t="s">
        <v>74</v>
      </c>
      <c r="F947" s="1" t="s">
        <v>8727</v>
      </c>
      <c r="G947" s="1" t="s">
        <v>74</v>
      </c>
      <c r="H947" s="1" t="s">
        <v>74</v>
      </c>
      <c r="I947" s="1" t="s">
        <v>8728</v>
      </c>
      <c r="J947" s="1" t="s">
        <v>3163</v>
      </c>
      <c r="K947" s="1" t="s">
        <v>74</v>
      </c>
      <c r="L947" s="1" t="s">
        <v>74</v>
      </c>
      <c r="M947" s="1" t="s">
        <v>74</v>
      </c>
      <c r="N947" s="1" t="s">
        <v>74</v>
      </c>
      <c r="O947" s="1" t="s">
        <v>74</v>
      </c>
      <c r="P947" s="1" t="s">
        <v>74</v>
      </c>
      <c r="Q947" s="1" t="s">
        <v>74</v>
      </c>
      <c r="R947" s="1" t="s">
        <v>74</v>
      </c>
      <c r="S947" s="1" t="s">
        <v>74</v>
      </c>
      <c r="T947" s="1" t="s">
        <v>74</v>
      </c>
      <c r="U947" s="1" t="s">
        <v>74</v>
      </c>
      <c r="V947" s="1" t="s">
        <v>74</v>
      </c>
      <c r="W947" s="1" t="s">
        <v>74</v>
      </c>
      <c r="X947" s="1" t="s">
        <v>74</v>
      </c>
      <c r="Y947" s="1" t="s">
        <v>74</v>
      </c>
      <c r="Z947" s="1" t="s">
        <v>74</v>
      </c>
      <c r="AA947" s="1" t="s">
        <v>74</v>
      </c>
      <c r="AB947" s="1" t="s">
        <v>74</v>
      </c>
      <c r="AC947" s="1" t="s">
        <v>74</v>
      </c>
      <c r="AD947" s="1" t="s">
        <v>74</v>
      </c>
      <c r="AE947" s="1" t="s">
        <v>74</v>
      </c>
      <c r="AF947" s="1" t="s">
        <v>74</v>
      </c>
      <c r="AG947" s="1" t="s">
        <v>74</v>
      </c>
      <c r="AH947" s="1" t="s">
        <v>74</v>
      </c>
      <c r="AI947" s="1" t="s">
        <v>74</v>
      </c>
      <c r="AJ947" s="1" t="s">
        <v>74</v>
      </c>
      <c r="AK947" s="1" t="s">
        <v>74</v>
      </c>
      <c r="AL947" s="1" t="s">
        <v>74</v>
      </c>
      <c r="AM947" s="1" t="s">
        <v>74</v>
      </c>
      <c r="AN947" s="1" t="s">
        <v>74</v>
      </c>
      <c r="AO947" s="1" t="s">
        <v>3164</v>
      </c>
      <c r="AP947" s="1" t="s">
        <v>74</v>
      </c>
      <c r="AQ947" s="1" t="s">
        <v>74</v>
      </c>
      <c r="AR947" s="1" t="s">
        <v>74</v>
      </c>
      <c r="AS947" s="1" t="s">
        <v>74</v>
      </c>
      <c r="AT947" s="1" t="s">
        <v>74</v>
      </c>
      <c r="AU947" s="1">
        <v>1980.0</v>
      </c>
      <c r="AV947" s="1">
        <v>16.0</v>
      </c>
      <c r="AW947" s="1">
        <v>10.0</v>
      </c>
      <c r="AX947" s="1" t="s">
        <v>74</v>
      </c>
      <c r="AY947" s="1" t="s">
        <v>74</v>
      </c>
      <c r="AZ947" s="1" t="s">
        <v>74</v>
      </c>
      <c r="BA947" s="1" t="s">
        <v>74</v>
      </c>
      <c r="BB947" s="1">
        <v>1023.0</v>
      </c>
      <c r="BC947" s="1">
        <v>1025.0</v>
      </c>
      <c r="BD947" s="1" t="s">
        <v>74</v>
      </c>
      <c r="BE947" s="1" t="s">
        <v>8729</v>
      </c>
      <c r="BF947" s="2" t="str">
        <f>HYPERLINK("http://dx.doi.org/10.1016/0014-3057(80)90186-X","http://dx.doi.org/10.1016/0014-3057(80)90186-X")</f>
        <v>http://dx.doi.org/10.1016/0014-3057(80)90186-X</v>
      </c>
      <c r="BG947" s="1" t="s">
        <v>74</v>
      </c>
      <c r="BH947" s="1" t="s">
        <v>74</v>
      </c>
      <c r="BI947" s="1" t="s">
        <v>74</v>
      </c>
      <c r="BJ947" s="1" t="s">
        <v>74</v>
      </c>
      <c r="BK947" s="1" t="s">
        <v>74</v>
      </c>
      <c r="BL947" s="1" t="s">
        <v>74</v>
      </c>
      <c r="BM947" s="1" t="s">
        <v>74</v>
      </c>
      <c r="BN947" s="1" t="s">
        <v>74</v>
      </c>
      <c r="BO947" s="1" t="s">
        <v>74</v>
      </c>
      <c r="BP947" s="1" t="s">
        <v>74</v>
      </c>
      <c r="BQ947" s="1" t="s">
        <v>74</v>
      </c>
      <c r="BR947" s="1" t="s">
        <v>74</v>
      </c>
      <c r="BS947" s="1" t="s">
        <v>8730</v>
      </c>
      <c r="BT947" s="1" t="str">
        <f>HYPERLINK("https%3A%2F%2Fwww.webofscience.com%2Fwos%2Fwoscc%2Ffull-record%2FWOS:A1980KM44600017","View Full Record in Web of Science")</f>
        <v>View Full Record in Web of Science</v>
      </c>
    </row>
    <row r="948" ht="12.75" customHeight="1">
      <c r="A948" s="1" t="s">
        <v>72</v>
      </c>
      <c r="B948" s="1" t="s">
        <v>8731</v>
      </c>
      <c r="C948" s="1" t="s">
        <v>74</v>
      </c>
      <c r="D948" s="1" t="s">
        <v>74</v>
      </c>
      <c r="E948" s="1" t="s">
        <v>74</v>
      </c>
      <c r="F948" s="1" t="s">
        <v>8731</v>
      </c>
      <c r="G948" s="1" t="s">
        <v>74</v>
      </c>
      <c r="H948" s="1" t="s">
        <v>74</v>
      </c>
      <c r="I948" s="1" t="s">
        <v>8732</v>
      </c>
      <c r="J948" s="1" t="s">
        <v>8028</v>
      </c>
      <c r="K948" s="1" t="s">
        <v>74</v>
      </c>
      <c r="L948" s="1" t="s">
        <v>74</v>
      </c>
      <c r="M948" s="1" t="s">
        <v>74</v>
      </c>
      <c r="N948" s="1" t="s">
        <v>74</v>
      </c>
      <c r="O948" s="1" t="s">
        <v>74</v>
      </c>
      <c r="P948" s="1" t="s">
        <v>74</v>
      </c>
      <c r="Q948" s="1" t="s">
        <v>74</v>
      </c>
      <c r="R948" s="1" t="s">
        <v>74</v>
      </c>
      <c r="S948" s="1" t="s">
        <v>74</v>
      </c>
      <c r="T948" s="1" t="s">
        <v>74</v>
      </c>
      <c r="U948" s="1" t="s">
        <v>74</v>
      </c>
      <c r="V948" s="1" t="s">
        <v>74</v>
      </c>
      <c r="W948" s="1" t="s">
        <v>74</v>
      </c>
      <c r="X948" s="1" t="s">
        <v>74</v>
      </c>
      <c r="Y948" s="1" t="s">
        <v>74</v>
      </c>
      <c r="Z948" s="1" t="s">
        <v>74</v>
      </c>
      <c r="AA948" s="1" t="s">
        <v>74</v>
      </c>
      <c r="AB948" s="1" t="s">
        <v>74</v>
      </c>
      <c r="AC948" s="1" t="s">
        <v>74</v>
      </c>
      <c r="AD948" s="1" t="s">
        <v>74</v>
      </c>
      <c r="AE948" s="1" t="s">
        <v>74</v>
      </c>
      <c r="AF948" s="1" t="s">
        <v>74</v>
      </c>
      <c r="AG948" s="1" t="s">
        <v>74</v>
      </c>
      <c r="AH948" s="1" t="s">
        <v>74</v>
      </c>
      <c r="AI948" s="1" t="s">
        <v>74</v>
      </c>
      <c r="AJ948" s="1" t="s">
        <v>74</v>
      </c>
      <c r="AK948" s="1" t="s">
        <v>74</v>
      </c>
      <c r="AL948" s="1" t="s">
        <v>74</v>
      </c>
      <c r="AM948" s="1" t="s">
        <v>74</v>
      </c>
      <c r="AN948" s="1" t="s">
        <v>74</v>
      </c>
      <c r="AO948" s="1" t="s">
        <v>8029</v>
      </c>
      <c r="AP948" s="1" t="s">
        <v>74</v>
      </c>
      <c r="AQ948" s="1" t="s">
        <v>74</v>
      </c>
      <c r="AR948" s="1" t="s">
        <v>74</v>
      </c>
      <c r="AS948" s="1" t="s">
        <v>74</v>
      </c>
      <c r="AT948" s="1" t="s">
        <v>74</v>
      </c>
      <c r="AU948" s="1">
        <v>1979.0</v>
      </c>
      <c r="AV948" s="1">
        <v>12.0</v>
      </c>
      <c r="AW948" s="1">
        <v>5.0</v>
      </c>
      <c r="AX948" s="1" t="s">
        <v>74</v>
      </c>
      <c r="AY948" s="1" t="s">
        <v>74</v>
      </c>
      <c r="AZ948" s="1" t="s">
        <v>74</v>
      </c>
      <c r="BA948" s="1" t="s">
        <v>74</v>
      </c>
      <c r="BB948" s="1">
        <v>639.0</v>
      </c>
      <c r="BC948" s="1">
        <v>639.0</v>
      </c>
      <c r="BD948" s="1" t="s">
        <v>74</v>
      </c>
      <c r="BE948" s="1" t="s">
        <v>74</v>
      </c>
      <c r="BF948" s="1" t="s">
        <v>74</v>
      </c>
      <c r="BG948" s="1" t="s">
        <v>74</v>
      </c>
      <c r="BH948" s="1" t="s">
        <v>74</v>
      </c>
      <c r="BI948" s="1" t="s">
        <v>74</v>
      </c>
      <c r="BJ948" s="1" t="s">
        <v>74</v>
      </c>
      <c r="BK948" s="1" t="s">
        <v>74</v>
      </c>
      <c r="BL948" s="1" t="s">
        <v>74</v>
      </c>
      <c r="BM948" s="1" t="s">
        <v>74</v>
      </c>
      <c r="BN948" s="1" t="s">
        <v>74</v>
      </c>
      <c r="BO948" s="1" t="s">
        <v>74</v>
      </c>
      <c r="BP948" s="1" t="s">
        <v>74</v>
      </c>
      <c r="BQ948" s="1" t="s">
        <v>74</v>
      </c>
      <c r="BR948" s="1" t="s">
        <v>74</v>
      </c>
      <c r="BS948" s="1" t="s">
        <v>8733</v>
      </c>
      <c r="BT948" s="1" t="str">
        <f>HYPERLINK("https%3A%2F%2Fwww.webofscience.com%2Fwos%2Fwoscc%2Ffull-record%2FWOS:A1979JP38800038","View Full Record in Web of Science")</f>
        <v>View Full Record in Web of Science</v>
      </c>
    </row>
    <row r="949" ht="12.75" customHeight="1">
      <c r="A949" s="1" t="s">
        <v>72</v>
      </c>
      <c r="B949" s="1" t="s">
        <v>8734</v>
      </c>
      <c r="C949" s="1" t="s">
        <v>74</v>
      </c>
      <c r="D949" s="1" t="s">
        <v>74</v>
      </c>
      <c r="E949" s="1" t="s">
        <v>74</v>
      </c>
      <c r="F949" s="1" t="s">
        <v>8734</v>
      </c>
      <c r="G949" s="1" t="s">
        <v>74</v>
      </c>
      <c r="H949" s="1" t="s">
        <v>74</v>
      </c>
      <c r="I949" s="1" t="s">
        <v>8735</v>
      </c>
      <c r="J949" s="1" t="s">
        <v>1526</v>
      </c>
      <c r="K949" s="1" t="s">
        <v>74</v>
      </c>
      <c r="L949" s="1" t="s">
        <v>74</v>
      </c>
      <c r="M949" s="1" t="s">
        <v>74</v>
      </c>
      <c r="N949" s="1" t="s">
        <v>74</v>
      </c>
      <c r="O949" s="1" t="s">
        <v>74</v>
      </c>
      <c r="P949" s="1" t="s">
        <v>74</v>
      </c>
      <c r="Q949" s="1" t="s">
        <v>74</v>
      </c>
      <c r="R949" s="1" t="s">
        <v>74</v>
      </c>
      <c r="S949" s="1" t="s">
        <v>74</v>
      </c>
      <c r="T949" s="1" t="s">
        <v>74</v>
      </c>
      <c r="U949" s="1" t="s">
        <v>74</v>
      </c>
      <c r="V949" s="1" t="s">
        <v>74</v>
      </c>
      <c r="W949" s="1" t="s">
        <v>74</v>
      </c>
      <c r="X949" s="1" t="s">
        <v>74</v>
      </c>
      <c r="Y949" s="1" t="s">
        <v>74</v>
      </c>
      <c r="Z949" s="1" t="s">
        <v>74</v>
      </c>
      <c r="AA949" s="1" t="s">
        <v>74</v>
      </c>
      <c r="AB949" s="1" t="s">
        <v>74</v>
      </c>
      <c r="AC949" s="1" t="s">
        <v>74</v>
      </c>
      <c r="AD949" s="1" t="s">
        <v>74</v>
      </c>
      <c r="AE949" s="1" t="s">
        <v>74</v>
      </c>
      <c r="AF949" s="1" t="s">
        <v>74</v>
      </c>
      <c r="AG949" s="1" t="s">
        <v>74</v>
      </c>
      <c r="AH949" s="1" t="s">
        <v>74</v>
      </c>
      <c r="AI949" s="1" t="s">
        <v>74</v>
      </c>
      <c r="AJ949" s="1" t="s">
        <v>74</v>
      </c>
      <c r="AK949" s="1" t="s">
        <v>74</v>
      </c>
      <c r="AL949" s="1" t="s">
        <v>74</v>
      </c>
      <c r="AM949" s="1" t="s">
        <v>74</v>
      </c>
      <c r="AN949" s="1" t="s">
        <v>74</v>
      </c>
      <c r="AO949" s="1" t="s">
        <v>1529</v>
      </c>
      <c r="AP949" s="1" t="s">
        <v>74</v>
      </c>
      <c r="AQ949" s="1" t="s">
        <v>74</v>
      </c>
      <c r="AR949" s="1" t="s">
        <v>74</v>
      </c>
      <c r="AS949" s="1" t="s">
        <v>74</v>
      </c>
      <c r="AT949" s="1" t="s">
        <v>74</v>
      </c>
      <c r="AU949" s="1">
        <v>1975.0</v>
      </c>
      <c r="AV949" s="1">
        <v>7.0</v>
      </c>
      <c r="AW949" s="1">
        <v>4.0</v>
      </c>
      <c r="AX949" s="1" t="s">
        <v>74</v>
      </c>
      <c r="AY949" s="1" t="s">
        <v>74</v>
      </c>
      <c r="AZ949" s="1" t="s">
        <v>74</v>
      </c>
      <c r="BA949" s="1" t="s">
        <v>74</v>
      </c>
      <c r="BB949" s="1">
        <v>625.0</v>
      </c>
      <c r="BC949" s="1">
        <v>631.0</v>
      </c>
      <c r="BD949" s="1" t="s">
        <v>74</v>
      </c>
      <c r="BE949" s="1" t="s">
        <v>8736</v>
      </c>
      <c r="BF949" s="2" t="str">
        <f>HYPERLINK("http://dx.doi.org/10.1002/kin.550070411","http://dx.doi.org/10.1002/kin.550070411")</f>
        <v>http://dx.doi.org/10.1002/kin.550070411</v>
      </c>
      <c r="BG949" s="1" t="s">
        <v>74</v>
      </c>
      <c r="BH949" s="1" t="s">
        <v>74</v>
      </c>
      <c r="BI949" s="1" t="s">
        <v>74</v>
      </c>
      <c r="BJ949" s="1" t="s">
        <v>74</v>
      </c>
      <c r="BK949" s="1" t="s">
        <v>74</v>
      </c>
      <c r="BL949" s="1" t="s">
        <v>74</v>
      </c>
      <c r="BM949" s="1" t="s">
        <v>74</v>
      </c>
      <c r="BN949" s="1" t="s">
        <v>74</v>
      </c>
      <c r="BO949" s="1" t="s">
        <v>74</v>
      </c>
      <c r="BP949" s="1" t="s">
        <v>74</v>
      </c>
      <c r="BQ949" s="1" t="s">
        <v>74</v>
      </c>
      <c r="BR949" s="1" t="s">
        <v>74</v>
      </c>
      <c r="BS949" s="1" t="s">
        <v>8737</v>
      </c>
      <c r="BT949" s="1" t="str">
        <f>HYPERLINK("https%3A%2F%2Fwww.webofscience.com%2Fwos%2Fwoscc%2Ffull-record%2FWOS:A1975AG29100010","View Full Record in Web of Science")</f>
        <v>View Full Record in Web of Science</v>
      </c>
    </row>
    <row r="950" ht="12.75" customHeight="1">
      <c r="A950" s="1" t="s">
        <v>72</v>
      </c>
      <c r="B950" s="1" t="s">
        <v>8738</v>
      </c>
      <c r="C950" s="1" t="s">
        <v>74</v>
      </c>
      <c r="D950" s="1" t="s">
        <v>74</v>
      </c>
      <c r="E950" s="1" t="s">
        <v>74</v>
      </c>
      <c r="F950" s="1" t="s">
        <v>8739</v>
      </c>
      <c r="G950" s="1" t="s">
        <v>74</v>
      </c>
      <c r="H950" s="1" t="s">
        <v>74</v>
      </c>
      <c r="I950" s="1" t="s">
        <v>8740</v>
      </c>
      <c r="J950" s="1" t="s">
        <v>8741</v>
      </c>
      <c r="K950" s="1" t="s">
        <v>74</v>
      </c>
      <c r="L950" s="1" t="s">
        <v>74</v>
      </c>
      <c r="M950" s="1" t="s">
        <v>74</v>
      </c>
      <c r="N950" s="1" t="s">
        <v>74</v>
      </c>
      <c r="O950" s="1" t="s">
        <v>74</v>
      </c>
      <c r="P950" s="1" t="s">
        <v>74</v>
      </c>
      <c r="Q950" s="1" t="s">
        <v>74</v>
      </c>
      <c r="R950" s="1" t="s">
        <v>74</v>
      </c>
      <c r="S950" s="1" t="s">
        <v>74</v>
      </c>
      <c r="T950" s="1" t="s">
        <v>74</v>
      </c>
      <c r="U950" s="1" t="s">
        <v>74</v>
      </c>
      <c r="V950" s="1" t="s">
        <v>8742</v>
      </c>
      <c r="W950" s="1" t="s">
        <v>74</v>
      </c>
      <c r="X950" s="1" t="s">
        <v>74</v>
      </c>
      <c r="Y950" s="1" t="s">
        <v>74</v>
      </c>
      <c r="Z950" s="1" t="s">
        <v>74</v>
      </c>
      <c r="AA950" s="1" t="s">
        <v>74</v>
      </c>
      <c r="AB950" s="1" t="s">
        <v>74</v>
      </c>
      <c r="AC950" s="1" t="s">
        <v>74</v>
      </c>
      <c r="AD950" s="1" t="s">
        <v>74</v>
      </c>
      <c r="AE950" s="1" t="s">
        <v>74</v>
      </c>
      <c r="AF950" s="1" t="s">
        <v>74</v>
      </c>
      <c r="AG950" s="1" t="s">
        <v>74</v>
      </c>
      <c r="AH950" s="1" t="s">
        <v>74</v>
      </c>
      <c r="AI950" s="1" t="s">
        <v>74</v>
      </c>
      <c r="AJ950" s="1" t="s">
        <v>74</v>
      </c>
      <c r="AK950" s="1" t="s">
        <v>74</v>
      </c>
      <c r="AL950" s="1" t="s">
        <v>74</v>
      </c>
      <c r="AM950" s="1" t="s">
        <v>74</v>
      </c>
      <c r="AN950" s="1" t="s">
        <v>74</v>
      </c>
      <c r="AO950" s="1" t="s">
        <v>8743</v>
      </c>
      <c r="AP950" s="1" t="s">
        <v>8744</v>
      </c>
      <c r="AQ950" s="1" t="s">
        <v>74</v>
      </c>
      <c r="AR950" s="1" t="s">
        <v>74</v>
      </c>
      <c r="AS950" s="1" t="s">
        <v>74</v>
      </c>
      <c r="AT950" s="1" t="s">
        <v>8745</v>
      </c>
      <c r="AU950" s="1">
        <v>2025.0</v>
      </c>
      <c r="AV950" s="1" t="s">
        <v>74</v>
      </c>
      <c r="AW950" s="1" t="s">
        <v>74</v>
      </c>
      <c r="AX950" s="1" t="s">
        <v>74</v>
      </c>
      <c r="AY950" s="1" t="s">
        <v>74</v>
      </c>
      <c r="AZ950" s="1" t="s">
        <v>74</v>
      </c>
      <c r="BA950" s="1" t="s">
        <v>74</v>
      </c>
      <c r="BB950" s="1" t="s">
        <v>74</v>
      </c>
      <c r="BC950" s="1" t="s">
        <v>74</v>
      </c>
      <c r="BD950" s="1" t="s">
        <v>74</v>
      </c>
      <c r="BE950" s="1" t="s">
        <v>8746</v>
      </c>
      <c r="BF950" s="2" t="str">
        <f>HYPERLINK("http://dx.doi.org/10.1080/0020174X.2025.2497347","http://dx.doi.org/10.1080/0020174X.2025.2497347")</f>
        <v>http://dx.doi.org/10.1080/0020174X.2025.2497347</v>
      </c>
      <c r="BG950" s="1" t="s">
        <v>74</v>
      </c>
      <c r="BH950" s="1" t="s">
        <v>8747</v>
      </c>
      <c r="BI950" s="1" t="s">
        <v>74</v>
      </c>
      <c r="BJ950" s="1" t="s">
        <v>74</v>
      </c>
      <c r="BK950" s="1" t="s">
        <v>74</v>
      </c>
      <c r="BL950" s="1" t="s">
        <v>74</v>
      </c>
      <c r="BM950" s="1" t="s">
        <v>74</v>
      </c>
      <c r="BN950" s="1" t="s">
        <v>74</v>
      </c>
      <c r="BO950" s="1" t="s">
        <v>74</v>
      </c>
      <c r="BP950" s="1" t="s">
        <v>74</v>
      </c>
      <c r="BQ950" s="1" t="s">
        <v>74</v>
      </c>
      <c r="BR950" s="1" t="s">
        <v>74</v>
      </c>
      <c r="BS950" s="1" t="s">
        <v>8748</v>
      </c>
      <c r="BT950" s="1" t="str">
        <f>HYPERLINK("https%3A%2F%2Fwww.webofscience.com%2Fwos%2Fwoscc%2Ffull-record%2FWOS:001479739300001","View Full Record in Web of Science")</f>
        <v>View Full Record in Web of Science</v>
      </c>
    </row>
    <row r="951" ht="12.75" customHeight="1">
      <c r="A951" s="1" t="s">
        <v>72</v>
      </c>
      <c r="B951" s="1" t="s">
        <v>8749</v>
      </c>
      <c r="C951" s="1" t="s">
        <v>74</v>
      </c>
      <c r="D951" s="1" t="s">
        <v>74</v>
      </c>
      <c r="E951" s="1" t="s">
        <v>74</v>
      </c>
      <c r="F951" s="1" t="s">
        <v>8750</v>
      </c>
      <c r="G951" s="1" t="s">
        <v>74</v>
      </c>
      <c r="H951" s="1" t="s">
        <v>74</v>
      </c>
      <c r="I951" s="1" t="s">
        <v>8751</v>
      </c>
      <c r="J951" s="1" t="s">
        <v>8752</v>
      </c>
      <c r="K951" s="1" t="s">
        <v>74</v>
      </c>
      <c r="L951" s="1" t="s">
        <v>74</v>
      </c>
      <c r="M951" s="1" t="s">
        <v>74</v>
      </c>
      <c r="N951" s="1" t="s">
        <v>74</v>
      </c>
      <c r="O951" s="1" t="s">
        <v>74</v>
      </c>
      <c r="P951" s="1" t="s">
        <v>74</v>
      </c>
      <c r="Q951" s="1" t="s">
        <v>74</v>
      </c>
      <c r="R951" s="1" t="s">
        <v>74</v>
      </c>
      <c r="S951" s="1" t="s">
        <v>74</v>
      </c>
      <c r="T951" s="1" t="s">
        <v>74</v>
      </c>
      <c r="U951" s="1" t="s">
        <v>74</v>
      </c>
      <c r="V951" s="1" t="s">
        <v>8753</v>
      </c>
      <c r="W951" s="1" t="s">
        <v>74</v>
      </c>
      <c r="X951" s="1" t="s">
        <v>74</v>
      </c>
      <c r="Y951" s="1" t="s">
        <v>74</v>
      </c>
      <c r="Z951" s="1" t="s">
        <v>74</v>
      </c>
      <c r="AA951" s="1" t="s">
        <v>74</v>
      </c>
      <c r="AB951" s="1" t="s">
        <v>74</v>
      </c>
      <c r="AC951" s="1" t="s">
        <v>74</v>
      </c>
      <c r="AD951" s="1" t="s">
        <v>74</v>
      </c>
      <c r="AE951" s="1" t="s">
        <v>74</v>
      </c>
      <c r="AF951" s="1" t="s">
        <v>74</v>
      </c>
      <c r="AG951" s="1" t="s">
        <v>74</v>
      </c>
      <c r="AH951" s="1" t="s">
        <v>74</v>
      </c>
      <c r="AI951" s="1" t="s">
        <v>74</v>
      </c>
      <c r="AJ951" s="1" t="s">
        <v>74</v>
      </c>
      <c r="AK951" s="1" t="s">
        <v>74</v>
      </c>
      <c r="AL951" s="1" t="s">
        <v>74</v>
      </c>
      <c r="AM951" s="1" t="s">
        <v>74</v>
      </c>
      <c r="AN951" s="1" t="s">
        <v>74</v>
      </c>
      <c r="AO951" s="1" t="s">
        <v>74</v>
      </c>
      <c r="AP951" s="1" t="s">
        <v>8754</v>
      </c>
      <c r="AQ951" s="1" t="s">
        <v>74</v>
      </c>
      <c r="AR951" s="1" t="s">
        <v>74</v>
      </c>
      <c r="AS951" s="1" t="s">
        <v>74</v>
      </c>
      <c r="AT951" s="1" t="s">
        <v>8755</v>
      </c>
      <c r="AU951" s="1">
        <v>2025.0</v>
      </c>
      <c r="AV951" s="1">
        <v>11.0</v>
      </c>
      <c r="AW951" s="1">
        <v>4.0</v>
      </c>
      <c r="AX951" s="1" t="s">
        <v>74</v>
      </c>
      <c r="AY951" s="1" t="s">
        <v>74</v>
      </c>
      <c r="AZ951" s="1" t="s">
        <v>74</v>
      </c>
      <c r="BA951" s="1" t="s">
        <v>74</v>
      </c>
      <c r="BB951" s="1" t="s">
        <v>74</v>
      </c>
      <c r="BC951" s="1" t="s">
        <v>74</v>
      </c>
      <c r="BD951" s="1">
        <v>270.0</v>
      </c>
      <c r="BE951" s="1" t="s">
        <v>8756</v>
      </c>
      <c r="BF951" s="2" t="str">
        <f>HYPERLINK("http://dx.doi.org/10.3390/gels11040270","http://dx.doi.org/10.3390/gels11040270")</f>
        <v>http://dx.doi.org/10.3390/gels11040270</v>
      </c>
      <c r="BG951" s="1" t="s">
        <v>74</v>
      </c>
      <c r="BH951" s="1" t="s">
        <v>74</v>
      </c>
      <c r="BI951" s="1" t="s">
        <v>74</v>
      </c>
      <c r="BJ951" s="1" t="s">
        <v>74</v>
      </c>
      <c r="BK951" s="1" t="s">
        <v>74</v>
      </c>
      <c r="BL951" s="1" t="s">
        <v>74</v>
      </c>
      <c r="BM951" s="1" t="s">
        <v>74</v>
      </c>
      <c r="BN951" s="1">
        <v>4.0277706E7</v>
      </c>
      <c r="BO951" s="1" t="s">
        <v>74</v>
      </c>
      <c r="BP951" s="1" t="s">
        <v>74</v>
      </c>
      <c r="BQ951" s="1" t="s">
        <v>74</v>
      </c>
      <c r="BR951" s="1" t="s">
        <v>74</v>
      </c>
      <c r="BS951" s="1" t="s">
        <v>8757</v>
      </c>
      <c r="BT951" s="1" t="str">
        <f>HYPERLINK("https%3A%2F%2Fwww.webofscience.com%2Fwos%2Fwoscc%2Ffull-record%2FWOS:001476106500001","View Full Record in Web of Science")</f>
        <v>View Full Record in Web of Science</v>
      </c>
    </row>
    <row r="952" ht="12.75" customHeight="1">
      <c r="A952" s="1" t="s">
        <v>72</v>
      </c>
      <c r="B952" s="1" t="s">
        <v>8758</v>
      </c>
      <c r="C952" s="1" t="s">
        <v>74</v>
      </c>
      <c r="D952" s="1" t="s">
        <v>74</v>
      </c>
      <c r="E952" s="1" t="s">
        <v>74</v>
      </c>
      <c r="F952" s="1" t="s">
        <v>8759</v>
      </c>
      <c r="G952" s="1" t="s">
        <v>74</v>
      </c>
      <c r="H952" s="1" t="s">
        <v>74</v>
      </c>
      <c r="I952" s="1" t="s">
        <v>8760</v>
      </c>
      <c r="J952" s="1" t="s">
        <v>5956</v>
      </c>
      <c r="K952" s="1" t="s">
        <v>74</v>
      </c>
      <c r="L952" s="1" t="s">
        <v>74</v>
      </c>
      <c r="M952" s="1" t="s">
        <v>74</v>
      </c>
      <c r="N952" s="1" t="s">
        <v>74</v>
      </c>
      <c r="O952" s="1" t="s">
        <v>74</v>
      </c>
      <c r="P952" s="1" t="s">
        <v>74</v>
      </c>
      <c r="Q952" s="1" t="s">
        <v>74</v>
      </c>
      <c r="R952" s="1" t="s">
        <v>74</v>
      </c>
      <c r="S952" s="1" t="s">
        <v>74</v>
      </c>
      <c r="T952" s="1" t="s">
        <v>74</v>
      </c>
      <c r="U952" s="1" t="s">
        <v>74</v>
      </c>
      <c r="V952" s="1" t="s">
        <v>8761</v>
      </c>
      <c r="W952" s="1" t="s">
        <v>74</v>
      </c>
      <c r="X952" s="1" t="s">
        <v>74</v>
      </c>
      <c r="Y952" s="1" t="s">
        <v>74</v>
      </c>
      <c r="Z952" s="1" t="s">
        <v>74</v>
      </c>
      <c r="AA952" s="1" t="s">
        <v>8762</v>
      </c>
      <c r="AB952" s="1" t="s">
        <v>8763</v>
      </c>
      <c r="AC952" s="1" t="s">
        <v>74</v>
      </c>
      <c r="AD952" s="1" t="s">
        <v>74</v>
      </c>
      <c r="AE952" s="1" t="s">
        <v>74</v>
      </c>
      <c r="AF952" s="1" t="s">
        <v>74</v>
      </c>
      <c r="AG952" s="1" t="s">
        <v>74</v>
      </c>
      <c r="AH952" s="1" t="s">
        <v>74</v>
      </c>
      <c r="AI952" s="1" t="s">
        <v>74</v>
      </c>
      <c r="AJ952" s="1" t="s">
        <v>74</v>
      </c>
      <c r="AK952" s="1" t="s">
        <v>74</v>
      </c>
      <c r="AL952" s="1" t="s">
        <v>74</v>
      </c>
      <c r="AM952" s="1" t="s">
        <v>74</v>
      </c>
      <c r="AN952" s="1" t="s">
        <v>74</v>
      </c>
      <c r="AO952" s="1" t="s">
        <v>5960</v>
      </c>
      <c r="AP952" s="1" t="s">
        <v>74</v>
      </c>
      <c r="AQ952" s="1" t="s">
        <v>74</v>
      </c>
      <c r="AR952" s="1" t="s">
        <v>74</v>
      </c>
      <c r="AS952" s="1" t="s">
        <v>74</v>
      </c>
      <c r="AT952" s="1" t="s">
        <v>8764</v>
      </c>
      <c r="AU952" s="1">
        <v>2024.0</v>
      </c>
      <c r="AV952" s="1" t="s">
        <v>74</v>
      </c>
      <c r="AW952" s="1">
        <v>12.0</v>
      </c>
      <c r="AX952" s="1" t="s">
        <v>74</v>
      </c>
      <c r="AY952" s="1" t="s">
        <v>74</v>
      </c>
      <c r="AZ952" s="1" t="s">
        <v>74</v>
      </c>
      <c r="BA952" s="1" t="s">
        <v>74</v>
      </c>
      <c r="BB952" s="1" t="s">
        <v>74</v>
      </c>
      <c r="BC952" s="1" t="s">
        <v>74</v>
      </c>
      <c r="BD952" s="1">
        <v>8.0</v>
      </c>
      <c r="BE952" s="1" t="s">
        <v>8765</v>
      </c>
      <c r="BF952" s="2" t="str">
        <f>HYPERLINK("http://dx.doi.org/10.1007/JHEP12(2024)008","http://dx.doi.org/10.1007/JHEP12(2024)008")</f>
        <v>http://dx.doi.org/10.1007/JHEP12(2024)008</v>
      </c>
      <c r="BG952" s="1" t="s">
        <v>74</v>
      </c>
      <c r="BH952" s="1" t="s">
        <v>74</v>
      </c>
      <c r="BI952" s="1" t="s">
        <v>74</v>
      </c>
      <c r="BJ952" s="1" t="s">
        <v>74</v>
      </c>
      <c r="BK952" s="1" t="s">
        <v>74</v>
      </c>
      <c r="BL952" s="1" t="s">
        <v>74</v>
      </c>
      <c r="BM952" s="1" t="s">
        <v>74</v>
      </c>
      <c r="BN952" s="1" t="s">
        <v>74</v>
      </c>
      <c r="BO952" s="1" t="s">
        <v>74</v>
      </c>
      <c r="BP952" s="1" t="s">
        <v>74</v>
      </c>
      <c r="BQ952" s="1" t="s">
        <v>74</v>
      </c>
      <c r="BR952" s="1" t="s">
        <v>74</v>
      </c>
      <c r="BS952" s="1" t="s">
        <v>8766</v>
      </c>
      <c r="BT952" s="1" t="str">
        <f>HYPERLINK("https%3A%2F%2Fwww.webofscience.com%2Fwos%2Fwoscc%2Ffull-record%2FWOS:001372597100004","View Full Record in Web of Science")</f>
        <v>View Full Record in Web of Science</v>
      </c>
    </row>
    <row r="953" ht="12.75" customHeight="1">
      <c r="A953" s="1" t="s">
        <v>72</v>
      </c>
      <c r="B953" s="1" t="s">
        <v>8767</v>
      </c>
      <c r="C953" s="1" t="s">
        <v>74</v>
      </c>
      <c r="D953" s="1" t="s">
        <v>74</v>
      </c>
      <c r="E953" s="1" t="s">
        <v>74</v>
      </c>
      <c r="F953" s="1" t="s">
        <v>8768</v>
      </c>
      <c r="G953" s="1" t="s">
        <v>74</v>
      </c>
      <c r="H953" s="1" t="s">
        <v>74</v>
      </c>
      <c r="I953" s="1" t="s">
        <v>8769</v>
      </c>
      <c r="J953" s="1" t="s">
        <v>8770</v>
      </c>
      <c r="K953" s="1" t="s">
        <v>74</v>
      </c>
      <c r="L953" s="1" t="s">
        <v>74</v>
      </c>
      <c r="M953" s="1" t="s">
        <v>74</v>
      </c>
      <c r="N953" s="1" t="s">
        <v>74</v>
      </c>
      <c r="O953" s="1" t="s">
        <v>74</v>
      </c>
      <c r="P953" s="1" t="s">
        <v>74</v>
      </c>
      <c r="Q953" s="1" t="s">
        <v>74</v>
      </c>
      <c r="R953" s="1" t="s">
        <v>74</v>
      </c>
      <c r="S953" s="1" t="s">
        <v>74</v>
      </c>
      <c r="T953" s="1" t="s">
        <v>74</v>
      </c>
      <c r="U953" s="1" t="s">
        <v>74</v>
      </c>
      <c r="V953" s="1" t="s">
        <v>8771</v>
      </c>
      <c r="W953" s="1" t="s">
        <v>74</v>
      </c>
      <c r="X953" s="1" t="s">
        <v>74</v>
      </c>
      <c r="Y953" s="1" t="s">
        <v>74</v>
      </c>
      <c r="Z953" s="1" t="s">
        <v>74</v>
      </c>
      <c r="AA953" s="1" t="s">
        <v>8772</v>
      </c>
      <c r="AB953" s="1" t="s">
        <v>8773</v>
      </c>
      <c r="AC953" s="1" t="s">
        <v>74</v>
      </c>
      <c r="AD953" s="1" t="s">
        <v>74</v>
      </c>
      <c r="AE953" s="1" t="s">
        <v>74</v>
      </c>
      <c r="AF953" s="1" t="s">
        <v>74</v>
      </c>
      <c r="AG953" s="1" t="s">
        <v>74</v>
      </c>
      <c r="AH953" s="1" t="s">
        <v>74</v>
      </c>
      <c r="AI953" s="1" t="s">
        <v>74</v>
      </c>
      <c r="AJ953" s="1" t="s">
        <v>74</v>
      </c>
      <c r="AK953" s="1" t="s">
        <v>74</v>
      </c>
      <c r="AL953" s="1" t="s">
        <v>74</v>
      </c>
      <c r="AM953" s="1" t="s">
        <v>74</v>
      </c>
      <c r="AN953" s="1" t="s">
        <v>74</v>
      </c>
      <c r="AO953" s="1" t="s">
        <v>74</v>
      </c>
      <c r="AP953" s="1" t="s">
        <v>8774</v>
      </c>
      <c r="AQ953" s="1" t="s">
        <v>74</v>
      </c>
      <c r="AR953" s="1" t="s">
        <v>74</v>
      </c>
      <c r="AS953" s="1" t="s">
        <v>74</v>
      </c>
      <c r="AT953" s="1" t="s">
        <v>110</v>
      </c>
      <c r="AU953" s="1">
        <v>2024.0</v>
      </c>
      <c r="AV953" s="1">
        <v>46.0</v>
      </c>
      <c r="AW953" s="1" t="s">
        <v>74</v>
      </c>
      <c r="AX953" s="1" t="s">
        <v>74</v>
      </c>
      <c r="AY953" s="1" t="s">
        <v>74</v>
      </c>
      <c r="AZ953" s="1" t="s">
        <v>74</v>
      </c>
      <c r="BA953" s="1" t="s">
        <v>74</v>
      </c>
      <c r="BB953" s="1" t="s">
        <v>74</v>
      </c>
      <c r="BC953" s="1" t="s">
        <v>74</v>
      </c>
      <c r="BD953" s="1">
        <v>101576.0</v>
      </c>
      <c r="BE953" s="1" t="s">
        <v>8775</v>
      </c>
      <c r="BF953" s="2" t="str">
        <f>HYPERLINK("http://dx.doi.org/10.1016/j.dark.2024.101576","http://dx.doi.org/10.1016/j.dark.2024.101576")</f>
        <v>http://dx.doi.org/10.1016/j.dark.2024.101576</v>
      </c>
      <c r="BG953" s="1" t="s">
        <v>74</v>
      </c>
      <c r="BH953" s="1" t="s">
        <v>74</v>
      </c>
      <c r="BI953" s="1" t="s">
        <v>74</v>
      </c>
      <c r="BJ953" s="1" t="s">
        <v>74</v>
      </c>
      <c r="BK953" s="1" t="s">
        <v>74</v>
      </c>
      <c r="BL953" s="1" t="s">
        <v>74</v>
      </c>
      <c r="BM953" s="1" t="s">
        <v>74</v>
      </c>
      <c r="BN953" s="1" t="s">
        <v>74</v>
      </c>
      <c r="BO953" s="1" t="s">
        <v>74</v>
      </c>
      <c r="BP953" s="1" t="s">
        <v>74</v>
      </c>
      <c r="BQ953" s="1" t="s">
        <v>74</v>
      </c>
      <c r="BR953" s="1" t="s">
        <v>74</v>
      </c>
      <c r="BS953" s="1" t="s">
        <v>8776</v>
      </c>
      <c r="BT953" s="1" t="str">
        <f>HYPERLINK("https%3A%2F%2Fwww.webofscience.com%2Fwos%2Fwoscc%2Ffull-record%2FWOS:001276251200001","View Full Record in Web of Science")</f>
        <v>View Full Record in Web of Science</v>
      </c>
    </row>
    <row r="954" ht="12.75" customHeight="1">
      <c r="A954" s="1" t="s">
        <v>72</v>
      </c>
      <c r="B954" s="1" t="s">
        <v>8777</v>
      </c>
      <c r="C954" s="1" t="s">
        <v>74</v>
      </c>
      <c r="D954" s="1" t="s">
        <v>74</v>
      </c>
      <c r="E954" s="1" t="s">
        <v>74</v>
      </c>
      <c r="F954" s="1" t="s">
        <v>8778</v>
      </c>
      <c r="G954" s="1" t="s">
        <v>74</v>
      </c>
      <c r="H954" s="1" t="s">
        <v>74</v>
      </c>
      <c r="I954" s="1" t="s">
        <v>8779</v>
      </c>
      <c r="J954" s="1" t="s">
        <v>8780</v>
      </c>
      <c r="K954" s="1" t="s">
        <v>74</v>
      </c>
      <c r="L954" s="1" t="s">
        <v>74</v>
      </c>
      <c r="M954" s="1" t="s">
        <v>74</v>
      </c>
      <c r="N954" s="1" t="s">
        <v>74</v>
      </c>
      <c r="O954" s="1" t="s">
        <v>74</v>
      </c>
      <c r="P954" s="1" t="s">
        <v>74</v>
      </c>
      <c r="Q954" s="1" t="s">
        <v>74</v>
      </c>
      <c r="R954" s="1" t="s">
        <v>74</v>
      </c>
      <c r="S954" s="1" t="s">
        <v>74</v>
      </c>
      <c r="T954" s="1" t="s">
        <v>74</v>
      </c>
      <c r="U954" s="1" t="s">
        <v>74</v>
      </c>
      <c r="V954" s="1" t="s">
        <v>8781</v>
      </c>
      <c r="W954" s="1" t="s">
        <v>74</v>
      </c>
      <c r="X954" s="1" t="s">
        <v>74</v>
      </c>
      <c r="Y954" s="1" t="s">
        <v>74</v>
      </c>
      <c r="Z954" s="1" t="s">
        <v>74</v>
      </c>
      <c r="AA954" s="1" t="s">
        <v>8782</v>
      </c>
      <c r="AB954" s="1" t="s">
        <v>8783</v>
      </c>
      <c r="AC954" s="1" t="s">
        <v>74</v>
      </c>
      <c r="AD954" s="1" t="s">
        <v>74</v>
      </c>
      <c r="AE954" s="1" t="s">
        <v>74</v>
      </c>
      <c r="AF954" s="1" t="s">
        <v>74</v>
      </c>
      <c r="AG954" s="1" t="s">
        <v>74</v>
      </c>
      <c r="AH954" s="1" t="s">
        <v>74</v>
      </c>
      <c r="AI954" s="1" t="s">
        <v>74</v>
      </c>
      <c r="AJ954" s="1" t="s">
        <v>74</v>
      </c>
      <c r="AK954" s="1" t="s">
        <v>74</v>
      </c>
      <c r="AL954" s="1" t="s">
        <v>74</v>
      </c>
      <c r="AM954" s="1" t="s">
        <v>74</v>
      </c>
      <c r="AN954" s="1" t="s">
        <v>74</v>
      </c>
      <c r="AO954" s="1" t="s">
        <v>74</v>
      </c>
      <c r="AP954" s="1" t="s">
        <v>8784</v>
      </c>
      <c r="AQ954" s="1" t="s">
        <v>74</v>
      </c>
      <c r="AR954" s="1" t="s">
        <v>74</v>
      </c>
      <c r="AS954" s="1" t="s">
        <v>74</v>
      </c>
      <c r="AT954" s="1" t="s">
        <v>8785</v>
      </c>
      <c r="AU954" s="1">
        <v>2024.0</v>
      </c>
      <c r="AV954" s="1">
        <v>5.0</v>
      </c>
      <c r="AW954" s="1" t="s">
        <v>74</v>
      </c>
      <c r="AX954" s="1" t="s">
        <v>74</v>
      </c>
      <c r="AY954" s="1" t="s">
        <v>74</v>
      </c>
      <c r="AZ954" s="1" t="s">
        <v>74</v>
      </c>
      <c r="BA954" s="1" t="s">
        <v>74</v>
      </c>
      <c r="BB954" s="1" t="s">
        <v>74</v>
      </c>
      <c r="BC954" s="1" t="s">
        <v>74</v>
      </c>
      <c r="BD954" s="1">
        <v>1447014.0</v>
      </c>
      <c r="BE954" s="1" t="s">
        <v>8786</v>
      </c>
      <c r="BF954" s="2" t="str">
        <f>HYPERLINK("http://dx.doi.org/10.3389/fenvc.2024.1447014","http://dx.doi.org/10.3389/fenvc.2024.1447014")</f>
        <v>http://dx.doi.org/10.3389/fenvc.2024.1447014</v>
      </c>
      <c r="BG954" s="1" t="s">
        <v>74</v>
      </c>
      <c r="BH954" s="1" t="s">
        <v>74</v>
      </c>
      <c r="BI954" s="1" t="s">
        <v>74</v>
      </c>
      <c r="BJ954" s="1" t="s">
        <v>74</v>
      </c>
      <c r="BK954" s="1" t="s">
        <v>74</v>
      </c>
      <c r="BL954" s="1" t="s">
        <v>74</v>
      </c>
      <c r="BM954" s="1" t="s">
        <v>74</v>
      </c>
      <c r="BN954" s="1" t="s">
        <v>74</v>
      </c>
      <c r="BO954" s="1" t="s">
        <v>74</v>
      </c>
      <c r="BP954" s="1" t="s">
        <v>74</v>
      </c>
      <c r="BQ954" s="1" t="s">
        <v>74</v>
      </c>
      <c r="BR954" s="1" t="s">
        <v>74</v>
      </c>
      <c r="BS954" s="1" t="s">
        <v>8787</v>
      </c>
      <c r="BT954" s="1" t="str">
        <f>HYPERLINK("https%3A%2F%2Fwww.webofscience.com%2Fwos%2Fwoscc%2Ffull-record%2FWOS:001309175700001","View Full Record in Web of Science")</f>
        <v>View Full Record in Web of Science</v>
      </c>
    </row>
    <row r="955" ht="12.75" customHeight="1">
      <c r="A955" s="1" t="s">
        <v>72</v>
      </c>
      <c r="B955" s="1" t="s">
        <v>8788</v>
      </c>
      <c r="C955" s="1" t="s">
        <v>74</v>
      </c>
      <c r="D955" s="1" t="s">
        <v>74</v>
      </c>
      <c r="E955" s="1" t="s">
        <v>74</v>
      </c>
      <c r="F955" s="1" t="s">
        <v>8789</v>
      </c>
      <c r="G955" s="1" t="s">
        <v>74</v>
      </c>
      <c r="H955" s="1" t="s">
        <v>74</v>
      </c>
      <c r="I955" s="1" t="s">
        <v>8790</v>
      </c>
      <c r="J955" s="1" t="s">
        <v>316</v>
      </c>
      <c r="K955" s="1" t="s">
        <v>74</v>
      </c>
      <c r="L955" s="1" t="s">
        <v>74</v>
      </c>
      <c r="M955" s="1" t="s">
        <v>74</v>
      </c>
      <c r="N955" s="1" t="s">
        <v>74</v>
      </c>
      <c r="O955" s="1" t="s">
        <v>74</v>
      </c>
      <c r="P955" s="1" t="s">
        <v>74</v>
      </c>
      <c r="Q955" s="1" t="s">
        <v>74</v>
      </c>
      <c r="R955" s="1" t="s">
        <v>74</v>
      </c>
      <c r="S955" s="1" t="s">
        <v>74</v>
      </c>
      <c r="T955" s="1" t="s">
        <v>74</v>
      </c>
      <c r="U955" s="1" t="s">
        <v>74</v>
      </c>
      <c r="V955" s="1" t="s">
        <v>8791</v>
      </c>
      <c r="W955" s="1" t="s">
        <v>74</v>
      </c>
      <c r="X955" s="1" t="s">
        <v>74</v>
      </c>
      <c r="Y955" s="1" t="s">
        <v>74</v>
      </c>
      <c r="Z955" s="1" t="s">
        <v>74</v>
      </c>
      <c r="AA955" s="1" t="s">
        <v>8792</v>
      </c>
      <c r="AB955" s="1" t="s">
        <v>74</v>
      </c>
      <c r="AC955" s="1" t="s">
        <v>74</v>
      </c>
      <c r="AD955" s="1" t="s">
        <v>74</v>
      </c>
      <c r="AE955" s="1" t="s">
        <v>74</v>
      </c>
      <c r="AF955" s="1" t="s">
        <v>74</v>
      </c>
      <c r="AG955" s="1" t="s">
        <v>74</v>
      </c>
      <c r="AH955" s="1" t="s">
        <v>74</v>
      </c>
      <c r="AI955" s="1" t="s">
        <v>74</v>
      </c>
      <c r="AJ955" s="1" t="s">
        <v>74</v>
      </c>
      <c r="AK955" s="1" t="s">
        <v>74</v>
      </c>
      <c r="AL955" s="1" t="s">
        <v>74</v>
      </c>
      <c r="AM955" s="1" t="s">
        <v>74</v>
      </c>
      <c r="AN955" s="1" t="s">
        <v>74</v>
      </c>
      <c r="AO955" s="1" t="s">
        <v>318</v>
      </c>
      <c r="AP955" s="1" t="s">
        <v>319</v>
      </c>
      <c r="AQ955" s="1" t="s">
        <v>74</v>
      </c>
      <c r="AR955" s="1" t="s">
        <v>74</v>
      </c>
      <c r="AS955" s="1" t="s">
        <v>74</v>
      </c>
      <c r="AT955" s="1" t="s">
        <v>320</v>
      </c>
      <c r="AU955" s="1">
        <v>2024.0</v>
      </c>
      <c r="AV955" s="1">
        <v>14.0</v>
      </c>
      <c r="AW955" s="1">
        <v>2.0</v>
      </c>
      <c r="AX955" s="1" t="s">
        <v>74</v>
      </c>
      <c r="AY955" s="1" t="s">
        <v>74</v>
      </c>
      <c r="AZ955" s="1" t="s">
        <v>74</v>
      </c>
      <c r="BA955" s="1" t="s">
        <v>74</v>
      </c>
      <c r="BB955" s="1">
        <v>29.0</v>
      </c>
      <c r="BC955" s="1">
        <v>56.0</v>
      </c>
      <c r="BD955" s="1" t="s">
        <v>74</v>
      </c>
      <c r="BE955" s="1" t="s">
        <v>74</v>
      </c>
      <c r="BF955" s="1" t="s">
        <v>74</v>
      </c>
      <c r="BG955" s="1" t="s">
        <v>74</v>
      </c>
      <c r="BH955" s="1" t="s">
        <v>74</v>
      </c>
      <c r="BI955" s="1" t="s">
        <v>74</v>
      </c>
      <c r="BJ955" s="1" t="s">
        <v>74</v>
      </c>
      <c r="BK955" s="1" t="s">
        <v>74</v>
      </c>
      <c r="BL955" s="1" t="s">
        <v>74</v>
      </c>
      <c r="BM955" s="1" t="s">
        <v>74</v>
      </c>
      <c r="BN955" s="1" t="s">
        <v>74</v>
      </c>
      <c r="BO955" s="1" t="s">
        <v>74</v>
      </c>
      <c r="BP955" s="1" t="s">
        <v>74</v>
      </c>
      <c r="BQ955" s="1" t="s">
        <v>74</v>
      </c>
      <c r="BR955" s="1" t="s">
        <v>74</v>
      </c>
      <c r="BS955" s="1" t="s">
        <v>8793</v>
      </c>
      <c r="BT955" s="1" t="str">
        <f>HYPERLINK("https%3A%2F%2Fwww.webofscience.com%2Fwos%2Fwoscc%2Ffull-record%2FWOS:001401051100002","View Full Record in Web of Science")</f>
        <v>View Full Record in Web of Science</v>
      </c>
    </row>
    <row r="956" ht="12.75" customHeight="1">
      <c r="A956" s="1" t="s">
        <v>72</v>
      </c>
      <c r="B956" s="1" t="s">
        <v>8794</v>
      </c>
      <c r="C956" s="1" t="s">
        <v>74</v>
      </c>
      <c r="D956" s="1" t="s">
        <v>74</v>
      </c>
      <c r="E956" s="1" t="s">
        <v>74</v>
      </c>
      <c r="F956" s="1" t="s">
        <v>8795</v>
      </c>
      <c r="G956" s="1" t="s">
        <v>74</v>
      </c>
      <c r="H956" s="1" t="s">
        <v>74</v>
      </c>
      <c r="I956" s="1" t="s">
        <v>8796</v>
      </c>
      <c r="J956" s="1" t="s">
        <v>316</v>
      </c>
      <c r="K956" s="1" t="s">
        <v>74</v>
      </c>
      <c r="L956" s="1" t="s">
        <v>74</v>
      </c>
      <c r="M956" s="1" t="s">
        <v>74</v>
      </c>
      <c r="N956" s="1" t="s">
        <v>74</v>
      </c>
      <c r="O956" s="1" t="s">
        <v>74</v>
      </c>
      <c r="P956" s="1" t="s">
        <v>74</v>
      </c>
      <c r="Q956" s="1" t="s">
        <v>74</v>
      </c>
      <c r="R956" s="1" t="s">
        <v>74</v>
      </c>
      <c r="S956" s="1" t="s">
        <v>74</v>
      </c>
      <c r="T956" s="1" t="s">
        <v>74</v>
      </c>
      <c r="U956" s="1" t="s">
        <v>74</v>
      </c>
      <c r="V956" s="1" t="s">
        <v>8797</v>
      </c>
      <c r="W956" s="1" t="s">
        <v>74</v>
      </c>
      <c r="X956" s="1" t="s">
        <v>74</v>
      </c>
      <c r="Y956" s="1" t="s">
        <v>74</v>
      </c>
      <c r="Z956" s="1" t="s">
        <v>74</v>
      </c>
      <c r="AA956" s="1" t="s">
        <v>74</v>
      </c>
      <c r="AB956" s="1" t="s">
        <v>74</v>
      </c>
      <c r="AC956" s="1" t="s">
        <v>74</v>
      </c>
      <c r="AD956" s="1" t="s">
        <v>74</v>
      </c>
      <c r="AE956" s="1" t="s">
        <v>74</v>
      </c>
      <c r="AF956" s="1" t="s">
        <v>74</v>
      </c>
      <c r="AG956" s="1" t="s">
        <v>74</v>
      </c>
      <c r="AH956" s="1" t="s">
        <v>74</v>
      </c>
      <c r="AI956" s="1" t="s">
        <v>74</v>
      </c>
      <c r="AJ956" s="1" t="s">
        <v>74</v>
      </c>
      <c r="AK956" s="1" t="s">
        <v>74</v>
      </c>
      <c r="AL956" s="1" t="s">
        <v>74</v>
      </c>
      <c r="AM956" s="1" t="s">
        <v>74</v>
      </c>
      <c r="AN956" s="1" t="s">
        <v>74</v>
      </c>
      <c r="AO956" s="1" t="s">
        <v>318</v>
      </c>
      <c r="AP956" s="1" t="s">
        <v>319</v>
      </c>
      <c r="AQ956" s="1" t="s">
        <v>74</v>
      </c>
      <c r="AR956" s="1" t="s">
        <v>74</v>
      </c>
      <c r="AS956" s="1" t="s">
        <v>74</v>
      </c>
      <c r="AT956" s="1" t="s">
        <v>320</v>
      </c>
      <c r="AU956" s="1">
        <v>2024.0</v>
      </c>
      <c r="AV956" s="1">
        <v>14.0</v>
      </c>
      <c r="AW956" s="1">
        <v>2.0</v>
      </c>
      <c r="AX956" s="1" t="s">
        <v>74</v>
      </c>
      <c r="AY956" s="1" t="s">
        <v>74</v>
      </c>
      <c r="AZ956" s="1" t="s">
        <v>74</v>
      </c>
      <c r="BA956" s="1" t="s">
        <v>74</v>
      </c>
      <c r="BB956" s="1">
        <v>57.0</v>
      </c>
      <c r="BC956" s="1">
        <v>90.0</v>
      </c>
      <c r="BD956" s="1" t="s">
        <v>74</v>
      </c>
      <c r="BE956" s="1" t="s">
        <v>74</v>
      </c>
      <c r="BF956" s="1" t="s">
        <v>74</v>
      </c>
      <c r="BG956" s="1" t="s">
        <v>74</v>
      </c>
      <c r="BH956" s="1" t="s">
        <v>74</v>
      </c>
      <c r="BI956" s="1" t="s">
        <v>74</v>
      </c>
      <c r="BJ956" s="1" t="s">
        <v>74</v>
      </c>
      <c r="BK956" s="1" t="s">
        <v>74</v>
      </c>
      <c r="BL956" s="1" t="s">
        <v>74</v>
      </c>
      <c r="BM956" s="1" t="s">
        <v>74</v>
      </c>
      <c r="BN956" s="1" t="s">
        <v>74</v>
      </c>
      <c r="BO956" s="1" t="s">
        <v>74</v>
      </c>
      <c r="BP956" s="1" t="s">
        <v>74</v>
      </c>
      <c r="BQ956" s="1" t="s">
        <v>74</v>
      </c>
      <c r="BR956" s="1" t="s">
        <v>74</v>
      </c>
      <c r="BS956" s="1" t="s">
        <v>8798</v>
      </c>
      <c r="BT956" s="1" t="str">
        <f>HYPERLINK("https%3A%2F%2Fwww.webofscience.com%2Fwos%2Fwoscc%2Ffull-record%2FWOS:001401051100003","View Full Record in Web of Science")</f>
        <v>View Full Record in Web of Science</v>
      </c>
    </row>
    <row r="957" ht="12.75" customHeight="1">
      <c r="A957" s="1" t="s">
        <v>72</v>
      </c>
      <c r="B957" s="1" t="s">
        <v>8799</v>
      </c>
      <c r="C957" s="1" t="s">
        <v>74</v>
      </c>
      <c r="D957" s="1" t="s">
        <v>74</v>
      </c>
      <c r="E957" s="1" t="s">
        <v>74</v>
      </c>
      <c r="F957" s="1" t="s">
        <v>8800</v>
      </c>
      <c r="G957" s="1" t="s">
        <v>74</v>
      </c>
      <c r="H957" s="1" t="s">
        <v>74</v>
      </c>
      <c r="I957" s="1" t="s">
        <v>8801</v>
      </c>
      <c r="J957" s="1" t="s">
        <v>8802</v>
      </c>
      <c r="K957" s="1" t="s">
        <v>74</v>
      </c>
      <c r="L957" s="1" t="s">
        <v>74</v>
      </c>
      <c r="M957" s="1" t="s">
        <v>74</v>
      </c>
      <c r="N957" s="1" t="s">
        <v>74</v>
      </c>
      <c r="O957" s="1" t="s">
        <v>74</v>
      </c>
      <c r="P957" s="1" t="s">
        <v>74</v>
      </c>
      <c r="Q957" s="1" t="s">
        <v>74</v>
      </c>
      <c r="R957" s="1" t="s">
        <v>74</v>
      </c>
      <c r="S957" s="1" t="s">
        <v>74</v>
      </c>
      <c r="T957" s="1" t="s">
        <v>74</v>
      </c>
      <c r="U957" s="1" t="s">
        <v>74</v>
      </c>
      <c r="V957" s="1" t="s">
        <v>8803</v>
      </c>
      <c r="W957" s="1" t="s">
        <v>74</v>
      </c>
      <c r="X957" s="1" t="s">
        <v>74</v>
      </c>
      <c r="Y957" s="1" t="s">
        <v>74</v>
      </c>
      <c r="Z957" s="1" t="s">
        <v>74</v>
      </c>
      <c r="AA957" s="1" t="s">
        <v>284</v>
      </c>
      <c r="AB957" s="1" t="s">
        <v>8804</v>
      </c>
      <c r="AC957" s="1" t="s">
        <v>74</v>
      </c>
      <c r="AD957" s="1" t="s">
        <v>74</v>
      </c>
      <c r="AE957" s="1" t="s">
        <v>74</v>
      </c>
      <c r="AF957" s="1" t="s">
        <v>74</v>
      </c>
      <c r="AG957" s="1" t="s">
        <v>74</v>
      </c>
      <c r="AH957" s="1" t="s">
        <v>74</v>
      </c>
      <c r="AI957" s="1" t="s">
        <v>74</v>
      </c>
      <c r="AJ957" s="1" t="s">
        <v>74</v>
      </c>
      <c r="AK957" s="1" t="s">
        <v>74</v>
      </c>
      <c r="AL957" s="1" t="s">
        <v>74</v>
      </c>
      <c r="AM957" s="1" t="s">
        <v>74</v>
      </c>
      <c r="AN957" s="1" t="s">
        <v>74</v>
      </c>
      <c r="AO957" s="1" t="s">
        <v>74</v>
      </c>
      <c r="AP957" s="1" t="s">
        <v>8805</v>
      </c>
      <c r="AQ957" s="1" t="s">
        <v>74</v>
      </c>
      <c r="AR957" s="1" t="s">
        <v>74</v>
      </c>
      <c r="AS957" s="1" t="s">
        <v>74</v>
      </c>
      <c r="AT957" s="1" t="s">
        <v>215</v>
      </c>
      <c r="AU957" s="1">
        <v>2024.0</v>
      </c>
      <c r="AV957" s="1">
        <v>14.0</v>
      </c>
      <c r="AW957" s="1">
        <v>11.0</v>
      </c>
      <c r="AX957" s="1" t="s">
        <v>74</v>
      </c>
      <c r="AY957" s="1" t="s">
        <v>74</v>
      </c>
      <c r="AZ957" s="1" t="s">
        <v>74</v>
      </c>
      <c r="BA957" s="1" t="s">
        <v>74</v>
      </c>
      <c r="BB957" s="1" t="s">
        <v>74</v>
      </c>
      <c r="BC957" s="1" t="s">
        <v>74</v>
      </c>
      <c r="BD957" s="1">
        <v>958.0</v>
      </c>
      <c r="BE957" s="1" t="s">
        <v>8806</v>
      </c>
      <c r="BF957" s="2" t="str">
        <f>HYPERLINK("http://dx.doi.org/10.3390/nano14110958","http://dx.doi.org/10.3390/nano14110958")</f>
        <v>http://dx.doi.org/10.3390/nano14110958</v>
      </c>
      <c r="BG957" s="1" t="s">
        <v>74</v>
      </c>
      <c r="BH957" s="1" t="s">
        <v>74</v>
      </c>
      <c r="BI957" s="1" t="s">
        <v>74</v>
      </c>
      <c r="BJ957" s="1" t="s">
        <v>74</v>
      </c>
      <c r="BK957" s="1" t="s">
        <v>74</v>
      </c>
      <c r="BL957" s="1" t="s">
        <v>74</v>
      </c>
      <c r="BM957" s="1" t="s">
        <v>74</v>
      </c>
      <c r="BN957" s="1">
        <v>3.8869583E7</v>
      </c>
      <c r="BO957" s="1" t="s">
        <v>74</v>
      </c>
      <c r="BP957" s="1" t="s">
        <v>74</v>
      </c>
      <c r="BQ957" s="1" t="s">
        <v>74</v>
      </c>
      <c r="BR957" s="1" t="s">
        <v>74</v>
      </c>
      <c r="BS957" s="1" t="s">
        <v>8807</v>
      </c>
      <c r="BT957" s="1" t="str">
        <f>HYPERLINK("https%3A%2F%2Fwww.webofscience.com%2Fwos%2Fwoscc%2Ffull-record%2FWOS:001246860900001","View Full Record in Web of Science")</f>
        <v>View Full Record in Web of Science</v>
      </c>
    </row>
    <row r="958" ht="12.75" customHeight="1">
      <c r="A958" s="1" t="s">
        <v>72</v>
      </c>
      <c r="B958" s="1" t="s">
        <v>8808</v>
      </c>
      <c r="C958" s="1" t="s">
        <v>74</v>
      </c>
      <c r="D958" s="1" t="s">
        <v>74</v>
      </c>
      <c r="E958" s="1" t="s">
        <v>74</v>
      </c>
      <c r="F958" s="1" t="s">
        <v>8809</v>
      </c>
      <c r="G958" s="1" t="s">
        <v>74</v>
      </c>
      <c r="H958" s="1" t="s">
        <v>74</v>
      </c>
      <c r="I958" s="1" t="s">
        <v>8810</v>
      </c>
      <c r="J958" s="1" t="s">
        <v>8811</v>
      </c>
      <c r="K958" s="1" t="s">
        <v>74</v>
      </c>
      <c r="L958" s="1" t="s">
        <v>74</v>
      </c>
      <c r="M958" s="1" t="s">
        <v>74</v>
      </c>
      <c r="N958" s="1" t="s">
        <v>74</v>
      </c>
      <c r="O958" s="1" t="s">
        <v>74</v>
      </c>
      <c r="P958" s="1" t="s">
        <v>74</v>
      </c>
      <c r="Q958" s="1" t="s">
        <v>74</v>
      </c>
      <c r="R958" s="1" t="s">
        <v>74</v>
      </c>
      <c r="S958" s="1" t="s">
        <v>74</v>
      </c>
      <c r="T958" s="1" t="s">
        <v>74</v>
      </c>
      <c r="U958" s="1" t="s">
        <v>74</v>
      </c>
      <c r="V958" s="1" t="s">
        <v>8812</v>
      </c>
      <c r="W958" s="1" t="s">
        <v>74</v>
      </c>
      <c r="X958" s="1" t="s">
        <v>74</v>
      </c>
      <c r="Y958" s="1" t="s">
        <v>74</v>
      </c>
      <c r="Z958" s="1" t="s">
        <v>74</v>
      </c>
      <c r="AA958" s="1" t="s">
        <v>8813</v>
      </c>
      <c r="AB958" s="1" t="s">
        <v>2508</v>
      </c>
      <c r="AC958" s="1" t="s">
        <v>74</v>
      </c>
      <c r="AD958" s="1" t="s">
        <v>74</v>
      </c>
      <c r="AE958" s="1" t="s">
        <v>74</v>
      </c>
      <c r="AF958" s="1" t="s">
        <v>74</v>
      </c>
      <c r="AG958" s="1" t="s">
        <v>74</v>
      </c>
      <c r="AH958" s="1" t="s">
        <v>74</v>
      </c>
      <c r="AI958" s="1" t="s">
        <v>74</v>
      </c>
      <c r="AJ958" s="1" t="s">
        <v>74</v>
      </c>
      <c r="AK958" s="1" t="s">
        <v>74</v>
      </c>
      <c r="AL958" s="1" t="s">
        <v>74</v>
      </c>
      <c r="AM958" s="1" t="s">
        <v>74</v>
      </c>
      <c r="AN958" s="1" t="s">
        <v>74</v>
      </c>
      <c r="AO958" s="1" t="s">
        <v>74</v>
      </c>
      <c r="AP958" s="1" t="s">
        <v>8814</v>
      </c>
      <c r="AQ958" s="1" t="s">
        <v>74</v>
      </c>
      <c r="AR958" s="1" t="s">
        <v>74</v>
      </c>
      <c r="AS958" s="1" t="s">
        <v>74</v>
      </c>
      <c r="AT958" s="1" t="s">
        <v>88</v>
      </c>
      <c r="AU958" s="1">
        <v>2024.0</v>
      </c>
      <c r="AV958" s="1">
        <v>12.0</v>
      </c>
      <c r="AW958" s="1">
        <v>4.0</v>
      </c>
      <c r="AX958" s="1" t="s">
        <v>74</v>
      </c>
      <c r="AY958" s="1" t="s">
        <v>74</v>
      </c>
      <c r="AZ958" s="1" t="s">
        <v>74</v>
      </c>
      <c r="BA958" s="1" t="s">
        <v>74</v>
      </c>
      <c r="BB958" s="1" t="s">
        <v>74</v>
      </c>
      <c r="BC958" s="1" t="s">
        <v>74</v>
      </c>
      <c r="BD958" s="1">
        <v>272.0</v>
      </c>
      <c r="BE958" s="1" t="s">
        <v>8815</v>
      </c>
      <c r="BF958" s="2" t="str">
        <f>HYPERLINK("http://dx.doi.org/10.3390/machines12040272","http://dx.doi.org/10.3390/machines12040272")</f>
        <v>http://dx.doi.org/10.3390/machines12040272</v>
      </c>
      <c r="BG958" s="1" t="s">
        <v>74</v>
      </c>
      <c r="BH958" s="1" t="s">
        <v>74</v>
      </c>
      <c r="BI958" s="1" t="s">
        <v>74</v>
      </c>
      <c r="BJ958" s="1" t="s">
        <v>74</v>
      </c>
      <c r="BK958" s="1" t="s">
        <v>74</v>
      </c>
      <c r="BL958" s="1" t="s">
        <v>74</v>
      </c>
      <c r="BM958" s="1" t="s">
        <v>74</v>
      </c>
      <c r="BN958" s="1" t="s">
        <v>74</v>
      </c>
      <c r="BO958" s="1" t="s">
        <v>74</v>
      </c>
      <c r="BP958" s="1" t="s">
        <v>74</v>
      </c>
      <c r="BQ958" s="1" t="s">
        <v>74</v>
      </c>
      <c r="BR958" s="1" t="s">
        <v>74</v>
      </c>
      <c r="BS958" s="1" t="s">
        <v>8816</v>
      </c>
      <c r="BT958" s="1" t="str">
        <f>HYPERLINK("https%3A%2F%2Fwww.webofscience.com%2Fwos%2Fwoscc%2Ffull-record%2FWOS:001210297200001","View Full Record in Web of Science")</f>
        <v>View Full Record in Web of Science</v>
      </c>
    </row>
    <row r="959" ht="12.75" customHeight="1">
      <c r="A959" s="1" t="s">
        <v>72</v>
      </c>
      <c r="B959" s="1" t="s">
        <v>8817</v>
      </c>
      <c r="C959" s="1" t="s">
        <v>74</v>
      </c>
      <c r="D959" s="1" t="s">
        <v>74</v>
      </c>
      <c r="E959" s="1" t="s">
        <v>74</v>
      </c>
      <c r="F959" s="1" t="s">
        <v>8818</v>
      </c>
      <c r="G959" s="1" t="s">
        <v>74</v>
      </c>
      <c r="H959" s="1" t="s">
        <v>74</v>
      </c>
      <c r="I959" s="1" t="s">
        <v>8819</v>
      </c>
      <c r="J959" s="1" t="s">
        <v>8820</v>
      </c>
      <c r="K959" s="1" t="s">
        <v>74</v>
      </c>
      <c r="L959" s="1" t="s">
        <v>74</v>
      </c>
      <c r="M959" s="1" t="s">
        <v>74</v>
      </c>
      <c r="N959" s="1" t="s">
        <v>74</v>
      </c>
      <c r="O959" s="1" t="s">
        <v>74</v>
      </c>
      <c r="P959" s="1" t="s">
        <v>74</v>
      </c>
      <c r="Q959" s="1" t="s">
        <v>74</v>
      </c>
      <c r="R959" s="1" t="s">
        <v>74</v>
      </c>
      <c r="S959" s="1" t="s">
        <v>74</v>
      </c>
      <c r="T959" s="1" t="s">
        <v>74</v>
      </c>
      <c r="U959" s="1" t="s">
        <v>74</v>
      </c>
      <c r="V959" s="1" t="s">
        <v>8821</v>
      </c>
      <c r="W959" s="1" t="s">
        <v>74</v>
      </c>
      <c r="X959" s="1" t="s">
        <v>74</v>
      </c>
      <c r="Y959" s="1" t="s">
        <v>74</v>
      </c>
      <c r="Z959" s="1" t="s">
        <v>74</v>
      </c>
      <c r="AA959" s="1" t="s">
        <v>8822</v>
      </c>
      <c r="AB959" s="1" t="s">
        <v>74</v>
      </c>
      <c r="AC959" s="1" t="s">
        <v>74</v>
      </c>
      <c r="AD959" s="1" t="s">
        <v>74</v>
      </c>
      <c r="AE959" s="1" t="s">
        <v>74</v>
      </c>
      <c r="AF959" s="1" t="s">
        <v>74</v>
      </c>
      <c r="AG959" s="1" t="s">
        <v>74</v>
      </c>
      <c r="AH959" s="1" t="s">
        <v>74</v>
      </c>
      <c r="AI959" s="1" t="s">
        <v>74</v>
      </c>
      <c r="AJ959" s="1" t="s">
        <v>74</v>
      </c>
      <c r="AK959" s="1" t="s">
        <v>74</v>
      </c>
      <c r="AL959" s="1" t="s">
        <v>74</v>
      </c>
      <c r="AM959" s="1" t="s">
        <v>74</v>
      </c>
      <c r="AN959" s="1" t="s">
        <v>74</v>
      </c>
      <c r="AO959" s="1" t="s">
        <v>8823</v>
      </c>
      <c r="AP959" s="1" t="s">
        <v>8824</v>
      </c>
      <c r="AQ959" s="1" t="s">
        <v>74</v>
      </c>
      <c r="AR959" s="1" t="s">
        <v>74</v>
      </c>
      <c r="AS959" s="1" t="s">
        <v>74</v>
      </c>
      <c r="AT959" s="1" t="s">
        <v>74</v>
      </c>
      <c r="AU959" s="1">
        <v>2024.0</v>
      </c>
      <c r="AV959" s="1">
        <v>26.0</v>
      </c>
      <c r="AW959" s="1" t="s">
        <v>74</v>
      </c>
      <c r="AX959" s="1" t="s">
        <v>74</v>
      </c>
      <c r="AY959" s="1" t="s">
        <v>74</v>
      </c>
      <c r="AZ959" s="1" t="s">
        <v>74</v>
      </c>
      <c r="BA959" s="1" t="s">
        <v>74</v>
      </c>
      <c r="BB959" s="1">
        <v>229.0</v>
      </c>
      <c r="BC959" s="1">
        <v>252.0</v>
      </c>
      <c r="BD959" s="1" t="s">
        <v>74</v>
      </c>
      <c r="BE959" s="1" t="s">
        <v>8825</v>
      </c>
      <c r="BF959" s="2" t="str">
        <f>HYPERLINK("http://dx.doi.org/10.14201/azafea202426229252","http://dx.doi.org/10.14201/azafea202426229252")</f>
        <v>http://dx.doi.org/10.14201/azafea202426229252</v>
      </c>
      <c r="BG959" s="1" t="s">
        <v>74</v>
      </c>
      <c r="BH959" s="1" t="s">
        <v>74</v>
      </c>
      <c r="BI959" s="1" t="s">
        <v>74</v>
      </c>
      <c r="BJ959" s="1" t="s">
        <v>74</v>
      </c>
      <c r="BK959" s="1" t="s">
        <v>74</v>
      </c>
      <c r="BL959" s="1" t="s">
        <v>74</v>
      </c>
      <c r="BM959" s="1" t="s">
        <v>74</v>
      </c>
      <c r="BN959" s="1" t="s">
        <v>74</v>
      </c>
      <c r="BO959" s="1" t="s">
        <v>74</v>
      </c>
      <c r="BP959" s="1" t="s">
        <v>74</v>
      </c>
      <c r="BQ959" s="1" t="s">
        <v>74</v>
      </c>
      <c r="BR959" s="1" t="s">
        <v>74</v>
      </c>
      <c r="BS959" s="1" t="s">
        <v>8826</v>
      </c>
      <c r="BT959" s="1" t="str">
        <f>HYPERLINK("https%3A%2F%2Fwww.webofscience.com%2Fwos%2Fwoscc%2Ffull-record%2FWOS:001352095900012","View Full Record in Web of Science")</f>
        <v>View Full Record in Web of Science</v>
      </c>
    </row>
    <row r="960" ht="12.75" customHeight="1">
      <c r="A960" s="1" t="s">
        <v>72</v>
      </c>
      <c r="B960" s="1" t="s">
        <v>8827</v>
      </c>
      <c r="C960" s="1" t="s">
        <v>74</v>
      </c>
      <c r="D960" s="1" t="s">
        <v>74</v>
      </c>
      <c r="E960" s="1" t="s">
        <v>74</v>
      </c>
      <c r="F960" s="1" t="s">
        <v>8828</v>
      </c>
      <c r="G960" s="1" t="s">
        <v>74</v>
      </c>
      <c r="H960" s="1" t="s">
        <v>74</v>
      </c>
      <c r="I960" s="1" t="s">
        <v>8829</v>
      </c>
      <c r="J960" s="1" t="s">
        <v>8830</v>
      </c>
      <c r="K960" s="1" t="s">
        <v>74</v>
      </c>
      <c r="L960" s="1" t="s">
        <v>74</v>
      </c>
      <c r="M960" s="1" t="s">
        <v>74</v>
      </c>
      <c r="N960" s="1" t="s">
        <v>74</v>
      </c>
      <c r="O960" s="1" t="s">
        <v>74</v>
      </c>
      <c r="P960" s="1" t="s">
        <v>74</v>
      </c>
      <c r="Q960" s="1" t="s">
        <v>74</v>
      </c>
      <c r="R960" s="1" t="s">
        <v>74</v>
      </c>
      <c r="S960" s="1" t="s">
        <v>74</v>
      </c>
      <c r="T960" s="1" t="s">
        <v>74</v>
      </c>
      <c r="U960" s="1" t="s">
        <v>74</v>
      </c>
      <c r="V960" s="1" t="s">
        <v>8831</v>
      </c>
      <c r="W960" s="1" t="s">
        <v>74</v>
      </c>
      <c r="X960" s="1" t="s">
        <v>74</v>
      </c>
      <c r="Y960" s="1" t="s">
        <v>74</v>
      </c>
      <c r="Z960" s="1" t="s">
        <v>74</v>
      </c>
      <c r="AA960" s="1" t="s">
        <v>4776</v>
      </c>
      <c r="AB960" s="1" t="s">
        <v>8832</v>
      </c>
      <c r="AC960" s="1" t="s">
        <v>74</v>
      </c>
      <c r="AD960" s="1" t="s">
        <v>74</v>
      </c>
      <c r="AE960" s="1" t="s">
        <v>74</v>
      </c>
      <c r="AF960" s="1" t="s">
        <v>74</v>
      </c>
      <c r="AG960" s="1" t="s">
        <v>74</v>
      </c>
      <c r="AH960" s="1" t="s">
        <v>74</v>
      </c>
      <c r="AI960" s="1" t="s">
        <v>74</v>
      </c>
      <c r="AJ960" s="1" t="s">
        <v>74</v>
      </c>
      <c r="AK960" s="1" t="s">
        <v>74</v>
      </c>
      <c r="AL960" s="1" t="s">
        <v>74</v>
      </c>
      <c r="AM960" s="1" t="s">
        <v>74</v>
      </c>
      <c r="AN960" s="1" t="s">
        <v>74</v>
      </c>
      <c r="AO960" s="1" t="s">
        <v>8833</v>
      </c>
      <c r="AP960" s="1" t="s">
        <v>8834</v>
      </c>
      <c r="AQ960" s="1" t="s">
        <v>74</v>
      </c>
      <c r="AR960" s="1" t="s">
        <v>74</v>
      </c>
      <c r="AS960" s="1" t="s">
        <v>74</v>
      </c>
      <c r="AT960" s="1" t="s">
        <v>169</v>
      </c>
      <c r="AU960" s="1">
        <v>2024.0</v>
      </c>
      <c r="AV960" s="1">
        <v>143.0</v>
      </c>
      <c r="AW960" s="1" t="s">
        <v>74</v>
      </c>
      <c r="AX960" s="1" t="s">
        <v>74</v>
      </c>
      <c r="AY960" s="1" t="s">
        <v>74</v>
      </c>
      <c r="AZ960" s="1" t="s">
        <v>74</v>
      </c>
      <c r="BA960" s="1" t="s">
        <v>74</v>
      </c>
      <c r="BB960" s="1">
        <v>36.0</v>
      </c>
      <c r="BC960" s="1">
        <v>44.0</v>
      </c>
      <c r="BD960" s="1" t="s">
        <v>74</v>
      </c>
      <c r="BE960" s="1" t="s">
        <v>8835</v>
      </c>
      <c r="BF960" s="2" t="str">
        <f>HYPERLINK("http://dx.doi.org/10.1016/j.fbp.2023.10.002","http://dx.doi.org/10.1016/j.fbp.2023.10.002")</f>
        <v>http://dx.doi.org/10.1016/j.fbp.2023.10.002</v>
      </c>
      <c r="BG960" s="1" t="s">
        <v>74</v>
      </c>
      <c r="BH960" s="1" t="s">
        <v>5237</v>
      </c>
      <c r="BI960" s="1" t="s">
        <v>74</v>
      </c>
      <c r="BJ960" s="1" t="s">
        <v>74</v>
      </c>
      <c r="BK960" s="1" t="s">
        <v>74</v>
      </c>
      <c r="BL960" s="1" t="s">
        <v>74</v>
      </c>
      <c r="BM960" s="1" t="s">
        <v>74</v>
      </c>
      <c r="BN960" s="1" t="s">
        <v>74</v>
      </c>
      <c r="BO960" s="1" t="s">
        <v>74</v>
      </c>
      <c r="BP960" s="1" t="s">
        <v>74</v>
      </c>
      <c r="BQ960" s="1" t="s">
        <v>74</v>
      </c>
      <c r="BR960" s="1" t="s">
        <v>74</v>
      </c>
      <c r="BS960" s="1" t="s">
        <v>8836</v>
      </c>
      <c r="BT960" s="1" t="str">
        <f>HYPERLINK("https%3A%2F%2Fwww.webofscience.com%2Fwos%2Fwoscc%2Ffull-record%2FWOS:001106022800001","View Full Record in Web of Science")</f>
        <v>View Full Record in Web of Science</v>
      </c>
    </row>
    <row r="961" ht="12.75" customHeight="1">
      <c r="A961" s="1" t="s">
        <v>72</v>
      </c>
      <c r="B961" s="1" t="s">
        <v>8837</v>
      </c>
      <c r="C961" s="1" t="s">
        <v>74</v>
      </c>
      <c r="D961" s="1" t="s">
        <v>74</v>
      </c>
      <c r="E961" s="1" t="s">
        <v>74</v>
      </c>
      <c r="F961" s="1" t="s">
        <v>8838</v>
      </c>
      <c r="G961" s="1" t="s">
        <v>74</v>
      </c>
      <c r="H961" s="1" t="s">
        <v>74</v>
      </c>
      <c r="I961" s="1" t="s">
        <v>8839</v>
      </c>
      <c r="J961" s="1" t="s">
        <v>8840</v>
      </c>
      <c r="K961" s="1" t="s">
        <v>74</v>
      </c>
      <c r="L961" s="1" t="s">
        <v>74</v>
      </c>
      <c r="M961" s="1" t="s">
        <v>74</v>
      </c>
      <c r="N961" s="1" t="s">
        <v>74</v>
      </c>
      <c r="O961" s="1" t="s">
        <v>74</v>
      </c>
      <c r="P961" s="1" t="s">
        <v>74</v>
      </c>
      <c r="Q961" s="1" t="s">
        <v>74</v>
      </c>
      <c r="R961" s="1" t="s">
        <v>74</v>
      </c>
      <c r="S961" s="1" t="s">
        <v>74</v>
      </c>
      <c r="T961" s="1" t="s">
        <v>74</v>
      </c>
      <c r="U961" s="1" t="s">
        <v>74</v>
      </c>
      <c r="V961" s="1" t="s">
        <v>8841</v>
      </c>
      <c r="W961" s="1" t="s">
        <v>74</v>
      </c>
      <c r="X961" s="1" t="s">
        <v>74</v>
      </c>
      <c r="Y961" s="1" t="s">
        <v>74</v>
      </c>
      <c r="Z961" s="1" t="s">
        <v>74</v>
      </c>
      <c r="AA961" s="1" t="s">
        <v>74</v>
      </c>
      <c r="AB961" s="1" t="s">
        <v>74</v>
      </c>
      <c r="AC961" s="1" t="s">
        <v>74</v>
      </c>
      <c r="AD961" s="1" t="s">
        <v>74</v>
      </c>
      <c r="AE961" s="1" t="s">
        <v>74</v>
      </c>
      <c r="AF961" s="1" t="s">
        <v>74</v>
      </c>
      <c r="AG961" s="1" t="s">
        <v>74</v>
      </c>
      <c r="AH961" s="1" t="s">
        <v>74</v>
      </c>
      <c r="AI961" s="1" t="s">
        <v>74</v>
      </c>
      <c r="AJ961" s="1" t="s">
        <v>74</v>
      </c>
      <c r="AK961" s="1" t="s">
        <v>74</v>
      </c>
      <c r="AL961" s="1" t="s">
        <v>74</v>
      </c>
      <c r="AM961" s="1" t="s">
        <v>74</v>
      </c>
      <c r="AN961" s="1" t="s">
        <v>74</v>
      </c>
      <c r="AO961" s="1" t="s">
        <v>8842</v>
      </c>
      <c r="AP961" s="1" t="s">
        <v>8843</v>
      </c>
      <c r="AQ961" s="1" t="s">
        <v>74</v>
      </c>
      <c r="AR961" s="1" t="s">
        <v>74</v>
      </c>
      <c r="AS961" s="1" t="s">
        <v>74</v>
      </c>
      <c r="AT961" s="1" t="s">
        <v>215</v>
      </c>
      <c r="AU961" s="1">
        <v>2024.0</v>
      </c>
      <c r="AV961" s="1">
        <v>29.0</v>
      </c>
      <c r="AW961" s="1">
        <v>8.0</v>
      </c>
      <c r="AX961" s="1" t="s">
        <v>74</v>
      </c>
      <c r="AY961" s="1" t="s">
        <v>74</v>
      </c>
      <c r="AZ961" s="1" t="s">
        <v>74</v>
      </c>
      <c r="BA961" s="1" t="s">
        <v>74</v>
      </c>
      <c r="BB961" s="1">
        <v>9825.0</v>
      </c>
      <c r="BC961" s="1">
        <v>9842.0</v>
      </c>
      <c r="BD961" s="1" t="s">
        <v>74</v>
      </c>
      <c r="BE961" s="1" t="s">
        <v>8844</v>
      </c>
      <c r="BF961" s="2" t="str">
        <f>HYPERLINK("http://dx.doi.org/10.1007/s10639-023-12207-4","http://dx.doi.org/10.1007/s10639-023-12207-4")</f>
        <v>http://dx.doi.org/10.1007/s10639-023-12207-4</v>
      </c>
      <c r="BG961" s="1" t="s">
        <v>74</v>
      </c>
      <c r="BH961" s="1" t="s">
        <v>1790</v>
      </c>
      <c r="BI961" s="1" t="s">
        <v>74</v>
      </c>
      <c r="BJ961" s="1" t="s">
        <v>74</v>
      </c>
      <c r="BK961" s="1" t="s">
        <v>74</v>
      </c>
      <c r="BL961" s="1" t="s">
        <v>74</v>
      </c>
      <c r="BM961" s="1" t="s">
        <v>74</v>
      </c>
      <c r="BN961" s="1" t="s">
        <v>74</v>
      </c>
      <c r="BO961" s="1" t="s">
        <v>74</v>
      </c>
      <c r="BP961" s="1" t="s">
        <v>74</v>
      </c>
      <c r="BQ961" s="1" t="s">
        <v>74</v>
      </c>
      <c r="BR961" s="1" t="s">
        <v>74</v>
      </c>
      <c r="BS961" s="1" t="s">
        <v>8845</v>
      </c>
      <c r="BT961" s="1" t="str">
        <f>HYPERLINK("https%3A%2F%2Fwww.webofscience.com%2Fwos%2Fwoscc%2Ffull-record%2FWOS:001071840400005","View Full Record in Web of Science")</f>
        <v>View Full Record in Web of Science</v>
      </c>
    </row>
    <row r="962" ht="12.75" customHeight="1">
      <c r="A962" s="1" t="s">
        <v>72</v>
      </c>
      <c r="B962" s="1" t="s">
        <v>8846</v>
      </c>
      <c r="C962" s="1" t="s">
        <v>74</v>
      </c>
      <c r="D962" s="1" t="s">
        <v>74</v>
      </c>
      <c r="E962" s="1" t="s">
        <v>74</v>
      </c>
      <c r="F962" s="1" t="s">
        <v>8847</v>
      </c>
      <c r="G962" s="1" t="s">
        <v>74</v>
      </c>
      <c r="H962" s="1" t="s">
        <v>74</v>
      </c>
      <c r="I962" s="1" t="s">
        <v>8848</v>
      </c>
      <c r="J962" s="1" t="s">
        <v>2740</v>
      </c>
      <c r="K962" s="1" t="s">
        <v>74</v>
      </c>
      <c r="L962" s="1" t="s">
        <v>74</v>
      </c>
      <c r="M962" s="1" t="s">
        <v>74</v>
      </c>
      <c r="N962" s="1" t="s">
        <v>74</v>
      </c>
      <c r="O962" s="1" t="s">
        <v>74</v>
      </c>
      <c r="P962" s="1" t="s">
        <v>74</v>
      </c>
      <c r="Q962" s="1" t="s">
        <v>74</v>
      </c>
      <c r="R962" s="1" t="s">
        <v>74</v>
      </c>
      <c r="S962" s="1" t="s">
        <v>74</v>
      </c>
      <c r="T962" s="1" t="s">
        <v>74</v>
      </c>
      <c r="U962" s="1" t="s">
        <v>74</v>
      </c>
      <c r="V962" s="1" t="s">
        <v>8849</v>
      </c>
      <c r="W962" s="1" t="s">
        <v>74</v>
      </c>
      <c r="X962" s="1" t="s">
        <v>74</v>
      </c>
      <c r="Y962" s="1" t="s">
        <v>74</v>
      </c>
      <c r="Z962" s="1" t="s">
        <v>74</v>
      </c>
      <c r="AA962" s="1" t="s">
        <v>8850</v>
      </c>
      <c r="AB962" s="1" t="s">
        <v>8851</v>
      </c>
      <c r="AC962" s="1" t="s">
        <v>74</v>
      </c>
      <c r="AD962" s="1" t="s">
        <v>74</v>
      </c>
      <c r="AE962" s="1" t="s">
        <v>74</v>
      </c>
      <c r="AF962" s="1" t="s">
        <v>74</v>
      </c>
      <c r="AG962" s="1" t="s">
        <v>74</v>
      </c>
      <c r="AH962" s="1" t="s">
        <v>74</v>
      </c>
      <c r="AI962" s="1" t="s">
        <v>74</v>
      </c>
      <c r="AJ962" s="1" t="s">
        <v>74</v>
      </c>
      <c r="AK962" s="1" t="s">
        <v>74</v>
      </c>
      <c r="AL962" s="1" t="s">
        <v>74</v>
      </c>
      <c r="AM962" s="1" t="s">
        <v>74</v>
      </c>
      <c r="AN962" s="1" t="s">
        <v>74</v>
      </c>
      <c r="AO962" s="1" t="s">
        <v>2743</v>
      </c>
      <c r="AP962" s="1" t="s">
        <v>2744</v>
      </c>
      <c r="AQ962" s="1" t="s">
        <v>74</v>
      </c>
      <c r="AR962" s="1" t="s">
        <v>74</v>
      </c>
      <c r="AS962" s="1" t="s">
        <v>74</v>
      </c>
      <c r="AT962" s="1" t="s">
        <v>2009</v>
      </c>
      <c r="AU962" s="1">
        <v>2022.0</v>
      </c>
      <c r="AV962" s="1">
        <v>95.0</v>
      </c>
      <c r="AW962" s="1" t="s">
        <v>74</v>
      </c>
      <c r="AX962" s="1" t="s">
        <v>74</v>
      </c>
      <c r="AY962" s="1" t="s">
        <v>74</v>
      </c>
      <c r="AZ962" s="1" t="s">
        <v>74</v>
      </c>
      <c r="BA962" s="1" t="s">
        <v>74</v>
      </c>
      <c r="BB962" s="1">
        <v>231.0</v>
      </c>
      <c r="BC962" s="1">
        <v>239.0</v>
      </c>
      <c r="BD962" s="1" t="s">
        <v>74</v>
      </c>
      <c r="BE962" s="1" t="s">
        <v>8852</v>
      </c>
      <c r="BF962" s="2" t="str">
        <f>HYPERLINK("http://dx.doi.org/10.1016/j.euromechflu.2022.05.006","http://dx.doi.org/10.1016/j.euromechflu.2022.05.006")</f>
        <v>http://dx.doi.org/10.1016/j.euromechflu.2022.05.006</v>
      </c>
      <c r="BG962" s="1" t="s">
        <v>74</v>
      </c>
      <c r="BH962" s="1" t="s">
        <v>8853</v>
      </c>
      <c r="BI962" s="1" t="s">
        <v>74</v>
      </c>
      <c r="BJ962" s="1" t="s">
        <v>74</v>
      </c>
      <c r="BK962" s="1" t="s">
        <v>74</v>
      </c>
      <c r="BL962" s="1" t="s">
        <v>74</v>
      </c>
      <c r="BM962" s="1" t="s">
        <v>74</v>
      </c>
      <c r="BN962" s="1" t="s">
        <v>74</v>
      </c>
      <c r="BO962" s="1" t="s">
        <v>74</v>
      </c>
      <c r="BP962" s="1" t="s">
        <v>74</v>
      </c>
      <c r="BQ962" s="1" t="s">
        <v>74</v>
      </c>
      <c r="BR962" s="1" t="s">
        <v>74</v>
      </c>
      <c r="BS962" s="1" t="s">
        <v>8854</v>
      </c>
      <c r="BT962" s="1" t="str">
        <f>HYPERLINK("https%3A%2F%2Fwww.webofscience.com%2Fwos%2Fwoscc%2Ffull-record%2FWOS:000811279500002","View Full Record in Web of Science")</f>
        <v>View Full Record in Web of Science</v>
      </c>
    </row>
    <row r="963" ht="12.75" customHeight="1">
      <c r="A963" s="1" t="s">
        <v>251</v>
      </c>
      <c r="B963" s="1" t="s">
        <v>8855</v>
      </c>
      <c r="C963" s="1" t="s">
        <v>74</v>
      </c>
      <c r="D963" s="1" t="s">
        <v>5982</v>
      </c>
      <c r="E963" s="1" t="s">
        <v>74</v>
      </c>
      <c r="F963" s="1" t="s">
        <v>8856</v>
      </c>
      <c r="G963" s="1" t="s">
        <v>74</v>
      </c>
      <c r="H963" s="1" t="s">
        <v>74</v>
      </c>
      <c r="I963" s="1" t="s">
        <v>8857</v>
      </c>
      <c r="J963" s="1" t="s">
        <v>5985</v>
      </c>
      <c r="K963" s="1" t="s">
        <v>467</v>
      </c>
      <c r="L963" s="1" t="s">
        <v>74</v>
      </c>
      <c r="M963" s="1" t="s">
        <v>74</v>
      </c>
      <c r="N963" s="1" t="s">
        <v>74</v>
      </c>
      <c r="O963" s="1" t="s">
        <v>5986</v>
      </c>
      <c r="P963" s="1" t="s">
        <v>5987</v>
      </c>
      <c r="Q963" s="1" t="s">
        <v>5988</v>
      </c>
      <c r="R963" s="1" t="s">
        <v>74</v>
      </c>
      <c r="S963" s="1" t="s">
        <v>74</v>
      </c>
      <c r="T963" s="1" t="s">
        <v>74</v>
      </c>
      <c r="U963" s="1" t="s">
        <v>74</v>
      </c>
      <c r="V963" s="1" t="s">
        <v>8858</v>
      </c>
      <c r="W963" s="1" t="s">
        <v>74</v>
      </c>
      <c r="X963" s="1" t="s">
        <v>74</v>
      </c>
      <c r="Y963" s="1" t="s">
        <v>74</v>
      </c>
      <c r="Z963" s="1" t="s">
        <v>74</v>
      </c>
      <c r="AA963" s="1" t="s">
        <v>8859</v>
      </c>
      <c r="AB963" s="1" t="s">
        <v>7268</v>
      </c>
      <c r="AC963" s="1" t="s">
        <v>74</v>
      </c>
      <c r="AD963" s="1" t="s">
        <v>74</v>
      </c>
      <c r="AE963" s="1" t="s">
        <v>74</v>
      </c>
      <c r="AF963" s="1" t="s">
        <v>74</v>
      </c>
      <c r="AG963" s="1" t="s">
        <v>74</v>
      </c>
      <c r="AH963" s="1" t="s">
        <v>74</v>
      </c>
      <c r="AI963" s="1" t="s">
        <v>74</v>
      </c>
      <c r="AJ963" s="1" t="s">
        <v>74</v>
      </c>
      <c r="AK963" s="1" t="s">
        <v>74</v>
      </c>
      <c r="AL963" s="1" t="s">
        <v>74</v>
      </c>
      <c r="AM963" s="1" t="s">
        <v>74</v>
      </c>
      <c r="AN963" s="1" t="s">
        <v>74</v>
      </c>
      <c r="AO963" s="1" t="s">
        <v>475</v>
      </c>
      <c r="AP963" s="1" t="s">
        <v>74</v>
      </c>
      <c r="AQ963" s="1" t="s">
        <v>74</v>
      </c>
      <c r="AR963" s="1" t="s">
        <v>74</v>
      </c>
      <c r="AS963" s="1" t="s">
        <v>74</v>
      </c>
      <c r="AT963" s="1" t="s">
        <v>74</v>
      </c>
      <c r="AU963" s="1">
        <v>2022.0</v>
      </c>
      <c r="AV963" s="1">
        <v>199.0</v>
      </c>
      <c r="AW963" s="1" t="s">
        <v>74</v>
      </c>
      <c r="AX963" s="1" t="s">
        <v>74</v>
      </c>
      <c r="AY963" s="1" t="s">
        <v>74</v>
      </c>
      <c r="AZ963" s="1" t="s">
        <v>74</v>
      </c>
      <c r="BA963" s="1" t="s">
        <v>74</v>
      </c>
      <c r="BB963" s="1">
        <v>1401.0</v>
      </c>
      <c r="BC963" s="1">
        <v>1408.0</v>
      </c>
      <c r="BD963" s="1" t="s">
        <v>74</v>
      </c>
      <c r="BE963" s="1" t="s">
        <v>8860</v>
      </c>
      <c r="BF963" s="2" t="str">
        <f>HYPERLINK("http://dx.doi.org/10.1016/j.procs.2022.01.177","http://dx.doi.org/10.1016/j.procs.2022.01.177")</f>
        <v>http://dx.doi.org/10.1016/j.procs.2022.01.177</v>
      </c>
      <c r="BG963" s="1" t="s">
        <v>74</v>
      </c>
      <c r="BH963" s="1" t="s">
        <v>3284</v>
      </c>
      <c r="BI963" s="1" t="s">
        <v>74</v>
      </c>
      <c r="BJ963" s="1" t="s">
        <v>74</v>
      </c>
      <c r="BK963" s="1" t="s">
        <v>74</v>
      </c>
      <c r="BL963" s="1" t="s">
        <v>74</v>
      </c>
      <c r="BM963" s="1" t="s">
        <v>74</v>
      </c>
      <c r="BN963" s="1" t="s">
        <v>74</v>
      </c>
      <c r="BO963" s="1" t="s">
        <v>74</v>
      </c>
      <c r="BP963" s="1" t="s">
        <v>74</v>
      </c>
      <c r="BQ963" s="1" t="s">
        <v>74</v>
      </c>
      <c r="BR963" s="1" t="s">
        <v>74</v>
      </c>
      <c r="BS963" s="1" t="s">
        <v>8861</v>
      </c>
      <c r="BT963" s="1" t="str">
        <f>HYPERLINK("https%3A%2F%2Fwww.webofscience.com%2Fwos%2Fwoscc%2Ffull-record%2FWOS:000765802100180","View Full Record in Web of Science")</f>
        <v>View Full Record in Web of Science</v>
      </c>
    </row>
    <row r="964" ht="12.75" customHeight="1">
      <c r="A964" s="1" t="s">
        <v>251</v>
      </c>
      <c r="B964" s="1" t="s">
        <v>8862</v>
      </c>
      <c r="C964" s="1" t="s">
        <v>74</v>
      </c>
      <c r="D964" s="1" t="s">
        <v>74</v>
      </c>
      <c r="E964" s="1" t="s">
        <v>74</v>
      </c>
      <c r="F964" s="1" t="s">
        <v>8863</v>
      </c>
      <c r="G964" s="1" t="s">
        <v>74</v>
      </c>
      <c r="H964" s="1" t="s">
        <v>74</v>
      </c>
      <c r="I964" s="1" t="s">
        <v>8864</v>
      </c>
      <c r="J964" s="1" t="s">
        <v>6778</v>
      </c>
      <c r="K964" s="1" t="s">
        <v>74</v>
      </c>
      <c r="L964" s="1" t="s">
        <v>74</v>
      </c>
      <c r="M964" s="1" t="s">
        <v>74</v>
      </c>
      <c r="N964" s="1" t="s">
        <v>74</v>
      </c>
      <c r="O964" s="1" t="s">
        <v>8865</v>
      </c>
      <c r="P964" s="1" t="s">
        <v>8866</v>
      </c>
      <c r="Q964" s="1" t="s">
        <v>8867</v>
      </c>
      <c r="R964" s="1" t="s">
        <v>8868</v>
      </c>
      <c r="S964" s="1" t="s">
        <v>74</v>
      </c>
      <c r="T964" s="1" t="s">
        <v>74</v>
      </c>
      <c r="U964" s="1" t="s">
        <v>74</v>
      </c>
      <c r="V964" s="1" t="s">
        <v>8869</v>
      </c>
      <c r="W964" s="1" t="s">
        <v>74</v>
      </c>
      <c r="X964" s="1" t="s">
        <v>74</v>
      </c>
      <c r="Y964" s="1" t="s">
        <v>74</v>
      </c>
      <c r="Z964" s="1" t="s">
        <v>74</v>
      </c>
      <c r="AA964" s="1" t="s">
        <v>8870</v>
      </c>
      <c r="AB964" s="1" t="s">
        <v>8871</v>
      </c>
      <c r="AC964" s="1" t="s">
        <v>74</v>
      </c>
      <c r="AD964" s="1" t="s">
        <v>74</v>
      </c>
      <c r="AE964" s="1" t="s">
        <v>74</v>
      </c>
      <c r="AF964" s="1" t="s">
        <v>74</v>
      </c>
      <c r="AG964" s="1" t="s">
        <v>74</v>
      </c>
      <c r="AH964" s="1" t="s">
        <v>74</v>
      </c>
      <c r="AI964" s="1" t="s">
        <v>74</v>
      </c>
      <c r="AJ964" s="1" t="s">
        <v>74</v>
      </c>
      <c r="AK964" s="1" t="s">
        <v>74</v>
      </c>
      <c r="AL964" s="1" t="s">
        <v>74</v>
      </c>
      <c r="AM964" s="1" t="s">
        <v>74</v>
      </c>
      <c r="AN964" s="1" t="s">
        <v>74</v>
      </c>
      <c r="AO964" s="1" t="s">
        <v>6786</v>
      </c>
      <c r="AP964" s="1" t="s">
        <v>74</v>
      </c>
      <c r="AQ964" s="1" t="s">
        <v>74</v>
      </c>
      <c r="AR964" s="1" t="s">
        <v>74</v>
      </c>
      <c r="AS964" s="1" t="s">
        <v>74</v>
      </c>
      <c r="AT964" s="1" t="s">
        <v>74</v>
      </c>
      <c r="AU964" s="1">
        <v>2022.0</v>
      </c>
      <c r="AV964" s="1">
        <v>55.0</v>
      </c>
      <c r="AW964" s="1">
        <v>34.0</v>
      </c>
      <c r="AX964" s="1" t="s">
        <v>74</v>
      </c>
      <c r="AY964" s="1" t="s">
        <v>74</v>
      </c>
      <c r="AZ964" s="1" t="s">
        <v>74</v>
      </c>
      <c r="BA964" s="1" t="s">
        <v>74</v>
      </c>
      <c r="BB964" s="1">
        <v>138.0</v>
      </c>
      <c r="BC964" s="1">
        <v>143.0</v>
      </c>
      <c r="BD964" s="1" t="s">
        <v>74</v>
      </c>
      <c r="BE964" s="1" t="s">
        <v>8872</v>
      </c>
      <c r="BF964" s="2" t="str">
        <f>HYPERLINK("http://dx.doi.org/10.1016/j.ifacol.2022.11.321","http://dx.doi.org/10.1016/j.ifacol.2022.11.321")</f>
        <v>http://dx.doi.org/10.1016/j.ifacol.2022.11.321</v>
      </c>
      <c r="BG964" s="1" t="s">
        <v>74</v>
      </c>
      <c r="BH964" s="1" t="s">
        <v>74</v>
      </c>
      <c r="BI964" s="1" t="s">
        <v>74</v>
      </c>
      <c r="BJ964" s="1" t="s">
        <v>74</v>
      </c>
      <c r="BK964" s="1" t="s">
        <v>74</v>
      </c>
      <c r="BL964" s="1" t="s">
        <v>74</v>
      </c>
      <c r="BM964" s="1" t="s">
        <v>74</v>
      </c>
      <c r="BN964" s="1" t="s">
        <v>74</v>
      </c>
      <c r="BO964" s="1" t="s">
        <v>74</v>
      </c>
      <c r="BP964" s="1" t="s">
        <v>74</v>
      </c>
      <c r="BQ964" s="1" t="s">
        <v>74</v>
      </c>
      <c r="BR964" s="1" t="s">
        <v>74</v>
      </c>
      <c r="BS964" s="1" t="s">
        <v>8873</v>
      </c>
      <c r="BT964" s="1" t="str">
        <f>HYPERLINK("https%3A%2F%2Fwww.webofscience.com%2Fwos%2Fwoscc%2Ffull-record%2FWOS:000903687800023","View Full Record in Web of Science")</f>
        <v>View Full Record in Web of Science</v>
      </c>
    </row>
    <row r="965" ht="12.75" customHeight="1">
      <c r="A965" s="1" t="s">
        <v>72</v>
      </c>
      <c r="B965" s="1" t="s">
        <v>8874</v>
      </c>
      <c r="C965" s="1" t="s">
        <v>74</v>
      </c>
      <c r="D965" s="1" t="s">
        <v>74</v>
      </c>
      <c r="E965" s="1" t="s">
        <v>74</v>
      </c>
      <c r="F965" s="1" t="s">
        <v>8875</v>
      </c>
      <c r="G965" s="1" t="s">
        <v>74</v>
      </c>
      <c r="H965" s="1" t="s">
        <v>74</v>
      </c>
      <c r="I965" s="1" t="s">
        <v>8876</v>
      </c>
      <c r="J965" s="1" t="s">
        <v>2490</v>
      </c>
      <c r="K965" s="1" t="s">
        <v>74</v>
      </c>
      <c r="L965" s="1" t="s">
        <v>74</v>
      </c>
      <c r="M965" s="1" t="s">
        <v>74</v>
      </c>
      <c r="N965" s="1" t="s">
        <v>74</v>
      </c>
      <c r="O965" s="1" t="s">
        <v>74</v>
      </c>
      <c r="P965" s="1" t="s">
        <v>74</v>
      </c>
      <c r="Q965" s="1" t="s">
        <v>74</v>
      </c>
      <c r="R965" s="1" t="s">
        <v>74</v>
      </c>
      <c r="S965" s="1" t="s">
        <v>74</v>
      </c>
      <c r="T965" s="1" t="s">
        <v>74</v>
      </c>
      <c r="U965" s="1" t="s">
        <v>74</v>
      </c>
      <c r="V965" s="1" t="s">
        <v>8877</v>
      </c>
      <c r="W965" s="1" t="s">
        <v>74</v>
      </c>
      <c r="X965" s="1" t="s">
        <v>74</v>
      </c>
      <c r="Y965" s="1" t="s">
        <v>74</v>
      </c>
      <c r="Z965" s="1" t="s">
        <v>74</v>
      </c>
      <c r="AA965" s="1" t="s">
        <v>1797</v>
      </c>
      <c r="AB965" s="1" t="s">
        <v>8878</v>
      </c>
      <c r="AC965" s="1" t="s">
        <v>74</v>
      </c>
      <c r="AD965" s="1" t="s">
        <v>74</v>
      </c>
      <c r="AE965" s="1" t="s">
        <v>74</v>
      </c>
      <c r="AF965" s="1" t="s">
        <v>74</v>
      </c>
      <c r="AG965" s="1" t="s">
        <v>74</v>
      </c>
      <c r="AH965" s="1" t="s">
        <v>74</v>
      </c>
      <c r="AI965" s="1" t="s">
        <v>74</v>
      </c>
      <c r="AJ965" s="1" t="s">
        <v>74</v>
      </c>
      <c r="AK965" s="1" t="s">
        <v>74</v>
      </c>
      <c r="AL965" s="1" t="s">
        <v>74</v>
      </c>
      <c r="AM965" s="1" t="s">
        <v>74</v>
      </c>
      <c r="AN965" s="1" t="s">
        <v>74</v>
      </c>
      <c r="AO965" s="1" t="s">
        <v>74</v>
      </c>
      <c r="AP965" s="1" t="s">
        <v>2494</v>
      </c>
      <c r="AQ965" s="1" t="s">
        <v>74</v>
      </c>
      <c r="AR965" s="1" t="s">
        <v>74</v>
      </c>
      <c r="AS965" s="1" t="s">
        <v>74</v>
      </c>
      <c r="AT965" s="1" t="s">
        <v>1049</v>
      </c>
      <c r="AU965" s="1">
        <v>2021.0</v>
      </c>
      <c r="AV965" s="1">
        <v>9.0</v>
      </c>
      <c r="AW965" s="1">
        <v>11.0</v>
      </c>
      <c r="AX965" s="1" t="s">
        <v>74</v>
      </c>
      <c r="AY965" s="1" t="s">
        <v>74</v>
      </c>
      <c r="AZ965" s="1" t="s">
        <v>74</v>
      </c>
      <c r="BA965" s="1" t="s">
        <v>74</v>
      </c>
      <c r="BB965" s="1" t="s">
        <v>74</v>
      </c>
      <c r="BC965" s="1" t="s">
        <v>74</v>
      </c>
      <c r="BD965" s="1">
        <v>1871.0</v>
      </c>
      <c r="BE965" s="1" t="s">
        <v>8879</v>
      </c>
      <c r="BF965" s="2" t="str">
        <f>HYPERLINK("http://dx.doi.org/10.3390/pr9111871","http://dx.doi.org/10.3390/pr9111871")</f>
        <v>http://dx.doi.org/10.3390/pr9111871</v>
      </c>
      <c r="BG965" s="1" t="s">
        <v>74</v>
      </c>
      <c r="BH965" s="1" t="s">
        <v>74</v>
      </c>
      <c r="BI965" s="1" t="s">
        <v>74</v>
      </c>
      <c r="BJ965" s="1" t="s">
        <v>74</v>
      </c>
      <c r="BK965" s="1" t="s">
        <v>74</v>
      </c>
      <c r="BL965" s="1" t="s">
        <v>74</v>
      </c>
      <c r="BM965" s="1" t="s">
        <v>74</v>
      </c>
      <c r="BN965" s="1" t="s">
        <v>74</v>
      </c>
      <c r="BO965" s="1" t="s">
        <v>74</v>
      </c>
      <c r="BP965" s="1" t="s">
        <v>74</v>
      </c>
      <c r="BQ965" s="1" t="s">
        <v>74</v>
      </c>
      <c r="BR965" s="1" t="s">
        <v>74</v>
      </c>
      <c r="BS965" s="1" t="s">
        <v>8880</v>
      </c>
      <c r="BT965" s="1" t="str">
        <f>HYPERLINK("https%3A%2F%2Fwww.webofscience.com%2Fwos%2Fwoscc%2Ffull-record%2FWOS:000725759800001","View Full Record in Web of Science")</f>
        <v>View Full Record in Web of Science</v>
      </c>
    </row>
    <row r="966" ht="12.75" customHeight="1">
      <c r="A966" s="1" t="s">
        <v>72</v>
      </c>
      <c r="B966" s="1" t="s">
        <v>8881</v>
      </c>
      <c r="C966" s="1" t="s">
        <v>74</v>
      </c>
      <c r="D966" s="1" t="s">
        <v>74</v>
      </c>
      <c r="E966" s="1" t="s">
        <v>74</v>
      </c>
      <c r="F966" s="1" t="s">
        <v>8882</v>
      </c>
      <c r="G966" s="1" t="s">
        <v>74</v>
      </c>
      <c r="H966" s="1" t="s">
        <v>74</v>
      </c>
      <c r="I966" s="1" t="s">
        <v>8883</v>
      </c>
      <c r="J966" s="1" t="s">
        <v>8884</v>
      </c>
      <c r="K966" s="1" t="s">
        <v>74</v>
      </c>
      <c r="L966" s="1" t="s">
        <v>74</v>
      </c>
      <c r="M966" s="1" t="s">
        <v>74</v>
      </c>
      <c r="N966" s="1" t="s">
        <v>74</v>
      </c>
      <c r="O966" s="1" t="s">
        <v>74</v>
      </c>
      <c r="P966" s="1" t="s">
        <v>74</v>
      </c>
      <c r="Q966" s="1" t="s">
        <v>74</v>
      </c>
      <c r="R966" s="1" t="s">
        <v>74</v>
      </c>
      <c r="S966" s="1" t="s">
        <v>74</v>
      </c>
      <c r="T966" s="1" t="s">
        <v>74</v>
      </c>
      <c r="U966" s="1" t="s">
        <v>74</v>
      </c>
      <c r="V966" s="1" t="s">
        <v>8885</v>
      </c>
      <c r="W966" s="1" t="s">
        <v>74</v>
      </c>
      <c r="X966" s="1" t="s">
        <v>74</v>
      </c>
      <c r="Y966" s="1" t="s">
        <v>74</v>
      </c>
      <c r="Z966" s="1" t="s">
        <v>74</v>
      </c>
      <c r="AA966" s="1" t="s">
        <v>8886</v>
      </c>
      <c r="AB966" s="1" t="s">
        <v>8887</v>
      </c>
      <c r="AC966" s="1" t="s">
        <v>74</v>
      </c>
      <c r="AD966" s="1" t="s">
        <v>74</v>
      </c>
      <c r="AE966" s="1" t="s">
        <v>74</v>
      </c>
      <c r="AF966" s="1" t="s">
        <v>74</v>
      </c>
      <c r="AG966" s="1" t="s">
        <v>74</v>
      </c>
      <c r="AH966" s="1" t="s">
        <v>74</v>
      </c>
      <c r="AI966" s="1" t="s">
        <v>74</v>
      </c>
      <c r="AJ966" s="1" t="s">
        <v>74</v>
      </c>
      <c r="AK966" s="1" t="s">
        <v>74</v>
      </c>
      <c r="AL966" s="1" t="s">
        <v>74</v>
      </c>
      <c r="AM966" s="1" t="s">
        <v>74</v>
      </c>
      <c r="AN966" s="1" t="s">
        <v>74</v>
      </c>
      <c r="AO966" s="1" t="s">
        <v>8888</v>
      </c>
      <c r="AP966" s="1" t="s">
        <v>8889</v>
      </c>
      <c r="AQ966" s="1" t="s">
        <v>74</v>
      </c>
      <c r="AR966" s="1" t="s">
        <v>74</v>
      </c>
      <c r="AS966" s="1" t="s">
        <v>74</v>
      </c>
      <c r="AT966" s="1" t="s">
        <v>110</v>
      </c>
      <c r="AU966" s="1">
        <v>2021.0</v>
      </c>
      <c r="AV966" s="1">
        <v>25.0</v>
      </c>
      <c r="AW966" s="1">
        <v>6.0</v>
      </c>
      <c r="AX966" s="1" t="s">
        <v>74</v>
      </c>
      <c r="AY966" s="1" t="s">
        <v>74</v>
      </c>
      <c r="AZ966" s="1" t="s">
        <v>74</v>
      </c>
      <c r="BA966" s="1" t="s">
        <v>74</v>
      </c>
      <c r="BB966" s="1" t="s">
        <v>74</v>
      </c>
      <c r="BC966" s="1" t="s">
        <v>74</v>
      </c>
      <c r="BD966" s="1">
        <v>100963.0</v>
      </c>
      <c r="BE966" s="1" t="s">
        <v>8890</v>
      </c>
      <c r="BF966" s="2" t="str">
        <f>HYPERLINK("http://dx.doi.org/10.1016/j.cossms.2021.100963","http://dx.doi.org/10.1016/j.cossms.2021.100963")</f>
        <v>http://dx.doi.org/10.1016/j.cossms.2021.100963</v>
      </c>
      <c r="BG966" s="1" t="s">
        <v>74</v>
      </c>
      <c r="BH966" s="1" t="s">
        <v>8891</v>
      </c>
      <c r="BI966" s="1" t="s">
        <v>74</v>
      </c>
      <c r="BJ966" s="1" t="s">
        <v>74</v>
      </c>
      <c r="BK966" s="1" t="s">
        <v>74</v>
      </c>
      <c r="BL966" s="1" t="s">
        <v>74</v>
      </c>
      <c r="BM966" s="1" t="s">
        <v>74</v>
      </c>
      <c r="BN966" s="1" t="s">
        <v>74</v>
      </c>
      <c r="BO966" s="1" t="s">
        <v>74</v>
      </c>
      <c r="BP966" s="1" t="s">
        <v>74</v>
      </c>
      <c r="BQ966" s="1" t="s">
        <v>74</v>
      </c>
      <c r="BR966" s="1" t="s">
        <v>74</v>
      </c>
      <c r="BS966" s="1" t="s">
        <v>8892</v>
      </c>
      <c r="BT966" s="1" t="str">
        <f>HYPERLINK("https%3A%2F%2Fwww.webofscience.com%2Fwos%2Fwoscc%2Ffull-record%2FWOS:000712401400001","View Full Record in Web of Science")</f>
        <v>View Full Record in Web of Science</v>
      </c>
    </row>
    <row r="967" ht="12.75" customHeight="1">
      <c r="A967" s="1" t="s">
        <v>72</v>
      </c>
      <c r="B967" s="1" t="s">
        <v>8893</v>
      </c>
      <c r="C967" s="1" t="s">
        <v>74</v>
      </c>
      <c r="D967" s="1" t="s">
        <v>74</v>
      </c>
      <c r="E967" s="1" t="s">
        <v>74</v>
      </c>
      <c r="F967" s="1" t="s">
        <v>8894</v>
      </c>
      <c r="G967" s="1" t="s">
        <v>74</v>
      </c>
      <c r="H967" s="1" t="s">
        <v>74</v>
      </c>
      <c r="I967" s="1" t="s">
        <v>8895</v>
      </c>
      <c r="J967" s="1" t="s">
        <v>8896</v>
      </c>
      <c r="K967" s="1" t="s">
        <v>74</v>
      </c>
      <c r="L967" s="1" t="s">
        <v>74</v>
      </c>
      <c r="M967" s="1" t="s">
        <v>74</v>
      </c>
      <c r="N967" s="1" t="s">
        <v>74</v>
      </c>
      <c r="O967" s="1" t="s">
        <v>74</v>
      </c>
      <c r="P967" s="1" t="s">
        <v>74</v>
      </c>
      <c r="Q967" s="1" t="s">
        <v>74</v>
      </c>
      <c r="R967" s="1" t="s">
        <v>74</v>
      </c>
      <c r="S967" s="1" t="s">
        <v>74</v>
      </c>
      <c r="T967" s="1" t="s">
        <v>74</v>
      </c>
      <c r="U967" s="1" t="s">
        <v>74</v>
      </c>
      <c r="V967" s="1" t="s">
        <v>8897</v>
      </c>
      <c r="W967" s="1" t="s">
        <v>74</v>
      </c>
      <c r="X967" s="1" t="s">
        <v>74</v>
      </c>
      <c r="Y967" s="1" t="s">
        <v>74</v>
      </c>
      <c r="Z967" s="1" t="s">
        <v>74</v>
      </c>
      <c r="AA967" s="1" t="s">
        <v>8898</v>
      </c>
      <c r="AB967" s="1" t="s">
        <v>8899</v>
      </c>
      <c r="AC967" s="1" t="s">
        <v>74</v>
      </c>
      <c r="AD967" s="1" t="s">
        <v>74</v>
      </c>
      <c r="AE967" s="1" t="s">
        <v>74</v>
      </c>
      <c r="AF967" s="1" t="s">
        <v>74</v>
      </c>
      <c r="AG967" s="1" t="s">
        <v>74</v>
      </c>
      <c r="AH967" s="1" t="s">
        <v>74</v>
      </c>
      <c r="AI967" s="1" t="s">
        <v>74</v>
      </c>
      <c r="AJ967" s="1" t="s">
        <v>74</v>
      </c>
      <c r="AK967" s="1" t="s">
        <v>74</v>
      </c>
      <c r="AL967" s="1" t="s">
        <v>74</v>
      </c>
      <c r="AM967" s="1" t="s">
        <v>74</v>
      </c>
      <c r="AN967" s="1" t="s">
        <v>74</v>
      </c>
      <c r="AO967" s="1" t="s">
        <v>8900</v>
      </c>
      <c r="AP967" s="1" t="s">
        <v>8901</v>
      </c>
      <c r="AQ967" s="1" t="s">
        <v>74</v>
      </c>
      <c r="AR967" s="1" t="s">
        <v>74</v>
      </c>
      <c r="AS967" s="1" t="s">
        <v>74</v>
      </c>
      <c r="AT967" s="1" t="s">
        <v>110</v>
      </c>
      <c r="AU967" s="1">
        <v>2021.0</v>
      </c>
      <c r="AV967" s="1">
        <v>206.0</v>
      </c>
      <c r="AW967" s="1" t="s">
        <v>74</v>
      </c>
      <c r="AX967" s="1" t="s">
        <v>74</v>
      </c>
      <c r="AY967" s="1" t="s">
        <v>74</v>
      </c>
      <c r="AZ967" s="1" t="s">
        <v>74</v>
      </c>
      <c r="BA967" s="1" t="s">
        <v>74</v>
      </c>
      <c r="BB967" s="1" t="s">
        <v>74</v>
      </c>
      <c r="BC967" s="1" t="s">
        <v>74</v>
      </c>
      <c r="BD967" s="1">
        <v>108373.0</v>
      </c>
      <c r="BE967" s="1" t="s">
        <v>8902</v>
      </c>
      <c r="BF967" s="2" t="str">
        <f>HYPERLINK("http://dx.doi.org/10.1016/j.buildenv.2021.108373","http://dx.doi.org/10.1016/j.buildenv.2021.108373")</f>
        <v>http://dx.doi.org/10.1016/j.buildenv.2021.108373</v>
      </c>
      <c r="BG967" s="1" t="s">
        <v>74</v>
      </c>
      <c r="BH967" s="1" t="s">
        <v>4680</v>
      </c>
      <c r="BI967" s="1" t="s">
        <v>74</v>
      </c>
      <c r="BJ967" s="1" t="s">
        <v>74</v>
      </c>
      <c r="BK967" s="1" t="s">
        <v>74</v>
      </c>
      <c r="BL967" s="1" t="s">
        <v>74</v>
      </c>
      <c r="BM967" s="1" t="s">
        <v>74</v>
      </c>
      <c r="BN967" s="1" t="s">
        <v>74</v>
      </c>
      <c r="BO967" s="1" t="s">
        <v>74</v>
      </c>
      <c r="BP967" s="1" t="s">
        <v>74</v>
      </c>
      <c r="BQ967" s="1" t="s">
        <v>74</v>
      </c>
      <c r="BR967" s="1" t="s">
        <v>74</v>
      </c>
      <c r="BS967" s="1" t="s">
        <v>8903</v>
      </c>
      <c r="BT967" s="1" t="str">
        <f>HYPERLINK("https%3A%2F%2Fwww.webofscience.com%2Fwos%2Fwoscc%2Ffull-record%2FWOS:000705908500003","View Full Record in Web of Science")</f>
        <v>View Full Record in Web of Science</v>
      </c>
    </row>
    <row r="968" ht="12.75" customHeight="1">
      <c r="A968" s="1" t="s">
        <v>72</v>
      </c>
      <c r="B968" s="1" t="s">
        <v>8904</v>
      </c>
      <c r="C968" s="1" t="s">
        <v>74</v>
      </c>
      <c r="D968" s="1" t="s">
        <v>74</v>
      </c>
      <c r="E968" s="1" t="s">
        <v>74</v>
      </c>
      <c r="F968" s="1" t="s">
        <v>8905</v>
      </c>
      <c r="G968" s="1" t="s">
        <v>74</v>
      </c>
      <c r="H968" s="1" t="s">
        <v>74</v>
      </c>
      <c r="I968" s="1" t="s">
        <v>8906</v>
      </c>
      <c r="J968" s="1" t="s">
        <v>4140</v>
      </c>
      <c r="K968" s="1" t="s">
        <v>74</v>
      </c>
      <c r="L968" s="1" t="s">
        <v>74</v>
      </c>
      <c r="M968" s="1" t="s">
        <v>74</v>
      </c>
      <c r="N968" s="1" t="s">
        <v>74</v>
      </c>
      <c r="O968" s="1" t="s">
        <v>74</v>
      </c>
      <c r="P968" s="1" t="s">
        <v>74</v>
      </c>
      <c r="Q968" s="1" t="s">
        <v>74</v>
      </c>
      <c r="R968" s="1" t="s">
        <v>74</v>
      </c>
      <c r="S968" s="1" t="s">
        <v>74</v>
      </c>
      <c r="T968" s="1" t="s">
        <v>74</v>
      </c>
      <c r="U968" s="1" t="s">
        <v>74</v>
      </c>
      <c r="V968" s="1" t="s">
        <v>8907</v>
      </c>
      <c r="W968" s="1" t="s">
        <v>74</v>
      </c>
      <c r="X968" s="1" t="s">
        <v>74</v>
      </c>
      <c r="Y968" s="1" t="s">
        <v>74</v>
      </c>
      <c r="Z968" s="1" t="s">
        <v>74</v>
      </c>
      <c r="AA968" s="1" t="s">
        <v>5254</v>
      </c>
      <c r="AB968" s="1" t="s">
        <v>5255</v>
      </c>
      <c r="AC968" s="1" t="s">
        <v>74</v>
      </c>
      <c r="AD968" s="1" t="s">
        <v>74</v>
      </c>
      <c r="AE968" s="1" t="s">
        <v>74</v>
      </c>
      <c r="AF968" s="1" t="s">
        <v>74</v>
      </c>
      <c r="AG968" s="1" t="s">
        <v>74</v>
      </c>
      <c r="AH968" s="1" t="s">
        <v>74</v>
      </c>
      <c r="AI968" s="1" t="s">
        <v>74</v>
      </c>
      <c r="AJ968" s="1" t="s">
        <v>74</v>
      </c>
      <c r="AK968" s="1" t="s">
        <v>74</v>
      </c>
      <c r="AL968" s="1" t="s">
        <v>74</v>
      </c>
      <c r="AM968" s="1" t="s">
        <v>74</v>
      </c>
      <c r="AN968" s="1" t="s">
        <v>74</v>
      </c>
      <c r="AO968" s="1" t="s">
        <v>4144</v>
      </c>
      <c r="AP968" s="1" t="s">
        <v>74</v>
      </c>
      <c r="AQ968" s="1" t="s">
        <v>74</v>
      </c>
      <c r="AR968" s="1" t="s">
        <v>74</v>
      </c>
      <c r="AS968" s="1" t="s">
        <v>74</v>
      </c>
      <c r="AT968" s="1" t="s">
        <v>8908</v>
      </c>
      <c r="AU968" s="1">
        <v>2021.0</v>
      </c>
      <c r="AV968" s="1">
        <v>12.0</v>
      </c>
      <c r="AW968" s="1" t="s">
        <v>74</v>
      </c>
      <c r="AX968" s="1" t="s">
        <v>74</v>
      </c>
      <c r="AY968" s="1" t="s">
        <v>74</v>
      </c>
      <c r="AZ968" s="1" t="s">
        <v>74</v>
      </c>
      <c r="BA968" s="1" t="s">
        <v>74</v>
      </c>
      <c r="BB968" s="1" t="s">
        <v>74</v>
      </c>
      <c r="BC968" s="1" t="s">
        <v>74</v>
      </c>
      <c r="BD968" s="1">
        <v>601143.0</v>
      </c>
      <c r="BE968" s="1" t="s">
        <v>8909</v>
      </c>
      <c r="BF968" s="2" t="str">
        <f>HYPERLINK("http://dx.doi.org/10.3389/fpsyg.2021.601143","http://dx.doi.org/10.3389/fpsyg.2021.601143")</f>
        <v>http://dx.doi.org/10.3389/fpsyg.2021.601143</v>
      </c>
      <c r="BG968" s="1" t="s">
        <v>74</v>
      </c>
      <c r="BH968" s="1" t="s">
        <v>74</v>
      </c>
      <c r="BI968" s="1" t="s">
        <v>74</v>
      </c>
      <c r="BJ968" s="1" t="s">
        <v>74</v>
      </c>
      <c r="BK968" s="1" t="s">
        <v>74</v>
      </c>
      <c r="BL968" s="1" t="s">
        <v>74</v>
      </c>
      <c r="BM968" s="1" t="s">
        <v>74</v>
      </c>
      <c r="BN968" s="1">
        <v>3.3613384E7</v>
      </c>
      <c r="BO968" s="1" t="s">
        <v>74</v>
      </c>
      <c r="BP968" s="1" t="s">
        <v>74</v>
      </c>
      <c r="BQ968" s="1" t="s">
        <v>74</v>
      </c>
      <c r="BR968" s="1" t="s">
        <v>74</v>
      </c>
      <c r="BS968" s="1" t="s">
        <v>8910</v>
      </c>
      <c r="BT968" s="1" t="str">
        <f>HYPERLINK("https%3A%2F%2Fwww.webofscience.com%2Fwos%2Fwoscc%2Ffull-record%2FWOS:000619454300001","View Full Record in Web of Science")</f>
        <v>View Full Record in Web of Science</v>
      </c>
    </row>
    <row r="969" ht="12.75" customHeight="1">
      <c r="A969" s="1" t="s">
        <v>251</v>
      </c>
      <c r="B969" s="1" t="s">
        <v>5459</v>
      </c>
      <c r="C969" s="1" t="s">
        <v>74</v>
      </c>
      <c r="D969" s="1" t="s">
        <v>74</v>
      </c>
      <c r="E969" s="1" t="s">
        <v>253</v>
      </c>
      <c r="F969" s="1" t="s">
        <v>8911</v>
      </c>
      <c r="G969" s="1" t="s">
        <v>74</v>
      </c>
      <c r="H969" s="1" t="s">
        <v>74</v>
      </c>
      <c r="I969" s="1" t="s">
        <v>8912</v>
      </c>
      <c r="J969" s="1" t="s">
        <v>256</v>
      </c>
      <c r="K969" s="1" t="s">
        <v>74</v>
      </c>
      <c r="L969" s="1" t="s">
        <v>74</v>
      </c>
      <c r="M969" s="1" t="s">
        <v>74</v>
      </c>
      <c r="N969" s="1" t="s">
        <v>74</v>
      </c>
      <c r="O969" s="1" t="s">
        <v>257</v>
      </c>
      <c r="P969" s="1" t="s">
        <v>258</v>
      </c>
      <c r="Q969" s="1" t="s">
        <v>259</v>
      </c>
      <c r="R969" s="1" t="s">
        <v>260</v>
      </c>
      <c r="S969" s="1" t="s">
        <v>74</v>
      </c>
      <c r="T969" s="1" t="s">
        <v>74</v>
      </c>
      <c r="U969" s="1" t="s">
        <v>74</v>
      </c>
      <c r="V969" s="1" t="s">
        <v>8913</v>
      </c>
      <c r="W969" s="1" t="s">
        <v>74</v>
      </c>
      <c r="X969" s="1" t="s">
        <v>74</v>
      </c>
      <c r="Y969" s="1" t="s">
        <v>74</v>
      </c>
      <c r="Z969" s="1" t="s">
        <v>74</v>
      </c>
      <c r="AA969" s="1" t="s">
        <v>5469</v>
      </c>
      <c r="AB969" s="1" t="s">
        <v>74</v>
      </c>
      <c r="AC969" s="1" t="s">
        <v>74</v>
      </c>
      <c r="AD969" s="1" t="s">
        <v>74</v>
      </c>
      <c r="AE969" s="1" t="s">
        <v>74</v>
      </c>
      <c r="AF969" s="1" t="s">
        <v>74</v>
      </c>
      <c r="AG969" s="1" t="s">
        <v>74</v>
      </c>
      <c r="AH969" s="1" t="s">
        <v>74</v>
      </c>
      <c r="AI969" s="1" t="s">
        <v>74</v>
      </c>
      <c r="AJ969" s="1" t="s">
        <v>74</v>
      </c>
      <c r="AK969" s="1" t="s">
        <v>74</v>
      </c>
      <c r="AL969" s="1" t="s">
        <v>74</v>
      </c>
      <c r="AM969" s="1" t="s">
        <v>74</v>
      </c>
      <c r="AN969" s="1" t="s">
        <v>74</v>
      </c>
      <c r="AO969" s="1" t="s">
        <v>74</v>
      </c>
      <c r="AP969" s="1" t="s">
        <v>74</v>
      </c>
      <c r="AQ969" s="1" t="s">
        <v>264</v>
      </c>
      <c r="AR969" s="1" t="s">
        <v>74</v>
      </c>
      <c r="AS969" s="1" t="s">
        <v>74</v>
      </c>
      <c r="AT969" s="1" t="s">
        <v>74</v>
      </c>
      <c r="AU969" s="1">
        <v>2021.0</v>
      </c>
      <c r="AV969" s="1" t="s">
        <v>74</v>
      </c>
      <c r="AW969" s="1" t="s">
        <v>74</v>
      </c>
      <c r="AX969" s="1" t="s">
        <v>74</v>
      </c>
      <c r="AY969" s="1" t="s">
        <v>74</v>
      </c>
      <c r="AZ969" s="1" t="s">
        <v>74</v>
      </c>
      <c r="BA969" s="1" t="s">
        <v>74</v>
      </c>
      <c r="BB969" s="1" t="s">
        <v>74</v>
      </c>
      <c r="BC969" s="1" t="s">
        <v>74</v>
      </c>
      <c r="BD969" s="1" t="s">
        <v>74</v>
      </c>
      <c r="BE969" s="1" t="s">
        <v>8914</v>
      </c>
      <c r="BF969" s="2" t="str">
        <f>HYPERLINK("http://dx.doi.org/10.1109/ICAACCA51523.2021.9465182","http://dx.doi.org/10.1109/ICAACCA51523.2021.9465182")</f>
        <v>http://dx.doi.org/10.1109/ICAACCA51523.2021.9465182</v>
      </c>
      <c r="BG969" s="1" t="s">
        <v>74</v>
      </c>
      <c r="BH969" s="1" t="s">
        <v>74</v>
      </c>
      <c r="BI969" s="1" t="s">
        <v>74</v>
      </c>
      <c r="BJ969" s="1" t="s">
        <v>74</v>
      </c>
      <c r="BK969" s="1" t="s">
        <v>74</v>
      </c>
      <c r="BL969" s="1" t="s">
        <v>74</v>
      </c>
      <c r="BM969" s="1" t="s">
        <v>74</v>
      </c>
      <c r="BN969" s="1" t="s">
        <v>74</v>
      </c>
      <c r="BO969" s="1" t="s">
        <v>74</v>
      </c>
      <c r="BP969" s="1" t="s">
        <v>74</v>
      </c>
      <c r="BQ969" s="1" t="s">
        <v>74</v>
      </c>
      <c r="BR969" s="1" t="s">
        <v>74</v>
      </c>
      <c r="BS969" s="1" t="s">
        <v>8915</v>
      </c>
      <c r="BT969" s="1" t="str">
        <f>HYPERLINK("https%3A%2F%2Fwww.webofscience.com%2Fwos%2Fwoscc%2Ffull-record%2FWOS:000855764500128","View Full Record in Web of Science")</f>
        <v>View Full Record in Web of Science</v>
      </c>
    </row>
    <row r="970" ht="12.75" customHeight="1">
      <c r="A970" s="1" t="s">
        <v>1511</v>
      </c>
      <c r="B970" s="1" t="s">
        <v>8916</v>
      </c>
      <c r="C970" s="1" t="s">
        <v>74</v>
      </c>
      <c r="D970" s="1" t="s">
        <v>8917</v>
      </c>
      <c r="E970" s="1" t="s">
        <v>74</v>
      </c>
      <c r="F970" s="1" t="s">
        <v>8918</v>
      </c>
      <c r="G970" s="1" t="s">
        <v>74</v>
      </c>
      <c r="H970" s="1" t="s">
        <v>74</v>
      </c>
      <c r="I970" s="1" t="s">
        <v>8919</v>
      </c>
      <c r="J970" s="1" t="s">
        <v>8920</v>
      </c>
      <c r="K970" s="1" t="s">
        <v>8921</v>
      </c>
      <c r="L970" s="1" t="s">
        <v>74</v>
      </c>
      <c r="M970" s="1" t="s">
        <v>74</v>
      </c>
      <c r="N970" s="1" t="s">
        <v>74</v>
      </c>
      <c r="O970" s="1" t="s">
        <v>74</v>
      </c>
      <c r="P970" s="1" t="s">
        <v>74</v>
      </c>
      <c r="Q970" s="1" t="s">
        <v>74</v>
      </c>
      <c r="R970" s="1" t="s">
        <v>74</v>
      </c>
      <c r="S970" s="1" t="s">
        <v>74</v>
      </c>
      <c r="T970" s="1" t="s">
        <v>74</v>
      </c>
      <c r="U970" s="1" t="s">
        <v>74</v>
      </c>
      <c r="V970" s="1" t="s">
        <v>8922</v>
      </c>
      <c r="W970" s="1" t="s">
        <v>74</v>
      </c>
      <c r="X970" s="1" t="s">
        <v>74</v>
      </c>
      <c r="Y970" s="1" t="s">
        <v>74</v>
      </c>
      <c r="Z970" s="1" t="s">
        <v>74</v>
      </c>
      <c r="AA970" s="1" t="s">
        <v>8923</v>
      </c>
      <c r="AB970" s="1" t="s">
        <v>8924</v>
      </c>
      <c r="AC970" s="1" t="s">
        <v>74</v>
      </c>
      <c r="AD970" s="1" t="s">
        <v>74</v>
      </c>
      <c r="AE970" s="1" t="s">
        <v>74</v>
      </c>
      <c r="AF970" s="1" t="s">
        <v>74</v>
      </c>
      <c r="AG970" s="1" t="s">
        <v>74</v>
      </c>
      <c r="AH970" s="1" t="s">
        <v>74</v>
      </c>
      <c r="AI970" s="1" t="s">
        <v>74</v>
      </c>
      <c r="AJ970" s="1" t="s">
        <v>74</v>
      </c>
      <c r="AK970" s="1" t="s">
        <v>74</v>
      </c>
      <c r="AL970" s="1" t="s">
        <v>74</v>
      </c>
      <c r="AM970" s="1" t="s">
        <v>74</v>
      </c>
      <c r="AN970" s="1" t="s">
        <v>74</v>
      </c>
      <c r="AO970" s="1" t="s">
        <v>8925</v>
      </c>
      <c r="AP970" s="1" t="s">
        <v>8926</v>
      </c>
      <c r="AQ970" s="1" t="s">
        <v>8927</v>
      </c>
      <c r="AR970" s="1" t="s">
        <v>74</v>
      </c>
      <c r="AS970" s="1" t="s">
        <v>74</v>
      </c>
      <c r="AT970" s="1" t="s">
        <v>74</v>
      </c>
      <c r="AU970" s="1">
        <v>2021.0</v>
      </c>
      <c r="AV970" s="1">
        <v>1297.0</v>
      </c>
      <c r="AW970" s="1" t="s">
        <v>74</v>
      </c>
      <c r="AX970" s="1" t="s">
        <v>74</v>
      </c>
      <c r="AY970" s="1" t="s">
        <v>74</v>
      </c>
      <c r="AZ970" s="1" t="s">
        <v>74</v>
      </c>
      <c r="BA970" s="1" t="s">
        <v>74</v>
      </c>
      <c r="BB970" s="1">
        <v>1.0</v>
      </c>
      <c r="BC970" s="1">
        <v>9.0</v>
      </c>
      <c r="BD970" s="1" t="s">
        <v>74</v>
      </c>
      <c r="BE970" s="1" t="s">
        <v>8928</v>
      </c>
      <c r="BF970" s="2" t="str">
        <f>HYPERLINK("http://dx.doi.org/10.1007/978-3-030-61663-2_1","http://dx.doi.org/10.1007/978-3-030-61663-2_1")</f>
        <v>http://dx.doi.org/10.1007/978-3-030-61663-2_1</v>
      </c>
      <c r="BG970" s="1" t="s">
        <v>8929</v>
      </c>
      <c r="BH970" s="1" t="s">
        <v>74</v>
      </c>
      <c r="BI970" s="1" t="s">
        <v>74</v>
      </c>
      <c r="BJ970" s="1" t="s">
        <v>74</v>
      </c>
      <c r="BK970" s="1" t="s">
        <v>74</v>
      </c>
      <c r="BL970" s="1" t="s">
        <v>74</v>
      </c>
      <c r="BM970" s="1" t="s">
        <v>74</v>
      </c>
      <c r="BN970" s="1">
        <v>3.3537933E7</v>
      </c>
      <c r="BO970" s="1" t="s">
        <v>74</v>
      </c>
      <c r="BP970" s="1" t="s">
        <v>74</v>
      </c>
      <c r="BQ970" s="1" t="s">
        <v>74</v>
      </c>
      <c r="BR970" s="1" t="s">
        <v>74</v>
      </c>
      <c r="BS970" s="1" t="s">
        <v>8930</v>
      </c>
      <c r="BT970" s="1" t="str">
        <f>HYPERLINK("https%3A%2F%2Fwww.webofscience.com%2Fwos%2Fwoscc%2Ffull-record%2FWOS:000624289300003","View Full Record in Web of Science")</f>
        <v>View Full Record in Web of Science</v>
      </c>
    </row>
    <row r="971" ht="12.75" customHeight="1">
      <c r="A971" s="1" t="s">
        <v>72</v>
      </c>
      <c r="B971" s="1" t="s">
        <v>8931</v>
      </c>
      <c r="C971" s="1" t="s">
        <v>74</v>
      </c>
      <c r="D971" s="1" t="s">
        <v>74</v>
      </c>
      <c r="E971" s="1" t="s">
        <v>74</v>
      </c>
      <c r="F971" s="1" t="s">
        <v>8932</v>
      </c>
      <c r="G971" s="1" t="s">
        <v>74</v>
      </c>
      <c r="H971" s="1" t="s">
        <v>74</v>
      </c>
      <c r="I971" s="1" t="s">
        <v>8933</v>
      </c>
      <c r="J971" s="1" t="s">
        <v>1185</v>
      </c>
      <c r="K971" s="1" t="s">
        <v>74</v>
      </c>
      <c r="L971" s="1" t="s">
        <v>74</v>
      </c>
      <c r="M971" s="1" t="s">
        <v>74</v>
      </c>
      <c r="N971" s="1" t="s">
        <v>74</v>
      </c>
      <c r="O971" s="1" t="s">
        <v>74</v>
      </c>
      <c r="P971" s="1" t="s">
        <v>74</v>
      </c>
      <c r="Q971" s="1" t="s">
        <v>74</v>
      </c>
      <c r="R971" s="1" t="s">
        <v>74</v>
      </c>
      <c r="S971" s="1" t="s">
        <v>74</v>
      </c>
      <c r="T971" s="1" t="s">
        <v>74</v>
      </c>
      <c r="U971" s="1" t="s">
        <v>74</v>
      </c>
      <c r="V971" s="1" t="s">
        <v>8934</v>
      </c>
      <c r="W971" s="1" t="s">
        <v>74</v>
      </c>
      <c r="X971" s="1" t="s">
        <v>74</v>
      </c>
      <c r="Y971" s="1" t="s">
        <v>74</v>
      </c>
      <c r="Z971" s="1" t="s">
        <v>74</v>
      </c>
      <c r="AA971" s="1" t="s">
        <v>8935</v>
      </c>
      <c r="AB971" s="1" t="s">
        <v>8936</v>
      </c>
      <c r="AC971" s="1" t="s">
        <v>74</v>
      </c>
      <c r="AD971" s="1" t="s">
        <v>74</v>
      </c>
      <c r="AE971" s="1" t="s">
        <v>74</v>
      </c>
      <c r="AF971" s="1" t="s">
        <v>74</v>
      </c>
      <c r="AG971" s="1" t="s">
        <v>74</v>
      </c>
      <c r="AH971" s="1" t="s">
        <v>74</v>
      </c>
      <c r="AI971" s="1" t="s">
        <v>74</v>
      </c>
      <c r="AJ971" s="1" t="s">
        <v>74</v>
      </c>
      <c r="AK971" s="1" t="s">
        <v>74</v>
      </c>
      <c r="AL971" s="1" t="s">
        <v>74</v>
      </c>
      <c r="AM971" s="1" t="s">
        <v>74</v>
      </c>
      <c r="AN971" s="1" t="s">
        <v>74</v>
      </c>
      <c r="AO971" s="1" t="s">
        <v>1189</v>
      </c>
      <c r="AP971" s="1" t="s">
        <v>1190</v>
      </c>
      <c r="AQ971" s="1" t="s">
        <v>74</v>
      </c>
      <c r="AR971" s="1" t="s">
        <v>74</v>
      </c>
      <c r="AS971" s="1" t="s">
        <v>74</v>
      </c>
      <c r="AT971" s="1" t="s">
        <v>169</v>
      </c>
      <c r="AU971" s="1">
        <v>2021.0</v>
      </c>
      <c r="AV971" s="1">
        <v>25.0</v>
      </c>
      <c r="AW971" s="1">
        <v>1.0</v>
      </c>
      <c r="AX971" s="1" t="s">
        <v>74</v>
      </c>
      <c r="AY971" s="1" t="s">
        <v>74</v>
      </c>
      <c r="AZ971" s="1" t="s">
        <v>411</v>
      </c>
      <c r="BA971" s="1" t="s">
        <v>74</v>
      </c>
      <c r="BB971" s="1">
        <v>15.0</v>
      </c>
      <c r="BC971" s="1">
        <v>31.0</v>
      </c>
      <c r="BD971" s="1" t="s">
        <v>74</v>
      </c>
      <c r="BE971" s="1" t="s">
        <v>8937</v>
      </c>
      <c r="BF971" s="2" t="str">
        <f>HYPERLINK("http://dx.doi.org/10.1007/s10008-019-04489-x","http://dx.doi.org/10.1007/s10008-019-04489-x")</f>
        <v>http://dx.doi.org/10.1007/s10008-019-04489-x</v>
      </c>
      <c r="BG971" s="1" t="s">
        <v>74</v>
      </c>
      <c r="BH971" s="1" t="s">
        <v>74</v>
      </c>
      <c r="BI971" s="1" t="s">
        <v>74</v>
      </c>
      <c r="BJ971" s="1" t="s">
        <v>74</v>
      </c>
      <c r="BK971" s="1" t="s">
        <v>74</v>
      </c>
      <c r="BL971" s="1" t="s">
        <v>74</v>
      </c>
      <c r="BM971" s="1" t="s">
        <v>74</v>
      </c>
      <c r="BN971" s="1" t="s">
        <v>74</v>
      </c>
      <c r="BO971" s="1" t="s">
        <v>74</v>
      </c>
      <c r="BP971" s="1" t="s">
        <v>74</v>
      </c>
      <c r="BQ971" s="1" t="s">
        <v>74</v>
      </c>
      <c r="BR971" s="1" t="s">
        <v>74</v>
      </c>
      <c r="BS971" s="1" t="s">
        <v>8938</v>
      </c>
      <c r="BT971" s="1" t="str">
        <f>HYPERLINK("https%3A%2F%2Fwww.webofscience.com%2Fwos%2Fwoscc%2Ffull-record%2FWOS:000607354200003","View Full Record in Web of Science")</f>
        <v>View Full Record in Web of Science</v>
      </c>
    </row>
    <row r="972" ht="12.75" customHeight="1">
      <c r="A972" s="1" t="s">
        <v>72</v>
      </c>
      <c r="B972" s="1" t="s">
        <v>8939</v>
      </c>
      <c r="C972" s="1" t="s">
        <v>74</v>
      </c>
      <c r="D972" s="1" t="s">
        <v>74</v>
      </c>
      <c r="E972" s="1" t="s">
        <v>74</v>
      </c>
      <c r="F972" s="1" t="s">
        <v>8940</v>
      </c>
      <c r="G972" s="1" t="s">
        <v>74</v>
      </c>
      <c r="H972" s="1" t="s">
        <v>74</v>
      </c>
      <c r="I972" s="1" t="s">
        <v>8941</v>
      </c>
      <c r="J972" s="1" t="s">
        <v>8942</v>
      </c>
      <c r="K972" s="1" t="s">
        <v>74</v>
      </c>
      <c r="L972" s="1" t="s">
        <v>74</v>
      </c>
      <c r="M972" s="1" t="s">
        <v>74</v>
      </c>
      <c r="N972" s="1" t="s">
        <v>74</v>
      </c>
      <c r="O972" s="1" t="s">
        <v>74</v>
      </c>
      <c r="P972" s="1" t="s">
        <v>74</v>
      </c>
      <c r="Q972" s="1" t="s">
        <v>74</v>
      </c>
      <c r="R972" s="1" t="s">
        <v>74</v>
      </c>
      <c r="S972" s="1" t="s">
        <v>74</v>
      </c>
      <c r="T972" s="1" t="s">
        <v>74</v>
      </c>
      <c r="U972" s="1" t="s">
        <v>74</v>
      </c>
      <c r="V972" s="1" t="s">
        <v>8943</v>
      </c>
      <c r="W972" s="1" t="s">
        <v>74</v>
      </c>
      <c r="X972" s="1" t="s">
        <v>74</v>
      </c>
      <c r="Y972" s="1" t="s">
        <v>74</v>
      </c>
      <c r="Z972" s="1" t="s">
        <v>74</v>
      </c>
      <c r="AA972" s="1" t="s">
        <v>8944</v>
      </c>
      <c r="AB972" s="1" t="s">
        <v>8945</v>
      </c>
      <c r="AC972" s="1" t="s">
        <v>74</v>
      </c>
      <c r="AD972" s="1" t="s">
        <v>74</v>
      </c>
      <c r="AE972" s="1" t="s">
        <v>74</v>
      </c>
      <c r="AF972" s="1" t="s">
        <v>74</v>
      </c>
      <c r="AG972" s="1" t="s">
        <v>74</v>
      </c>
      <c r="AH972" s="1" t="s">
        <v>74</v>
      </c>
      <c r="AI972" s="1" t="s">
        <v>74</v>
      </c>
      <c r="AJ972" s="1" t="s">
        <v>74</v>
      </c>
      <c r="AK972" s="1" t="s">
        <v>74</v>
      </c>
      <c r="AL972" s="1" t="s">
        <v>74</v>
      </c>
      <c r="AM972" s="1" t="s">
        <v>74</v>
      </c>
      <c r="AN972" s="1" t="s">
        <v>74</v>
      </c>
      <c r="AO972" s="1" t="s">
        <v>8946</v>
      </c>
      <c r="AP972" s="1" t="s">
        <v>8947</v>
      </c>
      <c r="AQ972" s="1" t="s">
        <v>74</v>
      </c>
      <c r="AR972" s="1" t="s">
        <v>74</v>
      </c>
      <c r="AS972" s="1" t="s">
        <v>74</v>
      </c>
      <c r="AT972" s="1" t="s">
        <v>74</v>
      </c>
      <c r="AU972" s="1">
        <v>2021.0</v>
      </c>
      <c r="AV972" s="1" t="s">
        <v>74</v>
      </c>
      <c r="AW972" s="1">
        <v>39.0</v>
      </c>
      <c r="AX972" s="1" t="s">
        <v>74</v>
      </c>
      <c r="AY972" s="1" t="s">
        <v>74</v>
      </c>
      <c r="AZ972" s="1" t="s">
        <v>74</v>
      </c>
      <c r="BA972" s="1" t="s">
        <v>74</v>
      </c>
      <c r="BB972" s="1">
        <v>403.0</v>
      </c>
      <c r="BC972" s="1">
        <v>410.0</v>
      </c>
      <c r="BD972" s="1" t="s">
        <v>74</v>
      </c>
      <c r="BE972" s="1" t="s">
        <v>74</v>
      </c>
      <c r="BF972" s="1" t="s">
        <v>74</v>
      </c>
      <c r="BG972" s="1" t="s">
        <v>74</v>
      </c>
      <c r="BH972" s="1" t="s">
        <v>74</v>
      </c>
      <c r="BI972" s="1" t="s">
        <v>74</v>
      </c>
      <c r="BJ972" s="1" t="s">
        <v>74</v>
      </c>
      <c r="BK972" s="1" t="s">
        <v>74</v>
      </c>
      <c r="BL972" s="1" t="s">
        <v>74</v>
      </c>
      <c r="BM972" s="1" t="s">
        <v>74</v>
      </c>
      <c r="BN972" s="1" t="s">
        <v>74</v>
      </c>
      <c r="BO972" s="1" t="s">
        <v>74</v>
      </c>
      <c r="BP972" s="1" t="s">
        <v>74</v>
      </c>
      <c r="BQ972" s="1" t="s">
        <v>74</v>
      </c>
      <c r="BR972" s="1" t="s">
        <v>74</v>
      </c>
      <c r="BS972" s="1" t="s">
        <v>8948</v>
      </c>
      <c r="BT972" s="1" t="str">
        <f>HYPERLINK("https%3A%2F%2Fwww.webofscience.com%2Fwos%2Fwoscc%2Ffull-record%2FWOS:000577179700001","View Full Record in Web of Science")</f>
        <v>View Full Record in Web of Science</v>
      </c>
    </row>
    <row r="973" ht="12.75" customHeight="1">
      <c r="A973" s="1" t="s">
        <v>72</v>
      </c>
      <c r="B973" s="1" t="s">
        <v>8949</v>
      </c>
      <c r="C973" s="1" t="s">
        <v>74</v>
      </c>
      <c r="D973" s="1" t="s">
        <v>74</v>
      </c>
      <c r="E973" s="1" t="s">
        <v>74</v>
      </c>
      <c r="F973" s="1" t="s">
        <v>8950</v>
      </c>
      <c r="G973" s="1" t="s">
        <v>74</v>
      </c>
      <c r="H973" s="1" t="s">
        <v>74</v>
      </c>
      <c r="I973" s="1" t="s">
        <v>8951</v>
      </c>
      <c r="J973" s="1" t="s">
        <v>8952</v>
      </c>
      <c r="K973" s="1" t="s">
        <v>74</v>
      </c>
      <c r="L973" s="1" t="s">
        <v>74</v>
      </c>
      <c r="M973" s="1" t="s">
        <v>74</v>
      </c>
      <c r="N973" s="1" t="s">
        <v>74</v>
      </c>
      <c r="O973" s="1" t="s">
        <v>74</v>
      </c>
      <c r="P973" s="1" t="s">
        <v>74</v>
      </c>
      <c r="Q973" s="1" t="s">
        <v>74</v>
      </c>
      <c r="R973" s="1" t="s">
        <v>74</v>
      </c>
      <c r="S973" s="1" t="s">
        <v>74</v>
      </c>
      <c r="T973" s="1" t="s">
        <v>74</v>
      </c>
      <c r="U973" s="1" t="s">
        <v>74</v>
      </c>
      <c r="V973" s="1" t="s">
        <v>8953</v>
      </c>
      <c r="W973" s="1" t="s">
        <v>74</v>
      </c>
      <c r="X973" s="1" t="s">
        <v>74</v>
      </c>
      <c r="Y973" s="1" t="s">
        <v>74</v>
      </c>
      <c r="Z973" s="1" t="s">
        <v>74</v>
      </c>
      <c r="AA973" s="1" t="s">
        <v>199</v>
      </c>
      <c r="AB973" s="1" t="s">
        <v>8954</v>
      </c>
      <c r="AC973" s="1" t="s">
        <v>74</v>
      </c>
      <c r="AD973" s="1" t="s">
        <v>74</v>
      </c>
      <c r="AE973" s="1" t="s">
        <v>74</v>
      </c>
      <c r="AF973" s="1" t="s">
        <v>74</v>
      </c>
      <c r="AG973" s="1" t="s">
        <v>74</v>
      </c>
      <c r="AH973" s="1" t="s">
        <v>74</v>
      </c>
      <c r="AI973" s="1" t="s">
        <v>74</v>
      </c>
      <c r="AJ973" s="1" t="s">
        <v>74</v>
      </c>
      <c r="AK973" s="1" t="s">
        <v>74</v>
      </c>
      <c r="AL973" s="1" t="s">
        <v>74</v>
      </c>
      <c r="AM973" s="1" t="s">
        <v>74</v>
      </c>
      <c r="AN973" s="1" t="s">
        <v>74</v>
      </c>
      <c r="AO973" s="1" t="s">
        <v>8955</v>
      </c>
      <c r="AP973" s="1" t="s">
        <v>8956</v>
      </c>
      <c r="AQ973" s="1" t="s">
        <v>74</v>
      </c>
      <c r="AR973" s="1" t="s">
        <v>74</v>
      </c>
      <c r="AS973" s="1" t="s">
        <v>74</v>
      </c>
      <c r="AT973" s="1" t="s">
        <v>694</v>
      </c>
      <c r="AU973" s="1">
        <v>2020.0</v>
      </c>
      <c r="AV973" s="1">
        <v>82.0</v>
      </c>
      <c r="AW973" s="1">
        <v>2.0</v>
      </c>
      <c r="AX973" s="1" t="s">
        <v>74</v>
      </c>
      <c r="AY973" s="1" t="s">
        <v>74</v>
      </c>
      <c r="AZ973" s="1" t="s">
        <v>74</v>
      </c>
      <c r="BA973" s="1" t="s">
        <v>74</v>
      </c>
      <c r="BB973" s="1">
        <v>281.0</v>
      </c>
      <c r="BC973" s="1">
        <v>291.0</v>
      </c>
      <c r="BD973" s="1" t="s">
        <v>74</v>
      </c>
      <c r="BE973" s="1" t="s">
        <v>8957</v>
      </c>
      <c r="BF973" s="2" t="str">
        <f>HYPERLINK("http://dx.doi.org/10.2166/wst.2020.139","http://dx.doi.org/10.2166/wst.2020.139")</f>
        <v>http://dx.doi.org/10.2166/wst.2020.139</v>
      </c>
      <c r="BG973" s="1" t="s">
        <v>74</v>
      </c>
      <c r="BH973" s="1" t="s">
        <v>74</v>
      </c>
      <c r="BI973" s="1" t="s">
        <v>74</v>
      </c>
      <c r="BJ973" s="1" t="s">
        <v>74</v>
      </c>
      <c r="BK973" s="1" t="s">
        <v>74</v>
      </c>
      <c r="BL973" s="1" t="s">
        <v>74</v>
      </c>
      <c r="BM973" s="1" t="s">
        <v>74</v>
      </c>
      <c r="BN973" s="1">
        <v>3.294117E7</v>
      </c>
      <c r="BO973" s="1" t="s">
        <v>74</v>
      </c>
      <c r="BP973" s="1" t="s">
        <v>74</v>
      </c>
      <c r="BQ973" s="1" t="s">
        <v>74</v>
      </c>
      <c r="BR973" s="1" t="s">
        <v>74</v>
      </c>
      <c r="BS973" s="1" t="s">
        <v>8958</v>
      </c>
      <c r="BT973" s="1" t="str">
        <f>HYPERLINK("https%3A%2F%2Fwww.webofscience.com%2Fwos%2Fwoscc%2Ffull-record%2FWOS:000573908500008","View Full Record in Web of Science")</f>
        <v>View Full Record in Web of Science</v>
      </c>
    </row>
    <row r="974" ht="12.75" customHeight="1">
      <c r="A974" s="1" t="s">
        <v>72</v>
      </c>
      <c r="B974" s="1" t="s">
        <v>8254</v>
      </c>
      <c r="C974" s="1" t="s">
        <v>74</v>
      </c>
      <c r="D974" s="1" t="s">
        <v>74</v>
      </c>
      <c r="E974" s="1" t="s">
        <v>74</v>
      </c>
      <c r="F974" s="1" t="s">
        <v>8255</v>
      </c>
      <c r="G974" s="1" t="s">
        <v>74</v>
      </c>
      <c r="H974" s="1" t="s">
        <v>74</v>
      </c>
      <c r="I974" s="1" t="s">
        <v>8959</v>
      </c>
      <c r="J974" s="1" t="s">
        <v>5956</v>
      </c>
      <c r="K974" s="1" t="s">
        <v>74</v>
      </c>
      <c r="L974" s="1" t="s">
        <v>74</v>
      </c>
      <c r="M974" s="1" t="s">
        <v>74</v>
      </c>
      <c r="N974" s="1" t="s">
        <v>74</v>
      </c>
      <c r="O974" s="1" t="s">
        <v>74</v>
      </c>
      <c r="P974" s="1" t="s">
        <v>74</v>
      </c>
      <c r="Q974" s="1" t="s">
        <v>74</v>
      </c>
      <c r="R974" s="1" t="s">
        <v>74</v>
      </c>
      <c r="S974" s="1" t="s">
        <v>74</v>
      </c>
      <c r="T974" s="1" t="s">
        <v>74</v>
      </c>
      <c r="U974" s="1" t="s">
        <v>74</v>
      </c>
      <c r="V974" s="1" t="s">
        <v>8960</v>
      </c>
      <c r="W974" s="1" t="s">
        <v>74</v>
      </c>
      <c r="X974" s="1" t="s">
        <v>74</v>
      </c>
      <c r="Y974" s="1" t="s">
        <v>74</v>
      </c>
      <c r="Z974" s="1" t="s">
        <v>74</v>
      </c>
      <c r="AA974" s="1" t="s">
        <v>8258</v>
      </c>
      <c r="AB974" s="1" t="s">
        <v>8259</v>
      </c>
      <c r="AC974" s="1" t="s">
        <v>74</v>
      </c>
      <c r="AD974" s="1" t="s">
        <v>74</v>
      </c>
      <c r="AE974" s="1" t="s">
        <v>74</v>
      </c>
      <c r="AF974" s="1" t="s">
        <v>74</v>
      </c>
      <c r="AG974" s="1" t="s">
        <v>74</v>
      </c>
      <c r="AH974" s="1" t="s">
        <v>74</v>
      </c>
      <c r="AI974" s="1" t="s">
        <v>74</v>
      </c>
      <c r="AJ974" s="1" t="s">
        <v>74</v>
      </c>
      <c r="AK974" s="1" t="s">
        <v>74</v>
      </c>
      <c r="AL974" s="1" t="s">
        <v>74</v>
      </c>
      <c r="AM974" s="1" t="s">
        <v>74</v>
      </c>
      <c r="AN974" s="1" t="s">
        <v>74</v>
      </c>
      <c r="AO974" s="1" t="s">
        <v>5960</v>
      </c>
      <c r="AP974" s="1" t="s">
        <v>74</v>
      </c>
      <c r="AQ974" s="1" t="s">
        <v>74</v>
      </c>
      <c r="AR974" s="1" t="s">
        <v>74</v>
      </c>
      <c r="AS974" s="1" t="s">
        <v>74</v>
      </c>
      <c r="AT974" s="1" t="s">
        <v>8961</v>
      </c>
      <c r="AU974" s="1">
        <v>2020.0</v>
      </c>
      <c r="AV974" s="1" t="s">
        <v>74</v>
      </c>
      <c r="AW974" s="1">
        <v>4.0</v>
      </c>
      <c r="AX974" s="1" t="s">
        <v>74</v>
      </c>
      <c r="AY974" s="1" t="s">
        <v>74</v>
      </c>
      <c r="AZ974" s="1" t="s">
        <v>74</v>
      </c>
      <c r="BA974" s="1" t="s">
        <v>74</v>
      </c>
      <c r="BB974" s="1" t="s">
        <v>74</v>
      </c>
      <c r="BC974" s="1" t="s">
        <v>74</v>
      </c>
      <c r="BD974" s="1">
        <v>28.0</v>
      </c>
      <c r="BE974" s="1" t="s">
        <v>8962</v>
      </c>
      <c r="BF974" s="2" t="str">
        <f>HYPERLINK("http://dx.doi.org/10.1007/JHEP04(2020)028","http://dx.doi.org/10.1007/JHEP04(2020)028")</f>
        <v>http://dx.doi.org/10.1007/JHEP04(2020)028</v>
      </c>
      <c r="BG974" s="1" t="s">
        <v>74</v>
      </c>
      <c r="BH974" s="1" t="s">
        <v>74</v>
      </c>
      <c r="BI974" s="1" t="s">
        <v>74</v>
      </c>
      <c r="BJ974" s="1" t="s">
        <v>74</v>
      </c>
      <c r="BK974" s="1" t="s">
        <v>74</v>
      </c>
      <c r="BL974" s="1" t="s">
        <v>74</v>
      </c>
      <c r="BM974" s="1" t="s">
        <v>74</v>
      </c>
      <c r="BN974" s="1" t="s">
        <v>74</v>
      </c>
      <c r="BO974" s="1" t="s">
        <v>74</v>
      </c>
      <c r="BP974" s="1" t="s">
        <v>74</v>
      </c>
      <c r="BQ974" s="1" t="s">
        <v>74</v>
      </c>
      <c r="BR974" s="1" t="s">
        <v>74</v>
      </c>
      <c r="BS974" s="1" t="s">
        <v>8963</v>
      </c>
      <c r="BT974" s="1" t="str">
        <f>HYPERLINK("https%3A%2F%2Fwww.webofscience.com%2Fwos%2Fwoscc%2Ffull-record%2FWOS:000525170700003","View Full Record in Web of Science")</f>
        <v>View Full Record in Web of Science</v>
      </c>
    </row>
    <row r="975" ht="12.75" customHeight="1">
      <c r="A975" s="1" t="s">
        <v>72</v>
      </c>
      <c r="B975" s="1" t="s">
        <v>8964</v>
      </c>
      <c r="C975" s="1" t="s">
        <v>74</v>
      </c>
      <c r="D975" s="1" t="s">
        <v>74</v>
      </c>
      <c r="E975" s="1" t="s">
        <v>74</v>
      </c>
      <c r="F975" s="1" t="s">
        <v>8965</v>
      </c>
      <c r="G975" s="1" t="s">
        <v>74</v>
      </c>
      <c r="H975" s="1" t="s">
        <v>74</v>
      </c>
      <c r="I975" s="1" t="s">
        <v>8966</v>
      </c>
      <c r="J975" s="1" t="s">
        <v>8967</v>
      </c>
      <c r="K975" s="1" t="s">
        <v>74</v>
      </c>
      <c r="L975" s="1" t="s">
        <v>74</v>
      </c>
      <c r="M975" s="1" t="s">
        <v>74</v>
      </c>
      <c r="N975" s="1" t="s">
        <v>74</v>
      </c>
      <c r="O975" s="1" t="s">
        <v>74</v>
      </c>
      <c r="P975" s="1" t="s">
        <v>74</v>
      </c>
      <c r="Q975" s="1" t="s">
        <v>74</v>
      </c>
      <c r="R975" s="1" t="s">
        <v>74</v>
      </c>
      <c r="S975" s="1" t="s">
        <v>74</v>
      </c>
      <c r="T975" s="1" t="s">
        <v>74</v>
      </c>
      <c r="U975" s="1" t="s">
        <v>74</v>
      </c>
      <c r="V975" s="1" t="s">
        <v>8968</v>
      </c>
      <c r="W975" s="1" t="s">
        <v>74</v>
      </c>
      <c r="X975" s="1" t="s">
        <v>74</v>
      </c>
      <c r="Y975" s="1" t="s">
        <v>74</v>
      </c>
      <c r="Z975" s="1" t="s">
        <v>74</v>
      </c>
      <c r="AA975" s="1" t="s">
        <v>8969</v>
      </c>
      <c r="AB975" s="1" t="s">
        <v>8970</v>
      </c>
      <c r="AC975" s="1" t="s">
        <v>74</v>
      </c>
      <c r="AD975" s="1" t="s">
        <v>74</v>
      </c>
      <c r="AE975" s="1" t="s">
        <v>74</v>
      </c>
      <c r="AF975" s="1" t="s">
        <v>74</v>
      </c>
      <c r="AG975" s="1" t="s">
        <v>74</v>
      </c>
      <c r="AH975" s="1" t="s">
        <v>74</v>
      </c>
      <c r="AI975" s="1" t="s">
        <v>74</v>
      </c>
      <c r="AJ975" s="1" t="s">
        <v>74</v>
      </c>
      <c r="AK975" s="1" t="s">
        <v>74</v>
      </c>
      <c r="AL975" s="1" t="s">
        <v>74</v>
      </c>
      <c r="AM975" s="1" t="s">
        <v>74</v>
      </c>
      <c r="AN975" s="1" t="s">
        <v>74</v>
      </c>
      <c r="AO975" s="1" t="s">
        <v>8971</v>
      </c>
      <c r="AP975" s="1" t="s">
        <v>8972</v>
      </c>
      <c r="AQ975" s="1" t="s">
        <v>74</v>
      </c>
      <c r="AR975" s="1" t="s">
        <v>74</v>
      </c>
      <c r="AS975" s="1" t="s">
        <v>74</v>
      </c>
      <c r="AT975" s="1" t="s">
        <v>74</v>
      </c>
      <c r="AU975" s="1">
        <v>2020.0</v>
      </c>
      <c r="AV975" s="1" t="s">
        <v>74</v>
      </c>
      <c r="AW975" s="1" t="s">
        <v>74</v>
      </c>
      <c r="AX975" s="1" t="s">
        <v>74</v>
      </c>
      <c r="AY975" s="1" t="s">
        <v>74</v>
      </c>
      <c r="AZ975" s="1" t="s">
        <v>411</v>
      </c>
      <c r="BA975" s="1" t="s">
        <v>74</v>
      </c>
      <c r="BB975" s="1">
        <v>5.0</v>
      </c>
      <c r="BC975" s="1">
        <v>23.0</v>
      </c>
      <c r="BD975" s="1" t="s">
        <v>74</v>
      </c>
      <c r="BE975" s="1" t="s">
        <v>8973</v>
      </c>
      <c r="BF975" s="2" t="str">
        <f>HYPERLINK("http://dx.doi.org/10.24193/tras.SI2020.1","http://dx.doi.org/10.24193/tras.SI2020.1")</f>
        <v>http://dx.doi.org/10.24193/tras.SI2020.1</v>
      </c>
      <c r="BG975" s="1" t="s">
        <v>74</v>
      </c>
      <c r="BH975" s="1" t="s">
        <v>74</v>
      </c>
      <c r="BI975" s="1" t="s">
        <v>74</v>
      </c>
      <c r="BJ975" s="1" t="s">
        <v>74</v>
      </c>
      <c r="BK975" s="1" t="s">
        <v>74</v>
      </c>
      <c r="BL975" s="1" t="s">
        <v>74</v>
      </c>
      <c r="BM975" s="1" t="s">
        <v>74</v>
      </c>
      <c r="BN975" s="1" t="s">
        <v>74</v>
      </c>
      <c r="BO975" s="1" t="s">
        <v>74</v>
      </c>
      <c r="BP975" s="1" t="s">
        <v>74</v>
      </c>
      <c r="BQ975" s="1" t="s">
        <v>74</v>
      </c>
      <c r="BR975" s="1" t="s">
        <v>74</v>
      </c>
      <c r="BS975" s="1" t="s">
        <v>8974</v>
      </c>
      <c r="BT975" s="1" t="str">
        <f>HYPERLINK("https%3A%2F%2Fwww.webofscience.com%2Fwos%2Fwoscc%2Ffull-record%2FWOS:000592999200001","View Full Record in Web of Science")</f>
        <v>View Full Record in Web of Science</v>
      </c>
    </row>
    <row r="976" ht="12.75" customHeight="1">
      <c r="A976" s="1" t="s">
        <v>72</v>
      </c>
      <c r="B976" s="1" t="s">
        <v>8975</v>
      </c>
      <c r="C976" s="1" t="s">
        <v>74</v>
      </c>
      <c r="D976" s="1" t="s">
        <v>74</v>
      </c>
      <c r="E976" s="1" t="s">
        <v>74</v>
      </c>
      <c r="F976" s="1" t="s">
        <v>8976</v>
      </c>
      <c r="G976" s="1" t="s">
        <v>74</v>
      </c>
      <c r="H976" s="1" t="s">
        <v>74</v>
      </c>
      <c r="I976" s="1" t="s">
        <v>8977</v>
      </c>
      <c r="J976" s="1" t="s">
        <v>994</v>
      </c>
      <c r="K976" s="1" t="s">
        <v>74</v>
      </c>
      <c r="L976" s="1" t="s">
        <v>74</v>
      </c>
      <c r="M976" s="1" t="s">
        <v>74</v>
      </c>
      <c r="N976" s="1" t="s">
        <v>74</v>
      </c>
      <c r="O976" s="1" t="s">
        <v>74</v>
      </c>
      <c r="P976" s="1" t="s">
        <v>74</v>
      </c>
      <c r="Q976" s="1" t="s">
        <v>74</v>
      </c>
      <c r="R976" s="1" t="s">
        <v>74</v>
      </c>
      <c r="S976" s="1" t="s">
        <v>74</v>
      </c>
      <c r="T976" s="1" t="s">
        <v>74</v>
      </c>
      <c r="U976" s="1" t="s">
        <v>74</v>
      </c>
      <c r="V976" s="1" t="s">
        <v>8978</v>
      </c>
      <c r="W976" s="1" t="s">
        <v>74</v>
      </c>
      <c r="X976" s="1" t="s">
        <v>74</v>
      </c>
      <c r="Y976" s="1" t="s">
        <v>74</v>
      </c>
      <c r="Z976" s="1" t="s">
        <v>74</v>
      </c>
      <c r="AA976" s="1" t="s">
        <v>8979</v>
      </c>
      <c r="AB976" s="1" t="s">
        <v>74</v>
      </c>
      <c r="AC976" s="1" t="s">
        <v>74</v>
      </c>
      <c r="AD976" s="1" t="s">
        <v>74</v>
      </c>
      <c r="AE976" s="1" t="s">
        <v>74</v>
      </c>
      <c r="AF976" s="1" t="s">
        <v>74</v>
      </c>
      <c r="AG976" s="1" t="s">
        <v>74</v>
      </c>
      <c r="AH976" s="1" t="s">
        <v>74</v>
      </c>
      <c r="AI976" s="1" t="s">
        <v>74</v>
      </c>
      <c r="AJ976" s="1" t="s">
        <v>74</v>
      </c>
      <c r="AK976" s="1" t="s">
        <v>74</v>
      </c>
      <c r="AL976" s="1" t="s">
        <v>74</v>
      </c>
      <c r="AM976" s="1" t="s">
        <v>74</v>
      </c>
      <c r="AN976" s="1" t="s">
        <v>74</v>
      </c>
      <c r="AO976" s="1" t="s">
        <v>996</v>
      </c>
      <c r="AP976" s="1" t="s">
        <v>74</v>
      </c>
      <c r="AQ976" s="1" t="s">
        <v>74</v>
      </c>
      <c r="AR976" s="1" t="s">
        <v>74</v>
      </c>
      <c r="AS976" s="1" t="s">
        <v>74</v>
      </c>
      <c r="AT976" s="1" t="s">
        <v>169</v>
      </c>
      <c r="AU976" s="1">
        <v>2020.0</v>
      </c>
      <c r="AV976" s="1">
        <v>49.0</v>
      </c>
      <c r="AW976" s="1" t="s">
        <v>74</v>
      </c>
      <c r="AX976" s="1" t="s">
        <v>74</v>
      </c>
      <c r="AY976" s="1" t="s">
        <v>74</v>
      </c>
      <c r="AZ976" s="1" t="s">
        <v>74</v>
      </c>
      <c r="BA976" s="1" t="s">
        <v>74</v>
      </c>
      <c r="BB976" s="1">
        <v>2900.0</v>
      </c>
      <c r="BC976" s="1">
        <v>2922.0</v>
      </c>
      <c r="BD976" s="1" t="s">
        <v>74</v>
      </c>
      <c r="BE976" s="1" t="s">
        <v>74</v>
      </c>
      <c r="BF976" s="1" t="s">
        <v>74</v>
      </c>
      <c r="BG976" s="1" t="s">
        <v>74</v>
      </c>
      <c r="BH976" s="1" t="s">
        <v>74</v>
      </c>
      <c r="BI976" s="1" t="s">
        <v>74</v>
      </c>
      <c r="BJ976" s="1" t="s">
        <v>74</v>
      </c>
      <c r="BK976" s="1" t="s">
        <v>74</v>
      </c>
      <c r="BL976" s="1" t="s">
        <v>74</v>
      </c>
      <c r="BM976" s="1" t="s">
        <v>74</v>
      </c>
      <c r="BN976" s="1" t="s">
        <v>74</v>
      </c>
      <c r="BO976" s="1" t="s">
        <v>74</v>
      </c>
      <c r="BP976" s="1" t="s">
        <v>74</v>
      </c>
      <c r="BQ976" s="1" t="s">
        <v>74</v>
      </c>
      <c r="BR976" s="1" t="s">
        <v>74</v>
      </c>
      <c r="BS976" s="1" t="s">
        <v>8980</v>
      </c>
      <c r="BT976" s="1" t="str">
        <f>HYPERLINK("https%3A%2F%2Fwww.webofscience.com%2Fwos%2Fwoscc%2Ffull-record%2FWOS:000614863100126","View Full Record in Web of Science")</f>
        <v>View Full Record in Web of Science</v>
      </c>
    </row>
    <row r="977" ht="12.75" customHeight="1">
      <c r="A977" s="1" t="s">
        <v>72</v>
      </c>
      <c r="B977" s="1" t="s">
        <v>8981</v>
      </c>
      <c r="C977" s="1" t="s">
        <v>74</v>
      </c>
      <c r="D977" s="1" t="s">
        <v>74</v>
      </c>
      <c r="E977" s="1" t="s">
        <v>74</v>
      </c>
      <c r="F977" s="1" t="s">
        <v>8982</v>
      </c>
      <c r="G977" s="1" t="s">
        <v>74</v>
      </c>
      <c r="H977" s="1" t="s">
        <v>74</v>
      </c>
      <c r="I977" s="1" t="s">
        <v>8983</v>
      </c>
      <c r="J977" s="1" t="s">
        <v>8984</v>
      </c>
      <c r="K977" s="1" t="s">
        <v>74</v>
      </c>
      <c r="L977" s="1" t="s">
        <v>74</v>
      </c>
      <c r="M977" s="1" t="s">
        <v>74</v>
      </c>
      <c r="N977" s="1" t="s">
        <v>74</v>
      </c>
      <c r="O977" s="1" t="s">
        <v>74</v>
      </c>
      <c r="P977" s="1" t="s">
        <v>74</v>
      </c>
      <c r="Q977" s="1" t="s">
        <v>74</v>
      </c>
      <c r="R977" s="1" t="s">
        <v>74</v>
      </c>
      <c r="S977" s="1" t="s">
        <v>74</v>
      </c>
      <c r="T977" s="1" t="s">
        <v>74</v>
      </c>
      <c r="U977" s="1" t="s">
        <v>74</v>
      </c>
      <c r="V977" s="1" t="s">
        <v>8985</v>
      </c>
      <c r="W977" s="1" t="s">
        <v>74</v>
      </c>
      <c r="X977" s="1" t="s">
        <v>74</v>
      </c>
      <c r="Y977" s="1" t="s">
        <v>74</v>
      </c>
      <c r="Z977" s="1" t="s">
        <v>74</v>
      </c>
      <c r="AA977" s="1" t="s">
        <v>1985</v>
      </c>
      <c r="AB977" s="1" t="s">
        <v>1986</v>
      </c>
      <c r="AC977" s="1" t="s">
        <v>74</v>
      </c>
      <c r="AD977" s="1" t="s">
        <v>74</v>
      </c>
      <c r="AE977" s="1" t="s">
        <v>74</v>
      </c>
      <c r="AF977" s="1" t="s">
        <v>74</v>
      </c>
      <c r="AG977" s="1" t="s">
        <v>74</v>
      </c>
      <c r="AH977" s="1" t="s">
        <v>74</v>
      </c>
      <c r="AI977" s="1" t="s">
        <v>74</v>
      </c>
      <c r="AJ977" s="1" t="s">
        <v>74</v>
      </c>
      <c r="AK977" s="1" t="s">
        <v>74</v>
      </c>
      <c r="AL977" s="1" t="s">
        <v>74</v>
      </c>
      <c r="AM977" s="1" t="s">
        <v>74</v>
      </c>
      <c r="AN977" s="1" t="s">
        <v>74</v>
      </c>
      <c r="AO977" s="1" t="s">
        <v>8986</v>
      </c>
      <c r="AP977" s="1" t="s">
        <v>8987</v>
      </c>
      <c r="AQ977" s="1" t="s">
        <v>74</v>
      </c>
      <c r="AR977" s="1" t="s">
        <v>74</v>
      </c>
      <c r="AS977" s="1" t="s">
        <v>74</v>
      </c>
      <c r="AT977" s="1" t="s">
        <v>6739</v>
      </c>
      <c r="AU977" s="1">
        <v>2020.0</v>
      </c>
      <c r="AV977" s="1">
        <v>26.0</v>
      </c>
      <c r="AW977" s="1">
        <v>1.0</v>
      </c>
      <c r="AX977" s="1" t="s">
        <v>74</v>
      </c>
      <c r="AY977" s="1" t="s">
        <v>74</v>
      </c>
      <c r="AZ977" s="1" t="s">
        <v>74</v>
      </c>
      <c r="BA977" s="1" t="s">
        <v>74</v>
      </c>
      <c r="BB977" s="1">
        <v>24.0</v>
      </c>
      <c r="BC977" s="1">
        <v>33.0</v>
      </c>
      <c r="BD977" s="1" t="s">
        <v>74</v>
      </c>
      <c r="BE977" s="1" t="s">
        <v>8988</v>
      </c>
      <c r="BF977" s="2" t="str">
        <f>HYPERLINK("http://dx.doi.org/10.1089/tmj.2018.0317","http://dx.doi.org/10.1089/tmj.2018.0317")</f>
        <v>http://dx.doi.org/10.1089/tmj.2018.0317</v>
      </c>
      <c r="BG977" s="1" t="s">
        <v>74</v>
      </c>
      <c r="BH977" s="1" t="s">
        <v>74</v>
      </c>
      <c r="BI977" s="1" t="s">
        <v>74</v>
      </c>
      <c r="BJ977" s="1" t="s">
        <v>74</v>
      </c>
      <c r="BK977" s="1" t="s">
        <v>74</v>
      </c>
      <c r="BL977" s="1" t="s">
        <v>74</v>
      </c>
      <c r="BM977" s="1" t="s">
        <v>74</v>
      </c>
      <c r="BN977" s="1">
        <v>3.0817237E7</v>
      </c>
      <c r="BO977" s="1" t="s">
        <v>74</v>
      </c>
      <c r="BP977" s="1" t="s">
        <v>74</v>
      </c>
      <c r="BQ977" s="1" t="s">
        <v>74</v>
      </c>
      <c r="BR977" s="1" t="s">
        <v>74</v>
      </c>
      <c r="BS977" s="1" t="s">
        <v>8989</v>
      </c>
      <c r="BT977" s="1" t="str">
        <f>HYPERLINK("https%3A%2F%2Fwww.webofscience.com%2Fwos%2Fwoscc%2Ffull-record%2FWOS:000506495400005","View Full Record in Web of Science")</f>
        <v>View Full Record in Web of Science</v>
      </c>
    </row>
    <row r="978" ht="12.75" customHeight="1">
      <c r="A978" s="1" t="s">
        <v>72</v>
      </c>
      <c r="B978" s="1" t="s">
        <v>8990</v>
      </c>
      <c r="C978" s="1" t="s">
        <v>74</v>
      </c>
      <c r="D978" s="1" t="s">
        <v>74</v>
      </c>
      <c r="E978" s="1" t="s">
        <v>74</v>
      </c>
      <c r="F978" s="1" t="s">
        <v>8991</v>
      </c>
      <c r="G978" s="1" t="s">
        <v>74</v>
      </c>
      <c r="H978" s="1" t="s">
        <v>74</v>
      </c>
      <c r="I978" s="1" t="s">
        <v>8992</v>
      </c>
      <c r="J978" s="1" t="s">
        <v>8993</v>
      </c>
      <c r="K978" s="1" t="s">
        <v>74</v>
      </c>
      <c r="L978" s="1" t="s">
        <v>74</v>
      </c>
      <c r="M978" s="1" t="s">
        <v>74</v>
      </c>
      <c r="N978" s="1" t="s">
        <v>74</v>
      </c>
      <c r="O978" s="1" t="s">
        <v>74</v>
      </c>
      <c r="P978" s="1" t="s">
        <v>74</v>
      </c>
      <c r="Q978" s="1" t="s">
        <v>74</v>
      </c>
      <c r="R978" s="1" t="s">
        <v>74</v>
      </c>
      <c r="S978" s="1" t="s">
        <v>74</v>
      </c>
      <c r="T978" s="1" t="s">
        <v>74</v>
      </c>
      <c r="U978" s="1" t="s">
        <v>74</v>
      </c>
      <c r="V978" s="1" t="s">
        <v>8994</v>
      </c>
      <c r="W978" s="1" t="s">
        <v>74</v>
      </c>
      <c r="X978" s="1" t="s">
        <v>74</v>
      </c>
      <c r="Y978" s="1" t="s">
        <v>74</v>
      </c>
      <c r="Z978" s="1" t="s">
        <v>74</v>
      </c>
      <c r="AA978" s="1" t="s">
        <v>8995</v>
      </c>
      <c r="AB978" s="1" t="s">
        <v>8996</v>
      </c>
      <c r="AC978" s="1" t="s">
        <v>74</v>
      </c>
      <c r="AD978" s="1" t="s">
        <v>74</v>
      </c>
      <c r="AE978" s="1" t="s">
        <v>74</v>
      </c>
      <c r="AF978" s="1" t="s">
        <v>74</v>
      </c>
      <c r="AG978" s="1" t="s">
        <v>74</v>
      </c>
      <c r="AH978" s="1" t="s">
        <v>74</v>
      </c>
      <c r="AI978" s="1" t="s">
        <v>74</v>
      </c>
      <c r="AJ978" s="1" t="s">
        <v>74</v>
      </c>
      <c r="AK978" s="1" t="s">
        <v>74</v>
      </c>
      <c r="AL978" s="1" t="s">
        <v>74</v>
      </c>
      <c r="AM978" s="1" t="s">
        <v>74</v>
      </c>
      <c r="AN978" s="1" t="s">
        <v>74</v>
      </c>
      <c r="AO978" s="1" t="s">
        <v>8997</v>
      </c>
      <c r="AP978" s="1" t="s">
        <v>8998</v>
      </c>
      <c r="AQ978" s="1" t="s">
        <v>74</v>
      </c>
      <c r="AR978" s="1" t="s">
        <v>74</v>
      </c>
      <c r="AS978" s="1" t="s">
        <v>74</v>
      </c>
      <c r="AT978" s="1" t="s">
        <v>74</v>
      </c>
      <c r="AU978" s="1">
        <v>2020.0</v>
      </c>
      <c r="AV978" s="1">
        <v>26.0</v>
      </c>
      <c r="AW978" s="1">
        <v>5.0</v>
      </c>
      <c r="AX978" s="1" t="s">
        <v>74</v>
      </c>
      <c r="AY978" s="1" t="s">
        <v>74</v>
      </c>
      <c r="AZ978" s="1" t="s">
        <v>74</v>
      </c>
      <c r="BA978" s="1" t="s">
        <v>74</v>
      </c>
      <c r="BB978" s="1">
        <v>542.0</v>
      </c>
      <c r="BC978" s="1">
        <v>555.0</v>
      </c>
      <c r="BD978" s="1" t="s">
        <v>74</v>
      </c>
      <c r="BE978" s="1" t="s">
        <v>8999</v>
      </c>
      <c r="BF978" s="2" t="str">
        <f>HYPERLINK("http://dx.doi.org/10.2174/1381612826666200102143755","http://dx.doi.org/10.2174/1381612826666200102143755")</f>
        <v>http://dx.doi.org/10.2174/1381612826666200102143755</v>
      </c>
      <c r="BG978" s="1" t="s">
        <v>74</v>
      </c>
      <c r="BH978" s="1" t="s">
        <v>74</v>
      </c>
      <c r="BI978" s="1" t="s">
        <v>74</v>
      </c>
      <c r="BJ978" s="1" t="s">
        <v>74</v>
      </c>
      <c r="BK978" s="1" t="s">
        <v>74</v>
      </c>
      <c r="BL978" s="1" t="s">
        <v>74</v>
      </c>
      <c r="BM978" s="1" t="s">
        <v>74</v>
      </c>
      <c r="BN978" s="1">
        <v>3.1894744E7</v>
      </c>
      <c r="BO978" s="1" t="s">
        <v>74</v>
      </c>
      <c r="BP978" s="1" t="s">
        <v>74</v>
      </c>
      <c r="BQ978" s="1" t="s">
        <v>74</v>
      </c>
      <c r="BR978" s="1" t="s">
        <v>74</v>
      </c>
      <c r="BS978" s="1" t="s">
        <v>9000</v>
      </c>
      <c r="BT978" s="1" t="str">
        <f>HYPERLINK("https%3A%2F%2Fwww.webofscience.com%2Fwos%2Fwoscc%2Ffull-record%2FWOS:000521508200003","View Full Record in Web of Science")</f>
        <v>View Full Record in Web of Science</v>
      </c>
    </row>
    <row r="979" ht="12.75" customHeight="1">
      <c r="A979" s="1" t="s">
        <v>72</v>
      </c>
      <c r="B979" s="1" t="s">
        <v>9001</v>
      </c>
      <c r="C979" s="1" t="s">
        <v>74</v>
      </c>
      <c r="D979" s="1" t="s">
        <v>74</v>
      </c>
      <c r="E979" s="1" t="s">
        <v>74</v>
      </c>
      <c r="F979" s="1" t="s">
        <v>9002</v>
      </c>
      <c r="G979" s="1" t="s">
        <v>74</v>
      </c>
      <c r="H979" s="1" t="s">
        <v>74</v>
      </c>
      <c r="I979" s="1" t="s">
        <v>9003</v>
      </c>
      <c r="J979" s="1" t="s">
        <v>9004</v>
      </c>
      <c r="K979" s="1" t="s">
        <v>74</v>
      </c>
      <c r="L979" s="1" t="s">
        <v>74</v>
      </c>
      <c r="M979" s="1" t="s">
        <v>74</v>
      </c>
      <c r="N979" s="1" t="s">
        <v>74</v>
      </c>
      <c r="O979" s="1" t="s">
        <v>74</v>
      </c>
      <c r="P979" s="1" t="s">
        <v>74</v>
      </c>
      <c r="Q979" s="1" t="s">
        <v>74</v>
      </c>
      <c r="R979" s="1" t="s">
        <v>74</v>
      </c>
      <c r="S979" s="1" t="s">
        <v>74</v>
      </c>
      <c r="T979" s="1" t="s">
        <v>74</v>
      </c>
      <c r="U979" s="1" t="s">
        <v>74</v>
      </c>
      <c r="V979" s="1" t="s">
        <v>74</v>
      </c>
      <c r="W979" s="1" t="s">
        <v>74</v>
      </c>
      <c r="X979" s="1" t="s">
        <v>74</v>
      </c>
      <c r="Y979" s="1" t="s">
        <v>74</v>
      </c>
      <c r="Z979" s="1" t="s">
        <v>74</v>
      </c>
      <c r="AA979" s="1" t="s">
        <v>74</v>
      </c>
      <c r="AB979" s="1" t="s">
        <v>74</v>
      </c>
      <c r="AC979" s="1" t="s">
        <v>74</v>
      </c>
      <c r="AD979" s="1" t="s">
        <v>74</v>
      </c>
      <c r="AE979" s="1" t="s">
        <v>74</v>
      </c>
      <c r="AF979" s="1" t="s">
        <v>74</v>
      </c>
      <c r="AG979" s="1" t="s">
        <v>74</v>
      </c>
      <c r="AH979" s="1" t="s">
        <v>74</v>
      </c>
      <c r="AI979" s="1" t="s">
        <v>74</v>
      </c>
      <c r="AJ979" s="1" t="s">
        <v>74</v>
      </c>
      <c r="AK979" s="1" t="s">
        <v>74</v>
      </c>
      <c r="AL979" s="1" t="s">
        <v>74</v>
      </c>
      <c r="AM979" s="1" t="s">
        <v>74</v>
      </c>
      <c r="AN979" s="1" t="s">
        <v>74</v>
      </c>
      <c r="AO979" s="1" t="s">
        <v>9005</v>
      </c>
      <c r="AP979" s="1" t="s">
        <v>9006</v>
      </c>
      <c r="AQ979" s="1" t="s">
        <v>74</v>
      </c>
      <c r="AR979" s="1" t="s">
        <v>74</v>
      </c>
      <c r="AS979" s="1" t="s">
        <v>74</v>
      </c>
      <c r="AT979" s="1" t="s">
        <v>110</v>
      </c>
      <c r="AU979" s="1">
        <v>2019.0</v>
      </c>
      <c r="AV979" s="1">
        <v>41.0</v>
      </c>
      <c r="AW979" s="1">
        <v>4.0</v>
      </c>
      <c r="AX979" s="1" t="s">
        <v>74</v>
      </c>
      <c r="AY979" s="1" t="s">
        <v>74</v>
      </c>
      <c r="AZ979" s="1" t="s">
        <v>74</v>
      </c>
      <c r="BA979" s="1" t="s">
        <v>74</v>
      </c>
      <c r="BB979" s="1">
        <v>623.0</v>
      </c>
      <c r="BC979" s="1">
        <v>629.0</v>
      </c>
      <c r="BD979" s="1" t="s">
        <v>74</v>
      </c>
      <c r="BE979" s="1" t="s">
        <v>9007</v>
      </c>
      <c r="BF979" s="2" t="str">
        <f>HYPERLINK("http://dx.doi.org/10.1017/S1053837219000440","http://dx.doi.org/10.1017/S1053837219000440")</f>
        <v>http://dx.doi.org/10.1017/S1053837219000440</v>
      </c>
      <c r="BG979" s="1" t="s">
        <v>74</v>
      </c>
      <c r="BH979" s="1" t="s">
        <v>74</v>
      </c>
      <c r="BI979" s="1" t="s">
        <v>74</v>
      </c>
      <c r="BJ979" s="1" t="s">
        <v>74</v>
      </c>
      <c r="BK979" s="1" t="s">
        <v>74</v>
      </c>
      <c r="BL979" s="1" t="s">
        <v>74</v>
      </c>
      <c r="BM979" s="1" t="s">
        <v>74</v>
      </c>
      <c r="BN979" s="1" t="s">
        <v>74</v>
      </c>
      <c r="BO979" s="1" t="s">
        <v>74</v>
      </c>
      <c r="BP979" s="1" t="s">
        <v>74</v>
      </c>
      <c r="BQ979" s="1" t="s">
        <v>74</v>
      </c>
      <c r="BR979" s="1" t="s">
        <v>74</v>
      </c>
      <c r="BS979" s="1" t="s">
        <v>9008</v>
      </c>
      <c r="BT979" s="1" t="str">
        <f>HYPERLINK("https%3A%2F%2Fwww.webofscience.com%2Fwos%2Fwoscc%2Ffull-record%2FWOS:000512650800008","View Full Record in Web of Science")</f>
        <v>View Full Record in Web of Science</v>
      </c>
    </row>
    <row r="980" ht="12.75" customHeight="1">
      <c r="A980" s="1" t="s">
        <v>72</v>
      </c>
      <c r="B980" s="1" t="s">
        <v>5349</v>
      </c>
      <c r="C980" s="1" t="s">
        <v>74</v>
      </c>
      <c r="D980" s="1" t="s">
        <v>74</v>
      </c>
      <c r="E980" s="1" t="s">
        <v>74</v>
      </c>
      <c r="F980" s="1" t="s">
        <v>9009</v>
      </c>
      <c r="G980" s="1" t="s">
        <v>74</v>
      </c>
      <c r="H980" s="1" t="s">
        <v>74</v>
      </c>
      <c r="I980" s="1" t="s">
        <v>9010</v>
      </c>
      <c r="J980" s="1" t="s">
        <v>5352</v>
      </c>
      <c r="K980" s="1" t="s">
        <v>74</v>
      </c>
      <c r="L980" s="1" t="s">
        <v>74</v>
      </c>
      <c r="M980" s="1" t="s">
        <v>74</v>
      </c>
      <c r="N980" s="1" t="s">
        <v>74</v>
      </c>
      <c r="O980" s="1" t="s">
        <v>74</v>
      </c>
      <c r="P980" s="1" t="s">
        <v>74</v>
      </c>
      <c r="Q980" s="1" t="s">
        <v>74</v>
      </c>
      <c r="R980" s="1" t="s">
        <v>74</v>
      </c>
      <c r="S980" s="1" t="s">
        <v>74</v>
      </c>
      <c r="T980" s="1" t="s">
        <v>74</v>
      </c>
      <c r="U980" s="1" t="s">
        <v>74</v>
      </c>
      <c r="V980" s="1" t="s">
        <v>9011</v>
      </c>
      <c r="W980" s="1" t="s">
        <v>74</v>
      </c>
      <c r="X980" s="1" t="s">
        <v>74</v>
      </c>
      <c r="Y980" s="1" t="s">
        <v>74</v>
      </c>
      <c r="Z980" s="1" t="s">
        <v>74</v>
      </c>
      <c r="AA980" s="1" t="s">
        <v>923</v>
      </c>
      <c r="AB980" s="1" t="s">
        <v>9012</v>
      </c>
      <c r="AC980" s="1" t="s">
        <v>74</v>
      </c>
      <c r="AD980" s="1" t="s">
        <v>74</v>
      </c>
      <c r="AE980" s="1" t="s">
        <v>74</v>
      </c>
      <c r="AF980" s="1" t="s">
        <v>74</v>
      </c>
      <c r="AG980" s="1" t="s">
        <v>74</v>
      </c>
      <c r="AH980" s="1" t="s">
        <v>74</v>
      </c>
      <c r="AI980" s="1" t="s">
        <v>74</v>
      </c>
      <c r="AJ980" s="1" t="s">
        <v>74</v>
      </c>
      <c r="AK980" s="1" t="s">
        <v>74</v>
      </c>
      <c r="AL980" s="1" t="s">
        <v>74</v>
      </c>
      <c r="AM980" s="1" t="s">
        <v>74</v>
      </c>
      <c r="AN980" s="1" t="s">
        <v>74</v>
      </c>
      <c r="AO980" s="1" t="s">
        <v>5355</v>
      </c>
      <c r="AP980" s="1" t="s">
        <v>5356</v>
      </c>
      <c r="AQ980" s="1" t="s">
        <v>74</v>
      </c>
      <c r="AR980" s="1" t="s">
        <v>74</v>
      </c>
      <c r="AS980" s="1" t="s">
        <v>74</v>
      </c>
      <c r="AT980" s="1" t="s">
        <v>8292</v>
      </c>
      <c r="AU980" s="1">
        <v>2019.0</v>
      </c>
      <c r="AV980" s="1">
        <v>2019.0</v>
      </c>
      <c r="AW980" s="1" t="s">
        <v>74</v>
      </c>
      <c r="AX980" s="1" t="s">
        <v>74</v>
      </c>
      <c r="AY980" s="1" t="s">
        <v>74</v>
      </c>
      <c r="AZ980" s="1" t="s">
        <v>74</v>
      </c>
      <c r="BA980" s="1" t="s">
        <v>74</v>
      </c>
      <c r="BB980" s="1" t="s">
        <v>74</v>
      </c>
      <c r="BC980" s="1" t="s">
        <v>74</v>
      </c>
      <c r="BD980" s="1">
        <v>9723718.0</v>
      </c>
      <c r="BE980" s="1" t="s">
        <v>9013</v>
      </c>
      <c r="BF980" s="2" t="str">
        <f>HYPERLINK("http://dx.doi.org/10.1155/2019/9723718","http://dx.doi.org/10.1155/2019/9723718")</f>
        <v>http://dx.doi.org/10.1155/2019/9723718</v>
      </c>
      <c r="BG980" s="1" t="s">
        <v>74</v>
      </c>
      <c r="BH980" s="1" t="s">
        <v>74</v>
      </c>
      <c r="BI980" s="1" t="s">
        <v>74</v>
      </c>
      <c r="BJ980" s="1" t="s">
        <v>74</v>
      </c>
      <c r="BK980" s="1" t="s">
        <v>74</v>
      </c>
      <c r="BL980" s="1" t="s">
        <v>74</v>
      </c>
      <c r="BM980" s="1" t="s">
        <v>74</v>
      </c>
      <c r="BN980" s="1" t="s">
        <v>74</v>
      </c>
      <c r="BO980" s="1" t="s">
        <v>74</v>
      </c>
      <c r="BP980" s="1" t="s">
        <v>74</v>
      </c>
      <c r="BQ980" s="1" t="s">
        <v>74</v>
      </c>
      <c r="BR980" s="1" t="s">
        <v>74</v>
      </c>
      <c r="BS980" s="1" t="s">
        <v>9014</v>
      </c>
      <c r="BT980" s="1" t="str">
        <f>HYPERLINK("https%3A%2F%2Fwww.webofscience.com%2Fwos%2Fwoscc%2Ffull-record%2FWOS:000501206700003","View Full Record in Web of Science")</f>
        <v>View Full Record in Web of Science</v>
      </c>
    </row>
    <row r="981" ht="12.75" customHeight="1">
      <c r="A981" s="1" t="s">
        <v>72</v>
      </c>
      <c r="B981" s="1" t="s">
        <v>9015</v>
      </c>
      <c r="C981" s="1" t="s">
        <v>74</v>
      </c>
      <c r="D981" s="1" t="s">
        <v>74</v>
      </c>
      <c r="E981" s="1" t="s">
        <v>74</v>
      </c>
      <c r="F981" s="1" t="s">
        <v>9016</v>
      </c>
      <c r="G981" s="1" t="s">
        <v>74</v>
      </c>
      <c r="H981" s="1" t="s">
        <v>74</v>
      </c>
      <c r="I981" s="1" t="s">
        <v>9017</v>
      </c>
      <c r="J981" s="1" t="s">
        <v>9018</v>
      </c>
      <c r="K981" s="1" t="s">
        <v>74</v>
      </c>
      <c r="L981" s="1" t="s">
        <v>74</v>
      </c>
      <c r="M981" s="1" t="s">
        <v>74</v>
      </c>
      <c r="N981" s="1" t="s">
        <v>74</v>
      </c>
      <c r="O981" s="1" t="s">
        <v>74</v>
      </c>
      <c r="P981" s="1" t="s">
        <v>74</v>
      </c>
      <c r="Q981" s="1" t="s">
        <v>74</v>
      </c>
      <c r="R981" s="1" t="s">
        <v>74</v>
      </c>
      <c r="S981" s="1" t="s">
        <v>74</v>
      </c>
      <c r="T981" s="1" t="s">
        <v>74</v>
      </c>
      <c r="U981" s="1" t="s">
        <v>74</v>
      </c>
      <c r="V981" s="1" t="s">
        <v>9019</v>
      </c>
      <c r="W981" s="1" t="s">
        <v>74</v>
      </c>
      <c r="X981" s="1" t="s">
        <v>74</v>
      </c>
      <c r="Y981" s="1" t="s">
        <v>74</v>
      </c>
      <c r="Z981" s="1" t="s">
        <v>74</v>
      </c>
      <c r="AA981" s="1" t="s">
        <v>9020</v>
      </c>
      <c r="AB981" s="1" t="s">
        <v>9021</v>
      </c>
      <c r="AC981" s="1" t="s">
        <v>74</v>
      </c>
      <c r="AD981" s="1" t="s">
        <v>74</v>
      </c>
      <c r="AE981" s="1" t="s">
        <v>74</v>
      </c>
      <c r="AF981" s="1" t="s">
        <v>74</v>
      </c>
      <c r="AG981" s="1" t="s">
        <v>74</v>
      </c>
      <c r="AH981" s="1" t="s">
        <v>74</v>
      </c>
      <c r="AI981" s="1" t="s">
        <v>74</v>
      </c>
      <c r="AJ981" s="1" t="s">
        <v>74</v>
      </c>
      <c r="AK981" s="1" t="s">
        <v>74</v>
      </c>
      <c r="AL981" s="1" t="s">
        <v>74</v>
      </c>
      <c r="AM981" s="1" t="s">
        <v>74</v>
      </c>
      <c r="AN981" s="1" t="s">
        <v>74</v>
      </c>
      <c r="AO981" s="1" t="s">
        <v>9022</v>
      </c>
      <c r="AP981" s="1" t="s">
        <v>9023</v>
      </c>
      <c r="AQ981" s="1" t="s">
        <v>74</v>
      </c>
      <c r="AR981" s="1" t="s">
        <v>74</v>
      </c>
      <c r="AS981" s="1" t="s">
        <v>74</v>
      </c>
      <c r="AT981" s="1" t="s">
        <v>459</v>
      </c>
      <c r="AU981" s="1">
        <v>2019.0</v>
      </c>
      <c r="AV981" s="1">
        <v>36.0</v>
      </c>
      <c r="AW981" s="1">
        <v>9.0</v>
      </c>
      <c r="AX981" s="1" t="s">
        <v>74</v>
      </c>
      <c r="AY981" s="1" t="s">
        <v>74</v>
      </c>
      <c r="AZ981" s="1" t="s">
        <v>74</v>
      </c>
      <c r="BA981" s="1" t="s">
        <v>74</v>
      </c>
      <c r="BB981" s="1">
        <v>1489.0</v>
      </c>
      <c r="BC981" s="1">
        <v>1498.0</v>
      </c>
      <c r="BD981" s="1" t="s">
        <v>74</v>
      </c>
      <c r="BE981" s="1" t="s">
        <v>9024</v>
      </c>
      <c r="BF981" s="2" t="str">
        <f>HYPERLINK("http://dx.doi.org/10.1007/s11814-019-0327-6","http://dx.doi.org/10.1007/s11814-019-0327-6")</f>
        <v>http://dx.doi.org/10.1007/s11814-019-0327-6</v>
      </c>
      <c r="BG981" s="1" t="s">
        <v>74</v>
      </c>
      <c r="BH981" s="1" t="s">
        <v>74</v>
      </c>
      <c r="BI981" s="1" t="s">
        <v>74</v>
      </c>
      <c r="BJ981" s="1" t="s">
        <v>74</v>
      </c>
      <c r="BK981" s="1" t="s">
        <v>74</v>
      </c>
      <c r="BL981" s="1" t="s">
        <v>74</v>
      </c>
      <c r="BM981" s="1" t="s">
        <v>74</v>
      </c>
      <c r="BN981" s="1" t="s">
        <v>74</v>
      </c>
      <c r="BO981" s="1" t="s">
        <v>74</v>
      </c>
      <c r="BP981" s="1" t="s">
        <v>74</v>
      </c>
      <c r="BQ981" s="1" t="s">
        <v>74</v>
      </c>
      <c r="BR981" s="1" t="s">
        <v>74</v>
      </c>
      <c r="BS981" s="1" t="s">
        <v>9025</v>
      </c>
      <c r="BT981" s="1" t="str">
        <f>HYPERLINK("https%3A%2F%2Fwww.webofscience.com%2Fwos%2Fwoscc%2Ffull-record%2FWOS:000483704500013","View Full Record in Web of Science")</f>
        <v>View Full Record in Web of Science</v>
      </c>
    </row>
    <row r="982" ht="12.75" customHeight="1">
      <c r="A982" s="1" t="s">
        <v>72</v>
      </c>
      <c r="B982" s="1" t="s">
        <v>9026</v>
      </c>
      <c r="C982" s="1" t="s">
        <v>74</v>
      </c>
      <c r="D982" s="1" t="s">
        <v>74</v>
      </c>
      <c r="E982" s="1" t="s">
        <v>74</v>
      </c>
      <c r="F982" s="1" t="s">
        <v>9027</v>
      </c>
      <c r="G982" s="1" t="s">
        <v>74</v>
      </c>
      <c r="H982" s="1" t="s">
        <v>74</v>
      </c>
      <c r="I982" s="1" t="s">
        <v>9028</v>
      </c>
      <c r="J982" s="1" t="s">
        <v>602</v>
      </c>
      <c r="K982" s="1" t="s">
        <v>74</v>
      </c>
      <c r="L982" s="1" t="s">
        <v>74</v>
      </c>
      <c r="M982" s="1" t="s">
        <v>74</v>
      </c>
      <c r="N982" s="1" t="s">
        <v>74</v>
      </c>
      <c r="O982" s="1" t="s">
        <v>74</v>
      </c>
      <c r="P982" s="1" t="s">
        <v>74</v>
      </c>
      <c r="Q982" s="1" t="s">
        <v>74</v>
      </c>
      <c r="R982" s="1" t="s">
        <v>74</v>
      </c>
      <c r="S982" s="1" t="s">
        <v>74</v>
      </c>
      <c r="T982" s="1" t="s">
        <v>74</v>
      </c>
      <c r="U982" s="1" t="s">
        <v>74</v>
      </c>
      <c r="V982" s="1" t="s">
        <v>9029</v>
      </c>
      <c r="W982" s="1" t="s">
        <v>74</v>
      </c>
      <c r="X982" s="1" t="s">
        <v>74</v>
      </c>
      <c r="Y982" s="1" t="s">
        <v>74</v>
      </c>
      <c r="Z982" s="1" t="s">
        <v>74</v>
      </c>
      <c r="AA982" s="1" t="s">
        <v>74</v>
      </c>
      <c r="AB982" s="1" t="s">
        <v>74</v>
      </c>
      <c r="AC982" s="1" t="s">
        <v>74</v>
      </c>
      <c r="AD982" s="1" t="s">
        <v>74</v>
      </c>
      <c r="AE982" s="1" t="s">
        <v>74</v>
      </c>
      <c r="AF982" s="1" t="s">
        <v>74</v>
      </c>
      <c r="AG982" s="1" t="s">
        <v>74</v>
      </c>
      <c r="AH982" s="1" t="s">
        <v>74</v>
      </c>
      <c r="AI982" s="1" t="s">
        <v>74</v>
      </c>
      <c r="AJ982" s="1" t="s">
        <v>74</v>
      </c>
      <c r="AK982" s="1" t="s">
        <v>74</v>
      </c>
      <c r="AL982" s="1" t="s">
        <v>74</v>
      </c>
      <c r="AM982" s="1" t="s">
        <v>74</v>
      </c>
      <c r="AN982" s="1" t="s">
        <v>74</v>
      </c>
      <c r="AO982" s="1" t="s">
        <v>605</v>
      </c>
      <c r="AP982" s="1" t="s">
        <v>606</v>
      </c>
      <c r="AQ982" s="1" t="s">
        <v>74</v>
      </c>
      <c r="AR982" s="1" t="s">
        <v>74</v>
      </c>
      <c r="AS982" s="1" t="s">
        <v>74</v>
      </c>
      <c r="AT982" s="1" t="s">
        <v>110</v>
      </c>
      <c r="AU982" s="1">
        <v>2018.0</v>
      </c>
      <c r="AV982" s="1" t="s">
        <v>74</v>
      </c>
      <c r="AW982" s="1">
        <v>47.0</v>
      </c>
      <c r="AX982" s="1" t="s">
        <v>74</v>
      </c>
      <c r="AY982" s="1" t="s">
        <v>74</v>
      </c>
      <c r="AZ982" s="1" t="s">
        <v>74</v>
      </c>
      <c r="BA982" s="1" t="s">
        <v>74</v>
      </c>
      <c r="BB982" s="1">
        <v>161.0</v>
      </c>
      <c r="BC982" s="1">
        <v>176.0</v>
      </c>
      <c r="BD982" s="1" t="s">
        <v>74</v>
      </c>
      <c r="BE982" s="1" t="s">
        <v>9030</v>
      </c>
      <c r="BF982" s="2" t="str">
        <f>HYPERLINK("http://dx.doi.org/10.32735/S0718-220120180004700172","http://dx.doi.org/10.32735/S0718-220120180004700172")</f>
        <v>http://dx.doi.org/10.32735/S0718-220120180004700172</v>
      </c>
      <c r="BG982" s="1" t="s">
        <v>74</v>
      </c>
      <c r="BH982" s="1" t="s">
        <v>74</v>
      </c>
      <c r="BI982" s="1" t="s">
        <v>74</v>
      </c>
      <c r="BJ982" s="1" t="s">
        <v>74</v>
      </c>
      <c r="BK982" s="1" t="s">
        <v>74</v>
      </c>
      <c r="BL982" s="1" t="s">
        <v>74</v>
      </c>
      <c r="BM982" s="1" t="s">
        <v>74</v>
      </c>
      <c r="BN982" s="1" t="s">
        <v>74</v>
      </c>
      <c r="BO982" s="1" t="s">
        <v>74</v>
      </c>
      <c r="BP982" s="1" t="s">
        <v>74</v>
      </c>
      <c r="BQ982" s="1" t="s">
        <v>74</v>
      </c>
      <c r="BR982" s="1" t="s">
        <v>74</v>
      </c>
      <c r="BS982" s="1" t="s">
        <v>9031</v>
      </c>
      <c r="BT982" s="1" t="str">
        <f>HYPERLINK("https%3A%2F%2Fwww.webofscience.com%2Fwos%2Fwoscc%2Ffull-record%2FWOS:000463347400012","View Full Record in Web of Science")</f>
        <v>View Full Record in Web of Science</v>
      </c>
    </row>
    <row r="983" ht="12.75" customHeight="1">
      <c r="A983" s="1" t="s">
        <v>72</v>
      </c>
      <c r="B983" s="1" t="s">
        <v>9032</v>
      </c>
      <c r="C983" s="1" t="s">
        <v>74</v>
      </c>
      <c r="D983" s="1" t="s">
        <v>74</v>
      </c>
      <c r="E983" s="1" t="s">
        <v>74</v>
      </c>
      <c r="F983" s="1" t="s">
        <v>9033</v>
      </c>
      <c r="G983" s="1" t="s">
        <v>74</v>
      </c>
      <c r="H983" s="1" t="s">
        <v>74</v>
      </c>
      <c r="I983" s="1" t="s">
        <v>9034</v>
      </c>
      <c r="J983" s="1" t="s">
        <v>6246</v>
      </c>
      <c r="K983" s="1" t="s">
        <v>74</v>
      </c>
      <c r="L983" s="1" t="s">
        <v>74</v>
      </c>
      <c r="M983" s="1" t="s">
        <v>74</v>
      </c>
      <c r="N983" s="1" t="s">
        <v>74</v>
      </c>
      <c r="O983" s="1" t="s">
        <v>74</v>
      </c>
      <c r="P983" s="1" t="s">
        <v>74</v>
      </c>
      <c r="Q983" s="1" t="s">
        <v>74</v>
      </c>
      <c r="R983" s="1" t="s">
        <v>74</v>
      </c>
      <c r="S983" s="1" t="s">
        <v>74</v>
      </c>
      <c r="T983" s="1" t="s">
        <v>74</v>
      </c>
      <c r="U983" s="1" t="s">
        <v>74</v>
      </c>
      <c r="V983" s="1" t="s">
        <v>9035</v>
      </c>
      <c r="W983" s="1" t="s">
        <v>74</v>
      </c>
      <c r="X983" s="1" t="s">
        <v>74</v>
      </c>
      <c r="Y983" s="1" t="s">
        <v>74</v>
      </c>
      <c r="Z983" s="1" t="s">
        <v>74</v>
      </c>
      <c r="AA983" s="1" t="s">
        <v>9036</v>
      </c>
      <c r="AB983" s="1" t="s">
        <v>74</v>
      </c>
      <c r="AC983" s="1" t="s">
        <v>74</v>
      </c>
      <c r="AD983" s="1" t="s">
        <v>74</v>
      </c>
      <c r="AE983" s="1" t="s">
        <v>74</v>
      </c>
      <c r="AF983" s="1" t="s">
        <v>74</v>
      </c>
      <c r="AG983" s="1" t="s">
        <v>74</v>
      </c>
      <c r="AH983" s="1" t="s">
        <v>74</v>
      </c>
      <c r="AI983" s="1" t="s">
        <v>74</v>
      </c>
      <c r="AJ983" s="1" t="s">
        <v>74</v>
      </c>
      <c r="AK983" s="1" t="s">
        <v>74</v>
      </c>
      <c r="AL983" s="1" t="s">
        <v>74</v>
      </c>
      <c r="AM983" s="1" t="s">
        <v>74</v>
      </c>
      <c r="AN983" s="1" t="s">
        <v>74</v>
      </c>
      <c r="AO983" s="1" t="s">
        <v>6249</v>
      </c>
      <c r="AP983" s="1" t="s">
        <v>74</v>
      </c>
      <c r="AQ983" s="1" t="s">
        <v>74</v>
      </c>
      <c r="AR983" s="1" t="s">
        <v>74</v>
      </c>
      <c r="AS983" s="1" t="s">
        <v>74</v>
      </c>
      <c r="AT983" s="1" t="s">
        <v>459</v>
      </c>
      <c r="AU983" s="1">
        <v>2018.0</v>
      </c>
      <c r="AV983" s="1">
        <v>16.0</v>
      </c>
      <c r="AW983" s="1">
        <v>9.0</v>
      </c>
      <c r="AX983" s="1" t="s">
        <v>74</v>
      </c>
      <c r="AY983" s="1" t="s">
        <v>74</v>
      </c>
      <c r="AZ983" s="1" t="s">
        <v>74</v>
      </c>
      <c r="BA983" s="1" t="s">
        <v>74</v>
      </c>
      <c r="BB983" s="1">
        <v>2385.0</v>
      </c>
      <c r="BC983" s="1">
        <v>2391.0</v>
      </c>
      <c r="BD983" s="1" t="s">
        <v>74</v>
      </c>
      <c r="BE983" s="1" t="s">
        <v>9037</v>
      </c>
      <c r="BF983" s="2" t="str">
        <f>HYPERLINK("http://dx.doi.org/10.1109/TLA.2018.8789559","http://dx.doi.org/10.1109/TLA.2018.8789559")</f>
        <v>http://dx.doi.org/10.1109/TLA.2018.8789559</v>
      </c>
      <c r="BG983" s="1" t="s">
        <v>74</v>
      </c>
      <c r="BH983" s="1" t="s">
        <v>74</v>
      </c>
      <c r="BI983" s="1" t="s">
        <v>74</v>
      </c>
      <c r="BJ983" s="1" t="s">
        <v>74</v>
      </c>
      <c r="BK983" s="1" t="s">
        <v>74</v>
      </c>
      <c r="BL983" s="1" t="s">
        <v>74</v>
      </c>
      <c r="BM983" s="1" t="s">
        <v>74</v>
      </c>
      <c r="BN983" s="1" t="s">
        <v>74</v>
      </c>
      <c r="BO983" s="1" t="s">
        <v>74</v>
      </c>
      <c r="BP983" s="1" t="s">
        <v>74</v>
      </c>
      <c r="BQ983" s="1" t="s">
        <v>74</v>
      </c>
      <c r="BR983" s="1" t="s">
        <v>74</v>
      </c>
      <c r="BS983" s="1" t="s">
        <v>9038</v>
      </c>
      <c r="BT983" s="1" t="str">
        <f>HYPERLINK("https%3A%2F%2Fwww.webofscience.com%2Fwos%2Fwoscc%2Ffull-record%2FWOS:000480361900011","View Full Record in Web of Science")</f>
        <v>View Full Record in Web of Science</v>
      </c>
    </row>
    <row r="984" ht="12.75" customHeight="1">
      <c r="A984" s="1" t="s">
        <v>72</v>
      </c>
      <c r="B984" s="1" t="s">
        <v>9039</v>
      </c>
      <c r="C984" s="1" t="s">
        <v>74</v>
      </c>
      <c r="D984" s="1" t="s">
        <v>74</v>
      </c>
      <c r="E984" s="1" t="s">
        <v>74</v>
      </c>
      <c r="F984" s="1" t="s">
        <v>9040</v>
      </c>
      <c r="G984" s="1" t="s">
        <v>74</v>
      </c>
      <c r="H984" s="1" t="s">
        <v>74</v>
      </c>
      <c r="I984" s="1" t="s">
        <v>9041</v>
      </c>
      <c r="J984" s="1" t="s">
        <v>902</v>
      </c>
      <c r="K984" s="1" t="s">
        <v>74</v>
      </c>
      <c r="L984" s="1" t="s">
        <v>74</v>
      </c>
      <c r="M984" s="1" t="s">
        <v>74</v>
      </c>
      <c r="N984" s="1" t="s">
        <v>74</v>
      </c>
      <c r="O984" s="1" t="s">
        <v>74</v>
      </c>
      <c r="P984" s="1" t="s">
        <v>74</v>
      </c>
      <c r="Q984" s="1" t="s">
        <v>74</v>
      </c>
      <c r="R984" s="1" t="s">
        <v>74</v>
      </c>
      <c r="S984" s="1" t="s">
        <v>74</v>
      </c>
      <c r="T984" s="1" t="s">
        <v>74</v>
      </c>
      <c r="U984" s="1" t="s">
        <v>74</v>
      </c>
      <c r="V984" s="1" t="s">
        <v>9042</v>
      </c>
      <c r="W984" s="1" t="s">
        <v>74</v>
      </c>
      <c r="X984" s="1" t="s">
        <v>74</v>
      </c>
      <c r="Y984" s="1" t="s">
        <v>74</v>
      </c>
      <c r="Z984" s="1" t="s">
        <v>74</v>
      </c>
      <c r="AA984" s="1" t="s">
        <v>9043</v>
      </c>
      <c r="AB984" s="1" t="s">
        <v>9044</v>
      </c>
      <c r="AC984" s="1" t="s">
        <v>74</v>
      </c>
      <c r="AD984" s="1" t="s">
        <v>74</v>
      </c>
      <c r="AE984" s="1" t="s">
        <v>74</v>
      </c>
      <c r="AF984" s="1" t="s">
        <v>74</v>
      </c>
      <c r="AG984" s="1" t="s">
        <v>74</v>
      </c>
      <c r="AH984" s="1" t="s">
        <v>74</v>
      </c>
      <c r="AI984" s="1" t="s">
        <v>74</v>
      </c>
      <c r="AJ984" s="1" t="s">
        <v>74</v>
      </c>
      <c r="AK984" s="1" t="s">
        <v>74</v>
      </c>
      <c r="AL984" s="1" t="s">
        <v>74</v>
      </c>
      <c r="AM984" s="1" t="s">
        <v>74</v>
      </c>
      <c r="AN984" s="1" t="s">
        <v>74</v>
      </c>
      <c r="AO984" s="1" t="s">
        <v>74</v>
      </c>
      <c r="AP984" s="1" t="s">
        <v>905</v>
      </c>
      <c r="AQ984" s="1" t="s">
        <v>74</v>
      </c>
      <c r="AR984" s="1" t="s">
        <v>74</v>
      </c>
      <c r="AS984" s="1" t="s">
        <v>74</v>
      </c>
      <c r="AT984" s="1" t="s">
        <v>9045</v>
      </c>
      <c r="AU984" s="1">
        <v>2018.0</v>
      </c>
      <c r="AV984" s="1">
        <v>9.0</v>
      </c>
      <c r="AW984" s="1" t="s">
        <v>74</v>
      </c>
      <c r="AX984" s="1" t="s">
        <v>74</v>
      </c>
      <c r="AY984" s="1" t="s">
        <v>74</v>
      </c>
      <c r="AZ984" s="1" t="s">
        <v>74</v>
      </c>
      <c r="BA984" s="1" t="s">
        <v>74</v>
      </c>
      <c r="BB984" s="1" t="s">
        <v>74</v>
      </c>
      <c r="BC984" s="1" t="s">
        <v>74</v>
      </c>
      <c r="BD984" s="1">
        <v>557.0</v>
      </c>
      <c r="BE984" s="1" t="s">
        <v>9046</v>
      </c>
      <c r="BF984" s="2" t="str">
        <f>HYPERLINK("http://dx.doi.org/10.3389/fphar.2018.00557","http://dx.doi.org/10.3389/fphar.2018.00557")</f>
        <v>http://dx.doi.org/10.3389/fphar.2018.00557</v>
      </c>
      <c r="BG984" s="1" t="s">
        <v>74</v>
      </c>
      <c r="BH984" s="1" t="s">
        <v>74</v>
      </c>
      <c r="BI984" s="1" t="s">
        <v>74</v>
      </c>
      <c r="BJ984" s="1" t="s">
        <v>74</v>
      </c>
      <c r="BK984" s="1" t="s">
        <v>74</v>
      </c>
      <c r="BL984" s="1" t="s">
        <v>74</v>
      </c>
      <c r="BM984" s="1" t="s">
        <v>74</v>
      </c>
      <c r="BN984" s="1">
        <v>3.0186157E7</v>
      </c>
      <c r="BO984" s="1" t="s">
        <v>74</v>
      </c>
      <c r="BP984" s="1" t="s">
        <v>74</v>
      </c>
      <c r="BQ984" s="1" t="s">
        <v>74</v>
      </c>
      <c r="BR984" s="1" t="s">
        <v>74</v>
      </c>
      <c r="BS984" s="1" t="s">
        <v>9047</v>
      </c>
      <c r="BT984" s="1" t="str">
        <f>HYPERLINK("https%3A%2F%2Fwww.webofscience.com%2Fwos%2Fwoscc%2Ffull-record%2FWOS:000442217300001","View Full Record in Web of Science")</f>
        <v>View Full Record in Web of Science</v>
      </c>
    </row>
    <row r="985" ht="12.75" customHeight="1">
      <c r="A985" s="1" t="s">
        <v>72</v>
      </c>
      <c r="B985" s="1" t="s">
        <v>9048</v>
      </c>
      <c r="C985" s="1" t="s">
        <v>74</v>
      </c>
      <c r="D985" s="1" t="s">
        <v>74</v>
      </c>
      <c r="E985" s="1" t="s">
        <v>74</v>
      </c>
      <c r="F985" s="1" t="s">
        <v>9049</v>
      </c>
      <c r="G985" s="1" t="s">
        <v>74</v>
      </c>
      <c r="H985" s="1" t="s">
        <v>74</v>
      </c>
      <c r="I985" s="1" t="s">
        <v>9050</v>
      </c>
      <c r="J985" s="1" t="s">
        <v>2682</v>
      </c>
      <c r="K985" s="1" t="s">
        <v>74</v>
      </c>
      <c r="L985" s="1" t="s">
        <v>74</v>
      </c>
      <c r="M985" s="1" t="s">
        <v>74</v>
      </c>
      <c r="N985" s="1" t="s">
        <v>74</v>
      </c>
      <c r="O985" s="1" t="s">
        <v>74</v>
      </c>
      <c r="P985" s="1" t="s">
        <v>74</v>
      </c>
      <c r="Q985" s="1" t="s">
        <v>74</v>
      </c>
      <c r="R985" s="1" t="s">
        <v>74</v>
      </c>
      <c r="S985" s="1" t="s">
        <v>74</v>
      </c>
      <c r="T985" s="1" t="s">
        <v>74</v>
      </c>
      <c r="U985" s="1" t="s">
        <v>74</v>
      </c>
      <c r="V985" s="1" t="s">
        <v>9051</v>
      </c>
      <c r="W985" s="1" t="s">
        <v>74</v>
      </c>
      <c r="X985" s="1" t="s">
        <v>74</v>
      </c>
      <c r="Y985" s="1" t="s">
        <v>74</v>
      </c>
      <c r="Z985" s="1" t="s">
        <v>74</v>
      </c>
      <c r="AA985" s="1" t="s">
        <v>4826</v>
      </c>
      <c r="AB985" s="1" t="s">
        <v>4827</v>
      </c>
      <c r="AC985" s="1" t="s">
        <v>74</v>
      </c>
      <c r="AD985" s="1" t="s">
        <v>74</v>
      </c>
      <c r="AE985" s="1" t="s">
        <v>74</v>
      </c>
      <c r="AF985" s="1" t="s">
        <v>74</v>
      </c>
      <c r="AG985" s="1" t="s">
        <v>74</v>
      </c>
      <c r="AH985" s="1" t="s">
        <v>74</v>
      </c>
      <c r="AI985" s="1" t="s">
        <v>74</v>
      </c>
      <c r="AJ985" s="1" t="s">
        <v>74</v>
      </c>
      <c r="AK985" s="1" t="s">
        <v>74</v>
      </c>
      <c r="AL985" s="1" t="s">
        <v>74</v>
      </c>
      <c r="AM985" s="1" t="s">
        <v>74</v>
      </c>
      <c r="AN985" s="1" t="s">
        <v>74</v>
      </c>
      <c r="AO985" s="1" t="s">
        <v>2686</v>
      </c>
      <c r="AP985" s="1" t="s">
        <v>2687</v>
      </c>
      <c r="AQ985" s="1" t="s">
        <v>74</v>
      </c>
      <c r="AR985" s="1" t="s">
        <v>74</v>
      </c>
      <c r="AS985" s="1" t="s">
        <v>74</v>
      </c>
      <c r="AT985" s="1" t="s">
        <v>135</v>
      </c>
      <c r="AU985" s="1">
        <v>2018.0</v>
      </c>
      <c r="AV985" s="1">
        <v>93.0</v>
      </c>
      <c r="AW985" s="1">
        <v>8.0</v>
      </c>
      <c r="AX985" s="1" t="s">
        <v>74</v>
      </c>
      <c r="AY985" s="1" t="s">
        <v>74</v>
      </c>
      <c r="AZ985" s="1" t="s">
        <v>74</v>
      </c>
      <c r="BA985" s="1" t="s">
        <v>74</v>
      </c>
      <c r="BB985" s="1">
        <v>2390.0</v>
      </c>
      <c r="BC985" s="1">
        <v>2398.0</v>
      </c>
      <c r="BD985" s="1" t="s">
        <v>74</v>
      </c>
      <c r="BE985" s="1" t="s">
        <v>9052</v>
      </c>
      <c r="BF985" s="2" t="str">
        <f>HYPERLINK("http://dx.doi.org/10.1002/jctb.5587","http://dx.doi.org/10.1002/jctb.5587")</f>
        <v>http://dx.doi.org/10.1002/jctb.5587</v>
      </c>
      <c r="BG985" s="1" t="s">
        <v>74</v>
      </c>
      <c r="BH985" s="1" t="s">
        <v>74</v>
      </c>
      <c r="BI985" s="1" t="s">
        <v>74</v>
      </c>
      <c r="BJ985" s="1" t="s">
        <v>74</v>
      </c>
      <c r="BK985" s="1" t="s">
        <v>74</v>
      </c>
      <c r="BL985" s="1" t="s">
        <v>74</v>
      </c>
      <c r="BM985" s="1" t="s">
        <v>74</v>
      </c>
      <c r="BN985" s="1" t="s">
        <v>74</v>
      </c>
      <c r="BO985" s="1" t="s">
        <v>74</v>
      </c>
      <c r="BP985" s="1" t="s">
        <v>74</v>
      </c>
      <c r="BQ985" s="1" t="s">
        <v>74</v>
      </c>
      <c r="BR985" s="1" t="s">
        <v>74</v>
      </c>
      <c r="BS985" s="1" t="s">
        <v>9053</v>
      </c>
      <c r="BT985" s="1" t="str">
        <f>HYPERLINK("https%3A%2F%2Fwww.webofscience.com%2Fwos%2Fwoscc%2Ffull-record%2FWOS:000436870200037","View Full Record in Web of Science")</f>
        <v>View Full Record in Web of Science</v>
      </c>
    </row>
    <row r="986" ht="12.75" customHeight="1">
      <c r="A986" s="1" t="s">
        <v>72</v>
      </c>
      <c r="B986" s="1" t="s">
        <v>9054</v>
      </c>
      <c r="C986" s="1" t="s">
        <v>74</v>
      </c>
      <c r="D986" s="1" t="s">
        <v>74</v>
      </c>
      <c r="E986" s="1" t="s">
        <v>74</v>
      </c>
      <c r="F986" s="1" t="s">
        <v>9055</v>
      </c>
      <c r="G986" s="1" t="s">
        <v>74</v>
      </c>
      <c r="H986" s="1" t="s">
        <v>74</v>
      </c>
      <c r="I986" s="1" t="s">
        <v>9056</v>
      </c>
      <c r="J986" s="1" t="s">
        <v>9057</v>
      </c>
      <c r="K986" s="1" t="s">
        <v>74</v>
      </c>
      <c r="L986" s="1" t="s">
        <v>74</v>
      </c>
      <c r="M986" s="1" t="s">
        <v>74</v>
      </c>
      <c r="N986" s="1" t="s">
        <v>74</v>
      </c>
      <c r="O986" s="1" t="s">
        <v>74</v>
      </c>
      <c r="P986" s="1" t="s">
        <v>74</v>
      </c>
      <c r="Q986" s="1" t="s">
        <v>74</v>
      </c>
      <c r="R986" s="1" t="s">
        <v>74</v>
      </c>
      <c r="S986" s="1" t="s">
        <v>74</v>
      </c>
      <c r="T986" s="1" t="s">
        <v>74</v>
      </c>
      <c r="U986" s="1" t="s">
        <v>74</v>
      </c>
      <c r="V986" s="1" t="s">
        <v>9058</v>
      </c>
      <c r="W986" s="1" t="s">
        <v>74</v>
      </c>
      <c r="X986" s="1" t="s">
        <v>74</v>
      </c>
      <c r="Y986" s="1" t="s">
        <v>74</v>
      </c>
      <c r="Z986" s="1" t="s">
        <v>74</v>
      </c>
      <c r="AA986" s="1" t="s">
        <v>4836</v>
      </c>
      <c r="AB986" s="1" t="s">
        <v>4837</v>
      </c>
      <c r="AC986" s="1" t="s">
        <v>74</v>
      </c>
      <c r="AD986" s="1" t="s">
        <v>74</v>
      </c>
      <c r="AE986" s="1" t="s">
        <v>74</v>
      </c>
      <c r="AF986" s="1" t="s">
        <v>74</v>
      </c>
      <c r="AG986" s="1" t="s">
        <v>74</v>
      </c>
      <c r="AH986" s="1" t="s">
        <v>74</v>
      </c>
      <c r="AI986" s="1" t="s">
        <v>74</v>
      </c>
      <c r="AJ986" s="1" t="s">
        <v>74</v>
      </c>
      <c r="AK986" s="1" t="s">
        <v>74</v>
      </c>
      <c r="AL986" s="1" t="s">
        <v>74</v>
      </c>
      <c r="AM986" s="1" t="s">
        <v>74</v>
      </c>
      <c r="AN986" s="1" t="s">
        <v>74</v>
      </c>
      <c r="AO986" s="1" t="s">
        <v>9059</v>
      </c>
      <c r="AP986" s="1" t="s">
        <v>9060</v>
      </c>
      <c r="AQ986" s="1" t="s">
        <v>74</v>
      </c>
      <c r="AR986" s="1" t="s">
        <v>74</v>
      </c>
      <c r="AS986" s="1" t="s">
        <v>74</v>
      </c>
      <c r="AT986" s="1" t="s">
        <v>74</v>
      </c>
      <c r="AU986" s="1">
        <v>2018.0</v>
      </c>
      <c r="AV986" s="1">
        <v>15.0</v>
      </c>
      <c r="AW986" s="1">
        <v>2.0</v>
      </c>
      <c r="AX986" s="1" t="s">
        <v>74</v>
      </c>
      <c r="AY986" s="1" t="s">
        <v>74</v>
      </c>
      <c r="AZ986" s="1" t="s">
        <v>74</v>
      </c>
      <c r="BA986" s="1" t="s">
        <v>74</v>
      </c>
      <c r="BB986" s="1">
        <v>167.0</v>
      </c>
      <c r="BC986" s="1">
        <v>173.0</v>
      </c>
      <c r="BD986" s="1" t="s">
        <v>74</v>
      </c>
      <c r="BE986" s="1" t="s">
        <v>9061</v>
      </c>
      <c r="BF986" s="2" t="str">
        <f>HYPERLINK("http://dx.doi.org/10.4995/riai.2017.8976","http://dx.doi.org/10.4995/riai.2017.8976")</f>
        <v>http://dx.doi.org/10.4995/riai.2017.8976</v>
      </c>
      <c r="BG986" s="1" t="s">
        <v>74</v>
      </c>
      <c r="BH986" s="1" t="s">
        <v>74</v>
      </c>
      <c r="BI986" s="1" t="s">
        <v>74</v>
      </c>
      <c r="BJ986" s="1" t="s">
        <v>74</v>
      </c>
      <c r="BK986" s="1" t="s">
        <v>74</v>
      </c>
      <c r="BL986" s="1" t="s">
        <v>74</v>
      </c>
      <c r="BM986" s="1" t="s">
        <v>74</v>
      </c>
      <c r="BN986" s="1" t="s">
        <v>74</v>
      </c>
      <c r="BO986" s="1" t="s">
        <v>74</v>
      </c>
      <c r="BP986" s="1" t="s">
        <v>74</v>
      </c>
      <c r="BQ986" s="1" t="s">
        <v>74</v>
      </c>
      <c r="BR986" s="1" t="s">
        <v>74</v>
      </c>
      <c r="BS986" s="1" t="s">
        <v>9062</v>
      </c>
      <c r="BT986" s="1" t="str">
        <f>HYPERLINK("https%3A%2F%2Fwww.webofscience.com%2Fwos%2Fwoscc%2Ffull-record%2FWOS:000427042700004","View Full Record in Web of Science")</f>
        <v>View Full Record in Web of Science</v>
      </c>
    </row>
    <row r="987" ht="12.75" customHeight="1">
      <c r="A987" s="1" t="s">
        <v>72</v>
      </c>
      <c r="B987" s="1" t="s">
        <v>9063</v>
      </c>
      <c r="C987" s="1" t="s">
        <v>74</v>
      </c>
      <c r="D987" s="1" t="s">
        <v>74</v>
      </c>
      <c r="E987" s="1" t="s">
        <v>74</v>
      </c>
      <c r="F987" s="1" t="s">
        <v>9064</v>
      </c>
      <c r="G987" s="1" t="s">
        <v>74</v>
      </c>
      <c r="H987" s="1" t="s">
        <v>74</v>
      </c>
      <c r="I987" s="1" t="s">
        <v>9065</v>
      </c>
      <c r="J987" s="1" t="s">
        <v>4217</v>
      </c>
      <c r="K987" s="1" t="s">
        <v>74</v>
      </c>
      <c r="L987" s="1" t="s">
        <v>74</v>
      </c>
      <c r="M987" s="1" t="s">
        <v>74</v>
      </c>
      <c r="N987" s="1" t="s">
        <v>74</v>
      </c>
      <c r="O987" s="1" t="s">
        <v>74</v>
      </c>
      <c r="P987" s="1" t="s">
        <v>74</v>
      </c>
      <c r="Q987" s="1" t="s">
        <v>74</v>
      </c>
      <c r="R987" s="1" t="s">
        <v>74</v>
      </c>
      <c r="S987" s="1" t="s">
        <v>74</v>
      </c>
      <c r="T987" s="1" t="s">
        <v>74</v>
      </c>
      <c r="U987" s="1" t="s">
        <v>74</v>
      </c>
      <c r="V987" s="1" t="s">
        <v>9066</v>
      </c>
      <c r="W987" s="1" t="s">
        <v>74</v>
      </c>
      <c r="X987" s="1" t="s">
        <v>74</v>
      </c>
      <c r="Y987" s="1" t="s">
        <v>74</v>
      </c>
      <c r="Z987" s="1" t="s">
        <v>74</v>
      </c>
      <c r="AA987" s="1" t="s">
        <v>9067</v>
      </c>
      <c r="AB987" s="1" t="s">
        <v>9068</v>
      </c>
      <c r="AC987" s="1" t="s">
        <v>74</v>
      </c>
      <c r="AD987" s="1" t="s">
        <v>74</v>
      </c>
      <c r="AE987" s="1" t="s">
        <v>74</v>
      </c>
      <c r="AF987" s="1" t="s">
        <v>74</v>
      </c>
      <c r="AG987" s="1" t="s">
        <v>74</v>
      </c>
      <c r="AH987" s="1" t="s">
        <v>74</v>
      </c>
      <c r="AI987" s="1" t="s">
        <v>74</v>
      </c>
      <c r="AJ987" s="1" t="s">
        <v>74</v>
      </c>
      <c r="AK987" s="1" t="s">
        <v>74</v>
      </c>
      <c r="AL987" s="1" t="s">
        <v>74</v>
      </c>
      <c r="AM987" s="1" t="s">
        <v>74</v>
      </c>
      <c r="AN987" s="1" t="s">
        <v>74</v>
      </c>
      <c r="AO987" s="1" t="s">
        <v>4223</v>
      </c>
      <c r="AP987" s="1" t="s">
        <v>4224</v>
      </c>
      <c r="AQ987" s="1" t="s">
        <v>74</v>
      </c>
      <c r="AR987" s="1" t="s">
        <v>74</v>
      </c>
      <c r="AS987" s="1" t="s">
        <v>74</v>
      </c>
      <c r="AT987" s="1" t="s">
        <v>459</v>
      </c>
      <c r="AU987" s="1">
        <v>2017.0</v>
      </c>
      <c r="AV987" s="1">
        <v>10.0</v>
      </c>
      <c r="AW987" s="1">
        <v>9.0</v>
      </c>
      <c r="AX987" s="1" t="s">
        <v>74</v>
      </c>
      <c r="AY987" s="1" t="s">
        <v>74</v>
      </c>
      <c r="AZ987" s="1" t="s">
        <v>74</v>
      </c>
      <c r="BA987" s="1" t="s">
        <v>74</v>
      </c>
      <c r="BB987" s="1">
        <v>1585.0</v>
      </c>
      <c r="BC987" s="1">
        <v>1594.0</v>
      </c>
      <c r="BD987" s="1" t="s">
        <v>74</v>
      </c>
      <c r="BE987" s="1" t="s">
        <v>9069</v>
      </c>
      <c r="BF987" s="2" t="str">
        <f>HYPERLINK("http://dx.doi.org/10.1007/s11947-017-1926-z","http://dx.doi.org/10.1007/s11947-017-1926-z")</f>
        <v>http://dx.doi.org/10.1007/s11947-017-1926-z</v>
      </c>
      <c r="BG987" s="1" t="s">
        <v>74</v>
      </c>
      <c r="BH987" s="1" t="s">
        <v>74</v>
      </c>
      <c r="BI987" s="1" t="s">
        <v>74</v>
      </c>
      <c r="BJ987" s="1" t="s">
        <v>74</v>
      </c>
      <c r="BK987" s="1" t="s">
        <v>74</v>
      </c>
      <c r="BL987" s="1" t="s">
        <v>74</v>
      </c>
      <c r="BM987" s="1" t="s">
        <v>74</v>
      </c>
      <c r="BN987" s="1" t="s">
        <v>74</v>
      </c>
      <c r="BO987" s="1" t="s">
        <v>74</v>
      </c>
      <c r="BP987" s="1" t="s">
        <v>74</v>
      </c>
      <c r="BQ987" s="1" t="s">
        <v>74</v>
      </c>
      <c r="BR987" s="1" t="s">
        <v>74</v>
      </c>
      <c r="BS987" s="1" t="s">
        <v>9070</v>
      </c>
      <c r="BT987" s="1" t="str">
        <f>HYPERLINK("https%3A%2F%2Fwww.webofscience.com%2Fwos%2Fwoscc%2Ffull-record%2FWOS:000406743900001","View Full Record in Web of Science")</f>
        <v>View Full Record in Web of Science</v>
      </c>
    </row>
    <row r="988" ht="12.75" customHeight="1">
      <c r="A988" s="1" t="s">
        <v>72</v>
      </c>
      <c r="B988" s="1" t="s">
        <v>4771</v>
      </c>
      <c r="C988" s="1" t="s">
        <v>74</v>
      </c>
      <c r="D988" s="1" t="s">
        <v>74</v>
      </c>
      <c r="E988" s="1" t="s">
        <v>74</v>
      </c>
      <c r="F988" s="1" t="s">
        <v>4772</v>
      </c>
      <c r="G988" s="1" t="s">
        <v>74</v>
      </c>
      <c r="H988" s="1" t="s">
        <v>74</v>
      </c>
      <c r="I988" s="1" t="s">
        <v>9071</v>
      </c>
      <c r="J988" s="1" t="s">
        <v>7622</v>
      </c>
      <c r="K988" s="1" t="s">
        <v>74</v>
      </c>
      <c r="L988" s="1" t="s">
        <v>74</v>
      </c>
      <c r="M988" s="1" t="s">
        <v>74</v>
      </c>
      <c r="N988" s="1" t="s">
        <v>74</v>
      </c>
      <c r="O988" s="1" t="s">
        <v>74</v>
      </c>
      <c r="P988" s="1" t="s">
        <v>74</v>
      </c>
      <c r="Q988" s="1" t="s">
        <v>74</v>
      </c>
      <c r="R988" s="1" t="s">
        <v>74</v>
      </c>
      <c r="S988" s="1" t="s">
        <v>74</v>
      </c>
      <c r="T988" s="1" t="s">
        <v>74</v>
      </c>
      <c r="U988" s="1" t="s">
        <v>74</v>
      </c>
      <c r="V988" s="1" t="s">
        <v>9072</v>
      </c>
      <c r="W988" s="1" t="s">
        <v>74</v>
      </c>
      <c r="X988" s="1" t="s">
        <v>74</v>
      </c>
      <c r="Y988" s="1" t="s">
        <v>74</v>
      </c>
      <c r="Z988" s="1" t="s">
        <v>74</v>
      </c>
      <c r="AA988" s="1" t="s">
        <v>4776</v>
      </c>
      <c r="AB988" s="1" t="s">
        <v>4777</v>
      </c>
      <c r="AC988" s="1" t="s">
        <v>74</v>
      </c>
      <c r="AD988" s="1" t="s">
        <v>74</v>
      </c>
      <c r="AE988" s="1" t="s">
        <v>74</v>
      </c>
      <c r="AF988" s="1" t="s">
        <v>74</v>
      </c>
      <c r="AG988" s="1" t="s">
        <v>74</v>
      </c>
      <c r="AH988" s="1" t="s">
        <v>74</v>
      </c>
      <c r="AI988" s="1" t="s">
        <v>74</v>
      </c>
      <c r="AJ988" s="1" t="s">
        <v>74</v>
      </c>
      <c r="AK988" s="1" t="s">
        <v>74</v>
      </c>
      <c r="AL988" s="1" t="s">
        <v>74</v>
      </c>
      <c r="AM988" s="1" t="s">
        <v>74</v>
      </c>
      <c r="AN988" s="1" t="s">
        <v>74</v>
      </c>
      <c r="AO988" s="1" t="s">
        <v>7626</v>
      </c>
      <c r="AP988" s="1" t="s">
        <v>7627</v>
      </c>
      <c r="AQ988" s="1" t="s">
        <v>74</v>
      </c>
      <c r="AR988" s="1" t="s">
        <v>74</v>
      </c>
      <c r="AS988" s="1" t="s">
        <v>74</v>
      </c>
      <c r="AT988" s="1" t="s">
        <v>135</v>
      </c>
      <c r="AU988" s="1">
        <v>2017.0</v>
      </c>
      <c r="AV988" s="1">
        <v>237.0</v>
      </c>
      <c r="AW988" s="1" t="s">
        <v>74</v>
      </c>
      <c r="AX988" s="1" t="s">
        <v>74</v>
      </c>
      <c r="AY988" s="1" t="s">
        <v>74</v>
      </c>
      <c r="AZ988" s="1" t="s">
        <v>411</v>
      </c>
      <c r="BA988" s="1" t="s">
        <v>74</v>
      </c>
      <c r="BB988" s="1">
        <v>126.0</v>
      </c>
      <c r="BC988" s="1">
        <v>134.0</v>
      </c>
      <c r="BD988" s="1" t="s">
        <v>74</v>
      </c>
      <c r="BE988" s="1" t="s">
        <v>9073</v>
      </c>
      <c r="BF988" s="2" t="str">
        <f>HYPERLINK("http://dx.doi.org/10.1016/j.biortech.2017.01.042","http://dx.doi.org/10.1016/j.biortech.2017.01.042")</f>
        <v>http://dx.doi.org/10.1016/j.biortech.2017.01.042</v>
      </c>
      <c r="BG988" s="1" t="s">
        <v>74</v>
      </c>
      <c r="BH988" s="1" t="s">
        <v>74</v>
      </c>
      <c r="BI988" s="1" t="s">
        <v>74</v>
      </c>
      <c r="BJ988" s="1" t="s">
        <v>74</v>
      </c>
      <c r="BK988" s="1" t="s">
        <v>74</v>
      </c>
      <c r="BL988" s="1" t="s">
        <v>74</v>
      </c>
      <c r="BM988" s="1" t="s">
        <v>74</v>
      </c>
      <c r="BN988" s="1">
        <v>2.8162924E7</v>
      </c>
      <c r="BO988" s="1" t="s">
        <v>74</v>
      </c>
      <c r="BP988" s="1" t="s">
        <v>74</v>
      </c>
      <c r="BQ988" s="1" t="s">
        <v>74</v>
      </c>
      <c r="BR988" s="1" t="s">
        <v>74</v>
      </c>
      <c r="BS988" s="1" t="s">
        <v>9074</v>
      </c>
      <c r="BT988" s="1" t="str">
        <f>HYPERLINK("https%3A%2F%2Fwww.webofscience.com%2Fwos%2Fwoscc%2Ffull-record%2FWOS:000402482600017","View Full Record in Web of Science")</f>
        <v>View Full Record in Web of Science</v>
      </c>
    </row>
    <row r="989" ht="12.75" customHeight="1">
      <c r="A989" s="1" t="s">
        <v>72</v>
      </c>
      <c r="B989" s="1" t="s">
        <v>9075</v>
      </c>
      <c r="C989" s="1" t="s">
        <v>74</v>
      </c>
      <c r="D989" s="1" t="s">
        <v>74</v>
      </c>
      <c r="E989" s="1" t="s">
        <v>74</v>
      </c>
      <c r="F989" s="1" t="s">
        <v>9076</v>
      </c>
      <c r="G989" s="1" t="s">
        <v>74</v>
      </c>
      <c r="H989" s="1" t="s">
        <v>74</v>
      </c>
      <c r="I989" s="1" t="s">
        <v>9077</v>
      </c>
      <c r="J989" s="1" t="s">
        <v>1743</v>
      </c>
      <c r="K989" s="1" t="s">
        <v>74</v>
      </c>
      <c r="L989" s="1" t="s">
        <v>74</v>
      </c>
      <c r="M989" s="1" t="s">
        <v>74</v>
      </c>
      <c r="N989" s="1" t="s">
        <v>74</v>
      </c>
      <c r="O989" s="1" t="s">
        <v>74</v>
      </c>
      <c r="P989" s="1" t="s">
        <v>74</v>
      </c>
      <c r="Q989" s="1" t="s">
        <v>74</v>
      </c>
      <c r="R989" s="1" t="s">
        <v>74</v>
      </c>
      <c r="S989" s="1" t="s">
        <v>74</v>
      </c>
      <c r="T989" s="1" t="s">
        <v>74</v>
      </c>
      <c r="U989" s="1" t="s">
        <v>74</v>
      </c>
      <c r="V989" s="1" t="s">
        <v>9078</v>
      </c>
      <c r="W989" s="1" t="s">
        <v>74</v>
      </c>
      <c r="X989" s="1" t="s">
        <v>74</v>
      </c>
      <c r="Y989" s="1" t="s">
        <v>74</v>
      </c>
      <c r="Z989" s="1" t="s">
        <v>74</v>
      </c>
      <c r="AA989" s="1" t="s">
        <v>9079</v>
      </c>
      <c r="AB989" s="1" t="s">
        <v>9080</v>
      </c>
      <c r="AC989" s="1" t="s">
        <v>74</v>
      </c>
      <c r="AD989" s="1" t="s">
        <v>74</v>
      </c>
      <c r="AE989" s="1" t="s">
        <v>74</v>
      </c>
      <c r="AF989" s="1" t="s">
        <v>74</v>
      </c>
      <c r="AG989" s="1" t="s">
        <v>74</v>
      </c>
      <c r="AH989" s="1" t="s">
        <v>74</v>
      </c>
      <c r="AI989" s="1" t="s">
        <v>74</v>
      </c>
      <c r="AJ989" s="1" t="s">
        <v>74</v>
      </c>
      <c r="AK989" s="1" t="s">
        <v>74</v>
      </c>
      <c r="AL989" s="1" t="s">
        <v>74</v>
      </c>
      <c r="AM989" s="1" t="s">
        <v>74</v>
      </c>
      <c r="AN989" s="1" t="s">
        <v>74</v>
      </c>
      <c r="AO989" s="1" t="s">
        <v>1747</v>
      </c>
      <c r="AP989" s="1" t="s">
        <v>74</v>
      </c>
      <c r="AQ989" s="1" t="s">
        <v>74</v>
      </c>
      <c r="AR989" s="1" t="s">
        <v>74</v>
      </c>
      <c r="AS989" s="1" t="s">
        <v>74</v>
      </c>
      <c r="AT989" s="1" t="s">
        <v>310</v>
      </c>
      <c r="AU989" s="1">
        <v>2017.0</v>
      </c>
      <c r="AV989" s="1">
        <v>107.0</v>
      </c>
      <c r="AW989" s="1" t="s">
        <v>74</v>
      </c>
      <c r="AX989" s="1" t="s">
        <v>74</v>
      </c>
      <c r="AY989" s="1" t="s">
        <v>74</v>
      </c>
      <c r="AZ989" s="1" t="s">
        <v>74</v>
      </c>
      <c r="BA989" s="1" t="s">
        <v>74</v>
      </c>
      <c r="BB989" s="1">
        <v>531.0</v>
      </c>
      <c r="BC989" s="1">
        <v>541.0</v>
      </c>
      <c r="BD989" s="1" t="s">
        <v>74</v>
      </c>
      <c r="BE989" s="1" t="s">
        <v>9081</v>
      </c>
      <c r="BF989" s="2" t="str">
        <f>HYPERLINK("http://dx.doi.org/10.1016/j.renene.2017.02.017","http://dx.doi.org/10.1016/j.renene.2017.02.017")</f>
        <v>http://dx.doi.org/10.1016/j.renene.2017.02.017</v>
      </c>
      <c r="BG989" s="1" t="s">
        <v>74</v>
      </c>
      <c r="BH989" s="1" t="s">
        <v>74</v>
      </c>
      <c r="BI989" s="1" t="s">
        <v>74</v>
      </c>
      <c r="BJ989" s="1" t="s">
        <v>74</v>
      </c>
      <c r="BK989" s="1" t="s">
        <v>74</v>
      </c>
      <c r="BL989" s="1" t="s">
        <v>74</v>
      </c>
      <c r="BM989" s="1" t="s">
        <v>74</v>
      </c>
      <c r="BN989" s="1" t="s">
        <v>74</v>
      </c>
      <c r="BO989" s="1" t="s">
        <v>74</v>
      </c>
      <c r="BP989" s="1" t="s">
        <v>74</v>
      </c>
      <c r="BQ989" s="1" t="s">
        <v>74</v>
      </c>
      <c r="BR989" s="1" t="s">
        <v>74</v>
      </c>
      <c r="BS989" s="1" t="s">
        <v>9082</v>
      </c>
      <c r="BT989" s="1" t="str">
        <f>HYPERLINK("https%3A%2F%2Fwww.webofscience.com%2Fwos%2Fwoscc%2Ffull-record%2FWOS:000396946900046","View Full Record in Web of Science")</f>
        <v>View Full Record in Web of Science</v>
      </c>
    </row>
    <row r="990" ht="12.75" customHeight="1">
      <c r="A990" s="1" t="s">
        <v>72</v>
      </c>
      <c r="B990" s="1" t="s">
        <v>9083</v>
      </c>
      <c r="C990" s="1" t="s">
        <v>74</v>
      </c>
      <c r="D990" s="1" t="s">
        <v>74</v>
      </c>
      <c r="E990" s="1" t="s">
        <v>74</v>
      </c>
      <c r="F990" s="1" t="s">
        <v>9084</v>
      </c>
      <c r="G990" s="1" t="s">
        <v>74</v>
      </c>
      <c r="H990" s="1" t="s">
        <v>74</v>
      </c>
      <c r="I990" s="1" t="s">
        <v>9085</v>
      </c>
      <c r="J990" s="1" t="s">
        <v>9086</v>
      </c>
      <c r="K990" s="1" t="s">
        <v>74</v>
      </c>
      <c r="L990" s="1" t="s">
        <v>74</v>
      </c>
      <c r="M990" s="1" t="s">
        <v>74</v>
      </c>
      <c r="N990" s="1" t="s">
        <v>74</v>
      </c>
      <c r="O990" s="1" t="s">
        <v>74</v>
      </c>
      <c r="P990" s="1" t="s">
        <v>74</v>
      </c>
      <c r="Q990" s="1" t="s">
        <v>74</v>
      </c>
      <c r="R990" s="1" t="s">
        <v>74</v>
      </c>
      <c r="S990" s="1" t="s">
        <v>74</v>
      </c>
      <c r="T990" s="1" t="s">
        <v>74</v>
      </c>
      <c r="U990" s="1" t="s">
        <v>74</v>
      </c>
      <c r="V990" s="1" t="s">
        <v>9087</v>
      </c>
      <c r="W990" s="1" t="s">
        <v>74</v>
      </c>
      <c r="X990" s="1" t="s">
        <v>74</v>
      </c>
      <c r="Y990" s="1" t="s">
        <v>74</v>
      </c>
      <c r="Z990" s="1" t="s">
        <v>74</v>
      </c>
      <c r="AA990" s="1" t="s">
        <v>9088</v>
      </c>
      <c r="AB990" s="1" t="s">
        <v>9089</v>
      </c>
      <c r="AC990" s="1" t="s">
        <v>74</v>
      </c>
      <c r="AD990" s="1" t="s">
        <v>74</v>
      </c>
      <c r="AE990" s="1" t="s">
        <v>74</v>
      </c>
      <c r="AF990" s="1" t="s">
        <v>74</v>
      </c>
      <c r="AG990" s="1" t="s">
        <v>74</v>
      </c>
      <c r="AH990" s="1" t="s">
        <v>74</v>
      </c>
      <c r="AI990" s="1" t="s">
        <v>74</v>
      </c>
      <c r="AJ990" s="1" t="s">
        <v>74</v>
      </c>
      <c r="AK990" s="1" t="s">
        <v>74</v>
      </c>
      <c r="AL990" s="1" t="s">
        <v>74</v>
      </c>
      <c r="AM990" s="1" t="s">
        <v>74</v>
      </c>
      <c r="AN990" s="1" t="s">
        <v>74</v>
      </c>
      <c r="AO990" s="1" t="s">
        <v>9090</v>
      </c>
      <c r="AP990" s="1" t="s">
        <v>9091</v>
      </c>
      <c r="AQ990" s="1" t="s">
        <v>74</v>
      </c>
      <c r="AR990" s="1" t="s">
        <v>74</v>
      </c>
      <c r="AS990" s="1" t="s">
        <v>74</v>
      </c>
      <c r="AT990" s="1" t="s">
        <v>215</v>
      </c>
      <c r="AU990" s="1">
        <v>2017.0</v>
      </c>
      <c r="AV990" s="1">
        <v>188.0</v>
      </c>
      <c r="AW990" s="1">
        <v>1.0</v>
      </c>
      <c r="AX990" s="1" t="s">
        <v>74</v>
      </c>
      <c r="AY990" s="1" t="s">
        <v>74</v>
      </c>
      <c r="AZ990" s="1" t="s">
        <v>74</v>
      </c>
      <c r="BA990" s="1" t="s">
        <v>74</v>
      </c>
      <c r="BB990" s="1">
        <v>195.0</v>
      </c>
      <c r="BC990" s="1">
        <v>213.0</v>
      </c>
      <c r="BD990" s="1" t="s">
        <v>74</v>
      </c>
      <c r="BE990" s="1" t="s">
        <v>9092</v>
      </c>
      <c r="BF990" s="2" t="str">
        <f>HYPERLINK("http://dx.doi.org/10.1007/s10711-016-0213-x","http://dx.doi.org/10.1007/s10711-016-0213-x")</f>
        <v>http://dx.doi.org/10.1007/s10711-016-0213-x</v>
      </c>
      <c r="BG990" s="1" t="s">
        <v>74</v>
      </c>
      <c r="BH990" s="1" t="s">
        <v>74</v>
      </c>
      <c r="BI990" s="1" t="s">
        <v>74</v>
      </c>
      <c r="BJ990" s="1" t="s">
        <v>74</v>
      </c>
      <c r="BK990" s="1" t="s">
        <v>74</v>
      </c>
      <c r="BL990" s="1" t="s">
        <v>74</v>
      </c>
      <c r="BM990" s="1" t="s">
        <v>74</v>
      </c>
      <c r="BN990" s="1" t="s">
        <v>74</v>
      </c>
      <c r="BO990" s="1" t="s">
        <v>74</v>
      </c>
      <c r="BP990" s="1" t="s">
        <v>74</v>
      </c>
      <c r="BQ990" s="1" t="s">
        <v>74</v>
      </c>
      <c r="BR990" s="1" t="s">
        <v>74</v>
      </c>
      <c r="BS990" s="1" t="s">
        <v>9093</v>
      </c>
      <c r="BT990" s="1" t="str">
        <f>HYPERLINK("https%3A%2F%2Fwww.webofscience.com%2Fwos%2Fwoscc%2Ffull-record%2FWOS:000400074400011","View Full Record in Web of Science")</f>
        <v>View Full Record in Web of Science</v>
      </c>
    </row>
    <row r="991" ht="12.75" customHeight="1">
      <c r="A991" s="1" t="s">
        <v>72</v>
      </c>
      <c r="B991" s="1" t="s">
        <v>9094</v>
      </c>
      <c r="C991" s="1" t="s">
        <v>74</v>
      </c>
      <c r="D991" s="1" t="s">
        <v>74</v>
      </c>
      <c r="E991" s="1" t="s">
        <v>74</v>
      </c>
      <c r="F991" s="1" t="s">
        <v>9095</v>
      </c>
      <c r="G991" s="1" t="s">
        <v>74</v>
      </c>
      <c r="H991" s="1" t="s">
        <v>74</v>
      </c>
      <c r="I991" s="1" t="s">
        <v>9096</v>
      </c>
      <c r="J991" s="1" t="s">
        <v>9097</v>
      </c>
      <c r="K991" s="1" t="s">
        <v>74</v>
      </c>
      <c r="L991" s="1" t="s">
        <v>74</v>
      </c>
      <c r="M991" s="1" t="s">
        <v>74</v>
      </c>
      <c r="N991" s="1" t="s">
        <v>74</v>
      </c>
      <c r="O991" s="1" t="s">
        <v>74</v>
      </c>
      <c r="P991" s="1" t="s">
        <v>74</v>
      </c>
      <c r="Q991" s="1" t="s">
        <v>74</v>
      </c>
      <c r="R991" s="1" t="s">
        <v>74</v>
      </c>
      <c r="S991" s="1" t="s">
        <v>74</v>
      </c>
      <c r="T991" s="1" t="s">
        <v>74</v>
      </c>
      <c r="U991" s="1" t="s">
        <v>74</v>
      </c>
      <c r="V991" s="1" t="s">
        <v>9098</v>
      </c>
      <c r="W991" s="1" t="s">
        <v>74</v>
      </c>
      <c r="X991" s="1" t="s">
        <v>74</v>
      </c>
      <c r="Y991" s="1" t="s">
        <v>74</v>
      </c>
      <c r="Z991" s="1" t="s">
        <v>74</v>
      </c>
      <c r="AA991" s="1" t="s">
        <v>74</v>
      </c>
      <c r="AB991" s="1" t="s">
        <v>74</v>
      </c>
      <c r="AC991" s="1" t="s">
        <v>74</v>
      </c>
      <c r="AD991" s="1" t="s">
        <v>74</v>
      </c>
      <c r="AE991" s="1" t="s">
        <v>74</v>
      </c>
      <c r="AF991" s="1" t="s">
        <v>74</v>
      </c>
      <c r="AG991" s="1" t="s">
        <v>74</v>
      </c>
      <c r="AH991" s="1" t="s">
        <v>74</v>
      </c>
      <c r="AI991" s="1" t="s">
        <v>74</v>
      </c>
      <c r="AJ991" s="1" t="s">
        <v>74</v>
      </c>
      <c r="AK991" s="1" t="s">
        <v>74</v>
      </c>
      <c r="AL991" s="1" t="s">
        <v>74</v>
      </c>
      <c r="AM991" s="1" t="s">
        <v>74</v>
      </c>
      <c r="AN991" s="1" t="s">
        <v>74</v>
      </c>
      <c r="AO991" s="1" t="s">
        <v>9099</v>
      </c>
      <c r="AP991" s="1" t="s">
        <v>9100</v>
      </c>
      <c r="AQ991" s="1" t="s">
        <v>74</v>
      </c>
      <c r="AR991" s="1" t="s">
        <v>74</v>
      </c>
      <c r="AS991" s="1" t="s">
        <v>74</v>
      </c>
      <c r="AT991" s="1" t="s">
        <v>650</v>
      </c>
      <c r="AU991" s="1">
        <v>2017.0</v>
      </c>
      <c r="AV991" s="1">
        <v>109.0</v>
      </c>
      <c r="AW991" s="1" t="s">
        <v>74</v>
      </c>
      <c r="AX991" s="1" t="s">
        <v>74</v>
      </c>
      <c r="AY991" s="1" t="s">
        <v>74</v>
      </c>
      <c r="AZ991" s="1" t="s">
        <v>74</v>
      </c>
      <c r="BA991" s="1" t="s">
        <v>74</v>
      </c>
      <c r="BB991" s="1">
        <v>42.0</v>
      </c>
      <c r="BC991" s="1">
        <v>49.0</v>
      </c>
      <c r="BD991" s="1" t="s">
        <v>74</v>
      </c>
      <c r="BE991" s="1" t="s">
        <v>9101</v>
      </c>
      <c r="BF991" s="2" t="str">
        <f>HYPERLINK("http://dx.doi.org/10.1016/j.sajb.2016.12.017","http://dx.doi.org/10.1016/j.sajb.2016.12.017")</f>
        <v>http://dx.doi.org/10.1016/j.sajb.2016.12.017</v>
      </c>
      <c r="BG991" s="1" t="s">
        <v>74</v>
      </c>
      <c r="BH991" s="1" t="s">
        <v>74</v>
      </c>
      <c r="BI991" s="1" t="s">
        <v>74</v>
      </c>
      <c r="BJ991" s="1" t="s">
        <v>74</v>
      </c>
      <c r="BK991" s="1" t="s">
        <v>74</v>
      </c>
      <c r="BL991" s="1" t="s">
        <v>74</v>
      </c>
      <c r="BM991" s="1" t="s">
        <v>74</v>
      </c>
      <c r="BN991" s="1" t="s">
        <v>74</v>
      </c>
      <c r="BO991" s="1" t="s">
        <v>74</v>
      </c>
      <c r="BP991" s="1" t="s">
        <v>74</v>
      </c>
      <c r="BQ991" s="1" t="s">
        <v>74</v>
      </c>
      <c r="BR991" s="1" t="s">
        <v>74</v>
      </c>
      <c r="BS991" s="1" t="s">
        <v>9102</v>
      </c>
      <c r="BT991" s="1" t="str">
        <f>HYPERLINK("https%3A%2F%2Fwww.webofscience.com%2Fwos%2Fwoscc%2Ffull-record%2FWOS:000400465400006","View Full Record in Web of Science")</f>
        <v>View Full Record in Web of Science</v>
      </c>
    </row>
    <row r="992" ht="12.75" customHeight="1">
      <c r="A992" s="1" t="s">
        <v>72</v>
      </c>
      <c r="B992" s="1" t="s">
        <v>9103</v>
      </c>
      <c r="C992" s="1" t="s">
        <v>74</v>
      </c>
      <c r="D992" s="1" t="s">
        <v>74</v>
      </c>
      <c r="E992" s="1" t="s">
        <v>74</v>
      </c>
      <c r="F992" s="1" t="s">
        <v>9104</v>
      </c>
      <c r="G992" s="1" t="s">
        <v>74</v>
      </c>
      <c r="H992" s="1" t="s">
        <v>74</v>
      </c>
      <c r="I992" s="1" t="s">
        <v>9105</v>
      </c>
      <c r="J992" s="1" t="s">
        <v>9106</v>
      </c>
      <c r="K992" s="1" t="s">
        <v>74</v>
      </c>
      <c r="L992" s="1" t="s">
        <v>74</v>
      </c>
      <c r="M992" s="1" t="s">
        <v>74</v>
      </c>
      <c r="N992" s="1" t="s">
        <v>74</v>
      </c>
      <c r="O992" s="1" t="s">
        <v>74</v>
      </c>
      <c r="P992" s="1" t="s">
        <v>74</v>
      </c>
      <c r="Q992" s="1" t="s">
        <v>74</v>
      </c>
      <c r="R992" s="1" t="s">
        <v>74</v>
      </c>
      <c r="S992" s="1" t="s">
        <v>74</v>
      </c>
      <c r="T992" s="1" t="s">
        <v>74</v>
      </c>
      <c r="U992" s="1" t="s">
        <v>74</v>
      </c>
      <c r="V992" s="1" t="s">
        <v>74</v>
      </c>
      <c r="W992" s="1" t="s">
        <v>74</v>
      </c>
      <c r="X992" s="1" t="s">
        <v>74</v>
      </c>
      <c r="Y992" s="1" t="s">
        <v>74</v>
      </c>
      <c r="Z992" s="1" t="s">
        <v>74</v>
      </c>
      <c r="AA992" s="1" t="s">
        <v>74</v>
      </c>
      <c r="AB992" s="1" t="s">
        <v>74</v>
      </c>
      <c r="AC992" s="1" t="s">
        <v>74</v>
      </c>
      <c r="AD992" s="1" t="s">
        <v>74</v>
      </c>
      <c r="AE992" s="1" t="s">
        <v>74</v>
      </c>
      <c r="AF992" s="1" t="s">
        <v>74</v>
      </c>
      <c r="AG992" s="1" t="s">
        <v>74</v>
      </c>
      <c r="AH992" s="1" t="s">
        <v>74</v>
      </c>
      <c r="AI992" s="1" t="s">
        <v>74</v>
      </c>
      <c r="AJ992" s="1" t="s">
        <v>74</v>
      </c>
      <c r="AK992" s="1" t="s">
        <v>74</v>
      </c>
      <c r="AL992" s="1" t="s">
        <v>74</v>
      </c>
      <c r="AM992" s="1" t="s">
        <v>74</v>
      </c>
      <c r="AN992" s="1" t="s">
        <v>74</v>
      </c>
      <c r="AO992" s="1" t="s">
        <v>9107</v>
      </c>
      <c r="AP992" s="1" t="s">
        <v>9108</v>
      </c>
      <c r="AQ992" s="1" t="s">
        <v>74</v>
      </c>
      <c r="AR992" s="1" t="s">
        <v>74</v>
      </c>
      <c r="AS992" s="1" t="s">
        <v>74</v>
      </c>
      <c r="AT992" s="1" t="s">
        <v>360</v>
      </c>
      <c r="AU992" s="1">
        <v>2017.0</v>
      </c>
      <c r="AV992" s="1">
        <v>17.0</v>
      </c>
      <c r="AW992" s="1">
        <v>2.0</v>
      </c>
      <c r="AX992" s="1" t="s">
        <v>74</v>
      </c>
      <c r="AY992" s="1" t="s">
        <v>74</v>
      </c>
      <c r="AZ992" s="1" t="s">
        <v>74</v>
      </c>
      <c r="BA992" s="1" t="s">
        <v>74</v>
      </c>
      <c r="BB992" s="1">
        <v>157.0</v>
      </c>
      <c r="BC992" s="1">
        <v>164.0</v>
      </c>
      <c r="BD992" s="1" t="s">
        <v>74</v>
      </c>
      <c r="BE992" s="1" t="s">
        <v>9109</v>
      </c>
      <c r="BF992" s="2" t="str">
        <f>HYPERLINK("http://dx.doi.org/10.1080/14697688.2016.1190031","http://dx.doi.org/10.1080/14697688.2016.1190031")</f>
        <v>http://dx.doi.org/10.1080/14697688.2016.1190031</v>
      </c>
      <c r="BG992" s="1" t="s">
        <v>74</v>
      </c>
      <c r="BH992" s="1" t="s">
        <v>74</v>
      </c>
      <c r="BI992" s="1" t="s">
        <v>74</v>
      </c>
      <c r="BJ992" s="1" t="s">
        <v>74</v>
      </c>
      <c r="BK992" s="1" t="s">
        <v>74</v>
      </c>
      <c r="BL992" s="1" t="s">
        <v>74</v>
      </c>
      <c r="BM992" s="1" t="s">
        <v>74</v>
      </c>
      <c r="BN992" s="1" t="s">
        <v>74</v>
      </c>
      <c r="BO992" s="1" t="s">
        <v>74</v>
      </c>
      <c r="BP992" s="1" t="s">
        <v>74</v>
      </c>
      <c r="BQ992" s="1" t="s">
        <v>74</v>
      </c>
      <c r="BR992" s="1" t="s">
        <v>74</v>
      </c>
      <c r="BS992" s="1" t="s">
        <v>9110</v>
      </c>
      <c r="BT992" s="1" t="str">
        <f>HYPERLINK("https%3A%2F%2Fwww.webofscience.com%2Fwos%2Fwoscc%2Ffull-record%2FWOS:000393330100001","View Full Record in Web of Science")</f>
        <v>View Full Record in Web of Science</v>
      </c>
    </row>
    <row r="993" ht="12.75" customHeight="1">
      <c r="A993" s="1" t="s">
        <v>251</v>
      </c>
      <c r="B993" s="1" t="s">
        <v>9111</v>
      </c>
      <c r="C993" s="1" t="s">
        <v>74</v>
      </c>
      <c r="D993" s="1" t="s">
        <v>9112</v>
      </c>
      <c r="E993" s="1" t="s">
        <v>74</v>
      </c>
      <c r="F993" s="1" t="s">
        <v>9113</v>
      </c>
      <c r="G993" s="1" t="s">
        <v>74</v>
      </c>
      <c r="H993" s="1" t="s">
        <v>74</v>
      </c>
      <c r="I993" s="1" t="s">
        <v>9114</v>
      </c>
      <c r="J993" s="1" t="s">
        <v>9115</v>
      </c>
      <c r="K993" s="1" t="s">
        <v>9116</v>
      </c>
      <c r="L993" s="1" t="s">
        <v>74</v>
      </c>
      <c r="M993" s="1" t="s">
        <v>74</v>
      </c>
      <c r="N993" s="1" t="s">
        <v>74</v>
      </c>
      <c r="O993" s="1" t="s">
        <v>9117</v>
      </c>
      <c r="P993" s="1" t="s">
        <v>9118</v>
      </c>
      <c r="Q993" s="1" t="s">
        <v>9119</v>
      </c>
      <c r="R993" s="1" t="s">
        <v>9120</v>
      </c>
      <c r="S993" s="1" t="s">
        <v>9121</v>
      </c>
      <c r="T993" s="1" t="s">
        <v>74</v>
      </c>
      <c r="U993" s="1" t="s">
        <v>74</v>
      </c>
      <c r="V993" s="1" t="s">
        <v>9122</v>
      </c>
      <c r="W993" s="1" t="s">
        <v>74</v>
      </c>
      <c r="X993" s="1" t="s">
        <v>74</v>
      </c>
      <c r="Y993" s="1" t="s">
        <v>74</v>
      </c>
      <c r="Z993" s="1" t="s">
        <v>74</v>
      </c>
      <c r="AA993" s="1" t="s">
        <v>9123</v>
      </c>
      <c r="AB993" s="1" t="s">
        <v>9124</v>
      </c>
      <c r="AC993" s="1" t="s">
        <v>74</v>
      </c>
      <c r="AD993" s="1" t="s">
        <v>74</v>
      </c>
      <c r="AE993" s="1" t="s">
        <v>74</v>
      </c>
      <c r="AF993" s="1" t="s">
        <v>74</v>
      </c>
      <c r="AG993" s="1" t="s">
        <v>74</v>
      </c>
      <c r="AH993" s="1" t="s">
        <v>74</v>
      </c>
      <c r="AI993" s="1" t="s">
        <v>74</v>
      </c>
      <c r="AJ993" s="1" t="s">
        <v>74</v>
      </c>
      <c r="AK993" s="1" t="s">
        <v>74</v>
      </c>
      <c r="AL993" s="1" t="s">
        <v>74</v>
      </c>
      <c r="AM993" s="1" t="s">
        <v>74</v>
      </c>
      <c r="AN993" s="1" t="s">
        <v>74</v>
      </c>
      <c r="AO993" s="1" t="s">
        <v>9125</v>
      </c>
      <c r="AP993" s="1" t="s">
        <v>74</v>
      </c>
      <c r="AQ993" s="1" t="s">
        <v>74</v>
      </c>
      <c r="AR993" s="1" t="s">
        <v>74</v>
      </c>
      <c r="AS993" s="1" t="s">
        <v>74</v>
      </c>
      <c r="AT993" s="1" t="s">
        <v>74</v>
      </c>
      <c r="AU993" s="1">
        <v>2017.0</v>
      </c>
      <c r="AV993" s="1">
        <v>258.0</v>
      </c>
      <c r="AW993" s="1" t="s">
        <v>74</v>
      </c>
      <c r="AX993" s="1" t="s">
        <v>74</v>
      </c>
      <c r="AY993" s="1" t="s">
        <v>74</v>
      </c>
      <c r="AZ993" s="1" t="s">
        <v>74</v>
      </c>
      <c r="BA993" s="1" t="s">
        <v>74</v>
      </c>
      <c r="BB993" s="1" t="s">
        <v>74</v>
      </c>
      <c r="BC993" s="1" t="s">
        <v>74</v>
      </c>
      <c r="BD993" s="1">
        <v>12009.0</v>
      </c>
      <c r="BE993" s="1" t="s">
        <v>9126</v>
      </c>
      <c r="BF993" s="2" t="str">
        <f>HYPERLINK("http://dx.doi.org/10.1088/1757-899X/258/1/012009","http://dx.doi.org/10.1088/1757-899X/258/1/012009")</f>
        <v>http://dx.doi.org/10.1088/1757-899X/258/1/012009</v>
      </c>
      <c r="BG993" s="1" t="s">
        <v>74</v>
      </c>
      <c r="BH993" s="1" t="s">
        <v>74</v>
      </c>
      <c r="BI993" s="1" t="s">
        <v>74</v>
      </c>
      <c r="BJ993" s="1" t="s">
        <v>74</v>
      </c>
      <c r="BK993" s="1" t="s">
        <v>74</v>
      </c>
      <c r="BL993" s="1" t="s">
        <v>74</v>
      </c>
      <c r="BM993" s="1" t="s">
        <v>74</v>
      </c>
      <c r="BN993" s="1" t="s">
        <v>74</v>
      </c>
      <c r="BO993" s="1" t="s">
        <v>74</v>
      </c>
      <c r="BP993" s="1" t="s">
        <v>74</v>
      </c>
      <c r="BQ993" s="1" t="s">
        <v>74</v>
      </c>
      <c r="BR993" s="1" t="s">
        <v>74</v>
      </c>
      <c r="BS993" s="1" t="s">
        <v>9127</v>
      </c>
      <c r="BT993" s="1" t="str">
        <f>HYPERLINK("https%3A%2F%2Fwww.webofscience.com%2Fwos%2Fwoscc%2Ffull-record%2FWOS:000419391600009","View Full Record in Web of Science")</f>
        <v>View Full Record in Web of Science</v>
      </c>
    </row>
    <row r="994" ht="12.75" customHeight="1">
      <c r="A994" s="1" t="s">
        <v>72</v>
      </c>
      <c r="B994" s="1" t="s">
        <v>9128</v>
      </c>
      <c r="C994" s="1" t="s">
        <v>74</v>
      </c>
      <c r="D994" s="1" t="s">
        <v>74</v>
      </c>
      <c r="E994" s="1" t="s">
        <v>74</v>
      </c>
      <c r="F994" s="1" t="s">
        <v>9129</v>
      </c>
      <c r="G994" s="1" t="s">
        <v>74</v>
      </c>
      <c r="H994" s="1" t="s">
        <v>74</v>
      </c>
      <c r="I994" s="1" t="s">
        <v>9130</v>
      </c>
      <c r="J994" s="1" t="s">
        <v>9131</v>
      </c>
      <c r="K994" s="1" t="s">
        <v>74</v>
      </c>
      <c r="L994" s="1" t="s">
        <v>74</v>
      </c>
      <c r="M994" s="1" t="s">
        <v>74</v>
      </c>
      <c r="N994" s="1" t="s">
        <v>74</v>
      </c>
      <c r="O994" s="1" t="s">
        <v>74</v>
      </c>
      <c r="P994" s="1" t="s">
        <v>74</v>
      </c>
      <c r="Q994" s="1" t="s">
        <v>74</v>
      </c>
      <c r="R994" s="1" t="s">
        <v>74</v>
      </c>
      <c r="S994" s="1" t="s">
        <v>74</v>
      </c>
      <c r="T994" s="1" t="s">
        <v>74</v>
      </c>
      <c r="U994" s="1" t="s">
        <v>74</v>
      </c>
      <c r="V994" s="1" t="s">
        <v>9132</v>
      </c>
      <c r="W994" s="1" t="s">
        <v>74</v>
      </c>
      <c r="X994" s="1" t="s">
        <v>74</v>
      </c>
      <c r="Y994" s="1" t="s">
        <v>74</v>
      </c>
      <c r="Z994" s="1" t="s">
        <v>74</v>
      </c>
      <c r="AA994" s="1" t="s">
        <v>3562</v>
      </c>
      <c r="AB994" s="1" t="s">
        <v>9133</v>
      </c>
      <c r="AC994" s="1" t="s">
        <v>74</v>
      </c>
      <c r="AD994" s="1" t="s">
        <v>74</v>
      </c>
      <c r="AE994" s="1" t="s">
        <v>74</v>
      </c>
      <c r="AF994" s="1" t="s">
        <v>74</v>
      </c>
      <c r="AG994" s="1" t="s">
        <v>74</v>
      </c>
      <c r="AH994" s="1" t="s">
        <v>74</v>
      </c>
      <c r="AI994" s="1" t="s">
        <v>74</v>
      </c>
      <c r="AJ994" s="1" t="s">
        <v>74</v>
      </c>
      <c r="AK994" s="1" t="s">
        <v>74</v>
      </c>
      <c r="AL994" s="1" t="s">
        <v>74</v>
      </c>
      <c r="AM994" s="1" t="s">
        <v>74</v>
      </c>
      <c r="AN994" s="1" t="s">
        <v>74</v>
      </c>
      <c r="AO994" s="1" t="s">
        <v>9134</v>
      </c>
      <c r="AP994" s="1" t="s">
        <v>74</v>
      </c>
      <c r="AQ994" s="1" t="s">
        <v>74</v>
      </c>
      <c r="AR994" s="1" t="s">
        <v>74</v>
      </c>
      <c r="AS994" s="1" t="s">
        <v>74</v>
      </c>
      <c r="AT994" s="1" t="s">
        <v>9135</v>
      </c>
      <c r="AU994" s="1">
        <v>2016.0</v>
      </c>
      <c r="AV994" s="1">
        <v>7.0</v>
      </c>
      <c r="AW994" s="1" t="s">
        <v>74</v>
      </c>
      <c r="AX994" s="1" t="s">
        <v>74</v>
      </c>
      <c r="AY994" s="1" t="s">
        <v>74</v>
      </c>
      <c r="AZ994" s="1" t="s">
        <v>74</v>
      </c>
      <c r="BA994" s="1" t="s">
        <v>74</v>
      </c>
      <c r="BB994" s="1" t="s">
        <v>74</v>
      </c>
      <c r="BC994" s="1" t="s">
        <v>74</v>
      </c>
      <c r="BD994" s="1">
        <v>754.0</v>
      </c>
      <c r="BE994" s="1" t="s">
        <v>9136</v>
      </c>
      <c r="BF994" s="2" t="str">
        <f>HYPERLINK("http://dx.doi.org/10.3389/fpls.2016.00754","http://dx.doi.org/10.3389/fpls.2016.00754")</f>
        <v>http://dx.doi.org/10.3389/fpls.2016.00754</v>
      </c>
      <c r="BG994" s="1" t="s">
        <v>74</v>
      </c>
      <c r="BH994" s="1" t="s">
        <v>74</v>
      </c>
      <c r="BI994" s="1" t="s">
        <v>74</v>
      </c>
      <c r="BJ994" s="1" t="s">
        <v>74</v>
      </c>
      <c r="BK994" s="1" t="s">
        <v>74</v>
      </c>
      <c r="BL994" s="1" t="s">
        <v>74</v>
      </c>
      <c r="BM994" s="1" t="s">
        <v>74</v>
      </c>
      <c r="BN994" s="1">
        <v>2.7379106E7</v>
      </c>
      <c r="BO994" s="1" t="s">
        <v>74</v>
      </c>
      <c r="BP994" s="1" t="s">
        <v>74</v>
      </c>
      <c r="BQ994" s="1" t="s">
        <v>74</v>
      </c>
      <c r="BR994" s="1" t="s">
        <v>74</v>
      </c>
      <c r="BS994" s="1" t="s">
        <v>9137</v>
      </c>
      <c r="BT994" s="1" t="str">
        <f>HYPERLINK("https%3A%2F%2Fwww.webofscience.com%2Fwos%2Fwoscc%2Ffull-record%2FWOS:000377647300001","View Full Record in Web of Science")</f>
        <v>View Full Record in Web of Science</v>
      </c>
    </row>
    <row r="995" ht="12.75" customHeight="1">
      <c r="A995" s="1" t="s">
        <v>72</v>
      </c>
      <c r="B995" s="1" t="s">
        <v>9138</v>
      </c>
      <c r="C995" s="1" t="s">
        <v>74</v>
      </c>
      <c r="D995" s="1" t="s">
        <v>74</v>
      </c>
      <c r="E995" s="1" t="s">
        <v>74</v>
      </c>
      <c r="F995" s="1" t="s">
        <v>9139</v>
      </c>
      <c r="G995" s="1" t="s">
        <v>74</v>
      </c>
      <c r="H995" s="1" t="s">
        <v>74</v>
      </c>
      <c r="I995" s="1" t="s">
        <v>9140</v>
      </c>
      <c r="J995" s="1" t="s">
        <v>9141</v>
      </c>
      <c r="K995" s="1" t="s">
        <v>74</v>
      </c>
      <c r="L995" s="1" t="s">
        <v>74</v>
      </c>
      <c r="M995" s="1" t="s">
        <v>74</v>
      </c>
      <c r="N995" s="1" t="s">
        <v>74</v>
      </c>
      <c r="O995" s="1" t="s">
        <v>74</v>
      </c>
      <c r="P995" s="1" t="s">
        <v>74</v>
      </c>
      <c r="Q995" s="1" t="s">
        <v>74</v>
      </c>
      <c r="R995" s="1" t="s">
        <v>74</v>
      </c>
      <c r="S995" s="1" t="s">
        <v>74</v>
      </c>
      <c r="T995" s="1" t="s">
        <v>74</v>
      </c>
      <c r="U995" s="1" t="s">
        <v>74</v>
      </c>
      <c r="V995" s="1" t="s">
        <v>9142</v>
      </c>
      <c r="W995" s="1" t="s">
        <v>74</v>
      </c>
      <c r="X995" s="1" t="s">
        <v>74</v>
      </c>
      <c r="Y995" s="1" t="s">
        <v>74</v>
      </c>
      <c r="Z995" s="1" t="s">
        <v>74</v>
      </c>
      <c r="AA995" s="1" t="s">
        <v>4826</v>
      </c>
      <c r="AB995" s="1" t="s">
        <v>4827</v>
      </c>
      <c r="AC995" s="1" t="s">
        <v>74</v>
      </c>
      <c r="AD995" s="1" t="s">
        <v>74</v>
      </c>
      <c r="AE995" s="1" t="s">
        <v>74</v>
      </c>
      <c r="AF995" s="1" t="s">
        <v>74</v>
      </c>
      <c r="AG995" s="1" t="s">
        <v>74</v>
      </c>
      <c r="AH995" s="1" t="s">
        <v>74</v>
      </c>
      <c r="AI995" s="1" t="s">
        <v>74</v>
      </c>
      <c r="AJ995" s="1" t="s">
        <v>74</v>
      </c>
      <c r="AK995" s="1" t="s">
        <v>74</v>
      </c>
      <c r="AL995" s="1" t="s">
        <v>74</v>
      </c>
      <c r="AM995" s="1" t="s">
        <v>74</v>
      </c>
      <c r="AN995" s="1" t="s">
        <v>74</v>
      </c>
      <c r="AO995" s="1" t="s">
        <v>9143</v>
      </c>
      <c r="AP995" s="1" t="s">
        <v>9144</v>
      </c>
      <c r="AQ995" s="1" t="s">
        <v>74</v>
      </c>
      <c r="AR995" s="1" t="s">
        <v>74</v>
      </c>
      <c r="AS995" s="1" t="s">
        <v>74</v>
      </c>
      <c r="AT995" s="1" t="s">
        <v>180</v>
      </c>
      <c r="AU995" s="1">
        <v>2016.0</v>
      </c>
      <c r="AV995" s="1">
        <v>110.0</v>
      </c>
      <c r="AW995" s="1" t="s">
        <v>74</v>
      </c>
      <c r="AX995" s="1" t="s">
        <v>74</v>
      </c>
      <c r="AY995" s="1" t="s">
        <v>74</v>
      </c>
      <c r="AZ995" s="1" t="s">
        <v>74</v>
      </c>
      <c r="BA995" s="1" t="s">
        <v>74</v>
      </c>
      <c r="BB995" s="1">
        <v>1.0</v>
      </c>
      <c r="BC995" s="1">
        <v>7.0</v>
      </c>
      <c r="BD995" s="1" t="s">
        <v>74</v>
      </c>
      <c r="BE995" s="1" t="s">
        <v>9145</v>
      </c>
      <c r="BF995" s="2" t="str">
        <f>HYPERLINK("http://dx.doi.org/10.1016/j.ibiod.2016.01.010","http://dx.doi.org/10.1016/j.ibiod.2016.01.010")</f>
        <v>http://dx.doi.org/10.1016/j.ibiod.2016.01.010</v>
      </c>
      <c r="BG995" s="1" t="s">
        <v>74</v>
      </c>
      <c r="BH995" s="1" t="s">
        <v>74</v>
      </c>
      <c r="BI995" s="1" t="s">
        <v>74</v>
      </c>
      <c r="BJ995" s="1" t="s">
        <v>74</v>
      </c>
      <c r="BK995" s="1" t="s">
        <v>74</v>
      </c>
      <c r="BL995" s="1" t="s">
        <v>74</v>
      </c>
      <c r="BM995" s="1" t="s">
        <v>74</v>
      </c>
      <c r="BN995" s="1" t="s">
        <v>74</v>
      </c>
      <c r="BO995" s="1" t="s">
        <v>74</v>
      </c>
      <c r="BP995" s="1" t="s">
        <v>74</v>
      </c>
      <c r="BQ995" s="1" t="s">
        <v>74</v>
      </c>
      <c r="BR995" s="1" t="s">
        <v>74</v>
      </c>
      <c r="BS995" s="1" t="s">
        <v>9146</v>
      </c>
      <c r="BT995" s="1" t="str">
        <f>HYPERLINK("https%3A%2F%2Fwww.webofscience.com%2Fwos%2Fwoscc%2Ffull-record%2FWOS:000376694100001","View Full Record in Web of Science")</f>
        <v>View Full Record in Web of Science</v>
      </c>
    </row>
    <row r="996" ht="12.75" customHeight="1">
      <c r="A996" s="1" t="s">
        <v>72</v>
      </c>
      <c r="B996" s="1" t="s">
        <v>1296</v>
      </c>
      <c r="C996" s="1" t="s">
        <v>74</v>
      </c>
      <c r="D996" s="1" t="s">
        <v>74</v>
      </c>
      <c r="E996" s="1" t="s">
        <v>74</v>
      </c>
      <c r="F996" s="1" t="s">
        <v>1297</v>
      </c>
      <c r="G996" s="1" t="s">
        <v>74</v>
      </c>
      <c r="H996" s="1" t="s">
        <v>74</v>
      </c>
      <c r="I996" s="1" t="s">
        <v>9147</v>
      </c>
      <c r="J996" s="1" t="s">
        <v>4453</v>
      </c>
      <c r="K996" s="1" t="s">
        <v>74</v>
      </c>
      <c r="L996" s="1" t="s">
        <v>74</v>
      </c>
      <c r="M996" s="1" t="s">
        <v>74</v>
      </c>
      <c r="N996" s="1" t="s">
        <v>74</v>
      </c>
      <c r="O996" s="1" t="s">
        <v>74</v>
      </c>
      <c r="P996" s="1" t="s">
        <v>74</v>
      </c>
      <c r="Q996" s="1" t="s">
        <v>74</v>
      </c>
      <c r="R996" s="1" t="s">
        <v>74</v>
      </c>
      <c r="S996" s="1" t="s">
        <v>74</v>
      </c>
      <c r="T996" s="1" t="s">
        <v>74</v>
      </c>
      <c r="U996" s="1" t="s">
        <v>74</v>
      </c>
      <c r="V996" s="1" t="s">
        <v>9148</v>
      </c>
      <c r="W996" s="1" t="s">
        <v>74</v>
      </c>
      <c r="X996" s="1" t="s">
        <v>74</v>
      </c>
      <c r="Y996" s="1" t="s">
        <v>74</v>
      </c>
      <c r="Z996" s="1" t="s">
        <v>74</v>
      </c>
      <c r="AA996" s="1" t="s">
        <v>74</v>
      </c>
      <c r="AB996" s="1" t="s">
        <v>1301</v>
      </c>
      <c r="AC996" s="1" t="s">
        <v>74</v>
      </c>
      <c r="AD996" s="1" t="s">
        <v>74</v>
      </c>
      <c r="AE996" s="1" t="s">
        <v>74</v>
      </c>
      <c r="AF996" s="1" t="s">
        <v>74</v>
      </c>
      <c r="AG996" s="1" t="s">
        <v>74</v>
      </c>
      <c r="AH996" s="1" t="s">
        <v>74</v>
      </c>
      <c r="AI996" s="1" t="s">
        <v>74</v>
      </c>
      <c r="AJ996" s="1" t="s">
        <v>74</v>
      </c>
      <c r="AK996" s="1" t="s">
        <v>74</v>
      </c>
      <c r="AL996" s="1" t="s">
        <v>74</v>
      </c>
      <c r="AM996" s="1" t="s">
        <v>74</v>
      </c>
      <c r="AN996" s="1" t="s">
        <v>74</v>
      </c>
      <c r="AO996" s="1" t="s">
        <v>4456</v>
      </c>
      <c r="AP996" s="1" t="s">
        <v>74</v>
      </c>
      <c r="AQ996" s="1" t="s">
        <v>74</v>
      </c>
      <c r="AR996" s="1" t="s">
        <v>74</v>
      </c>
      <c r="AS996" s="1" t="s">
        <v>74</v>
      </c>
      <c r="AT996" s="1" t="s">
        <v>88</v>
      </c>
      <c r="AU996" s="1">
        <v>2016.0</v>
      </c>
      <c r="AV996" s="1">
        <v>89.0</v>
      </c>
      <c r="AW996" s="1" t="s">
        <v>74</v>
      </c>
      <c r="AX996" s="1" t="s">
        <v>74</v>
      </c>
      <c r="AY996" s="1" t="s">
        <v>74</v>
      </c>
      <c r="AZ996" s="1" t="s">
        <v>74</v>
      </c>
      <c r="BA996" s="1" t="s">
        <v>74</v>
      </c>
      <c r="BB996" s="1">
        <v>71.0</v>
      </c>
      <c r="BC996" s="1">
        <v>76.0</v>
      </c>
      <c r="BD996" s="1" t="s">
        <v>74</v>
      </c>
      <c r="BE996" s="1" t="s">
        <v>9149</v>
      </c>
      <c r="BF996" s="2" t="str">
        <f>HYPERLINK("http://dx.doi.org/10.1016/j.mineng.2016.01.014","http://dx.doi.org/10.1016/j.mineng.2016.01.014")</f>
        <v>http://dx.doi.org/10.1016/j.mineng.2016.01.014</v>
      </c>
      <c r="BG996" s="1" t="s">
        <v>74</v>
      </c>
      <c r="BH996" s="1" t="s">
        <v>74</v>
      </c>
      <c r="BI996" s="1" t="s">
        <v>74</v>
      </c>
      <c r="BJ996" s="1" t="s">
        <v>74</v>
      </c>
      <c r="BK996" s="1" t="s">
        <v>74</v>
      </c>
      <c r="BL996" s="1" t="s">
        <v>74</v>
      </c>
      <c r="BM996" s="1" t="s">
        <v>74</v>
      </c>
      <c r="BN996" s="1" t="s">
        <v>74</v>
      </c>
      <c r="BO996" s="1" t="s">
        <v>74</v>
      </c>
      <c r="BP996" s="1" t="s">
        <v>74</v>
      </c>
      <c r="BQ996" s="1" t="s">
        <v>74</v>
      </c>
      <c r="BR996" s="1" t="s">
        <v>74</v>
      </c>
      <c r="BS996" s="1" t="s">
        <v>9150</v>
      </c>
      <c r="BT996" s="1" t="str">
        <f>HYPERLINK("https%3A%2F%2Fwww.webofscience.com%2Fwos%2Fwoscc%2Ffull-record%2FWOS:000372679800010","View Full Record in Web of Science")</f>
        <v>View Full Record in Web of Science</v>
      </c>
    </row>
    <row r="997" ht="12.75" customHeight="1">
      <c r="A997" s="1" t="s">
        <v>251</v>
      </c>
      <c r="B997" s="1" t="s">
        <v>9151</v>
      </c>
      <c r="C997" s="1" t="s">
        <v>74</v>
      </c>
      <c r="D997" s="1" t="s">
        <v>463</v>
      </c>
      <c r="E997" s="1" t="s">
        <v>74</v>
      </c>
      <c r="F997" s="1" t="s">
        <v>9152</v>
      </c>
      <c r="G997" s="1" t="s">
        <v>74</v>
      </c>
      <c r="H997" s="1" t="s">
        <v>74</v>
      </c>
      <c r="I997" s="1" t="s">
        <v>9153</v>
      </c>
      <c r="J997" s="1" t="s">
        <v>466</v>
      </c>
      <c r="K997" s="1" t="s">
        <v>467</v>
      </c>
      <c r="L997" s="1" t="s">
        <v>74</v>
      </c>
      <c r="M997" s="1" t="s">
        <v>74</v>
      </c>
      <c r="N997" s="1" t="s">
        <v>74</v>
      </c>
      <c r="O997" s="1" t="s">
        <v>468</v>
      </c>
      <c r="P997" s="1" t="s">
        <v>469</v>
      </c>
      <c r="Q997" s="1" t="s">
        <v>470</v>
      </c>
      <c r="R997" s="1" t="s">
        <v>471</v>
      </c>
      <c r="S997" s="1" t="s">
        <v>74</v>
      </c>
      <c r="T997" s="1" t="s">
        <v>74</v>
      </c>
      <c r="U997" s="1" t="s">
        <v>74</v>
      </c>
      <c r="V997" s="1" t="s">
        <v>9154</v>
      </c>
      <c r="W997" s="1" t="s">
        <v>74</v>
      </c>
      <c r="X997" s="1" t="s">
        <v>74</v>
      </c>
      <c r="Y997" s="1" t="s">
        <v>74</v>
      </c>
      <c r="Z997" s="1" t="s">
        <v>74</v>
      </c>
      <c r="AA997" s="1" t="s">
        <v>9155</v>
      </c>
      <c r="AB997" s="1" t="s">
        <v>9156</v>
      </c>
      <c r="AC997" s="1" t="s">
        <v>74</v>
      </c>
      <c r="AD997" s="1" t="s">
        <v>74</v>
      </c>
      <c r="AE997" s="1" t="s">
        <v>74</v>
      </c>
      <c r="AF997" s="1" t="s">
        <v>74</v>
      </c>
      <c r="AG997" s="1" t="s">
        <v>74</v>
      </c>
      <c r="AH997" s="1" t="s">
        <v>74</v>
      </c>
      <c r="AI997" s="1" t="s">
        <v>74</v>
      </c>
      <c r="AJ997" s="1" t="s">
        <v>74</v>
      </c>
      <c r="AK997" s="1" t="s">
        <v>74</v>
      </c>
      <c r="AL997" s="1" t="s">
        <v>74</v>
      </c>
      <c r="AM997" s="1" t="s">
        <v>74</v>
      </c>
      <c r="AN997" s="1" t="s">
        <v>74</v>
      </c>
      <c r="AO997" s="1" t="s">
        <v>475</v>
      </c>
      <c r="AP997" s="1" t="s">
        <v>74</v>
      </c>
      <c r="AQ997" s="1" t="s">
        <v>74</v>
      </c>
      <c r="AR997" s="1" t="s">
        <v>74</v>
      </c>
      <c r="AS997" s="1" t="s">
        <v>74</v>
      </c>
      <c r="AT997" s="1" t="s">
        <v>74</v>
      </c>
      <c r="AU997" s="1">
        <v>2016.0</v>
      </c>
      <c r="AV997" s="1">
        <v>91.0</v>
      </c>
      <c r="AW997" s="1" t="s">
        <v>74</v>
      </c>
      <c r="AX997" s="1" t="s">
        <v>74</v>
      </c>
      <c r="AY997" s="1" t="s">
        <v>74</v>
      </c>
      <c r="AZ997" s="1" t="s">
        <v>74</v>
      </c>
      <c r="BA997" s="1" t="s">
        <v>74</v>
      </c>
      <c r="BB997" s="1">
        <v>813.0</v>
      </c>
      <c r="BC997" s="1">
        <v>822.0</v>
      </c>
      <c r="BD997" s="1" t="s">
        <v>74</v>
      </c>
      <c r="BE997" s="1" t="s">
        <v>9157</v>
      </c>
      <c r="BF997" s="2" t="str">
        <f>HYPERLINK("http://dx.doi.org/10.1016/j.procs.2016.07.086","http://dx.doi.org/10.1016/j.procs.2016.07.086")</f>
        <v>http://dx.doi.org/10.1016/j.procs.2016.07.086</v>
      </c>
      <c r="BG997" s="1" t="s">
        <v>74</v>
      </c>
      <c r="BH997" s="1" t="s">
        <v>74</v>
      </c>
      <c r="BI997" s="1" t="s">
        <v>74</v>
      </c>
      <c r="BJ997" s="1" t="s">
        <v>74</v>
      </c>
      <c r="BK997" s="1" t="s">
        <v>74</v>
      </c>
      <c r="BL997" s="1" t="s">
        <v>74</v>
      </c>
      <c r="BM997" s="1" t="s">
        <v>74</v>
      </c>
      <c r="BN997" s="1" t="s">
        <v>74</v>
      </c>
      <c r="BO997" s="1" t="s">
        <v>74</v>
      </c>
      <c r="BP997" s="1" t="s">
        <v>74</v>
      </c>
      <c r="BQ997" s="1" t="s">
        <v>74</v>
      </c>
      <c r="BR997" s="1" t="s">
        <v>74</v>
      </c>
      <c r="BS997" s="1" t="s">
        <v>9158</v>
      </c>
      <c r="BT997" s="1" t="str">
        <f>HYPERLINK("https%3A%2F%2Fwww.webofscience.com%2Fwos%2Fwoscc%2Ffull-record%2FWOS:000387683300097","View Full Record in Web of Science")</f>
        <v>View Full Record in Web of Science</v>
      </c>
    </row>
    <row r="998" ht="12.75" customHeight="1">
      <c r="A998" s="1" t="s">
        <v>72</v>
      </c>
      <c r="B998" s="1" t="s">
        <v>9159</v>
      </c>
      <c r="C998" s="1" t="s">
        <v>74</v>
      </c>
      <c r="D998" s="1" t="s">
        <v>74</v>
      </c>
      <c r="E998" s="1" t="s">
        <v>74</v>
      </c>
      <c r="F998" s="1" t="s">
        <v>9160</v>
      </c>
      <c r="G998" s="1" t="s">
        <v>74</v>
      </c>
      <c r="H998" s="1" t="s">
        <v>74</v>
      </c>
      <c r="I998" s="1" t="s">
        <v>9161</v>
      </c>
      <c r="J998" s="1" t="s">
        <v>9162</v>
      </c>
      <c r="K998" s="1" t="s">
        <v>74</v>
      </c>
      <c r="L998" s="1" t="s">
        <v>74</v>
      </c>
      <c r="M998" s="1" t="s">
        <v>74</v>
      </c>
      <c r="N998" s="1" t="s">
        <v>74</v>
      </c>
      <c r="O998" s="1" t="s">
        <v>74</v>
      </c>
      <c r="P998" s="1" t="s">
        <v>74</v>
      </c>
      <c r="Q998" s="1" t="s">
        <v>74</v>
      </c>
      <c r="R998" s="1" t="s">
        <v>74</v>
      </c>
      <c r="S998" s="1" t="s">
        <v>74</v>
      </c>
      <c r="T998" s="1" t="s">
        <v>74</v>
      </c>
      <c r="U998" s="1" t="s">
        <v>74</v>
      </c>
      <c r="V998" s="1" t="s">
        <v>9163</v>
      </c>
      <c r="W998" s="1" t="s">
        <v>74</v>
      </c>
      <c r="X998" s="1" t="s">
        <v>74</v>
      </c>
      <c r="Y998" s="1" t="s">
        <v>74</v>
      </c>
      <c r="Z998" s="1" t="s">
        <v>74</v>
      </c>
      <c r="AA998" s="1" t="s">
        <v>9164</v>
      </c>
      <c r="AB998" s="1" t="s">
        <v>74</v>
      </c>
      <c r="AC998" s="1" t="s">
        <v>74</v>
      </c>
      <c r="AD998" s="1" t="s">
        <v>74</v>
      </c>
      <c r="AE998" s="1" t="s">
        <v>74</v>
      </c>
      <c r="AF998" s="1" t="s">
        <v>74</v>
      </c>
      <c r="AG998" s="1" t="s">
        <v>74</v>
      </c>
      <c r="AH998" s="1" t="s">
        <v>74</v>
      </c>
      <c r="AI998" s="1" t="s">
        <v>74</v>
      </c>
      <c r="AJ998" s="1" t="s">
        <v>74</v>
      </c>
      <c r="AK998" s="1" t="s">
        <v>74</v>
      </c>
      <c r="AL998" s="1" t="s">
        <v>74</v>
      </c>
      <c r="AM998" s="1" t="s">
        <v>74</v>
      </c>
      <c r="AN998" s="1" t="s">
        <v>74</v>
      </c>
      <c r="AO998" s="1" t="s">
        <v>9165</v>
      </c>
      <c r="AP998" s="1" t="s">
        <v>9166</v>
      </c>
      <c r="AQ998" s="1" t="s">
        <v>74</v>
      </c>
      <c r="AR998" s="1" t="s">
        <v>74</v>
      </c>
      <c r="AS998" s="1" t="s">
        <v>74</v>
      </c>
      <c r="AT998" s="1" t="s">
        <v>1049</v>
      </c>
      <c r="AU998" s="1">
        <v>2015.0</v>
      </c>
      <c r="AV998" s="1">
        <v>21.0</v>
      </c>
      <c r="AW998" s="1">
        <v>11.0</v>
      </c>
      <c r="AX998" s="1" t="s">
        <v>74</v>
      </c>
      <c r="AY998" s="1" t="s">
        <v>74</v>
      </c>
      <c r="AZ998" s="1" t="s">
        <v>74</v>
      </c>
      <c r="BA998" s="1" t="s">
        <v>74</v>
      </c>
      <c r="BB998" s="1">
        <v>3141.0</v>
      </c>
      <c r="BC998" s="1">
        <v>3149.0</v>
      </c>
      <c r="BD998" s="1" t="s">
        <v>74</v>
      </c>
      <c r="BE998" s="1" t="s">
        <v>9167</v>
      </c>
      <c r="BF998" s="2" t="str">
        <f>HYPERLINK("http://dx.doi.org/10.1007/s11581-015-1558-0","http://dx.doi.org/10.1007/s11581-015-1558-0")</f>
        <v>http://dx.doi.org/10.1007/s11581-015-1558-0</v>
      </c>
      <c r="BG998" s="1" t="s">
        <v>74</v>
      </c>
      <c r="BH998" s="1" t="s">
        <v>74</v>
      </c>
      <c r="BI998" s="1" t="s">
        <v>74</v>
      </c>
      <c r="BJ998" s="1" t="s">
        <v>74</v>
      </c>
      <c r="BK998" s="1" t="s">
        <v>74</v>
      </c>
      <c r="BL998" s="1" t="s">
        <v>74</v>
      </c>
      <c r="BM998" s="1" t="s">
        <v>74</v>
      </c>
      <c r="BN998" s="1" t="s">
        <v>74</v>
      </c>
      <c r="BO998" s="1" t="s">
        <v>74</v>
      </c>
      <c r="BP998" s="1" t="s">
        <v>74</v>
      </c>
      <c r="BQ998" s="1" t="s">
        <v>74</v>
      </c>
      <c r="BR998" s="1" t="s">
        <v>74</v>
      </c>
      <c r="BS998" s="1" t="s">
        <v>9168</v>
      </c>
      <c r="BT998" s="1" t="str">
        <f>HYPERLINK("https%3A%2F%2Fwww.webofscience.com%2Fwos%2Fwoscc%2Ffull-record%2FWOS:000362969100013","View Full Record in Web of Science")</f>
        <v>View Full Record in Web of Science</v>
      </c>
    </row>
    <row r="999" ht="12.75" customHeight="1">
      <c r="A999" s="1" t="s">
        <v>72</v>
      </c>
      <c r="B999" s="1" t="s">
        <v>9169</v>
      </c>
      <c r="C999" s="1" t="s">
        <v>74</v>
      </c>
      <c r="D999" s="1" t="s">
        <v>74</v>
      </c>
      <c r="E999" s="1" t="s">
        <v>74</v>
      </c>
      <c r="F999" s="1" t="s">
        <v>9170</v>
      </c>
      <c r="G999" s="1" t="s">
        <v>74</v>
      </c>
      <c r="H999" s="1" t="s">
        <v>74</v>
      </c>
      <c r="I999" s="1" t="s">
        <v>9171</v>
      </c>
      <c r="J999" s="1" t="s">
        <v>9172</v>
      </c>
      <c r="K999" s="1" t="s">
        <v>74</v>
      </c>
      <c r="L999" s="1" t="s">
        <v>74</v>
      </c>
      <c r="M999" s="1" t="s">
        <v>74</v>
      </c>
      <c r="N999" s="1" t="s">
        <v>74</v>
      </c>
      <c r="O999" s="1" t="s">
        <v>9173</v>
      </c>
      <c r="P999" s="1" t="s">
        <v>9174</v>
      </c>
      <c r="Q999" s="1" t="s">
        <v>2707</v>
      </c>
      <c r="R999" s="1" t="s">
        <v>74</v>
      </c>
      <c r="S999" s="1" t="s">
        <v>74</v>
      </c>
      <c r="T999" s="1" t="s">
        <v>74</v>
      </c>
      <c r="U999" s="1" t="s">
        <v>74</v>
      </c>
      <c r="V999" s="1" t="s">
        <v>74</v>
      </c>
      <c r="W999" s="1" t="s">
        <v>74</v>
      </c>
      <c r="X999" s="1" t="s">
        <v>74</v>
      </c>
      <c r="Y999" s="1" t="s">
        <v>74</v>
      </c>
      <c r="Z999" s="1" t="s">
        <v>74</v>
      </c>
      <c r="AA999" s="1" t="s">
        <v>74</v>
      </c>
      <c r="AB999" s="1" t="s">
        <v>74</v>
      </c>
      <c r="AC999" s="1" t="s">
        <v>74</v>
      </c>
      <c r="AD999" s="1" t="s">
        <v>74</v>
      </c>
      <c r="AE999" s="1" t="s">
        <v>74</v>
      </c>
      <c r="AF999" s="1" t="s">
        <v>74</v>
      </c>
      <c r="AG999" s="1" t="s">
        <v>74</v>
      </c>
      <c r="AH999" s="1" t="s">
        <v>74</v>
      </c>
      <c r="AI999" s="1" t="s">
        <v>74</v>
      </c>
      <c r="AJ999" s="1" t="s">
        <v>74</v>
      </c>
      <c r="AK999" s="1" t="s">
        <v>74</v>
      </c>
      <c r="AL999" s="1" t="s">
        <v>74</v>
      </c>
      <c r="AM999" s="1" t="s">
        <v>74</v>
      </c>
      <c r="AN999" s="1" t="s">
        <v>74</v>
      </c>
      <c r="AO999" s="1" t="s">
        <v>9175</v>
      </c>
      <c r="AP999" s="1" t="s">
        <v>9176</v>
      </c>
      <c r="AQ999" s="1" t="s">
        <v>74</v>
      </c>
      <c r="AR999" s="1" t="s">
        <v>74</v>
      </c>
      <c r="AS999" s="1" t="s">
        <v>74</v>
      </c>
      <c r="AT999" s="1" t="s">
        <v>2060</v>
      </c>
      <c r="AU999" s="1">
        <v>2015.0</v>
      </c>
      <c r="AV999" s="1">
        <v>357.0</v>
      </c>
      <c r="AW999" s="1" t="s">
        <v>74</v>
      </c>
      <c r="AX999" s="1" t="s">
        <v>74</v>
      </c>
      <c r="AY999" s="1">
        <v>1.0</v>
      </c>
      <c r="AZ999" s="1" t="s">
        <v>74</v>
      </c>
      <c r="BA999" s="1">
        <v>1248.0</v>
      </c>
      <c r="BB999" s="1" t="s">
        <v>9177</v>
      </c>
      <c r="BC999" s="1" t="s">
        <v>9177</v>
      </c>
      <c r="BD999" s="1" t="s">
        <v>74</v>
      </c>
      <c r="BE999" s="1" t="s">
        <v>9178</v>
      </c>
      <c r="BF999" s="2" t="str">
        <f>HYPERLINK("http://dx.doi.org/10.1016/j.jns.2015.08.1313","http://dx.doi.org/10.1016/j.jns.2015.08.1313")</f>
        <v>http://dx.doi.org/10.1016/j.jns.2015.08.1313</v>
      </c>
      <c r="BG999" s="1" t="s">
        <v>74</v>
      </c>
      <c r="BH999" s="1" t="s">
        <v>74</v>
      </c>
      <c r="BI999" s="1" t="s">
        <v>74</v>
      </c>
      <c r="BJ999" s="1" t="s">
        <v>74</v>
      </c>
      <c r="BK999" s="1" t="s">
        <v>74</v>
      </c>
      <c r="BL999" s="1" t="s">
        <v>74</v>
      </c>
      <c r="BM999" s="1" t="s">
        <v>74</v>
      </c>
      <c r="BN999" s="1" t="s">
        <v>74</v>
      </c>
      <c r="BO999" s="1" t="s">
        <v>74</v>
      </c>
      <c r="BP999" s="1" t="s">
        <v>74</v>
      </c>
      <c r="BQ999" s="1" t="s">
        <v>74</v>
      </c>
      <c r="BR999" s="1" t="s">
        <v>74</v>
      </c>
      <c r="BS999" s="1" t="s">
        <v>9179</v>
      </c>
      <c r="BT999" s="1" t="str">
        <f>HYPERLINK("https%3A%2F%2Fwww.webofscience.com%2Fwos%2Fwoscc%2Ffull-record%2FWOS:000384634802131","View Full Record in Web of Science")</f>
        <v>View Full Record in Web of Science</v>
      </c>
    </row>
    <row r="1000" ht="12.75" customHeight="1">
      <c r="A1000" s="1" t="s">
        <v>72</v>
      </c>
      <c r="B1000" s="1" t="s">
        <v>6314</v>
      </c>
      <c r="C1000" s="1" t="s">
        <v>74</v>
      </c>
      <c r="D1000" s="1" t="s">
        <v>74</v>
      </c>
      <c r="E1000" s="1" t="s">
        <v>74</v>
      </c>
      <c r="F1000" s="1" t="s">
        <v>6315</v>
      </c>
      <c r="G1000" s="1" t="s">
        <v>74</v>
      </c>
      <c r="H1000" s="1" t="s">
        <v>74</v>
      </c>
      <c r="I1000" s="1" t="s">
        <v>9180</v>
      </c>
      <c r="J1000" s="1" t="s">
        <v>154</v>
      </c>
      <c r="K1000" s="1" t="s">
        <v>74</v>
      </c>
      <c r="L1000" s="1" t="s">
        <v>74</v>
      </c>
      <c r="M1000" s="1" t="s">
        <v>74</v>
      </c>
      <c r="N1000" s="1" t="s">
        <v>74</v>
      </c>
      <c r="O1000" s="1" t="s">
        <v>74</v>
      </c>
      <c r="P1000" s="1" t="s">
        <v>74</v>
      </c>
      <c r="Q1000" s="1" t="s">
        <v>74</v>
      </c>
      <c r="R1000" s="1" t="s">
        <v>74</v>
      </c>
      <c r="S1000" s="1" t="s">
        <v>74</v>
      </c>
      <c r="T1000" s="1" t="s">
        <v>74</v>
      </c>
      <c r="U1000" s="1" t="s">
        <v>74</v>
      </c>
      <c r="V1000" s="1" t="s">
        <v>74</v>
      </c>
      <c r="W1000" s="1" t="s">
        <v>74</v>
      </c>
      <c r="X1000" s="1" t="s">
        <v>74</v>
      </c>
      <c r="Y1000" s="1" t="s">
        <v>74</v>
      </c>
      <c r="Z1000" s="1" t="s">
        <v>74</v>
      </c>
      <c r="AA1000" s="1" t="s">
        <v>7615</v>
      </c>
      <c r="AB1000" s="1" t="s">
        <v>9181</v>
      </c>
      <c r="AC1000" s="1" t="s">
        <v>74</v>
      </c>
      <c r="AD1000" s="1" t="s">
        <v>74</v>
      </c>
      <c r="AE1000" s="1" t="s">
        <v>74</v>
      </c>
      <c r="AF1000" s="1" t="s">
        <v>74</v>
      </c>
      <c r="AG1000" s="1" t="s">
        <v>74</v>
      </c>
      <c r="AH1000" s="1" t="s">
        <v>74</v>
      </c>
      <c r="AI1000" s="1" t="s">
        <v>74</v>
      </c>
      <c r="AJ1000" s="1" t="s">
        <v>74</v>
      </c>
      <c r="AK1000" s="1" t="s">
        <v>74</v>
      </c>
      <c r="AL1000" s="1" t="s">
        <v>74</v>
      </c>
      <c r="AM1000" s="1" t="s">
        <v>74</v>
      </c>
      <c r="AN1000" s="1" t="s">
        <v>74</v>
      </c>
      <c r="AO1000" s="1" t="s">
        <v>156</v>
      </c>
      <c r="AP1000" s="1" t="s">
        <v>157</v>
      </c>
      <c r="AQ1000" s="1" t="s">
        <v>74</v>
      </c>
      <c r="AR1000" s="1" t="s">
        <v>74</v>
      </c>
      <c r="AS1000" s="1" t="s">
        <v>74</v>
      </c>
      <c r="AT1000" s="1" t="s">
        <v>2296</v>
      </c>
      <c r="AU1000" s="1">
        <v>2015.0</v>
      </c>
      <c r="AV1000" s="1">
        <v>269.0</v>
      </c>
      <c r="AW1000" s="1">
        <v>7.0</v>
      </c>
      <c r="AX1000" s="1" t="s">
        <v>74</v>
      </c>
      <c r="AY1000" s="1" t="s">
        <v>74</v>
      </c>
      <c r="AZ1000" s="1" t="s">
        <v>74</v>
      </c>
      <c r="BA1000" s="1" t="s">
        <v>74</v>
      </c>
      <c r="BB1000" s="1">
        <v>2302.0</v>
      </c>
      <c r="BC1000" s="1">
        <v>2303.0</v>
      </c>
      <c r="BD1000" s="1" t="s">
        <v>74</v>
      </c>
      <c r="BE1000" s="1" t="s">
        <v>9182</v>
      </c>
      <c r="BF1000" s="2" t="str">
        <f>HYPERLINK("http://dx.doi.org/10.1016/j.jfa.2015.06.021","http://dx.doi.org/10.1016/j.jfa.2015.06.021")</f>
        <v>http://dx.doi.org/10.1016/j.jfa.2015.06.021</v>
      </c>
      <c r="BG1000" s="1" t="s">
        <v>74</v>
      </c>
      <c r="BH1000" s="1" t="s">
        <v>74</v>
      </c>
      <c r="BI1000" s="1" t="s">
        <v>74</v>
      </c>
      <c r="BJ1000" s="1" t="s">
        <v>74</v>
      </c>
      <c r="BK1000" s="1" t="s">
        <v>74</v>
      </c>
      <c r="BL1000" s="1" t="s">
        <v>74</v>
      </c>
      <c r="BM1000" s="1" t="s">
        <v>74</v>
      </c>
      <c r="BN1000" s="1" t="s">
        <v>74</v>
      </c>
      <c r="BO1000" s="1" t="s">
        <v>74</v>
      </c>
      <c r="BP1000" s="1" t="s">
        <v>74</v>
      </c>
      <c r="BQ1000" s="1" t="s">
        <v>74</v>
      </c>
      <c r="BR1000" s="1" t="s">
        <v>74</v>
      </c>
      <c r="BS1000" s="1" t="s">
        <v>9183</v>
      </c>
      <c r="BT1000" s="1" t="str">
        <f>HYPERLINK("https%3A%2F%2Fwww.webofscience.com%2Fwos%2Fwoscc%2Ffull-record%2FWOS:000360253200013","View Full Record in Web of Science")</f>
        <v>View Full Record in Web of Science</v>
      </c>
    </row>
    <row r="1001" ht="12.75" customHeight="1">
      <c r="A1001" s="1" t="s">
        <v>72</v>
      </c>
      <c r="B1001" s="1" t="s">
        <v>9184</v>
      </c>
      <c r="C1001" s="1" t="s">
        <v>74</v>
      </c>
      <c r="D1001" s="1" t="s">
        <v>74</v>
      </c>
      <c r="E1001" s="1" t="s">
        <v>74</v>
      </c>
      <c r="F1001" s="1" t="s">
        <v>9185</v>
      </c>
      <c r="G1001" s="1" t="s">
        <v>74</v>
      </c>
      <c r="H1001" s="1" t="s">
        <v>74</v>
      </c>
      <c r="I1001" s="1" t="s">
        <v>9186</v>
      </c>
      <c r="J1001" s="1" t="s">
        <v>233</v>
      </c>
      <c r="K1001" s="1" t="s">
        <v>74</v>
      </c>
      <c r="L1001" s="1" t="s">
        <v>74</v>
      </c>
      <c r="M1001" s="1" t="s">
        <v>74</v>
      </c>
      <c r="N1001" s="1" t="s">
        <v>74</v>
      </c>
      <c r="O1001" s="1" t="s">
        <v>74</v>
      </c>
      <c r="P1001" s="1" t="s">
        <v>74</v>
      </c>
      <c r="Q1001" s="1" t="s">
        <v>74</v>
      </c>
      <c r="R1001" s="1" t="s">
        <v>74</v>
      </c>
      <c r="S1001" s="1" t="s">
        <v>74</v>
      </c>
      <c r="T1001" s="1" t="s">
        <v>74</v>
      </c>
      <c r="U1001" s="1" t="s">
        <v>74</v>
      </c>
      <c r="V1001" s="1" t="s">
        <v>9187</v>
      </c>
      <c r="W1001" s="1" t="s">
        <v>74</v>
      </c>
      <c r="X1001" s="1" t="s">
        <v>74</v>
      </c>
      <c r="Y1001" s="1" t="s">
        <v>74</v>
      </c>
      <c r="Z1001" s="1" t="s">
        <v>74</v>
      </c>
      <c r="AA1001" s="1" t="s">
        <v>9188</v>
      </c>
      <c r="AB1001" s="1" t="s">
        <v>9189</v>
      </c>
      <c r="AC1001" s="1" t="s">
        <v>74</v>
      </c>
      <c r="AD1001" s="1" t="s">
        <v>74</v>
      </c>
      <c r="AE1001" s="1" t="s">
        <v>74</v>
      </c>
      <c r="AF1001" s="1" t="s">
        <v>74</v>
      </c>
      <c r="AG1001" s="1" t="s">
        <v>74</v>
      </c>
      <c r="AH1001" s="1" t="s">
        <v>74</v>
      </c>
      <c r="AI1001" s="1" t="s">
        <v>74</v>
      </c>
      <c r="AJ1001" s="1" t="s">
        <v>74</v>
      </c>
      <c r="AK1001" s="1" t="s">
        <v>74</v>
      </c>
      <c r="AL1001" s="1" t="s">
        <v>74</v>
      </c>
      <c r="AM1001" s="1" t="s">
        <v>74</v>
      </c>
      <c r="AN1001" s="1" t="s">
        <v>74</v>
      </c>
      <c r="AO1001" s="1" t="s">
        <v>237</v>
      </c>
      <c r="AP1001" s="1" t="s">
        <v>238</v>
      </c>
      <c r="AQ1001" s="1" t="s">
        <v>74</v>
      </c>
      <c r="AR1001" s="1" t="s">
        <v>74</v>
      </c>
      <c r="AS1001" s="1" t="s">
        <v>74</v>
      </c>
      <c r="AT1001" s="1" t="s">
        <v>459</v>
      </c>
      <c r="AU1001" s="1">
        <v>2015.0</v>
      </c>
      <c r="AV1001" s="1">
        <v>88.0</v>
      </c>
      <c r="AW1001" s="1">
        <v>9.0</v>
      </c>
      <c r="AX1001" s="1" t="s">
        <v>74</v>
      </c>
      <c r="AY1001" s="1" t="s">
        <v>74</v>
      </c>
      <c r="AZ1001" s="1" t="s">
        <v>74</v>
      </c>
      <c r="BA1001" s="1" t="s">
        <v>74</v>
      </c>
      <c r="BB1001" s="1" t="s">
        <v>74</v>
      </c>
      <c r="BC1001" s="1" t="s">
        <v>74</v>
      </c>
      <c r="BD1001" s="1">
        <v>216.0</v>
      </c>
      <c r="BE1001" s="1" t="s">
        <v>9190</v>
      </c>
      <c r="BF1001" s="2" t="str">
        <f>HYPERLINK("http://dx.doi.org/10.1140/epjb/e2015-60080-y","http://dx.doi.org/10.1140/epjb/e2015-60080-y")</f>
        <v>http://dx.doi.org/10.1140/epjb/e2015-60080-y</v>
      </c>
      <c r="BG1001" s="1" t="s">
        <v>74</v>
      </c>
      <c r="BH1001" s="1" t="s">
        <v>74</v>
      </c>
      <c r="BI1001" s="1" t="s">
        <v>74</v>
      </c>
      <c r="BJ1001" s="1" t="s">
        <v>74</v>
      </c>
      <c r="BK1001" s="1" t="s">
        <v>74</v>
      </c>
      <c r="BL1001" s="1" t="s">
        <v>74</v>
      </c>
      <c r="BM1001" s="1" t="s">
        <v>74</v>
      </c>
      <c r="BN1001" s="1" t="s">
        <v>74</v>
      </c>
      <c r="BO1001" s="1" t="s">
        <v>74</v>
      </c>
      <c r="BP1001" s="1" t="s">
        <v>74</v>
      </c>
      <c r="BQ1001" s="1" t="s">
        <v>74</v>
      </c>
      <c r="BR1001" s="1" t="s">
        <v>74</v>
      </c>
      <c r="BS1001" s="1" t="s">
        <v>9191</v>
      </c>
      <c r="BT1001" s="1" t="str">
        <f>HYPERLINK("https%3A%2F%2Fwww.webofscience.com%2Fwos%2Fwoscc%2Ffull-record%2FWOS:000360508800005","View Full Record in Web of Science")</f>
        <v>View Full Record in Web of Science</v>
      </c>
    </row>
  </sheetData>
  <printOptions/>
  <pageMargins bottom="0.75" footer="0.0" header="0.0" left="0.7" right="0.7" top="0.75"/>
  <pageSetup orientation="landscape"/>
  <drawing r:id="rId1"/>
</worksheet>
</file>